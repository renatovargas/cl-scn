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ato\Documents\GitHub\cl-scn\datos\ejemplos\"/>
    </mc:Choice>
  </mc:AlternateContent>
  <xr:revisionPtr revIDLastSave="0" documentId="13_ncr:1_{3F3590F5-7451-45E0-AFB0-B38D653A3E64}" xr6:coauthVersionLast="47" xr6:coauthVersionMax="47" xr10:uidLastSave="{00000000-0000-0000-0000-000000000000}"/>
  <bookViews>
    <workbookView xWindow="-98" yWindow="-98" windowWidth="19396" windowHeight="10276" firstSheet="3" activeTab="6" xr2:uid="{00000000-000D-0000-FFFF-FFFF00000000}"/>
  </bookViews>
  <sheets>
    <sheet name="Datos Originales" sheetId="17" r:id="rId1"/>
    <sheet name="Preparado" sheetId="14" r:id="rId2"/>
    <sheet name="Resultado" sheetId="27" r:id="rId3"/>
    <sheet name="Pruebe usted" sheetId="30" r:id="rId4"/>
    <sheet name="Filas" sheetId="31" r:id="rId5"/>
    <sheet name="Columnas" sheetId="32" r:id="rId6"/>
    <sheet name="Bioeconomía" sheetId="33" r:id="rId7"/>
    <sheet name="Nuevo Cuadro Dinámico" sheetId="34" r:id="rId8"/>
  </sheets>
  <definedNames>
    <definedName name="_71_Temp" localSheetId="0">#REF!</definedName>
    <definedName name="_71_Temp" localSheetId="1">#REF!</definedName>
    <definedName name="_71_Temp">#REF!</definedName>
    <definedName name="_72_Temp" localSheetId="0">#REF!</definedName>
    <definedName name="_72_Temp" localSheetId="1">#REF!</definedName>
    <definedName name="_72_Temp">#REF!</definedName>
    <definedName name="Area_a_imprimir" localSheetId="0">#REF!</definedName>
    <definedName name="Area_a_imprimir" localSheetId="1">#REF!</definedName>
    <definedName name="Area_a_imprimir">#REF!</definedName>
    <definedName name="Area_de_impresión" localSheetId="0">#REF!</definedName>
    <definedName name="Area_de_impresión" localSheetId="1">#REF!</definedName>
    <definedName name="Area_de_impresión">#REF!</definedName>
    <definedName name="comg" localSheetId="0">#REF!</definedName>
    <definedName name="comg" localSheetId="1">#REF!</definedName>
    <definedName name="comg">#REF!</definedName>
    <definedName name="d" localSheetId="0">#REF!</definedName>
    <definedName name="d" localSheetId="1">#REF!</definedName>
    <definedName name="d">#REF!</definedName>
    <definedName name="ff" localSheetId="0">#REF!</definedName>
    <definedName name="ff" localSheetId="1">#REF!</definedName>
    <definedName name="ff">#REF!</definedName>
    <definedName name="P1D" localSheetId="0">#REF!</definedName>
    <definedName name="P1D" localSheetId="1">#REF!</definedName>
    <definedName name="P1D">#REF!</definedName>
    <definedName name="P1G" localSheetId="0">#REF!</definedName>
    <definedName name="P1G" localSheetId="1">#REF!</definedName>
    <definedName name="P1G">#REF!</definedName>
    <definedName name="Pág.1" localSheetId="0">#REF!</definedName>
    <definedName name="Pág.1" localSheetId="1">#REF!</definedName>
    <definedName name="Pág.1">#REF!</definedName>
    <definedName name="Pág.2" localSheetId="0">#REF!</definedName>
    <definedName name="Pág.2" localSheetId="1">#REF!</definedName>
    <definedName name="Pág.2">#REF!</definedName>
    <definedName name="Pág.3" localSheetId="0">#REF!</definedName>
    <definedName name="Pág.3" localSheetId="1">#REF!</definedName>
    <definedName name="Pág.3">#REF!</definedName>
    <definedName name="Pág.4" localSheetId="0">#REF!</definedName>
    <definedName name="Pág.4" localSheetId="1">#REF!</definedName>
    <definedName name="Pág.4">#REF!</definedName>
    <definedName name="Pág.5" localSheetId="0">#REF!</definedName>
    <definedName name="Pág.5" localSheetId="1">#REF!</definedName>
    <definedName name="Pág.5">#REF!</definedName>
    <definedName name="Pág.6" localSheetId="0">#REF!</definedName>
    <definedName name="Pág.6" localSheetId="1">#REF!</definedName>
    <definedName name="Pág.6">#REF!</definedName>
    <definedName name="Publicación" localSheetId="0">#REF!</definedName>
    <definedName name="Publicación" localSheetId="1">#REF!</definedName>
    <definedName name="Publicación">#REF!</definedName>
    <definedName name="SAM" localSheetId="0">#REF!</definedName>
    <definedName name="SAM" localSheetId="1">#REF!</definedName>
    <definedName name="SAM">#REF!</definedName>
    <definedName name="SAM_4x4" localSheetId="0">#REF!</definedName>
    <definedName name="SAM_4x4" localSheetId="1">#REF!</definedName>
    <definedName name="SAM_4x4">#REF!</definedName>
    <definedName name="SAMR" localSheetId="0">#REF!</definedName>
    <definedName name="SAMR" localSheetId="1">#REF!</definedName>
    <definedName name="SAMR">#REF!</definedName>
  </definedNames>
  <calcPr calcId="191029"/>
  <pivotCaches>
    <pivotCache cacheId="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" i="27" l="1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58" i="27"/>
  <c r="K59" i="27"/>
  <c r="K60" i="27"/>
  <c r="K61" i="27"/>
  <c r="K62" i="27"/>
  <c r="K63" i="27"/>
  <c r="K64" i="27"/>
  <c r="K65" i="27"/>
  <c r="K66" i="27"/>
  <c r="K67" i="27"/>
  <c r="K68" i="27"/>
  <c r="K69" i="27"/>
  <c r="K70" i="27"/>
  <c r="K71" i="27"/>
  <c r="K72" i="27"/>
  <c r="K73" i="27"/>
  <c r="K74" i="27"/>
  <c r="K75" i="27"/>
  <c r="K76" i="27"/>
  <c r="K77" i="27"/>
  <c r="K78" i="27"/>
  <c r="K79" i="27"/>
  <c r="K80" i="27"/>
  <c r="K81" i="27"/>
  <c r="K82" i="27"/>
  <c r="K83" i="27"/>
  <c r="K84" i="27"/>
  <c r="K85" i="27"/>
  <c r="K86" i="27"/>
  <c r="K87" i="27"/>
  <c r="K88" i="27"/>
  <c r="K89" i="27"/>
  <c r="K90" i="27"/>
  <c r="K91" i="27"/>
  <c r="K92" i="27"/>
  <c r="K93" i="27"/>
  <c r="K94" i="27"/>
  <c r="K95" i="27"/>
  <c r="K96" i="27"/>
  <c r="K97" i="27"/>
  <c r="K98" i="27"/>
  <c r="K99" i="27"/>
  <c r="K100" i="27"/>
  <c r="K101" i="27"/>
  <c r="K102" i="27"/>
  <c r="K103" i="27"/>
  <c r="K104" i="27"/>
  <c r="K105" i="27"/>
  <c r="K106" i="27"/>
  <c r="K107" i="27"/>
  <c r="K108" i="27"/>
  <c r="K109" i="27"/>
  <c r="K110" i="27"/>
  <c r="K111" i="27"/>
  <c r="K112" i="27"/>
  <c r="K113" i="27"/>
  <c r="K114" i="27"/>
  <c r="K115" i="27"/>
  <c r="K116" i="27"/>
  <c r="K117" i="27"/>
  <c r="K118" i="27"/>
  <c r="K119" i="27"/>
  <c r="K120" i="27"/>
  <c r="K121" i="27"/>
  <c r="K122" i="27"/>
  <c r="K123" i="27"/>
  <c r="K124" i="27"/>
  <c r="K125" i="27"/>
  <c r="K126" i="27"/>
  <c r="K127" i="27"/>
  <c r="K128" i="27"/>
  <c r="K129" i="27"/>
  <c r="K130" i="27"/>
  <c r="K131" i="27"/>
  <c r="K132" i="27"/>
  <c r="K133" i="27"/>
  <c r="K134" i="27"/>
  <c r="K135" i="27"/>
  <c r="K136" i="27"/>
  <c r="K137" i="27"/>
  <c r="K138" i="27"/>
  <c r="K139" i="27"/>
  <c r="K140" i="27"/>
  <c r="K141" i="27"/>
  <c r="K142" i="27"/>
  <c r="K143" i="27"/>
  <c r="K144" i="27"/>
  <c r="K145" i="27"/>
  <c r="K146" i="27"/>
  <c r="K147" i="27"/>
  <c r="K148" i="27"/>
  <c r="K149" i="27"/>
  <c r="K150" i="27"/>
  <c r="K151" i="27"/>
  <c r="K152" i="27"/>
  <c r="K153" i="27"/>
  <c r="K154" i="27"/>
  <c r="K155" i="27"/>
  <c r="K156" i="27"/>
  <c r="K157" i="27"/>
  <c r="K158" i="27"/>
  <c r="K159" i="27"/>
  <c r="K160" i="27"/>
  <c r="K161" i="27"/>
  <c r="K162" i="27"/>
  <c r="K163" i="27"/>
  <c r="K164" i="27"/>
  <c r="K165" i="27"/>
  <c r="K166" i="27"/>
  <c r="K167" i="27"/>
  <c r="K168" i="27"/>
  <c r="K169" i="27"/>
  <c r="K170" i="27"/>
  <c r="K171" i="27"/>
  <c r="K172" i="27"/>
  <c r="K173" i="27"/>
  <c r="K174" i="27"/>
  <c r="K175" i="27"/>
  <c r="K176" i="27"/>
  <c r="K177" i="27"/>
  <c r="K178" i="27"/>
  <c r="K179" i="27"/>
  <c r="K180" i="27"/>
  <c r="K181" i="27"/>
  <c r="K182" i="27"/>
  <c r="K183" i="27"/>
  <c r="K184" i="27"/>
  <c r="K185" i="27"/>
  <c r="K186" i="27"/>
  <c r="K187" i="27"/>
  <c r="K188" i="27"/>
  <c r="K189" i="27"/>
  <c r="K190" i="27"/>
  <c r="K191" i="27"/>
  <c r="K192" i="27"/>
  <c r="K193" i="27"/>
  <c r="K194" i="27"/>
  <c r="K195" i="27"/>
  <c r="K196" i="27"/>
  <c r="K197" i="27"/>
  <c r="K198" i="27"/>
  <c r="K199" i="27"/>
  <c r="K200" i="27"/>
  <c r="K201" i="27"/>
  <c r="K202" i="27"/>
  <c r="K203" i="27"/>
  <c r="K204" i="27"/>
  <c r="K205" i="27"/>
  <c r="K206" i="27"/>
  <c r="K207" i="27"/>
  <c r="K208" i="27"/>
  <c r="K209" i="27"/>
  <c r="K210" i="27"/>
  <c r="K211" i="27"/>
  <c r="K212" i="27"/>
  <c r="K213" i="27"/>
  <c r="K214" i="27"/>
  <c r="K215" i="27"/>
  <c r="K216" i="27"/>
  <c r="K217" i="27"/>
  <c r="K218" i="27"/>
  <c r="K219" i="27"/>
  <c r="K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G201" i="27"/>
  <c r="G202" i="27"/>
  <c r="G203" i="27"/>
  <c r="G204" i="27"/>
  <c r="G205" i="27"/>
  <c r="G206" i="27"/>
  <c r="G207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4" i="27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7" i="14"/>
  <c r="D8" i="14"/>
  <c r="D9" i="14"/>
  <c r="D10" i="14"/>
  <c r="D11" i="14"/>
  <c r="D12" i="14"/>
  <c r="D13" i="14"/>
  <c r="D14" i="14"/>
  <c r="D15" i="14"/>
  <c r="D16" i="14"/>
  <c r="D17" i="14"/>
  <c r="D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80F5AE-8336-467A-BDE0-E8B83E35A9EA}" keepAlive="1" name="Consulta - Tabla2" description="Conexión a la consulta 'Tabla2' en el libro." type="5" refreshedVersion="0" background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<sst xmlns="http://schemas.openxmlformats.org/spreadsheetml/2006/main" count="2461" uniqueCount="85">
  <si>
    <t>Matriz de insumo-producto</t>
  </si>
  <si>
    <t>Doméstica a precio básico, actividad por actividad</t>
  </si>
  <si>
    <t>Supuesto: estructura de ventas fija por producto</t>
  </si>
  <si>
    <t>Actividad</t>
  </si>
  <si>
    <t>Consumo de hogares</t>
  </si>
  <si>
    <t>Consumo  de IPSFL</t>
  </si>
  <si>
    <t>Consumo de gobierno</t>
  </si>
  <si>
    <t>Formación bruta de capital fijo</t>
  </si>
  <si>
    <t>Variación de existencias</t>
  </si>
  <si>
    <t>Exportaciones</t>
  </si>
  <si>
    <t>Producción precio básico</t>
  </si>
  <si>
    <t>Total</t>
  </si>
  <si>
    <t xml:space="preserve">Importaciones precios cif </t>
  </si>
  <si>
    <t>Impuestos sobre productos</t>
  </si>
  <si>
    <t>Derechos de importación</t>
  </si>
  <si>
    <t xml:space="preserve">Valor agregado </t>
  </si>
  <si>
    <t>Remuneraciones de asalariados</t>
  </si>
  <si>
    <t>Excedente bruto de explotación</t>
  </si>
  <si>
    <t>Impuestos netos sobre la producción</t>
  </si>
  <si>
    <t>Producción precios básicos</t>
  </si>
  <si>
    <t>Intermediación financiera</t>
  </si>
  <si>
    <t>Administración pública</t>
  </si>
  <si>
    <t>Agropecuario-silvícola y Pesca</t>
  </si>
  <si>
    <t>Minería</t>
  </si>
  <si>
    <t>Industria manufacturera</t>
  </si>
  <si>
    <t>Electricidad, gas, agua y gestión de desechos</t>
  </si>
  <si>
    <t>Construcción</t>
  </si>
  <si>
    <t>Comercio, hoteles y restaurantes</t>
  </si>
  <si>
    <t>Transporte, comunicaciones y servicios de información</t>
  </si>
  <si>
    <t>Servicios inmobiliarios y de vivienda</t>
  </si>
  <si>
    <t>Servicios empresariales</t>
  </si>
  <si>
    <t>Servicios personales</t>
  </si>
  <si>
    <t>(miles de millones de pesos de 2022)</t>
  </si>
  <si>
    <t>Oferta intermedia</t>
  </si>
  <si>
    <t>Demanda intermedia</t>
  </si>
  <si>
    <t>Ninguno</t>
  </si>
  <si>
    <t>Demanda intermedia_1_Agropecuario-silvícola y Pesca</t>
  </si>
  <si>
    <t>Demanda intermedia_2_Minería</t>
  </si>
  <si>
    <t>Demanda intermedia_3_Industria manufacturera</t>
  </si>
  <si>
    <t>Demanda intermedia_4_Electricidad, gas, agua y gestión de desechos</t>
  </si>
  <si>
    <t>Demanda intermedia_5_Construcción</t>
  </si>
  <si>
    <t>Demanda intermedia_6_Comercio, hoteles y restaurantes</t>
  </si>
  <si>
    <t>Demanda intermedia_7_Transporte, comunicaciones y servicios de información</t>
  </si>
  <si>
    <t>Demanda intermedia_8_Intermediación financiera</t>
  </si>
  <si>
    <t>Demanda intermedia_9_Servicios inmobiliarios y de vivienda</t>
  </si>
  <si>
    <t>Demanda intermedia_10_Servicios empresariales</t>
  </si>
  <si>
    <t>Demanda intermedia_11_Servicios personales</t>
  </si>
  <si>
    <t>Demanda intermedia_12_Administración pública</t>
  </si>
  <si>
    <t>Consumo de hogares_Ninguno_Ninguno</t>
  </si>
  <si>
    <t>Consumo  de IPSFL_Ninguno_Ninguno</t>
  </si>
  <si>
    <t>Consumo de gobierno_Ninguno_Ninguno</t>
  </si>
  <si>
    <t>Formación bruta de capital fijo_Ninguno_Ninguno</t>
  </si>
  <si>
    <t>Variación de existencias_Ninguno_Ninguno</t>
  </si>
  <si>
    <t>Exportaciones_Ninguno_Ninguno</t>
  </si>
  <si>
    <t>Oferta intermedia_1_Agropecuario-silvícola y Pesca</t>
  </si>
  <si>
    <t>Oferta intermedia_2_Minería</t>
  </si>
  <si>
    <t>Oferta intermedia_3_Industria manufacturera</t>
  </si>
  <si>
    <t>Oferta intermedia_4_Electricidad, gas, agua y gestión de desechos</t>
  </si>
  <si>
    <t>Oferta intermedia_5_Construcción</t>
  </si>
  <si>
    <t>Oferta intermedia_6_Comercio, hoteles y restaurantes</t>
  </si>
  <si>
    <t>Oferta intermedia_7_Transporte, comunicaciones y servicios de información</t>
  </si>
  <si>
    <t>Oferta intermedia_8_Intermediación financiera</t>
  </si>
  <si>
    <t>Oferta intermedia_9_Servicios inmobiliarios y de vivienda</t>
  </si>
  <si>
    <t>Oferta intermedia_10_Servicios empresariales</t>
  </si>
  <si>
    <t>Oferta intermedia_11_Servicios personales</t>
  </si>
  <si>
    <t>Oferta intermedia_12_Administración pública</t>
  </si>
  <si>
    <t>Fila</t>
  </si>
  <si>
    <t>Columna</t>
  </si>
  <si>
    <t>Valor</t>
  </si>
  <si>
    <t>Detalles de Suma de Valor</t>
  </si>
  <si>
    <t>Transaccion Fila</t>
  </si>
  <si>
    <t>Transacción Columnas</t>
  </si>
  <si>
    <t>Código Sector Columna</t>
  </si>
  <si>
    <t>Sector Columna</t>
  </si>
  <si>
    <t>Código Sector Fila</t>
  </si>
  <si>
    <t>Sector Fila</t>
  </si>
  <si>
    <t>Bioeconomía</t>
  </si>
  <si>
    <t>Bioeconomía extendida</t>
  </si>
  <si>
    <t>No Bioeconomía</t>
  </si>
  <si>
    <t>Bioeconomía filas</t>
  </si>
  <si>
    <t>Bioeconomía columnas</t>
  </si>
  <si>
    <t>Suma de Valor</t>
  </si>
  <si>
    <t>Etiquetas de fila</t>
  </si>
  <si>
    <t>Total general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</si>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</sst>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.00_);_(* \(#,##0.00\);_(* &quot;-&quot;??_);_(@_)"/>
    <numFmt numFmtId="165" formatCode="_-* #,##0_-;\-* #,##0_-;_-* &quot;-&quot;_-;_-@_-"/>
    <numFmt numFmtId="166" formatCode="_-* #,##0.00_-;\-* #,##0.00_-;_-* &quot;-&quot;??_-;_-@_-"/>
    <numFmt numFmtId="167" formatCode="_-* #,##0.00\ &quot;€&quot;_-;\-* #,##0.00\ &quot;€&quot;_-;_-* &quot;-&quot;??\ &quot;€&quot;_-;_-@_-"/>
    <numFmt numFmtId="168" formatCode="_-* #,##0.00\ _€_-;\-* #,##0.00\ _€_-;_-* &quot;-&quot;??\ _€_-;_-@_-"/>
    <numFmt numFmtId="169" formatCode="#,##0.0000"/>
    <numFmt numFmtId="170" formatCode="_-* #,##0\ _D_M_-;\-* #,##0\ _D_M_-;_-* &quot;-&quot;\ _D_M_-;_-@_-"/>
    <numFmt numFmtId="171" formatCode="_-* #,##0.00\ _D_M_-;\-* #,##0.00\ _D_M_-;_-* &quot;-&quot;??\ _D_M_-;_-@_-"/>
    <numFmt numFmtId="172" formatCode="#,"/>
    <numFmt numFmtId="173" formatCode="_([$€]* #,##0.00_);_([$€]* \(#,##0.00\);_([$€]* &quot;-&quot;??_);_(@_)"/>
    <numFmt numFmtId="174" formatCode="_(&quot;€&quot;* #,##0.00_);_(&quot;€&quot;* \(#,##0.00\);_(&quot;€&quot;* &quot;-&quot;??_);_(@_)"/>
    <numFmt numFmtId="175" formatCode="_-[$€-2]\ * #,##0.00_-;\-[$€-2]\ * #,##0.00_-;_-[$€-2]\ * &quot;-&quot;??_-"/>
    <numFmt numFmtId="176" formatCode="_-[$€-2]* #,##0.00_-;\-[$€-2]* #,##0.00_-;_-[$€-2]* &quot;-&quot;??_-"/>
    <numFmt numFmtId="177" formatCode="_-* #,##0.00\ [$€]_-;\-* #,##0.00\ [$€]_-;_-* &quot;-&quot;??\ [$€]_-;_-@_-"/>
    <numFmt numFmtId="178" formatCode="#.##0"/>
    <numFmt numFmtId="179" formatCode="#,#00"/>
    <numFmt numFmtId="180" formatCode="#.##000"/>
    <numFmt numFmtId="181" formatCode="_-* #,##0.00\ _P_t_s_-;\-* #,##0.00\ _P_t_s_-;_-* &quot;-&quot;??\ _P_t_s_-;_-@_-"/>
    <numFmt numFmtId="182" formatCode="_-* #,##0.0\ _€_-;\-* #,##0.0\ _€_-;_-* &quot;-&quot;?\ _€_-;_-@_-"/>
    <numFmt numFmtId="183" formatCode="#,##0.0"/>
    <numFmt numFmtId="184" formatCode="_-* #,##0.00\ _p_t_a_-;\-* #,##0.00\ _p_t_a_-;_-* &quot;-&quot;??\ _p_t_a_-;_-@_-"/>
    <numFmt numFmtId="185" formatCode="_-* #,##0_-;\-* #,##0_-;_-* &quot;-&quot;??_-;_-@_-"/>
    <numFmt numFmtId="186" formatCode="#,##0.00\ &quot;Pts&quot;;\-#,##0.00\ &quot;Pts&quot;"/>
    <numFmt numFmtId="187" formatCode="#,##0\ &quot;Pts&quot;;[Red]\-#,##0\ &quot;Pts&quot;"/>
    <numFmt numFmtId="188" formatCode="_-* #,##0\ &quot;DM&quot;_-;\-* #,##0\ &quot;DM&quot;_-;_-* &quot;-&quot;\ &quot;DM&quot;_-;_-@_-"/>
    <numFmt numFmtId="189" formatCode="_-* #,##0.00\ &quot;DM&quot;_-;\-* #,##0.00\ &quot;DM&quot;_-;_-* &quot;-&quot;??\ &quot;DM&quot;_-;_-@_-"/>
    <numFmt numFmtId="190" formatCode="&quot;$&quot;#,#0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MS Sans Serif"/>
      <family val="2"/>
    </font>
    <font>
      <b/>
      <sz val="8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name val="Geneva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7.5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name val="Calibri"/>
      <family val="2"/>
    </font>
    <font>
      <sz val="11"/>
      <color indexed="60"/>
      <name val="Calibri"/>
      <family val="2"/>
    </font>
    <font>
      <sz val="14"/>
      <name val="Times New Roman"/>
      <family val="1"/>
    </font>
    <font>
      <sz val="11"/>
      <color theme="1"/>
      <name val="Calibri"/>
      <family val="2"/>
    </font>
    <font>
      <b/>
      <sz val="11"/>
      <color indexed="63"/>
      <name val="Calibri"/>
      <family val="2"/>
    </font>
    <font>
      <sz val="9"/>
      <name val="Humnst777 Lt BT"/>
      <family val="2"/>
    </font>
    <font>
      <b/>
      <sz val="8"/>
      <color indexed="8"/>
      <name val="Arial"/>
      <family val="2"/>
    </font>
    <font>
      <sz val="19"/>
      <color indexed="48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5"/>
      <color theme="3"/>
      <name val="Calibri"/>
      <family val="2"/>
    </font>
    <font>
      <b/>
      <sz val="11"/>
      <color indexed="8"/>
      <name val="Calibri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b/>
      <sz val="11"/>
      <color theme="1"/>
      <name val="Calibri"/>
      <family val="2"/>
      <scheme val="minor"/>
    </font>
    <font>
      <u/>
      <sz val="10"/>
      <name val="Times New Roman"/>
      <family val="1"/>
    </font>
    <font>
      <u/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8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072">
    <xf numFmtId="0" fontId="0" fillId="0" borderId="0"/>
    <xf numFmtId="0" fontId="3" fillId="0" borderId="0"/>
    <xf numFmtId="0" fontId="4" fillId="0" borderId="0"/>
    <xf numFmtId="0" fontId="6" fillId="0" borderId="0"/>
    <xf numFmtId="0" fontId="3" fillId="0" borderId="0"/>
    <xf numFmtId="0" fontId="4" fillId="0" borderId="0"/>
    <xf numFmtId="0" fontId="4" fillId="0" borderId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6" borderId="0" applyNumberFormat="0" applyBorder="0" applyAlignment="0" applyProtection="0"/>
    <xf numFmtId="0" fontId="1" fillId="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" fillId="5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" fillId="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" fillId="11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" fillId="13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5" borderId="0" applyNumberFormat="0" applyBorder="0" applyAlignment="0" applyProtection="0"/>
    <xf numFmtId="0" fontId="13" fillId="22" borderId="0" applyNumberFormat="0" applyBorder="0" applyAlignment="0" applyProtection="0"/>
    <xf numFmtId="0" fontId="1" fillId="4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" fillId="6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" fillId="8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" fillId="1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5" borderId="0" applyNumberFormat="0" applyBorder="0" applyAlignment="0" applyProtection="0"/>
    <xf numFmtId="0" fontId="1" fillId="1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3" borderId="0" applyNumberFormat="0" applyBorder="0" applyAlignment="0" applyProtection="0"/>
    <xf numFmtId="0" fontId="15" fillId="17" borderId="0" applyNumberFormat="0" applyBorder="0" applyAlignment="0" applyProtection="0"/>
    <xf numFmtId="3" fontId="4" fillId="34" borderId="0"/>
    <xf numFmtId="0" fontId="16" fillId="0" borderId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19" fillId="36" borderId="7" applyNumberFormat="0" applyAlignment="0" applyProtection="0"/>
    <xf numFmtId="16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5" fillId="0" borderId="0">
      <alignment vertical="top"/>
    </xf>
    <xf numFmtId="0" fontId="25" fillId="0" borderId="0">
      <alignment vertical="top"/>
    </xf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26" fillId="0" borderId="0" applyFont="0" applyFill="0" applyBorder="0" applyAlignment="0" applyProtection="0">
      <alignment vertical="center"/>
    </xf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8" fontId="26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8" fontId="26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26" fillId="0" borderId="0" applyFont="0" applyFill="0" applyBorder="0" applyAlignment="0" applyProtection="0">
      <alignment vertical="center"/>
    </xf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79" fontId="21" fillId="0" borderId="0">
      <protection locked="0"/>
    </xf>
    <xf numFmtId="180" fontId="21" fillId="0" borderId="0">
      <protection locked="0"/>
    </xf>
    <xf numFmtId="3" fontId="4" fillId="37" borderId="0"/>
    <xf numFmtId="0" fontId="16" fillId="0" borderId="0"/>
    <xf numFmtId="0" fontId="17" fillId="18" borderId="0" applyNumberFormat="0" applyBorder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3" fillId="0" borderId="11" applyNumberFormat="0" applyFill="0" applyAlignment="0" applyProtection="0"/>
    <xf numFmtId="0" fontId="23" fillId="0" borderId="0" applyNumberFormat="0" applyFill="0" applyBorder="0" applyAlignment="0" applyProtection="0"/>
    <xf numFmtId="3" fontId="4" fillId="38" borderId="0"/>
    <xf numFmtId="3" fontId="4" fillId="15" borderId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4" fillId="21" borderId="6" applyNumberFormat="0" applyAlignment="0" applyProtection="0"/>
    <xf numFmtId="0" fontId="20" fillId="0" borderId="8" applyNumberFormat="0" applyFill="0" applyAlignment="0" applyProtection="0"/>
    <xf numFmtId="0" fontId="1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3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3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3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26" fillId="0" borderId="0" applyFont="0" applyFill="0" applyBorder="0" applyAlignment="0" applyProtection="0"/>
    <xf numFmtId="168" fontId="13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6" fillId="0" borderId="0" applyFont="0" applyFill="0" applyBorder="0" applyAlignment="0" applyProtection="0"/>
    <xf numFmtId="186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68" fontId="13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13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5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26" fillId="0" borderId="0" applyFont="0" applyFill="0" applyBorder="0" applyAlignment="0" applyProtection="0"/>
    <xf numFmtId="18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85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82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21" fillId="0" borderId="0">
      <protection locked="0"/>
    </xf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16" fillId="0" borderId="0"/>
    <xf numFmtId="0" fontId="3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3" fillId="0" borderId="0"/>
    <xf numFmtId="0" fontId="6" fillId="0" borderId="0"/>
    <xf numFmtId="0" fontId="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1" fillId="0" borderId="0"/>
    <xf numFmtId="0" fontId="26" fillId="0" borderId="0">
      <alignment vertical="center"/>
    </xf>
    <xf numFmtId="0" fontId="4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>
      <alignment vertical="top"/>
    </xf>
    <xf numFmtId="0" fontId="1" fillId="0" borderId="0"/>
    <xf numFmtId="0" fontId="3" fillId="0" borderId="0"/>
    <xf numFmtId="0" fontId="6" fillId="0" borderId="0"/>
    <xf numFmtId="0" fontId="4" fillId="0" borderId="0"/>
    <xf numFmtId="0" fontId="3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1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1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/>
    <xf numFmtId="0" fontId="1" fillId="0" borderId="0"/>
    <xf numFmtId="0" fontId="4" fillId="0" borderId="0"/>
    <xf numFmtId="0" fontId="35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32" fillId="0" borderId="0"/>
    <xf numFmtId="0" fontId="4" fillId="0" borderId="0"/>
    <xf numFmtId="0" fontId="3" fillId="0" borderId="0"/>
    <xf numFmtId="0" fontId="6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6" fillId="0" borderId="0"/>
    <xf numFmtId="0" fontId="3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25" fillId="0" borderId="0"/>
    <xf numFmtId="0" fontId="6" fillId="0" borderId="0"/>
    <xf numFmtId="0" fontId="1" fillId="0" borderId="0"/>
    <xf numFmtId="0" fontId="4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2" fillId="0" borderId="0"/>
    <xf numFmtId="0" fontId="3" fillId="0" borderId="0"/>
    <xf numFmtId="0" fontId="32" fillId="0" borderId="0"/>
    <xf numFmtId="0" fontId="1" fillId="0" borderId="0"/>
    <xf numFmtId="0" fontId="32" fillId="0" borderId="0"/>
    <xf numFmtId="0" fontId="4" fillId="0" borderId="0"/>
    <xf numFmtId="0" fontId="1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3" fillId="0" borderId="0"/>
    <xf numFmtId="0" fontId="25" fillId="0" borderId="0"/>
    <xf numFmtId="0" fontId="2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32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2" fillId="0" borderId="0"/>
    <xf numFmtId="0" fontId="1" fillId="0" borderId="0"/>
    <xf numFmtId="0" fontId="3" fillId="0" borderId="0"/>
    <xf numFmtId="0" fontId="4" fillId="0" borderId="0"/>
    <xf numFmtId="0" fontId="25" fillId="0" borderId="0"/>
    <xf numFmtId="0" fontId="1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3" fillId="0" borderId="0"/>
    <xf numFmtId="0" fontId="1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3" fillId="0" borderId="0"/>
    <xf numFmtId="0" fontId="3" fillId="0" borderId="0"/>
    <xf numFmtId="0" fontId="4" fillId="0" borderId="0"/>
    <xf numFmtId="0" fontId="6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1" fillId="2" borderId="2" applyNumberFormat="0" applyFont="0" applyAlignment="0" applyProtection="0"/>
    <xf numFmtId="0" fontId="6" fillId="40" borderId="12" applyNumberFormat="0" applyFont="0" applyAlignment="0" applyProtection="0"/>
    <xf numFmtId="0" fontId="3" fillId="40" borderId="12" applyNumberFormat="0" applyFont="0" applyAlignment="0" applyProtection="0"/>
    <xf numFmtId="0" fontId="1" fillId="2" borderId="2" applyNumberFormat="0" applyFont="0" applyAlignment="0" applyProtection="0"/>
    <xf numFmtId="0" fontId="3" fillId="40" borderId="12" applyNumberFormat="0" applyFont="0" applyAlignment="0" applyProtection="0"/>
    <xf numFmtId="0" fontId="6" fillId="40" borderId="12" applyNumberFormat="0" applyFont="0" applyAlignment="0" applyProtection="0"/>
    <xf numFmtId="0" fontId="3" fillId="40" borderId="12" applyNumberFormat="0" applyFont="0" applyAlignment="0" applyProtection="0"/>
    <xf numFmtId="0" fontId="13" fillId="40" borderId="12" applyNumberFormat="0" applyFont="0" applyAlignment="0" applyProtection="0"/>
    <xf numFmtId="0" fontId="36" fillId="35" borderId="13" applyNumberFormat="0" applyAlignment="0" applyProtection="0"/>
    <xf numFmtId="0" fontId="37" fillId="0" borderId="0" applyNumberForma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4" fontId="38" fillId="0" borderId="14" applyNumberFormat="0" applyProtection="0">
      <alignment horizontal="left" vertical="center" wrapText="1" indent="1"/>
    </xf>
    <xf numFmtId="4" fontId="39" fillId="0" borderId="0" applyNumberFormat="0" applyProtection="0">
      <alignment horizontal="left" vertical="center" indent="1"/>
    </xf>
    <xf numFmtId="0" fontId="1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1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" fillId="0" borderId="1" applyNumberFormat="0" applyFill="0" applyAlignment="0" applyProtection="0"/>
    <xf numFmtId="0" fontId="28" fillId="0" borderId="9" applyNumberFormat="0" applyFill="0" applyAlignment="0" applyProtection="0"/>
    <xf numFmtId="0" fontId="2" fillId="0" borderId="1" applyNumberFormat="0" applyFill="0" applyAlignment="0" applyProtection="0"/>
    <xf numFmtId="0" fontId="28" fillId="0" borderId="9" applyNumberFormat="0" applyFill="0" applyAlignment="0" applyProtection="0"/>
    <xf numFmtId="0" fontId="2" fillId="0" borderId="1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4" fillId="0" borderId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5" fillId="0" borderId="0"/>
    <xf numFmtId="176" fontId="4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1"/>
    <xf numFmtId="0" fontId="5" fillId="0" borderId="0" xfId="2" applyFont="1"/>
    <xf numFmtId="0" fontId="3" fillId="0" borderId="0" xfId="2" applyFont="1"/>
    <xf numFmtId="0" fontId="5" fillId="0" borderId="0" xfId="3" applyFont="1" applyAlignment="1">
      <alignment horizontal="left"/>
    </xf>
    <xf numFmtId="0" fontId="7" fillId="0" borderId="3" xfId="1" applyFont="1" applyBorder="1"/>
    <xf numFmtId="0" fontId="8" fillId="0" borderId="3" xfId="1" applyFont="1" applyBorder="1"/>
    <xf numFmtId="0" fontId="8" fillId="0" borderId="0" xfId="1" applyFont="1"/>
    <xf numFmtId="0" fontId="7" fillId="0" borderId="0" xfId="1" applyFont="1" applyAlignment="1">
      <alignment horizontal="center"/>
    </xf>
    <xf numFmtId="0" fontId="7" fillId="0" borderId="4" xfId="1" applyFont="1" applyBorder="1"/>
    <xf numFmtId="0" fontId="0" fillId="0" borderId="4" xfId="0" applyBorder="1"/>
    <xf numFmtId="0" fontId="10" fillId="0" borderId="0" xfId="0" applyFont="1" applyAlignment="1">
      <alignment horizontal="center" vertical="center" wrapText="1"/>
    </xf>
    <xf numFmtId="0" fontId="7" fillId="0" borderId="5" xfId="1" applyFont="1" applyBorder="1"/>
    <xf numFmtId="0" fontId="7" fillId="0" borderId="5" xfId="1" applyFont="1" applyBorder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3" fillId="0" borderId="0" xfId="1" applyAlignment="1">
      <alignment horizontal="left"/>
    </xf>
    <xf numFmtId="3" fontId="3" fillId="0" borderId="0" xfId="1" applyNumberFormat="1" applyAlignment="1">
      <alignment horizontal="right"/>
    </xf>
    <xf numFmtId="3" fontId="5" fillId="0" borderId="0" xfId="1" applyNumberFormat="1" applyFont="1"/>
    <xf numFmtId="3" fontId="3" fillId="0" borderId="0" xfId="1" applyNumberFormat="1"/>
    <xf numFmtId="0" fontId="5" fillId="0" borderId="4" xfId="1" applyFont="1" applyBorder="1"/>
    <xf numFmtId="3" fontId="5" fillId="0" borderId="4" xfId="1" applyNumberFormat="1" applyFont="1" applyBorder="1"/>
    <xf numFmtId="0" fontId="11" fillId="0" borderId="4" xfId="0" applyFont="1" applyBorder="1" applyAlignment="1">
      <alignment horizontal="left" vertical="center" wrapText="1"/>
    </xf>
    <xf numFmtId="0" fontId="3" fillId="0" borderId="0" xfId="5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4" xfId="5" applyFont="1" applyBorder="1" applyAlignment="1">
      <alignment horizontal="left" vertical="center" wrapText="1"/>
    </xf>
    <xf numFmtId="0" fontId="5" fillId="0" borderId="4" xfId="4" applyFont="1" applyBorder="1" applyAlignment="1">
      <alignment horizontal="left" vertical="center" wrapText="1"/>
    </xf>
    <xf numFmtId="38" fontId="3" fillId="0" borderId="0" xfId="1" applyNumberFormat="1"/>
    <xf numFmtId="0" fontId="8" fillId="0" borderId="0" xfId="1" applyFont="1" applyAlignment="1">
      <alignment horizontal="center"/>
    </xf>
    <xf numFmtId="3" fontId="0" fillId="0" borderId="0" xfId="0" applyNumberFormat="1"/>
    <xf numFmtId="169" fontId="0" fillId="0" borderId="0" xfId="0" applyNumberFormat="1"/>
    <xf numFmtId="0" fontId="9" fillId="0" borderId="0" xfId="0" applyFont="1" applyAlignment="1">
      <alignment horizontal="center" vertical="center" wrapText="1"/>
    </xf>
    <xf numFmtId="0" fontId="12" fillId="0" borderId="0" xfId="0" applyFont="1"/>
    <xf numFmtId="0" fontId="3" fillId="0" borderId="0" xfId="1" applyAlignment="1">
      <alignment wrapText="1"/>
    </xf>
    <xf numFmtId="0" fontId="12" fillId="0" borderId="0" xfId="0" applyFont="1" applyAlignment="1">
      <alignment wrapText="1"/>
    </xf>
    <xf numFmtId="49" fontId="3" fillId="0" borderId="0" xfId="1" applyNumberFormat="1" applyAlignment="1">
      <alignment horizontal="left"/>
    </xf>
    <xf numFmtId="0" fontId="3" fillId="0" borderId="0" xfId="2070" applyFont="1" applyAlignment="1">
      <alignment horizontal="left"/>
    </xf>
    <xf numFmtId="3" fontId="12" fillId="0" borderId="0" xfId="0" applyNumberFormat="1" applyFont="1"/>
    <xf numFmtId="169" fontId="12" fillId="0" borderId="0" xfId="0" applyNumberFormat="1" applyFont="1"/>
    <xf numFmtId="0" fontId="47" fillId="0" borderId="0" xfId="2070" applyFont="1" applyAlignment="1">
      <alignment horizontal="left"/>
    </xf>
    <xf numFmtId="0" fontId="48" fillId="0" borderId="0" xfId="0" applyFont="1"/>
    <xf numFmtId="0" fontId="12" fillId="0" borderId="0" xfId="0" applyFont="1" applyAlignment="1">
      <alignment horizontal="center" vertical="center" wrapText="1"/>
    </xf>
    <xf numFmtId="0" fontId="3" fillId="0" borderId="0" xfId="1" applyAlignment="1">
      <alignment horizontal="center"/>
    </xf>
    <xf numFmtId="0" fontId="5" fillId="43" borderId="20" xfId="1" applyFont="1" applyFill="1" applyBorder="1"/>
    <xf numFmtId="0" fontId="5" fillId="43" borderId="18" xfId="1" applyFont="1" applyFill="1" applyBorder="1" applyAlignment="1">
      <alignment wrapText="1"/>
    </xf>
    <xf numFmtId="0" fontId="3" fillId="42" borderId="18" xfId="2070" applyFont="1" applyFill="1" applyBorder="1" applyAlignment="1">
      <alignment horizontal="left"/>
    </xf>
    <xf numFmtId="3" fontId="3" fillId="41" borderId="18" xfId="1" applyNumberFormat="1" applyFill="1" applyBorder="1" applyAlignment="1">
      <alignment horizontal="right"/>
    </xf>
    <xf numFmtId="3" fontId="3" fillId="41" borderId="18" xfId="1" applyNumberFormat="1" applyFill="1" applyBorder="1"/>
    <xf numFmtId="3" fontId="3" fillId="41" borderId="17" xfId="1" applyNumberFormat="1" applyFill="1" applyBorder="1"/>
    <xf numFmtId="0" fontId="3" fillId="42" borderId="19" xfId="2070" applyFont="1" applyFill="1" applyBorder="1" applyAlignment="1">
      <alignment horizontal="left"/>
    </xf>
    <xf numFmtId="3" fontId="3" fillId="41" borderId="19" xfId="1" applyNumberFormat="1" applyFill="1" applyBorder="1" applyAlignment="1">
      <alignment horizontal="right"/>
    </xf>
    <xf numFmtId="3" fontId="3" fillId="41" borderId="19" xfId="1" applyNumberFormat="1" applyFill="1" applyBorder="1"/>
    <xf numFmtId="3" fontId="3" fillId="41" borderId="16" xfId="1" applyNumberFormat="1" applyFill="1" applyBorder="1"/>
    <xf numFmtId="0" fontId="46" fillId="0" borderId="0" xfId="0" applyFont="1"/>
    <xf numFmtId="0" fontId="47" fillId="0" borderId="0" xfId="1" applyFont="1"/>
    <xf numFmtId="0" fontId="0" fillId="0" borderId="21" xfId="0" applyBorder="1"/>
    <xf numFmtId="0" fontId="0" fillId="0" borderId="22" xfId="0" applyBorder="1"/>
    <xf numFmtId="0" fontId="49" fillId="43" borderId="20" xfId="0" applyFont="1" applyFill="1" applyBorder="1"/>
    <xf numFmtId="0" fontId="49" fillId="43" borderId="23" xfId="0" applyFont="1" applyFill="1" applyBorder="1"/>
    <xf numFmtId="0" fontId="49" fillId="43" borderId="24" xfId="0" applyFont="1" applyFill="1" applyBorder="1"/>
    <xf numFmtId="0" fontId="0" fillId="44" borderId="20" xfId="0" applyFill="1" applyBorder="1"/>
    <xf numFmtId="0" fontId="0" fillId="44" borderId="23" xfId="0" applyFill="1" applyBorder="1"/>
    <xf numFmtId="0" fontId="0" fillId="44" borderId="24" xfId="0" applyFill="1" applyBorder="1"/>
    <xf numFmtId="0" fontId="0" fillId="0" borderId="20" xfId="0" applyBorder="1"/>
    <xf numFmtId="0" fontId="0" fillId="0" borderId="23" xfId="0" applyBorder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4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072">
    <cellStyle name="20% - Accent1" xfId="7" xr:uid="{00000000-0005-0000-0000-000000000000}"/>
    <cellStyle name="20% - Accent2" xfId="8" xr:uid="{00000000-0005-0000-0000-000001000000}"/>
    <cellStyle name="20% - Accent3" xfId="9" xr:uid="{00000000-0005-0000-0000-000002000000}"/>
    <cellStyle name="20% - Accent4" xfId="10" xr:uid="{00000000-0005-0000-0000-000003000000}"/>
    <cellStyle name="20% - Accent5" xfId="11" xr:uid="{00000000-0005-0000-0000-000004000000}"/>
    <cellStyle name="20% - Accent6" xfId="12" xr:uid="{00000000-0005-0000-0000-000005000000}"/>
    <cellStyle name="20% - Énfasis1 2" xfId="13" xr:uid="{00000000-0005-0000-0000-000006000000}"/>
    <cellStyle name="20% - Énfasis1 2 2" xfId="14" xr:uid="{00000000-0005-0000-0000-000007000000}"/>
    <cellStyle name="20% - Énfasis1 2 2 2" xfId="15" xr:uid="{00000000-0005-0000-0000-000008000000}"/>
    <cellStyle name="20% - Énfasis1 2 3" xfId="16" xr:uid="{00000000-0005-0000-0000-000009000000}"/>
    <cellStyle name="20% - Énfasis1 2 3 2" xfId="17" xr:uid="{00000000-0005-0000-0000-00000A000000}"/>
    <cellStyle name="20% - Énfasis1 2 4" xfId="18" xr:uid="{00000000-0005-0000-0000-00000B000000}"/>
    <cellStyle name="20% - Énfasis1 2 4 2" xfId="19" xr:uid="{00000000-0005-0000-0000-00000C000000}"/>
    <cellStyle name="20% - Énfasis1 2 5" xfId="20" xr:uid="{00000000-0005-0000-0000-00000D000000}"/>
    <cellStyle name="20% - Énfasis1 2 5 2" xfId="21" xr:uid="{00000000-0005-0000-0000-00000E000000}"/>
    <cellStyle name="20% - Énfasis1 2 6" xfId="22" xr:uid="{00000000-0005-0000-0000-00000F000000}"/>
    <cellStyle name="20% - Énfasis1 3" xfId="23" xr:uid="{00000000-0005-0000-0000-000010000000}"/>
    <cellStyle name="20% - Énfasis1 3 2" xfId="24" xr:uid="{00000000-0005-0000-0000-000011000000}"/>
    <cellStyle name="20% - Énfasis1 4" xfId="25" xr:uid="{00000000-0005-0000-0000-000012000000}"/>
    <cellStyle name="20% - Énfasis1 4 2" xfId="26" xr:uid="{00000000-0005-0000-0000-000013000000}"/>
    <cellStyle name="20% - Énfasis1 5" xfId="27" xr:uid="{00000000-0005-0000-0000-000014000000}"/>
    <cellStyle name="20% - Énfasis1 5 2" xfId="28" xr:uid="{00000000-0005-0000-0000-000015000000}"/>
    <cellStyle name="20% - Énfasis2 2" xfId="29" xr:uid="{00000000-0005-0000-0000-000016000000}"/>
    <cellStyle name="20% - Énfasis2 2 2" xfId="30" xr:uid="{00000000-0005-0000-0000-000017000000}"/>
    <cellStyle name="20% - Énfasis2 2 2 2" xfId="31" xr:uid="{00000000-0005-0000-0000-000018000000}"/>
    <cellStyle name="20% - Énfasis2 2 3" xfId="32" xr:uid="{00000000-0005-0000-0000-000019000000}"/>
    <cellStyle name="20% - Énfasis2 2 3 2" xfId="33" xr:uid="{00000000-0005-0000-0000-00001A000000}"/>
    <cellStyle name="20% - Énfasis2 2 4" xfId="34" xr:uid="{00000000-0005-0000-0000-00001B000000}"/>
    <cellStyle name="20% - Énfasis2 2 4 2" xfId="35" xr:uid="{00000000-0005-0000-0000-00001C000000}"/>
    <cellStyle name="20% - Énfasis2 2 5" xfId="36" xr:uid="{00000000-0005-0000-0000-00001D000000}"/>
    <cellStyle name="20% - Énfasis2 2 5 2" xfId="37" xr:uid="{00000000-0005-0000-0000-00001E000000}"/>
    <cellStyle name="20% - Énfasis2 2 6" xfId="38" xr:uid="{00000000-0005-0000-0000-00001F000000}"/>
    <cellStyle name="20% - Énfasis2 3" xfId="39" xr:uid="{00000000-0005-0000-0000-000020000000}"/>
    <cellStyle name="20% - Énfasis2 3 2" xfId="40" xr:uid="{00000000-0005-0000-0000-000021000000}"/>
    <cellStyle name="20% - Énfasis2 4" xfId="41" xr:uid="{00000000-0005-0000-0000-000022000000}"/>
    <cellStyle name="20% - Énfasis2 4 2" xfId="42" xr:uid="{00000000-0005-0000-0000-000023000000}"/>
    <cellStyle name="20% - Énfasis2 5" xfId="43" xr:uid="{00000000-0005-0000-0000-000024000000}"/>
    <cellStyle name="20% - Énfasis2 5 2" xfId="44" xr:uid="{00000000-0005-0000-0000-000025000000}"/>
    <cellStyle name="20% - Énfasis3 2" xfId="45" xr:uid="{00000000-0005-0000-0000-000026000000}"/>
    <cellStyle name="20% - Énfasis3 2 2" xfId="46" xr:uid="{00000000-0005-0000-0000-000027000000}"/>
    <cellStyle name="20% - Énfasis3 2 2 2" xfId="47" xr:uid="{00000000-0005-0000-0000-000028000000}"/>
    <cellStyle name="20% - Énfasis3 2 3" xfId="48" xr:uid="{00000000-0005-0000-0000-000029000000}"/>
    <cellStyle name="20% - Énfasis3 2 3 2" xfId="49" xr:uid="{00000000-0005-0000-0000-00002A000000}"/>
    <cellStyle name="20% - Énfasis3 2 4" xfId="50" xr:uid="{00000000-0005-0000-0000-00002B000000}"/>
    <cellStyle name="20% - Énfasis3 2 4 2" xfId="51" xr:uid="{00000000-0005-0000-0000-00002C000000}"/>
    <cellStyle name="20% - Énfasis3 2 5" xfId="52" xr:uid="{00000000-0005-0000-0000-00002D000000}"/>
    <cellStyle name="20% - Énfasis3 2 5 2" xfId="53" xr:uid="{00000000-0005-0000-0000-00002E000000}"/>
    <cellStyle name="20% - Énfasis3 2 6" xfId="54" xr:uid="{00000000-0005-0000-0000-00002F000000}"/>
    <cellStyle name="20% - Énfasis3 3" xfId="55" xr:uid="{00000000-0005-0000-0000-000030000000}"/>
    <cellStyle name="20% - Énfasis3 3 2" xfId="56" xr:uid="{00000000-0005-0000-0000-000031000000}"/>
    <cellStyle name="20% - Énfasis3 4" xfId="57" xr:uid="{00000000-0005-0000-0000-000032000000}"/>
    <cellStyle name="20% - Énfasis3 4 2" xfId="58" xr:uid="{00000000-0005-0000-0000-000033000000}"/>
    <cellStyle name="20% - Énfasis3 5" xfId="59" xr:uid="{00000000-0005-0000-0000-000034000000}"/>
    <cellStyle name="20% - Énfasis3 5 2" xfId="60" xr:uid="{00000000-0005-0000-0000-000035000000}"/>
    <cellStyle name="20% - Énfasis4 2" xfId="61" xr:uid="{00000000-0005-0000-0000-000036000000}"/>
    <cellStyle name="20% - Énfasis4 2 2" xfId="62" xr:uid="{00000000-0005-0000-0000-000037000000}"/>
    <cellStyle name="20% - Énfasis4 2 2 2" xfId="63" xr:uid="{00000000-0005-0000-0000-000038000000}"/>
    <cellStyle name="20% - Énfasis4 2 3" xfId="64" xr:uid="{00000000-0005-0000-0000-000039000000}"/>
    <cellStyle name="20% - Énfasis4 2 3 2" xfId="65" xr:uid="{00000000-0005-0000-0000-00003A000000}"/>
    <cellStyle name="20% - Énfasis4 2 4" xfId="66" xr:uid="{00000000-0005-0000-0000-00003B000000}"/>
    <cellStyle name="20% - Énfasis4 2 4 2" xfId="67" xr:uid="{00000000-0005-0000-0000-00003C000000}"/>
    <cellStyle name="20% - Énfasis4 2 5" xfId="68" xr:uid="{00000000-0005-0000-0000-00003D000000}"/>
    <cellStyle name="20% - Énfasis4 2 5 2" xfId="69" xr:uid="{00000000-0005-0000-0000-00003E000000}"/>
    <cellStyle name="20% - Énfasis4 2 6" xfId="70" xr:uid="{00000000-0005-0000-0000-00003F000000}"/>
    <cellStyle name="20% - Énfasis4 3" xfId="71" xr:uid="{00000000-0005-0000-0000-000040000000}"/>
    <cellStyle name="20% - Énfasis4 3 2" xfId="72" xr:uid="{00000000-0005-0000-0000-000041000000}"/>
    <cellStyle name="20% - Énfasis4 4" xfId="73" xr:uid="{00000000-0005-0000-0000-000042000000}"/>
    <cellStyle name="20% - Énfasis4 4 2" xfId="74" xr:uid="{00000000-0005-0000-0000-000043000000}"/>
    <cellStyle name="20% - Énfasis4 5" xfId="75" xr:uid="{00000000-0005-0000-0000-000044000000}"/>
    <cellStyle name="20% - Énfasis4 5 2" xfId="76" xr:uid="{00000000-0005-0000-0000-000045000000}"/>
    <cellStyle name="20% - Énfasis5 2" xfId="77" xr:uid="{00000000-0005-0000-0000-000046000000}"/>
    <cellStyle name="20% - Énfasis5 2 2" xfId="78" xr:uid="{00000000-0005-0000-0000-000047000000}"/>
    <cellStyle name="20% - Énfasis5 2 2 2" xfId="79" xr:uid="{00000000-0005-0000-0000-000048000000}"/>
    <cellStyle name="20% - Énfasis5 2 3" xfId="80" xr:uid="{00000000-0005-0000-0000-000049000000}"/>
    <cellStyle name="20% - Énfasis5 2 3 2" xfId="81" xr:uid="{00000000-0005-0000-0000-00004A000000}"/>
    <cellStyle name="20% - Énfasis5 2 4" xfId="82" xr:uid="{00000000-0005-0000-0000-00004B000000}"/>
    <cellStyle name="20% - Énfasis5 2 4 2" xfId="83" xr:uid="{00000000-0005-0000-0000-00004C000000}"/>
    <cellStyle name="20% - Énfasis5 2 5" xfId="84" xr:uid="{00000000-0005-0000-0000-00004D000000}"/>
    <cellStyle name="20% - Énfasis5 2 5 2" xfId="85" xr:uid="{00000000-0005-0000-0000-00004E000000}"/>
    <cellStyle name="20% - Énfasis5 2 6" xfId="86" xr:uid="{00000000-0005-0000-0000-00004F000000}"/>
    <cellStyle name="20% - Énfasis5 3" xfId="87" xr:uid="{00000000-0005-0000-0000-000050000000}"/>
    <cellStyle name="20% - Énfasis5 3 2" xfId="88" xr:uid="{00000000-0005-0000-0000-000051000000}"/>
    <cellStyle name="20% - Énfasis5 4" xfId="89" xr:uid="{00000000-0005-0000-0000-000052000000}"/>
    <cellStyle name="20% - Énfasis5 4 2" xfId="90" xr:uid="{00000000-0005-0000-0000-000053000000}"/>
    <cellStyle name="20% - Énfasis5 5" xfId="91" xr:uid="{00000000-0005-0000-0000-000054000000}"/>
    <cellStyle name="20% - Énfasis5 5 2" xfId="92" xr:uid="{00000000-0005-0000-0000-000055000000}"/>
    <cellStyle name="20% - Énfasis6 2" xfId="93" xr:uid="{00000000-0005-0000-0000-000056000000}"/>
    <cellStyle name="20% - Énfasis6 2 2" xfId="94" xr:uid="{00000000-0005-0000-0000-000057000000}"/>
    <cellStyle name="20% - Énfasis6 2 2 2" xfId="95" xr:uid="{00000000-0005-0000-0000-000058000000}"/>
    <cellStyle name="20% - Énfasis6 2 3" xfId="96" xr:uid="{00000000-0005-0000-0000-000059000000}"/>
    <cellStyle name="20% - Énfasis6 2 3 2" xfId="97" xr:uid="{00000000-0005-0000-0000-00005A000000}"/>
    <cellStyle name="20% - Énfasis6 2 4" xfId="98" xr:uid="{00000000-0005-0000-0000-00005B000000}"/>
    <cellStyle name="20% - Énfasis6 2 4 2" xfId="99" xr:uid="{00000000-0005-0000-0000-00005C000000}"/>
    <cellStyle name="20% - Énfasis6 2 5" xfId="100" xr:uid="{00000000-0005-0000-0000-00005D000000}"/>
    <cellStyle name="20% - Énfasis6 2 5 2" xfId="101" xr:uid="{00000000-0005-0000-0000-00005E000000}"/>
    <cellStyle name="20% - Énfasis6 2 6" xfId="102" xr:uid="{00000000-0005-0000-0000-00005F000000}"/>
    <cellStyle name="20% - Énfasis6 3" xfId="103" xr:uid="{00000000-0005-0000-0000-000060000000}"/>
    <cellStyle name="20% - Énfasis6 3 2" xfId="104" xr:uid="{00000000-0005-0000-0000-000061000000}"/>
    <cellStyle name="20% - Énfasis6 4" xfId="105" xr:uid="{00000000-0005-0000-0000-000062000000}"/>
    <cellStyle name="20% - Énfasis6 4 2" xfId="106" xr:uid="{00000000-0005-0000-0000-000063000000}"/>
    <cellStyle name="20% - Énfasis6 5" xfId="107" xr:uid="{00000000-0005-0000-0000-000064000000}"/>
    <cellStyle name="20% - Énfasis6 5 2" xfId="108" xr:uid="{00000000-0005-0000-0000-000065000000}"/>
    <cellStyle name="40% - Accent1" xfId="109" xr:uid="{00000000-0005-0000-0000-000066000000}"/>
    <cellStyle name="40% - Accent2" xfId="110" xr:uid="{00000000-0005-0000-0000-000067000000}"/>
    <cellStyle name="40% - Accent3" xfId="111" xr:uid="{00000000-0005-0000-0000-000068000000}"/>
    <cellStyle name="40% - Accent4" xfId="112" xr:uid="{00000000-0005-0000-0000-000069000000}"/>
    <cellStyle name="40% - Accent5" xfId="113" xr:uid="{00000000-0005-0000-0000-00006A000000}"/>
    <cellStyle name="40% - Accent6" xfId="114" xr:uid="{00000000-0005-0000-0000-00006B000000}"/>
    <cellStyle name="40% - Énfasis1 2" xfId="115" xr:uid="{00000000-0005-0000-0000-00006C000000}"/>
    <cellStyle name="40% - Énfasis1 2 2" xfId="116" xr:uid="{00000000-0005-0000-0000-00006D000000}"/>
    <cellStyle name="40% - Énfasis1 2 2 2" xfId="117" xr:uid="{00000000-0005-0000-0000-00006E000000}"/>
    <cellStyle name="40% - Énfasis1 2 3" xfId="118" xr:uid="{00000000-0005-0000-0000-00006F000000}"/>
    <cellStyle name="40% - Énfasis1 2 3 2" xfId="119" xr:uid="{00000000-0005-0000-0000-000070000000}"/>
    <cellStyle name="40% - Énfasis1 2 4" xfId="120" xr:uid="{00000000-0005-0000-0000-000071000000}"/>
    <cellStyle name="40% - Énfasis1 2 4 2" xfId="121" xr:uid="{00000000-0005-0000-0000-000072000000}"/>
    <cellStyle name="40% - Énfasis1 2 5" xfId="122" xr:uid="{00000000-0005-0000-0000-000073000000}"/>
    <cellStyle name="40% - Énfasis1 2 5 2" xfId="123" xr:uid="{00000000-0005-0000-0000-000074000000}"/>
    <cellStyle name="40% - Énfasis1 2 6" xfId="124" xr:uid="{00000000-0005-0000-0000-000075000000}"/>
    <cellStyle name="40% - Énfasis1 3" xfId="125" xr:uid="{00000000-0005-0000-0000-000076000000}"/>
    <cellStyle name="40% - Énfasis1 3 2" xfId="126" xr:uid="{00000000-0005-0000-0000-000077000000}"/>
    <cellStyle name="40% - Énfasis1 4" xfId="127" xr:uid="{00000000-0005-0000-0000-000078000000}"/>
    <cellStyle name="40% - Énfasis1 4 2" xfId="128" xr:uid="{00000000-0005-0000-0000-000079000000}"/>
    <cellStyle name="40% - Énfasis1 5" xfId="129" xr:uid="{00000000-0005-0000-0000-00007A000000}"/>
    <cellStyle name="40% - Énfasis1 5 2" xfId="130" xr:uid="{00000000-0005-0000-0000-00007B000000}"/>
    <cellStyle name="40% - Énfasis2 2" xfId="131" xr:uid="{00000000-0005-0000-0000-00007C000000}"/>
    <cellStyle name="40% - Énfasis2 2 2" xfId="132" xr:uid="{00000000-0005-0000-0000-00007D000000}"/>
    <cellStyle name="40% - Énfasis2 2 2 2" xfId="133" xr:uid="{00000000-0005-0000-0000-00007E000000}"/>
    <cellStyle name="40% - Énfasis2 2 3" xfId="134" xr:uid="{00000000-0005-0000-0000-00007F000000}"/>
    <cellStyle name="40% - Énfasis2 2 3 2" xfId="135" xr:uid="{00000000-0005-0000-0000-000080000000}"/>
    <cellStyle name="40% - Énfasis2 2 4" xfId="136" xr:uid="{00000000-0005-0000-0000-000081000000}"/>
    <cellStyle name="40% - Énfasis2 2 4 2" xfId="137" xr:uid="{00000000-0005-0000-0000-000082000000}"/>
    <cellStyle name="40% - Énfasis2 2 5" xfId="138" xr:uid="{00000000-0005-0000-0000-000083000000}"/>
    <cellStyle name="40% - Énfasis2 2 5 2" xfId="139" xr:uid="{00000000-0005-0000-0000-000084000000}"/>
    <cellStyle name="40% - Énfasis2 2 6" xfId="140" xr:uid="{00000000-0005-0000-0000-000085000000}"/>
    <cellStyle name="40% - Énfasis2 3" xfId="141" xr:uid="{00000000-0005-0000-0000-000086000000}"/>
    <cellStyle name="40% - Énfasis2 3 2" xfId="142" xr:uid="{00000000-0005-0000-0000-000087000000}"/>
    <cellStyle name="40% - Énfasis2 4" xfId="143" xr:uid="{00000000-0005-0000-0000-000088000000}"/>
    <cellStyle name="40% - Énfasis2 4 2" xfId="144" xr:uid="{00000000-0005-0000-0000-000089000000}"/>
    <cellStyle name="40% - Énfasis2 5" xfId="145" xr:uid="{00000000-0005-0000-0000-00008A000000}"/>
    <cellStyle name="40% - Énfasis2 5 2" xfId="146" xr:uid="{00000000-0005-0000-0000-00008B000000}"/>
    <cellStyle name="40% - Énfasis3 2" xfId="147" xr:uid="{00000000-0005-0000-0000-00008C000000}"/>
    <cellStyle name="40% - Énfasis3 2 2" xfId="148" xr:uid="{00000000-0005-0000-0000-00008D000000}"/>
    <cellStyle name="40% - Énfasis3 2 2 2" xfId="149" xr:uid="{00000000-0005-0000-0000-00008E000000}"/>
    <cellStyle name="40% - Énfasis3 2 3" xfId="150" xr:uid="{00000000-0005-0000-0000-00008F000000}"/>
    <cellStyle name="40% - Énfasis3 2 3 2" xfId="151" xr:uid="{00000000-0005-0000-0000-000090000000}"/>
    <cellStyle name="40% - Énfasis3 2 4" xfId="152" xr:uid="{00000000-0005-0000-0000-000091000000}"/>
    <cellStyle name="40% - Énfasis3 2 4 2" xfId="153" xr:uid="{00000000-0005-0000-0000-000092000000}"/>
    <cellStyle name="40% - Énfasis3 2 5" xfId="154" xr:uid="{00000000-0005-0000-0000-000093000000}"/>
    <cellStyle name="40% - Énfasis3 2 5 2" xfId="155" xr:uid="{00000000-0005-0000-0000-000094000000}"/>
    <cellStyle name="40% - Énfasis3 2 6" xfId="156" xr:uid="{00000000-0005-0000-0000-000095000000}"/>
    <cellStyle name="40% - Énfasis3 3" xfId="157" xr:uid="{00000000-0005-0000-0000-000096000000}"/>
    <cellStyle name="40% - Énfasis3 3 2" xfId="158" xr:uid="{00000000-0005-0000-0000-000097000000}"/>
    <cellStyle name="40% - Énfasis3 4" xfId="159" xr:uid="{00000000-0005-0000-0000-000098000000}"/>
    <cellStyle name="40% - Énfasis3 4 2" xfId="160" xr:uid="{00000000-0005-0000-0000-000099000000}"/>
    <cellStyle name="40% - Énfasis3 5" xfId="161" xr:uid="{00000000-0005-0000-0000-00009A000000}"/>
    <cellStyle name="40% - Énfasis3 5 2" xfId="162" xr:uid="{00000000-0005-0000-0000-00009B000000}"/>
    <cellStyle name="40% - Énfasis4 2" xfId="163" xr:uid="{00000000-0005-0000-0000-00009C000000}"/>
    <cellStyle name="40% - Énfasis4 2 2" xfId="164" xr:uid="{00000000-0005-0000-0000-00009D000000}"/>
    <cellStyle name="40% - Énfasis4 2 2 2" xfId="165" xr:uid="{00000000-0005-0000-0000-00009E000000}"/>
    <cellStyle name="40% - Énfasis4 2 3" xfId="166" xr:uid="{00000000-0005-0000-0000-00009F000000}"/>
    <cellStyle name="40% - Énfasis4 2 3 2" xfId="167" xr:uid="{00000000-0005-0000-0000-0000A0000000}"/>
    <cellStyle name="40% - Énfasis4 2 4" xfId="168" xr:uid="{00000000-0005-0000-0000-0000A1000000}"/>
    <cellStyle name="40% - Énfasis4 2 4 2" xfId="169" xr:uid="{00000000-0005-0000-0000-0000A2000000}"/>
    <cellStyle name="40% - Énfasis4 2 5" xfId="170" xr:uid="{00000000-0005-0000-0000-0000A3000000}"/>
    <cellStyle name="40% - Énfasis4 2 5 2" xfId="171" xr:uid="{00000000-0005-0000-0000-0000A4000000}"/>
    <cellStyle name="40% - Énfasis4 2 6" xfId="172" xr:uid="{00000000-0005-0000-0000-0000A5000000}"/>
    <cellStyle name="40% - Énfasis4 3" xfId="173" xr:uid="{00000000-0005-0000-0000-0000A6000000}"/>
    <cellStyle name="40% - Énfasis4 3 2" xfId="174" xr:uid="{00000000-0005-0000-0000-0000A7000000}"/>
    <cellStyle name="40% - Énfasis4 4" xfId="175" xr:uid="{00000000-0005-0000-0000-0000A8000000}"/>
    <cellStyle name="40% - Énfasis4 4 2" xfId="176" xr:uid="{00000000-0005-0000-0000-0000A9000000}"/>
    <cellStyle name="40% - Énfasis4 5" xfId="177" xr:uid="{00000000-0005-0000-0000-0000AA000000}"/>
    <cellStyle name="40% - Énfasis4 5 2" xfId="178" xr:uid="{00000000-0005-0000-0000-0000AB000000}"/>
    <cellStyle name="40% - Énfasis5 2" xfId="179" xr:uid="{00000000-0005-0000-0000-0000AC000000}"/>
    <cellStyle name="40% - Énfasis5 2 2" xfId="180" xr:uid="{00000000-0005-0000-0000-0000AD000000}"/>
    <cellStyle name="40% - Énfasis5 2 2 2" xfId="181" xr:uid="{00000000-0005-0000-0000-0000AE000000}"/>
    <cellStyle name="40% - Énfasis5 2 3" xfId="182" xr:uid="{00000000-0005-0000-0000-0000AF000000}"/>
    <cellStyle name="40% - Énfasis5 2 3 2" xfId="183" xr:uid="{00000000-0005-0000-0000-0000B0000000}"/>
    <cellStyle name="40% - Énfasis5 2 4" xfId="184" xr:uid="{00000000-0005-0000-0000-0000B1000000}"/>
    <cellStyle name="40% - Énfasis5 2 4 2" xfId="185" xr:uid="{00000000-0005-0000-0000-0000B2000000}"/>
    <cellStyle name="40% - Énfasis5 2 5" xfId="186" xr:uid="{00000000-0005-0000-0000-0000B3000000}"/>
    <cellStyle name="40% - Énfasis5 2 5 2" xfId="187" xr:uid="{00000000-0005-0000-0000-0000B4000000}"/>
    <cellStyle name="40% - Énfasis5 2 6" xfId="188" xr:uid="{00000000-0005-0000-0000-0000B5000000}"/>
    <cellStyle name="40% - Énfasis5 3" xfId="189" xr:uid="{00000000-0005-0000-0000-0000B6000000}"/>
    <cellStyle name="40% - Énfasis5 3 2" xfId="190" xr:uid="{00000000-0005-0000-0000-0000B7000000}"/>
    <cellStyle name="40% - Énfasis5 4" xfId="191" xr:uid="{00000000-0005-0000-0000-0000B8000000}"/>
    <cellStyle name="40% - Énfasis5 4 2" xfId="192" xr:uid="{00000000-0005-0000-0000-0000B9000000}"/>
    <cellStyle name="40% - Énfasis5 5" xfId="193" xr:uid="{00000000-0005-0000-0000-0000BA000000}"/>
    <cellStyle name="40% - Énfasis5 5 2" xfId="194" xr:uid="{00000000-0005-0000-0000-0000BB000000}"/>
    <cellStyle name="40% - Énfasis6 2" xfId="195" xr:uid="{00000000-0005-0000-0000-0000BC000000}"/>
    <cellStyle name="40% - Énfasis6 2 2" xfId="196" xr:uid="{00000000-0005-0000-0000-0000BD000000}"/>
    <cellStyle name="40% - Énfasis6 2 2 2" xfId="197" xr:uid="{00000000-0005-0000-0000-0000BE000000}"/>
    <cellStyle name="40% - Énfasis6 2 3" xfId="198" xr:uid="{00000000-0005-0000-0000-0000BF000000}"/>
    <cellStyle name="40% - Énfasis6 2 3 2" xfId="199" xr:uid="{00000000-0005-0000-0000-0000C0000000}"/>
    <cellStyle name="40% - Énfasis6 2 4" xfId="200" xr:uid="{00000000-0005-0000-0000-0000C1000000}"/>
    <cellStyle name="40% - Énfasis6 2 4 2" xfId="201" xr:uid="{00000000-0005-0000-0000-0000C2000000}"/>
    <cellStyle name="40% - Énfasis6 2 5" xfId="202" xr:uid="{00000000-0005-0000-0000-0000C3000000}"/>
    <cellStyle name="40% - Énfasis6 2 5 2" xfId="203" xr:uid="{00000000-0005-0000-0000-0000C4000000}"/>
    <cellStyle name="40% - Énfasis6 2 6" xfId="204" xr:uid="{00000000-0005-0000-0000-0000C5000000}"/>
    <cellStyle name="40% - Énfasis6 3" xfId="205" xr:uid="{00000000-0005-0000-0000-0000C6000000}"/>
    <cellStyle name="40% - Énfasis6 3 2" xfId="206" xr:uid="{00000000-0005-0000-0000-0000C7000000}"/>
    <cellStyle name="40% - Énfasis6 4" xfId="207" xr:uid="{00000000-0005-0000-0000-0000C8000000}"/>
    <cellStyle name="40% - Énfasis6 4 2" xfId="208" xr:uid="{00000000-0005-0000-0000-0000C9000000}"/>
    <cellStyle name="40% - Énfasis6 5" xfId="209" xr:uid="{00000000-0005-0000-0000-0000CA000000}"/>
    <cellStyle name="40% - Énfasis6 5 2" xfId="210" xr:uid="{00000000-0005-0000-0000-0000CB000000}"/>
    <cellStyle name="60% - Accent1" xfId="211" xr:uid="{00000000-0005-0000-0000-0000CC000000}"/>
    <cellStyle name="60% - Accent2" xfId="212" xr:uid="{00000000-0005-0000-0000-0000CD000000}"/>
    <cellStyle name="60% - Accent3" xfId="213" xr:uid="{00000000-0005-0000-0000-0000CE000000}"/>
    <cellStyle name="60% - Accent4" xfId="214" xr:uid="{00000000-0005-0000-0000-0000CF000000}"/>
    <cellStyle name="60% - Accent5" xfId="215" xr:uid="{00000000-0005-0000-0000-0000D0000000}"/>
    <cellStyle name="60% - Accent6" xfId="216" xr:uid="{00000000-0005-0000-0000-0000D1000000}"/>
    <cellStyle name="60% - Énfasis1 2" xfId="217" xr:uid="{00000000-0005-0000-0000-0000D2000000}"/>
    <cellStyle name="60% - Énfasis1 2 2" xfId="218" xr:uid="{00000000-0005-0000-0000-0000D3000000}"/>
    <cellStyle name="60% - Énfasis1 2 3" xfId="219" xr:uid="{00000000-0005-0000-0000-0000D4000000}"/>
    <cellStyle name="60% - Énfasis1 2 4" xfId="220" xr:uid="{00000000-0005-0000-0000-0000D5000000}"/>
    <cellStyle name="60% - Énfasis1 2 5" xfId="221" xr:uid="{00000000-0005-0000-0000-0000D6000000}"/>
    <cellStyle name="60% - Énfasis1 3" xfId="222" xr:uid="{00000000-0005-0000-0000-0000D7000000}"/>
    <cellStyle name="60% - Énfasis1 4" xfId="223" xr:uid="{00000000-0005-0000-0000-0000D8000000}"/>
    <cellStyle name="60% - Énfasis1 5" xfId="224" xr:uid="{00000000-0005-0000-0000-0000D9000000}"/>
    <cellStyle name="60% - Énfasis2 2" xfId="225" xr:uid="{00000000-0005-0000-0000-0000DA000000}"/>
    <cellStyle name="60% - Énfasis2 2 2" xfId="226" xr:uid="{00000000-0005-0000-0000-0000DB000000}"/>
    <cellStyle name="60% - Énfasis2 2 3" xfId="227" xr:uid="{00000000-0005-0000-0000-0000DC000000}"/>
    <cellStyle name="60% - Énfasis2 2 4" xfId="228" xr:uid="{00000000-0005-0000-0000-0000DD000000}"/>
    <cellStyle name="60% - Énfasis2 2 5" xfId="229" xr:uid="{00000000-0005-0000-0000-0000DE000000}"/>
    <cellStyle name="60% - Énfasis2 3" xfId="230" xr:uid="{00000000-0005-0000-0000-0000DF000000}"/>
    <cellStyle name="60% - Énfasis2 4" xfId="231" xr:uid="{00000000-0005-0000-0000-0000E0000000}"/>
    <cellStyle name="60% - Énfasis2 5" xfId="232" xr:uid="{00000000-0005-0000-0000-0000E1000000}"/>
    <cellStyle name="60% - Énfasis3 2" xfId="233" xr:uid="{00000000-0005-0000-0000-0000E2000000}"/>
    <cellStyle name="60% - Énfasis3 2 2" xfId="234" xr:uid="{00000000-0005-0000-0000-0000E3000000}"/>
    <cellStyle name="60% - Énfasis3 2 3" xfId="235" xr:uid="{00000000-0005-0000-0000-0000E4000000}"/>
    <cellStyle name="60% - Énfasis3 2 4" xfId="236" xr:uid="{00000000-0005-0000-0000-0000E5000000}"/>
    <cellStyle name="60% - Énfasis3 2 5" xfId="237" xr:uid="{00000000-0005-0000-0000-0000E6000000}"/>
    <cellStyle name="60% - Énfasis3 3" xfId="238" xr:uid="{00000000-0005-0000-0000-0000E7000000}"/>
    <cellStyle name="60% - Énfasis3 4" xfId="239" xr:uid="{00000000-0005-0000-0000-0000E8000000}"/>
    <cellStyle name="60% - Énfasis3 5" xfId="240" xr:uid="{00000000-0005-0000-0000-0000E9000000}"/>
    <cellStyle name="60% - Énfasis4 2" xfId="241" xr:uid="{00000000-0005-0000-0000-0000EA000000}"/>
    <cellStyle name="60% - Énfasis4 2 2" xfId="242" xr:uid="{00000000-0005-0000-0000-0000EB000000}"/>
    <cellStyle name="60% - Énfasis4 2 3" xfId="243" xr:uid="{00000000-0005-0000-0000-0000EC000000}"/>
    <cellStyle name="60% - Énfasis4 2 4" xfId="244" xr:uid="{00000000-0005-0000-0000-0000ED000000}"/>
    <cellStyle name="60% - Énfasis4 2 5" xfId="245" xr:uid="{00000000-0005-0000-0000-0000EE000000}"/>
    <cellStyle name="60% - Énfasis4 3" xfId="246" xr:uid="{00000000-0005-0000-0000-0000EF000000}"/>
    <cellStyle name="60% - Énfasis4 4" xfId="247" xr:uid="{00000000-0005-0000-0000-0000F0000000}"/>
    <cellStyle name="60% - Énfasis4 5" xfId="248" xr:uid="{00000000-0005-0000-0000-0000F1000000}"/>
    <cellStyle name="60% - Énfasis5 2" xfId="249" xr:uid="{00000000-0005-0000-0000-0000F2000000}"/>
    <cellStyle name="60% - Énfasis5 2 2" xfId="250" xr:uid="{00000000-0005-0000-0000-0000F3000000}"/>
    <cellStyle name="60% - Énfasis5 2 3" xfId="251" xr:uid="{00000000-0005-0000-0000-0000F4000000}"/>
    <cellStyle name="60% - Énfasis5 2 4" xfId="252" xr:uid="{00000000-0005-0000-0000-0000F5000000}"/>
    <cellStyle name="60% - Énfasis5 2 5" xfId="253" xr:uid="{00000000-0005-0000-0000-0000F6000000}"/>
    <cellStyle name="60% - Énfasis5 3" xfId="254" xr:uid="{00000000-0005-0000-0000-0000F7000000}"/>
    <cellStyle name="60% - Énfasis5 4" xfId="255" xr:uid="{00000000-0005-0000-0000-0000F8000000}"/>
    <cellStyle name="60% - Énfasis5 5" xfId="256" xr:uid="{00000000-0005-0000-0000-0000F9000000}"/>
    <cellStyle name="60% - Énfasis6 2" xfId="257" xr:uid="{00000000-0005-0000-0000-0000FA000000}"/>
    <cellStyle name="60% - Énfasis6 2 2" xfId="258" xr:uid="{00000000-0005-0000-0000-0000FB000000}"/>
    <cellStyle name="60% - Énfasis6 2 3" xfId="259" xr:uid="{00000000-0005-0000-0000-0000FC000000}"/>
    <cellStyle name="60% - Énfasis6 2 4" xfId="260" xr:uid="{00000000-0005-0000-0000-0000FD000000}"/>
    <cellStyle name="60% - Énfasis6 2 5" xfId="261" xr:uid="{00000000-0005-0000-0000-0000FE000000}"/>
    <cellStyle name="60% - Énfasis6 3" xfId="262" xr:uid="{00000000-0005-0000-0000-0000FF000000}"/>
    <cellStyle name="60% - Énfasis6 4" xfId="263" xr:uid="{00000000-0005-0000-0000-000000010000}"/>
    <cellStyle name="60% - Énfasis6 5" xfId="264" xr:uid="{00000000-0005-0000-0000-000001010000}"/>
    <cellStyle name="Accent1" xfId="265" xr:uid="{00000000-0005-0000-0000-000002010000}"/>
    <cellStyle name="Accent2" xfId="266" xr:uid="{00000000-0005-0000-0000-000003010000}"/>
    <cellStyle name="Accent3" xfId="267" xr:uid="{00000000-0005-0000-0000-000004010000}"/>
    <cellStyle name="Accent4" xfId="268" xr:uid="{00000000-0005-0000-0000-000005010000}"/>
    <cellStyle name="Accent5" xfId="269" xr:uid="{00000000-0005-0000-0000-000006010000}"/>
    <cellStyle name="Accent6" xfId="270" xr:uid="{00000000-0005-0000-0000-000007010000}"/>
    <cellStyle name="Bad" xfId="271" xr:uid="{00000000-0005-0000-0000-000008010000}"/>
    <cellStyle name="blau" xfId="272" xr:uid="{00000000-0005-0000-0000-000009010000}"/>
    <cellStyle name="botton" xfId="273" xr:uid="{00000000-0005-0000-0000-00000A010000}"/>
    <cellStyle name="Buena 2" xfId="274" xr:uid="{00000000-0005-0000-0000-00000B010000}"/>
    <cellStyle name="Buena 2 2" xfId="275" xr:uid="{00000000-0005-0000-0000-00000C010000}"/>
    <cellStyle name="Buena 2 3" xfId="276" xr:uid="{00000000-0005-0000-0000-00000D010000}"/>
    <cellStyle name="Buena 2 4" xfId="277" xr:uid="{00000000-0005-0000-0000-00000E010000}"/>
    <cellStyle name="Buena 2 5" xfId="278" xr:uid="{00000000-0005-0000-0000-00000F010000}"/>
    <cellStyle name="Buena 3" xfId="279" xr:uid="{00000000-0005-0000-0000-000010010000}"/>
    <cellStyle name="Buena 4" xfId="280" xr:uid="{00000000-0005-0000-0000-000011010000}"/>
    <cellStyle name="Buena 5" xfId="281" xr:uid="{00000000-0005-0000-0000-000012010000}"/>
    <cellStyle name="Calculation" xfId="282" xr:uid="{00000000-0005-0000-0000-000013010000}"/>
    <cellStyle name="Cálculo 2" xfId="283" xr:uid="{00000000-0005-0000-0000-000014010000}"/>
    <cellStyle name="Cálculo 2 2" xfId="284" xr:uid="{00000000-0005-0000-0000-000015010000}"/>
    <cellStyle name="Cálculo 2 3" xfId="285" xr:uid="{00000000-0005-0000-0000-000016010000}"/>
    <cellStyle name="Cálculo 2 4" xfId="286" xr:uid="{00000000-0005-0000-0000-000017010000}"/>
    <cellStyle name="Cálculo 2 5" xfId="287" xr:uid="{00000000-0005-0000-0000-000018010000}"/>
    <cellStyle name="Cálculo 3" xfId="288" xr:uid="{00000000-0005-0000-0000-000019010000}"/>
    <cellStyle name="Cálculo 4" xfId="289" xr:uid="{00000000-0005-0000-0000-00001A010000}"/>
    <cellStyle name="Cálculo 5" xfId="290" xr:uid="{00000000-0005-0000-0000-00001B010000}"/>
    <cellStyle name="Celda de comprobación 2" xfId="291" xr:uid="{00000000-0005-0000-0000-00001C010000}"/>
    <cellStyle name="Celda de comprobación 2 2" xfId="292" xr:uid="{00000000-0005-0000-0000-00001D010000}"/>
    <cellStyle name="Celda de comprobación 2 3" xfId="293" xr:uid="{00000000-0005-0000-0000-00001E010000}"/>
    <cellStyle name="Celda de comprobación 2 4" xfId="294" xr:uid="{00000000-0005-0000-0000-00001F010000}"/>
    <cellStyle name="Celda de comprobación 2 5" xfId="295" xr:uid="{00000000-0005-0000-0000-000020010000}"/>
    <cellStyle name="Celda de comprobación 3" xfId="296" xr:uid="{00000000-0005-0000-0000-000021010000}"/>
    <cellStyle name="Celda de comprobación 4" xfId="297" xr:uid="{00000000-0005-0000-0000-000022010000}"/>
    <cellStyle name="Celda de comprobación 5" xfId="298" xr:uid="{00000000-0005-0000-0000-000023010000}"/>
    <cellStyle name="Celda vinculada 2" xfId="299" xr:uid="{00000000-0005-0000-0000-000024010000}"/>
    <cellStyle name="Celda vinculada 2 2" xfId="300" xr:uid="{00000000-0005-0000-0000-000025010000}"/>
    <cellStyle name="Celda vinculada 2 3" xfId="301" xr:uid="{00000000-0005-0000-0000-000026010000}"/>
    <cellStyle name="Celda vinculada 2 4" xfId="302" xr:uid="{00000000-0005-0000-0000-000027010000}"/>
    <cellStyle name="Celda vinculada 2 5" xfId="303" xr:uid="{00000000-0005-0000-0000-000028010000}"/>
    <cellStyle name="Celda vinculada 3" xfId="304" xr:uid="{00000000-0005-0000-0000-000029010000}"/>
    <cellStyle name="Celda vinculada 4" xfId="305" xr:uid="{00000000-0005-0000-0000-00002A010000}"/>
    <cellStyle name="Celda vinculada 5" xfId="306" xr:uid="{00000000-0005-0000-0000-00002B010000}"/>
    <cellStyle name="Check Cell" xfId="307" xr:uid="{00000000-0005-0000-0000-00002C010000}"/>
    <cellStyle name="Comma_Corredora de la Bolsa AT 2003(MIO)" xfId="308" xr:uid="{00000000-0005-0000-0000-00002D010000}"/>
    <cellStyle name="Dezimal [0]_Tax Losses 00-01 February 1" xfId="309" xr:uid="{00000000-0005-0000-0000-00002E010000}"/>
    <cellStyle name="Dezimal_Tax Losses 00-01 February 1" xfId="310" xr:uid="{00000000-0005-0000-0000-00002F010000}"/>
    <cellStyle name="Dia" xfId="311" xr:uid="{00000000-0005-0000-0000-000030010000}"/>
    <cellStyle name="Encabez1" xfId="312" xr:uid="{00000000-0005-0000-0000-000031010000}"/>
    <cellStyle name="Encabez2" xfId="313" xr:uid="{00000000-0005-0000-0000-000032010000}"/>
    <cellStyle name="Encabezado 4 2" xfId="314" xr:uid="{00000000-0005-0000-0000-000033010000}"/>
    <cellStyle name="Encabezado 4 2 2" xfId="315" xr:uid="{00000000-0005-0000-0000-000034010000}"/>
    <cellStyle name="Encabezado 4 2 3" xfId="316" xr:uid="{00000000-0005-0000-0000-000035010000}"/>
    <cellStyle name="Encabezado 4 2 4" xfId="317" xr:uid="{00000000-0005-0000-0000-000036010000}"/>
    <cellStyle name="Encabezado 4 2 5" xfId="318" xr:uid="{00000000-0005-0000-0000-000037010000}"/>
    <cellStyle name="Encabezado 4 3" xfId="319" xr:uid="{00000000-0005-0000-0000-000038010000}"/>
    <cellStyle name="Encabezado 4 4" xfId="320" xr:uid="{00000000-0005-0000-0000-000039010000}"/>
    <cellStyle name="Encabezado 4 5" xfId="321" xr:uid="{00000000-0005-0000-0000-00003A010000}"/>
    <cellStyle name="Énfasis1 2" xfId="322" xr:uid="{00000000-0005-0000-0000-00003B010000}"/>
    <cellStyle name="Énfasis1 2 2" xfId="323" xr:uid="{00000000-0005-0000-0000-00003C010000}"/>
    <cellStyle name="Énfasis1 2 3" xfId="324" xr:uid="{00000000-0005-0000-0000-00003D010000}"/>
    <cellStyle name="Énfasis1 2 4" xfId="325" xr:uid="{00000000-0005-0000-0000-00003E010000}"/>
    <cellStyle name="Énfasis1 2 5" xfId="326" xr:uid="{00000000-0005-0000-0000-00003F010000}"/>
    <cellStyle name="Énfasis1 3" xfId="327" xr:uid="{00000000-0005-0000-0000-000040010000}"/>
    <cellStyle name="Énfasis1 4" xfId="328" xr:uid="{00000000-0005-0000-0000-000041010000}"/>
    <cellStyle name="Énfasis1 5" xfId="329" xr:uid="{00000000-0005-0000-0000-000042010000}"/>
    <cellStyle name="Énfasis2 2" xfId="330" xr:uid="{00000000-0005-0000-0000-000043010000}"/>
    <cellStyle name="Énfasis2 2 2" xfId="331" xr:uid="{00000000-0005-0000-0000-000044010000}"/>
    <cellStyle name="Énfasis2 2 3" xfId="332" xr:uid="{00000000-0005-0000-0000-000045010000}"/>
    <cellStyle name="Énfasis2 2 4" xfId="333" xr:uid="{00000000-0005-0000-0000-000046010000}"/>
    <cellStyle name="Énfasis2 2 5" xfId="334" xr:uid="{00000000-0005-0000-0000-000047010000}"/>
    <cellStyle name="Énfasis2 3" xfId="335" xr:uid="{00000000-0005-0000-0000-000048010000}"/>
    <cellStyle name="Énfasis2 4" xfId="336" xr:uid="{00000000-0005-0000-0000-000049010000}"/>
    <cellStyle name="Énfasis2 5" xfId="337" xr:uid="{00000000-0005-0000-0000-00004A010000}"/>
    <cellStyle name="Énfasis3 2" xfId="338" xr:uid="{00000000-0005-0000-0000-00004B010000}"/>
    <cellStyle name="Énfasis3 2 2" xfId="339" xr:uid="{00000000-0005-0000-0000-00004C010000}"/>
    <cellStyle name="Énfasis3 2 3" xfId="340" xr:uid="{00000000-0005-0000-0000-00004D010000}"/>
    <cellStyle name="Énfasis3 2 4" xfId="341" xr:uid="{00000000-0005-0000-0000-00004E010000}"/>
    <cellStyle name="Énfasis3 2 5" xfId="342" xr:uid="{00000000-0005-0000-0000-00004F010000}"/>
    <cellStyle name="Énfasis3 3" xfId="343" xr:uid="{00000000-0005-0000-0000-000050010000}"/>
    <cellStyle name="Énfasis3 4" xfId="344" xr:uid="{00000000-0005-0000-0000-000051010000}"/>
    <cellStyle name="Énfasis3 5" xfId="345" xr:uid="{00000000-0005-0000-0000-000052010000}"/>
    <cellStyle name="Énfasis4 2" xfId="346" xr:uid="{00000000-0005-0000-0000-000053010000}"/>
    <cellStyle name="Énfasis4 2 2" xfId="347" xr:uid="{00000000-0005-0000-0000-000054010000}"/>
    <cellStyle name="Énfasis4 2 3" xfId="348" xr:uid="{00000000-0005-0000-0000-000055010000}"/>
    <cellStyle name="Énfasis4 2 4" xfId="349" xr:uid="{00000000-0005-0000-0000-000056010000}"/>
    <cellStyle name="Énfasis4 2 5" xfId="350" xr:uid="{00000000-0005-0000-0000-000057010000}"/>
    <cellStyle name="Énfasis4 3" xfId="351" xr:uid="{00000000-0005-0000-0000-000058010000}"/>
    <cellStyle name="Énfasis4 4" xfId="352" xr:uid="{00000000-0005-0000-0000-000059010000}"/>
    <cellStyle name="Énfasis4 5" xfId="353" xr:uid="{00000000-0005-0000-0000-00005A010000}"/>
    <cellStyle name="Énfasis5 2" xfId="354" xr:uid="{00000000-0005-0000-0000-00005B010000}"/>
    <cellStyle name="Énfasis5 2 2" xfId="355" xr:uid="{00000000-0005-0000-0000-00005C010000}"/>
    <cellStyle name="Énfasis5 2 3" xfId="356" xr:uid="{00000000-0005-0000-0000-00005D010000}"/>
    <cellStyle name="Énfasis5 2 4" xfId="357" xr:uid="{00000000-0005-0000-0000-00005E010000}"/>
    <cellStyle name="Énfasis5 2 5" xfId="358" xr:uid="{00000000-0005-0000-0000-00005F010000}"/>
    <cellStyle name="Énfasis5 3" xfId="359" xr:uid="{00000000-0005-0000-0000-000060010000}"/>
    <cellStyle name="Énfasis5 4" xfId="360" xr:uid="{00000000-0005-0000-0000-000061010000}"/>
    <cellStyle name="Énfasis5 5" xfId="361" xr:uid="{00000000-0005-0000-0000-000062010000}"/>
    <cellStyle name="Énfasis6 2" xfId="362" xr:uid="{00000000-0005-0000-0000-000063010000}"/>
    <cellStyle name="Énfasis6 2 2" xfId="363" xr:uid="{00000000-0005-0000-0000-000064010000}"/>
    <cellStyle name="Énfasis6 2 3" xfId="364" xr:uid="{00000000-0005-0000-0000-000065010000}"/>
    <cellStyle name="Énfasis6 2 4" xfId="365" xr:uid="{00000000-0005-0000-0000-000066010000}"/>
    <cellStyle name="Énfasis6 2 5" xfId="366" xr:uid="{00000000-0005-0000-0000-000067010000}"/>
    <cellStyle name="Énfasis6 3" xfId="367" xr:uid="{00000000-0005-0000-0000-000068010000}"/>
    <cellStyle name="Énfasis6 4" xfId="368" xr:uid="{00000000-0005-0000-0000-000069010000}"/>
    <cellStyle name="Énfasis6 5" xfId="369" xr:uid="{00000000-0005-0000-0000-00006A010000}"/>
    <cellStyle name="Entrada 2" xfId="370" xr:uid="{00000000-0005-0000-0000-00006B010000}"/>
    <cellStyle name="Entrada 2 2" xfId="371" xr:uid="{00000000-0005-0000-0000-00006C010000}"/>
    <cellStyle name="Entrada 2 3" xfId="372" xr:uid="{00000000-0005-0000-0000-00006D010000}"/>
    <cellStyle name="Entrada 2 4" xfId="373" xr:uid="{00000000-0005-0000-0000-00006E010000}"/>
    <cellStyle name="Entrada 2 5" xfId="374" xr:uid="{00000000-0005-0000-0000-00006F010000}"/>
    <cellStyle name="Entrada 3" xfId="375" xr:uid="{00000000-0005-0000-0000-000070010000}"/>
    <cellStyle name="Entrada 4" xfId="376" xr:uid="{00000000-0005-0000-0000-000071010000}"/>
    <cellStyle name="Entrada 5" xfId="377" xr:uid="{00000000-0005-0000-0000-000072010000}"/>
    <cellStyle name="Estilo 1" xfId="378" xr:uid="{00000000-0005-0000-0000-000073010000}"/>
    <cellStyle name="Estilo 1 2" xfId="379" xr:uid="{00000000-0005-0000-0000-000074010000}"/>
    <cellStyle name="Euro" xfId="380" xr:uid="{00000000-0005-0000-0000-000075010000}"/>
    <cellStyle name="Euro 10" xfId="381" xr:uid="{00000000-0005-0000-0000-000076010000}"/>
    <cellStyle name="Euro 11" xfId="382" xr:uid="{00000000-0005-0000-0000-000077010000}"/>
    <cellStyle name="Euro 12" xfId="383" xr:uid="{00000000-0005-0000-0000-000078010000}"/>
    <cellStyle name="Euro 12 2" xfId="384" xr:uid="{00000000-0005-0000-0000-000079010000}"/>
    <cellStyle name="Euro 12 2 2" xfId="385" xr:uid="{00000000-0005-0000-0000-00007A010000}"/>
    <cellStyle name="Euro 13" xfId="386" xr:uid="{00000000-0005-0000-0000-00007B010000}"/>
    <cellStyle name="Euro 14" xfId="387" xr:uid="{00000000-0005-0000-0000-00007C010000}"/>
    <cellStyle name="Euro 15" xfId="388" xr:uid="{00000000-0005-0000-0000-00007D010000}"/>
    <cellStyle name="Euro 16" xfId="389" xr:uid="{00000000-0005-0000-0000-00007E010000}"/>
    <cellStyle name="Euro 17" xfId="390" xr:uid="{00000000-0005-0000-0000-00007F010000}"/>
    <cellStyle name="Euro 2" xfId="391" xr:uid="{00000000-0005-0000-0000-000080010000}"/>
    <cellStyle name="Euro 2 10" xfId="392" xr:uid="{00000000-0005-0000-0000-000081010000}"/>
    <cellStyle name="Euro 2 11" xfId="393" xr:uid="{00000000-0005-0000-0000-000082010000}"/>
    <cellStyle name="Euro 2 12" xfId="394" xr:uid="{00000000-0005-0000-0000-000083010000}"/>
    <cellStyle name="Euro 2 2" xfId="395" xr:uid="{00000000-0005-0000-0000-000084010000}"/>
    <cellStyle name="Euro 2 2 2" xfId="396" xr:uid="{00000000-0005-0000-0000-000085010000}"/>
    <cellStyle name="Euro 2 2 3" xfId="397" xr:uid="{00000000-0005-0000-0000-000086010000}"/>
    <cellStyle name="Euro 2 3" xfId="398" xr:uid="{00000000-0005-0000-0000-000087010000}"/>
    <cellStyle name="Euro 2 3 2" xfId="399" xr:uid="{00000000-0005-0000-0000-000088010000}"/>
    <cellStyle name="Euro 2 3 2 2" xfId="400" xr:uid="{00000000-0005-0000-0000-000089010000}"/>
    <cellStyle name="Euro 2 3 2 2 2" xfId="401" xr:uid="{00000000-0005-0000-0000-00008A010000}"/>
    <cellStyle name="Euro 2 3 2 2 2 2" xfId="402" xr:uid="{00000000-0005-0000-0000-00008B010000}"/>
    <cellStyle name="Euro 2 3 2 3" xfId="403" xr:uid="{00000000-0005-0000-0000-00008C010000}"/>
    <cellStyle name="Euro 2 3 2 4" xfId="404" xr:uid="{00000000-0005-0000-0000-00008D010000}"/>
    <cellStyle name="Euro 2 3 2 5" xfId="405" xr:uid="{00000000-0005-0000-0000-00008E010000}"/>
    <cellStyle name="Euro 2 3 3" xfId="406" xr:uid="{00000000-0005-0000-0000-00008F010000}"/>
    <cellStyle name="Euro 2 3 4" xfId="407" xr:uid="{00000000-0005-0000-0000-000090010000}"/>
    <cellStyle name="Euro 2 3 5" xfId="408" xr:uid="{00000000-0005-0000-0000-000091010000}"/>
    <cellStyle name="Euro 2 3 5 2" xfId="409" xr:uid="{00000000-0005-0000-0000-000092010000}"/>
    <cellStyle name="Euro 2 3 5 2 2" xfId="410" xr:uid="{00000000-0005-0000-0000-000093010000}"/>
    <cellStyle name="Euro 2 3 6" xfId="411" xr:uid="{00000000-0005-0000-0000-000094010000}"/>
    <cellStyle name="Euro 2 3 7" xfId="412" xr:uid="{00000000-0005-0000-0000-000095010000}"/>
    <cellStyle name="Euro 2 3 8" xfId="413" xr:uid="{00000000-0005-0000-0000-000096010000}"/>
    <cellStyle name="Euro 2 4" xfId="414" xr:uid="{00000000-0005-0000-0000-000097010000}"/>
    <cellStyle name="Euro 2 4 2" xfId="415" xr:uid="{00000000-0005-0000-0000-000098010000}"/>
    <cellStyle name="Euro 2 5" xfId="416" xr:uid="{00000000-0005-0000-0000-000099010000}"/>
    <cellStyle name="Euro 2 6" xfId="417" xr:uid="{00000000-0005-0000-0000-00009A010000}"/>
    <cellStyle name="Euro 2 7" xfId="418" xr:uid="{00000000-0005-0000-0000-00009B010000}"/>
    <cellStyle name="Euro 2 8" xfId="419" xr:uid="{00000000-0005-0000-0000-00009C010000}"/>
    <cellStyle name="Euro 2 9" xfId="420" xr:uid="{00000000-0005-0000-0000-00009D010000}"/>
    <cellStyle name="Euro 2 9 2" xfId="421" xr:uid="{00000000-0005-0000-0000-00009E010000}"/>
    <cellStyle name="Euro 2 9 2 2" xfId="422" xr:uid="{00000000-0005-0000-0000-00009F010000}"/>
    <cellStyle name="Euro 3" xfId="423" xr:uid="{00000000-0005-0000-0000-0000A0010000}"/>
    <cellStyle name="Euro 3 10" xfId="424" xr:uid="{00000000-0005-0000-0000-0000A1010000}"/>
    <cellStyle name="Euro 3 11" xfId="425" xr:uid="{00000000-0005-0000-0000-0000A2010000}"/>
    <cellStyle name="Euro 3 12" xfId="426" xr:uid="{00000000-0005-0000-0000-0000A3010000}"/>
    <cellStyle name="Euro 3 2" xfId="427" xr:uid="{00000000-0005-0000-0000-0000A4010000}"/>
    <cellStyle name="Euro 3 2 2" xfId="428" xr:uid="{00000000-0005-0000-0000-0000A5010000}"/>
    <cellStyle name="Euro 3 3" xfId="429" xr:uid="{00000000-0005-0000-0000-0000A6010000}"/>
    <cellStyle name="Euro 3 3 2" xfId="430" xr:uid="{00000000-0005-0000-0000-0000A7010000}"/>
    <cellStyle name="Euro 3 3 2 2" xfId="431" xr:uid="{00000000-0005-0000-0000-0000A8010000}"/>
    <cellStyle name="Euro 3 3 2 2 2" xfId="432" xr:uid="{00000000-0005-0000-0000-0000A9010000}"/>
    <cellStyle name="Euro 3 3 2 2 2 2" xfId="433" xr:uid="{00000000-0005-0000-0000-0000AA010000}"/>
    <cellStyle name="Euro 3 3 2 3" xfId="434" xr:uid="{00000000-0005-0000-0000-0000AB010000}"/>
    <cellStyle name="Euro 3 3 2 4" xfId="435" xr:uid="{00000000-0005-0000-0000-0000AC010000}"/>
    <cellStyle name="Euro 3 3 2 5" xfId="436" xr:uid="{00000000-0005-0000-0000-0000AD010000}"/>
    <cellStyle name="Euro 3 3 3" xfId="437" xr:uid="{00000000-0005-0000-0000-0000AE010000}"/>
    <cellStyle name="Euro 3 3 4" xfId="438" xr:uid="{00000000-0005-0000-0000-0000AF010000}"/>
    <cellStyle name="Euro 3 3 5" xfId="439" xr:uid="{00000000-0005-0000-0000-0000B0010000}"/>
    <cellStyle name="Euro 3 3 5 2" xfId="440" xr:uid="{00000000-0005-0000-0000-0000B1010000}"/>
    <cellStyle name="Euro 3 3 5 2 2" xfId="441" xr:uid="{00000000-0005-0000-0000-0000B2010000}"/>
    <cellStyle name="Euro 3 3 6" xfId="442" xr:uid="{00000000-0005-0000-0000-0000B3010000}"/>
    <cellStyle name="Euro 3 3 7" xfId="443" xr:uid="{00000000-0005-0000-0000-0000B4010000}"/>
    <cellStyle name="Euro 3 3 8" xfId="444" xr:uid="{00000000-0005-0000-0000-0000B5010000}"/>
    <cellStyle name="Euro 3 4" xfId="445" xr:uid="{00000000-0005-0000-0000-0000B6010000}"/>
    <cellStyle name="Euro 3 4 2" xfId="446" xr:uid="{00000000-0005-0000-0000-0000B7010000}"/>
    <cellStyle name="Euro 3 5" xfId="447" xr:uid="{00000000-0005-0000-0000-0000B8010000}"/>
    <cellStyle name="Euro 3 6" xfId="448" xr:uid="{00000000-0005-0000-0000-0000B9010000}"/>
    <cellStyle name="Euro 3 7" xfId="449" xr:uid="{00000000-0005-0000-0000-0000BA010000}"/>
    <cellStyle name="Euro 3 8" xfId="450" xr:uid="{00000000-0005-0000-0000-0000BB010000}"/>
    <cellStyle name="Euro 3 9" xfId="451" xr:uid="{00000000-0005-0000-0000-0000BC010000}"/>
    <cellStyle name="Euro 3 9 2" xfId="452" xr:uid="{00000000-0005-0000-0000-0000BD010000}"/>
    <cellStyle name="Euro 3 9 2 2" xfId="453" xr:uid="{00000000-0005-0000-0000-0000BE010000}"/>
    <cellStyle name="Euro 4" xfId="454" xr:uid="{00000000-0005-0000-0000-0000BF010000}"/>
    <cellStyle name="Euro 4 2" xfId="455" xr:uid="{00000000-0005-0000-0000-0000C0010000}"/>
    <cellStyle name="Euro 4 2 2" xfId="456" xr:uid="{00000000-0005-0000-0000-0000C1010000}"/>
    <cellStyle name="Euro 4 3" xfId="457" xr:uid="{00000000-0005-0000-0000-0000C2010000}"/>
    <cellStyle name="Euro 4 4" xfId="458" xr:uid="{00000000-0005-0000-0000-0000C3010000}"/>
    <cellStyle name="Euro 4 5" xfId="459" xr:uid="{00000000-0005-0000-0000-0000C4010000}"/>
    <cellStyle name="Euro 5" xfId="460" xr:uid="{00000000-0005-0000-0000-0000C5010000}"/>
    <cellStyle name="Euro 5 10" xfId="461" xr:uid="{00000000-0005-0000-0000-0000C6010000}"/>
    <cellStyle name="Euro 5 2" xfId="462" xr:uid="{00000000-0005-0000-0000-0000C7010000}"/>
    <cellStyle name="Euro 5 2 2" xfId="463" xr:uid="{00000000-0005-0000-0000-0000C8010000}"/>
    <cellStyle name="Euro 5 2 2 2" xfId="464" xr:uid="{00000000-0005-0000-0000-0000C9010000}"/>
    <cellStyle name="Euro 5 2 2 2 2" xfId="465" xr:uid="{00000000-0005-0000-0000-0000CA010000}"/>
    <cellStyle name="Euro 5 2 2 2 2 2" xfId="466" xr:uid="{00000000-0005-0000-0000-0000CB010000}"/>
    <cellStyle name="Euro 5 2 2 2 2 2 2" xfId="467" xr:uid="{00000000-0005-0000-0000-0000CC010000}"/>
    <cellStyle name="Euro 5 2 2 2 2 2 2 2" xfId="468" xr:uid="{00000000-0005-0000-0000-0000CD010000}"/>
    <cellStyle name="Euro 5 2 2 2 2 3" xfId="469" xr:uid="{00000000-0005-0000-0000-0000CE010000}"/>
    <cellStyle name="Euro 5 2 2 2 2 4" xfId="470" xr:uid="{00000000-0005-0000-0000-0000CF010000}"/>
    <cellStyle name="Euro 5 2 2 2 3" xfId="471" xr:uid="{00000000-0005-0000-0000-0000D0010000}"/>
    <cellStyle name="Euro 5 2 2 2 4" xfId="472" xr:uid="{00000000-0005-0000-0000-0000D1010000}"/>
    <cellStyle name="Euro 5 2 2 2 4 2" xfId="473" xr:uid="{00000000-0005-0000-0000-0000D2010000}"/>
    <cellStyle name="Euro 5 2 2 2 4 2 2" xfId="474" xr:uid="{00000000-0005-0000-0000-0000D3010000}"/>
    <cellStyle name="Euro 5 2 2 2 5" xfId="475" xr:uid="{00000000-0005-0000-0000-0000D4010000}"/>
    <cellStyle name="Euro 5 2 2 3" xfId="476" xr:uid="{00000000-0005-0000-0000-0000D5010000}"/>
    <cellStyle name="Euro 5 2 2 4" xfId="477" xr:uid="{00000000-0005-0000-0000-0000D6010000}"/>
    <cellStyle name="Euro 5 2 2 4 2" xfId="478" xr:uid="{00000000-0005-0000-0000-0000D7010000}"/>
    <cellStyle name="Euro 5 2 2 4 2 2" xfId="479" xr:uid="{00000000-0005-0000-0000-0000D8010000}"/>
    <cellStyle name="Euro 5 2 2 4 2 2 2" xfId="480" xr:uid="{00000000-0005-0000-0000-0000D9010000}"/>
    <cellStyle name="Euro 5 2 2 4 3" xfId="481" xr:uid="{00000000-0005-0000-0000-0000DA010000}"/>
    <cellStyle name="Euro 5 2 2 4 4" xfId="482" xr:uid="{00000000-0005-0000-0000-0000DB010000}"/>
    <cellStyle name="Euro 5 2 2 5" xfId="483" xr:uid="{00000000-0005-0000-0000-0000DC010000}"/>
    <cellStyle name="Euro 5 2 2 5 2" xfId="484" xr:uid="{00000000-0005-0000-0000-0000DD010000}"/>
    <cellStyle name="Euro 5 2 2 5 2 2" xfId="485" xr:uid="{00000000-0005-0000-0000-0000DE010000}"/>
    <cellStyle name="Euro 5 2 2 6" xfId="486" xr:uid="{00000000-0005-0000-0000-0000DF010000}"/>
    <cellStyle name="Euro 5 2 2 7" xfId="487" xr:uid="{00000000-0005-0000-0000-0000E0010000}"/>
    <cellStyle name="Euro 5 2 3" xfId="488" xr:uid="{00000000-0005-0000-0000-0000E1010000}"/>
    <cellStyle name="Euro 5 2 3 2" xfId="489" xr:uid="{00000000-0005-0000-0000-0000E2010000}"/>
    <cellStyle name="Euro 5 2 3 2 2" xfId="490" xr:uid="{00000000-0005-0000-0000-0000E3010000}"/>
    <cellStyle name="Euro 5 2 3 2 2 2" xfId="491" xr:uid="{00000000-0005-0000-0000-0000E4010000}"/>
    <cellStyle name="Euro 5 2 3 2 2 2 2" xfId="492" xr:uid="{00000000-0005-0000-0000-0000E5010000}"/>
    <cellStyle name="Euro 5 2 3 2 3" xfId="493" xr:uid="{00000000-0005-0000-0000-0000E6010000}"/>
    <cellStyle name="Euro 5 2 3 2 4" xfId="494" xr:uid="{00000000-0005-0000-0000-0000E7010000}"/>
    <cellStyle name="Euro 5 2 3 3" xfId="495" xr:uid="{00000000-0005-0000-0000-0000E8010000}"/>
    <cellStyle name="Euro 5 2 3 4" xfId="496" xr:uid="{00000000-0005-0000-0000-0000E9010000}"/>
    <cellStyle name="Euro 5 2 3 4 2" xfId="497" xr:uid="{00000000-0005-0000-0000-0000EA010000}"/>
    <cellStyle name="Euro 5 2 3 4 2 2" xfId="498" xr:uid="{00000000-0005-0000-0000-0000EB010000}"/>
    <cellStyle name="Euro 5 2 3 5" xfId="499" xr:uid="{00000000-0005-0000-0000-0000EC010000}"/>
    <cellStyle name="Euro 5 2 4" xfId="500" xr:uid="{00000000-0005-0000-0000-0000ED010000}"/>
    <cellStyle name="Euro 5 2 4 2" xfId="501" xr:uid="{00000000-0005-0000-0000-0000EE010000}"/>
    <cellStyle name="Euro 5 2 4 2 2" xfId="502" xr:uid="{00000000-0005-0000-0000-0000EF010000}"/>
    <cellStyle name="Euro 5 2 4 2 2 2" xfId="503" xr:uid="{00000000-0005-0000-0000-0000F0010000}"/>
    <cellStyle name="Euro 5 2 4 3" xfId="504" xr:uid="{00000000-0005-0000-0000-0000F1010000}"/>
    <cellStyle name="Euro 5 2 4 4" xfId="505" xr:uid="{00000000-0005-0000-0000-0000F2010000}"/>
    <cellStyle name="Euro 5 2 5" xfId="506" xr:uid="{00000000-0005-0000-0000-0000F3010000}"/>
    <cellStyle name="Euro 5 2 5 2" xfId="507" xr:uid="{00000000-0005-0000-0000-0000F4010000}"/>
    <cellStyle name="Euro 5 2 5 2 2" xfId="508" xr:uid="{00000000-0005-0000-0000-0000F5010000}"/>
    <cellStyle name="Euro 5 2 6" xfId="509" xr:uid="{00000000-0005-0000-0000-0000F6010000}"/>
    <cellStyle name="Euro 5 2 7" xfId="510" xr:uid="{00000000-0005-0000-0000-0000F7010000}"/>
    <cellStyle name="Euro 5 3" xfId="511" xr:uid="{00000000-0005-0000-0000-0000F8010000}"/>
    <cellStyle name="Euro 5 3 2" xfId="512" xr:uid="{00000000-0005-0000-0000-0000F9010000}"/>
    <cellStyle name="Euro 5 3 2 2" xfId="513" xr:uid="{00000000-0005-0000-0000-0000FA010000}"/>
    <cellStyle name="Euro 5 3 2 2 2" xfId="514" xr:uid="{00000000-0005-0000-0000-0000FB010000}"/>
    <cellStyle name="Euro 5 3 2 2 2 2" xfId="515" xr:uid="{00000000-0005-0000-0000-0000FC010000}"/>
    <cellStyle name="Euro 5 3 2 3" xfId="516" xr:uid="{00000000-0005-0000-0000-0000FD010000}"/>
    <cellStyle name="Euro 5 3 2 4" xfId="517" xr:uid="{00000000-0005-0000-0000-0000FE010000}"/>
    <cellStyle name="Euro 5 3 3" xfId="518" xr:uid="{00000000-0005-0000-0000-0000FF010000}"/>
    <cellStyle name="Euro 5 3 4" xfId="519" xr:uid="{00000000-0005-0000-0000-000000020000}"/>
    <cellStyle name="Euro 5 3 4 2" xfId="520" xr:uid="{00000000-0005-0000-0000-000001020000}"/>
    <cellStyle name="Euro 5 3 4 2 2" xfId="521" xr:uid="{00000000-0005-0000-0000-000002020000}"/>
    <cellStyle name="Euro 5 3 5" xfId="522" xr:uid="{00000000-0005-0000-0000-000003020000}"/>
    <cellStyle name="Euro 5 4" xfId="523" xr:uid="{00000000-0005-0000-0000-000004020000}"/>
    <cellStyle name="Euro 5 5" xfId="524" xr:uid="{00000000-0005-0000-0000-000005020000}"/>
    <cellStyle name="Euro 5 5 2" xfId="525" xr:uid="{00000000-0005-0000-0000-000006020000}"/>
    <cellStyle name="Euro 5 5 2 2" xfId="526" xr:uid="{00000000-0005-0000-0000-000007020000}"/>
    <cellStyle name="Euro 5 5 2 2 2" xfId="527" xr:uid="{00000000-0005-0000-0000-000008020000}"/>
    <cellStyle name="Euro 5 5 3" xfId="528" xr:uid="{00000000-0005-0000-0000-000009020000}"/>
    <cellStyle name="Euro 5 5 4" xfId="529" xr:uid="{00000000-0005-0000-0000-00000A020000}"/>
    <cellStyle name="Euro 5 6" xfId="530" xr:uid="{00000000-0005-0000-0000-00000B020000}"/>
    <cellStyle name="Euro 5 6 2" xfId="531" xr:uid="{00000000-0005-0000-0000-00000C020000}"/>
    <cellStyle name="Euro 5 6 2 2" xfId="532" xr:uid="{00000000-0005-0000-0000-00000D020000}"/>
    <cellStyle name="Euro 5 7" xfId="533" xr:uid="{00000000-0005-0000-0000-00000E020000}"/>
    <cellStyle name="Euro 5 8" xfId="534" xr:uid="{00000000-0005-0000-0000-00000F020000}"/>
    <cellStyle name="Euro 5 9" xfId="535" xr:uid="{00000000-0005-0000-0000-000010020000}"/>
    <cellStyle name="Euro 6" xfId="536" xr:uid="{00000000-0005-0000-0000-000011020000}"/>
    <cellStyle name="Euro 6 2" xfId="537" xr:uid="{00000000-0005-0000-0000-000012020000}"/>
    <cellStyle name="Euro 6 2 2" xfId="538" xr:uid="{00000000-0005-0000-0000-000013020000}"/>
    <cellStyle name="Euro 6 2 2 2" xfId="539" xr:uid="{00000000-0005-0000-0000-000014020000}"/>
    <cellStyle name="Euro 6 2 2 2 2" xfId="540" xr:uid="{00000000-0005-0000-0000-000015020000}"/>
    <cellStyle name="Euro 6 2 2 2 2 2" xfId="541" xr:uid="{00000000-0005-0000-0000-000016020000}"/>
    <cellStyle name="Euro 6 2 2 3" xfId="542" xr:uid="{00000000-0005-0000-0000-000017020000}"/>
    <cellStyle name="Euro 6 2 2 4" xfId="543" xr:uid="{00000000-0005-0000-0000-000018020000}"/>
    <cellStyle name="Euro 6 2 3" xfId="544" xr:uid="{00000000-0005-0000-0000-000019020000}"/>
    <cellStyle name="Euro 6 2 4" xfId="545" xr:uid="{00000000-0005-0000-0000-00001A020000}"/>
    <cellStyle name="Euro 6 2 4 2" xfId="546" xr:uid="{00000000-0005-0000-0000-00001B020000}"/>
    <cellStyle name="Euro 6 2 4 2 2" xfId="547" xr:uid="{00000000-0005-0000-0000-00001C020000}"/>
    <cellStyle name="Euro 6 2 5" xfId="548" xr:uid="{00000000-0005-0000-0000-00001D020000}"/>
    <cellStyle name="Euro 6 3" xfId="549" xr:uid="{00000000-0005-0000-0000-00001E020000}"/>
    <cellStyle name="Euro 6 4" xfId="550" xr:uid="{00000000-0005-0000-0000-00001F020000}"/>
    <cellStyle name="Euro 6 4 2" xfId="551" xr:uid="{00000000-0005-0000-0000-000020020000}"/>
    <cellStyle name="Euro 6 4 2 2" xfId="552" xr:uid="{00000000-0005-0000-0000-000021020000}"/>
    <cellStyle name="Euro 6 4 2 2 2" xfId="553" xr:uid="{00000000-0005-0000-0000-000022020000}"/>
    <cellStyle name="Euro 6 4 3" xfId="554" xr:uid="{00000000-0005-0000-0000-000023020000}"/>
    <cellStyle name="Euro 6 4 4" xfId="555" xr:uid="{00000000-0005-0000-0000-000024020000}"/>
    <cellStyle name="Euro 6 5" xfId="556" xr:uid="{00000000-0005-0000-0000-000025020000}"/>
    <cellStyle name="Euro 6 5 2" xfId="557" xr:uid="{00000000-0005-0000-0000-000026020000}"/>
    <cellStyle name="Euro 6 5 2 2" xfId="558" xr:uid="{00000000-0005-0000-0000-000027020000}"/>
    <cellStyle name="Euro 6 6" xfId="559" xr:uid="{00000000-0005-0000-0000-000028020000}"/>
    <cellStyle name="Euro 6 7" xfId="560" xr:uid="{00000000-0005-0000-0000-000029020000}"/>
    <cellStyle name="Euro 7" xfId="561" xr:uid="{00000000-0005-0000-0000-00002A020000}"/>
    <cellStyle name="Euro 7 2" xfId="562" xr:uid="{00000000-0005-0000-0000-00002B020000}"/>
    <cellStyle name="Euro 8" xfId="563" xr:uid="{00000000-0005-0000-0000-00002C020000}"/>
    <cellStyle name="Euro 8 2" xfId="564" xr:uid="{00000000-0005-0000-0000-00002D020000}"/>
    <cellStyle name="Euro 8 2 2" xfId="565" xr:uid="{00000000-0005-0000-0000-00002E020000}"/>
    <cellStyle name="Euro 8 2 2 2" xfId="566" xr:uid="{00000000-0005-0000-0000-00002F020000}"/>
    <cellStyle name="Euro 8 2 2 2 2" xfId="567" xr:uid="{00000000-0005-0000-0000-000030020000}"/>
    <cellStyle name="Euro 8 2 3" xfId="568" xr:uid="{00000000-0005-0000-0000-000031020000}"/>
    <cellStyle name="Euro 8 2 4" xfId="569" xr:uid="{00000000-0005-0000-0000-000032020000}"/>
    <cellStyle name="Euro 8 3" xfId="570" xr:uid="{00000000-0005-0000-0000-000033020000}"/>
    <cellStyle name="Euro 8 4" xfId="571" xr:uid="{00000000-0005-0000-0000-000034020000}"/>
    <cellStyle name="Euro 8 4 2" xfId="572" xr:uid="{00000000-0005-0000-0000-000035020000}"/>
    <cellStyle name="Euro 8 4 2 2" xfId="573" xr:uid="{00000000-0005-0000-0000-000036020000}"/>
    <cellStyle name="Euro 8 5" xfId="574" xr:uid="{00000000-0005-0000-0000-000037020000}"/>
    <cellStyle name="Euro 8 6" xfId="575" xr:uid="{00000000-0005-0000-0000-000038020000}"/>
    <cellStyle name="Euro 9" xfId="576" xr:uid="{00000000-0005-0000-0000-000039020000}"/>
    <cellStyle name="Euro 9 2" xfId="577" xr:uid="{00000000-0005-0000-0000-00003A020000}"/>
    <cellStyle name="Euro 9 2 2" xfId="578" xr:uid="{00000000-0005-0000-0000-00003B020000}"/>
    <cellStyle name="Euro 9 2 2 2" xfId="579" xr:uid="{00000000-0005-0000-0000-00003C020000}"/>
    <cellStyle name="Euro 9 2 3" xfId="580" xr:uid="{00000000-0005-0000-0000-00003D020000}"/>
    <cellStyle name="Euro 9 3" xfId="581" xr:uid="{00000000-0005-0000-0000-00003E020000}"/>
    <cellStyle name="Euro 9 3 2" xfId="582" xr:uid="{00000000-0005-0000-0000-00003F020000}"/>
    <cellStyle name="Euro_6.10" xfId="2071" xr:uid="{00000000-0005-0000-0000-000040020000}"/>
    <cellStyle name="Explanatory Text" xfId="583" xr:uid="{00000000-0005-0000-0000-000041020000}"/>
    <cellStyle name="Fijo" xfId="584" xr:uid="{00000000-0005-0000-0000-000042020000}"/>
    <cellStyle name="Financiero" xfId="585" xr:uid="{00000000-0005-0000-0000-000043020000}"/>
    <cellStyle name="gelb" xfId="586" xr:uid="{00000000-0005-0000-0000-000044020000}"/>
    <cellStyle name="geneva 9" xfId="587" xr:uid="{00000000-0005-0000-0000-000045020000}"/>
    <cellStyle name="Good" xfId="588" xr:uid="{00000000-0005-0000-0000-000046020000}"/>
    <cellStyle name="Heading 1" xfId="589" xr:uid="{00000000-0005-0000-0000-000047020000}"/>
    <cellStyle name="Heading 2" xfId="590" xr:uid="{00000000-0005-0000-0000-000048020000}"/>
    <cellStyle name="Heading 3" xfId="591" xr:uid="{00000000-0005-0000-0000-000049020000}"/>
    <cellStyle name="Heading 4" xfId="592" xr:uid="{00000000-0005-0000-0000-00004A020000}"/>
    <cellStyle name="hellblau" xfId="593" xr:uid="{00000000-0005-0000-0000-00004B020000}"/>
    <cellStyle name="hellgrau" xfId="594" xr:uid="{00000000-0005-0000-0000-00004C020000}"/>
    <cellStyle name="Hipervínculo 2" xfId="595" xr:uid="{00000000-0005-0000-0000-00004E020000}"/>
    <cellStyle name="Hipervínculo 3" xfId="596" xr:uid="{00000000-0005-0000-0000-00004F020000}"/>
    <cellStyle name="Hipervínculo 4" xfId="597" xr:uid="{00000000-0005-0000-0000-000050020000}"/>
    <cellStyle name="Incorrecto 2" xfId="598" xr:uid="{00000000-0005-0000-0000-000051020000}"/>
    <cellStyle name="Incorrecto 2 2" xfId="599" xr:uid="{00000000-0005-0000-0000-000052020000}"/>
    <cellStyle name="Incorrecto 2 3" xfId="600" xr:uid="{00000000-0005-0000-0000-000053020000}"/>
    <cellStyle name="Incorrecto 2 4" xfId="601" xr:uid="{00000000-0005-0000-0000-000054020000}"/>
    <cellStyle name="Incorrecto 2 5" xfId="602" xr:uid="{00000000-0005-0000-0000-000055020000}"/>
    <cellStyle name="Incorrecto 3" xfId="603" xr:uid="{00000000-0005-0000-0000-000056020000}"/>
    <cellStyle name="Incorrecto 4" xfId="604" xr:uid="{00000000-0005-0000-0000-000057020000}"/>
    <cellStyle name="Incorrecto 5" xfId="605" xr:uid="{00000000-0005-0000-0000-000058020000}"/>
    <cellStyle name="Input" xfId="606" xr:uid="{00000000-0005-0000-0000-000059020000}"/>
    <cellStyle name="Linked Cell" xfId="607" xr:uid="{00000000-0005-0000-0000-00005A020000}"/>
    <cellStyle name="locked" xfId="608" xr:uid="{00000000-0005-0000-0000-00005B020000}"/>
    <cellStyle name="Millares [0] 5" xfId="609" xr:uid="{00000000-0005-0000-0000-00005C020000}"/>
    <cellStyle name="Millares [0] 5 10" xfId="610" xr:uid="{00000000-0005-0000-0000-00005D020000}"/>
    <cellStyle name="Millares [0] 5 11" xfId="611" xr:uid="{00000000-0005-0000-0000-00005E020000}"/>
    <cellStyle name="Millares [0] 5 12" xfId="612" xr:uid="{00000000-0005-0000-0000-00005F020000}"/>
    <cellStyle name="Millares [0] 5 13" xfId="613" xr:uid="{00000000-0005-0000-0000-000060020000}"/>
    <cellStyle name="Millares [0] 5 2" xfId="614" xr:uid="{00000000-0005-0000-0000-000061020000}"/>
    <cellStyle name="Millares [0] 5 2 2" xfId="615" xr:uid="{00000000-0005-0000-0000-000062020000}"/>
    <cellStyle name="Millares [0] 5 2 3" xfId="616" xr:uid="{00000000-0005-0000-0000-000063020000}"/>
    <cellStyle name="Millares [0] 5 2 4" xfId="617" xr:uid="{00000000-0005-0000-0000-000064020000}"/>
    <cellStyle name="Millares [0] 5 2 5" xfId="618" xr:uid="{00000000-0005-0000-0000-000065020000}"/>
    <cellStyle name="Millares [0] 5 2 6" xfId="619" xr:uid="{00000000-0005-0000-0000-000066020000}"/>
    <cellStyle name="Millares [0] 5 2 7" xfId="620" xr:uid="{00000000-0005-0000-0000-000067020000}"/>
    <cellStyle name="Millares [0] 5 3" xfId="621" xr:uid="{00000000-0005-0000-0000-000068020000}"/>
    <cellStyle name="Millares [0] 5 3 2" xfId="622" xr:uid="{00000000-0005-0000-0000-000069020000}"/>
    <cellStyle name="Millares [0] 5 3 3" xfId="623" xr:uid="{00000000-0005-0000-0000-00006A020000}"/>
    <cellStyle name="Millares [0] 5 3 4" xfId="624" xr:uid="{00000000-0005-0000-0000-00006B020000}"/>
    <cellStyle name="Millares [0] 5 3 5" xfId="625" xr:uid="{00000000-0005-0000-0000-00006C020000}"/>
    <cellStyle name="Millares [0] 5 3 6" xfId="626" xr:uid="{00000000-0005-0000-0000-00006D020000}"/>
    <cellStyle name="Millares [0] 5 3 7" xfId="627" xr:uid="{00000000-0005-0000-0000-00006E020000}"/>
    <cellStyle name="Millares [0] 5 4" xfId="628" xr:uid="{00000000-0005-0000-0000-00006F020000}"/>
    <cellStyle name="Millares [0] 5 4 2" xfId="629" xr:uid="{00000000-0005-0000-0000-000070020000}"/>
    <cellStyle name="Millares [0] 5 4 3" xfId="630" xr:uid="{00000000-0005-0000-0000-000071020000}"/>
    <cellStyle name="Millares [0] 5 4 4" xfId="631" xr:uid="{00000000-0005-0000-0000-000072020000}"/>
    <cellStyle name="Millares [0] 5 4 5" xfId="632" xr:uid="{00000000-0005-0000-0000-000073020000}"/>
    <cellStyle name="Millares [0] 5 4 6" xfId="633" xr:uid="{00000000-0005-0000-0000-000074020000}"/>
    <cellStyle name="Millares [0] 5 4 7" xfId="634" xr:uid="{00000000-0005-0000-0000-000075020000}"/>
    <cellStyle name="Millares [0] 5 5" xfId="635" xr:uid="{00000000-0005-0000-0000-000076020000}"/>
    <cellStyle name="Millares [0] 5 5 2" xfId="636" xr:uid="{00000000-0005-0000-0000-000077020000}"/>
    <cellStyle name="Millares [0] 5 5 3" xfId="637" xr:uid="{00000000-0005-0000-0000-000078020000}"/>
    <cellStyle name="Millares [0] 5 5 4" xfId="638" xr:uid="{00000000-0005-0000-0000-000079020000}"/>
    <cellStyle name="Millares [0] 5 5 5" xfId="639" xr:uid="{00000000-0005-0000-0000-00007A020000}"/>
    <cellStyle name="Millares [0] 5 5 6" xfId="640" xr:uid="{00000000-0005-0000-0000-00007B020000}"/>
    <cellStyle name="Millares [0] 5 5 7" xfId="641" xr:uid="{00000000-0005-0000-0000-00007C020000}"/>
    <cellStyle name="Millares [0] 5 6" xfId="642" xr:uid="{00000000-0005-0000-0000-00007D020000}"/>
    <cellStyle name="Millares [0] 5 6 2" xfId="643" xr:uid="{00000000-0005-0000-0000-00007E020000}"/>
    <cellStyle name="Millares [0] 5 6 3" xfId="644" xr:uid="{00000000-0005-0000-0000-00007F020000}"/>
    <cellStyle name="Millares [0] 5 6 4" xfId="645" xr:uid="{00000000-0005-0000-0000-000080020000}"/>
    <cellStyle name="Millares [0] 5 6 5" xfId="646" xr:uid="{00000000-0005-0000-0000-000081020000}"/>
    <cellStyle name="Millares [0] 5 6 6" xfId="647" xr:uid="{00000000-0005-0000-0000-000082020000}"/>
    <cellStyle name="Millares [0] 5 6 7" xfId="648" xr:uid="{00000000-0005-0000-0000-000083020000}"/>
    <cellStyle name="Millares [0] 5 7" xfId="649" xr:uid="{00000000-0005-0000-0000-000084020000}"/>
    <cellStyle name="Millares [0] 5 7 2" xfId="650" xr:uid="{00000000-0005-0000-0000-000085020000}"/>
    <cellStyle name="Millares [0] 5 7 3" xfId="651" xr:uid="{00000000-0005-0000-0000-000086020000}"/>
    <cellStyle name="Millares [0] 5 7 4" xfId="652" xr:uid="{00000000-0005-0000-0000-000087020000}"/>
    <cellStyle name="Millares [0] 5 7 5" xfId="653" xr:uid="{00000000-0005-0000-0000-000088020000}"/>
    <cellStyle name="Millares [0] 5 7 6" xfId="654" xr:uid="{00000000-0005-0000-0000-000089020000}"/>
    <cellStyle name="Millares [0] 5 7 7" xfId="655" xr:uid="{00000000-0005-0000-0000-00008A020000}"/>
    <cellStyle name="Millares [0] 5 8" xfId="656" xr:uid="{00000000-0005-0000-0000-00008B020000}"/>
    <cellStyle name="Millares [0] 5 9" xfId="657" xr:uid="{00000000-0005-0000-0000-00008C020000}"/>
    <cellStyle name="Millares 10" xfId="658" xr:uid="{00000000-0005-0000-0000-00008D020000}"/>
    <cellStyle name="Millares 10 10" xfId="659" xr:uid="{00000000-0005-0000-0000-00008E020000}"/>
    <cellStyle name="Millares 10 11" xfId="660" xr:uid="{00000000-0005-0000-0000-00008F020000}"/>
    <cellStyle name="Millares 10 12" xfId="661" xr:uid="{00000000-0005-0000-0000-000090020000}"/>
    <cellStyle name="Millares 10 13" xfId="662" xr:uid="{00000000-0005-0000-0000-000091020000}"/>
    <cellStyle name="Millares 10 13 2" xfId="663" xr:uid="{00000000-0005-0000-0000-000092020000}"/>
    <cellStyle name="Millares 10 14" xfId="664" xr:uid="{00000000-0005-0000-0000-000093020000}"/>
    <cellStyle name="Millares 10 14 2" xfId="665" xr:uid="{00000000-0005-0000-0000-000094020000}"/>
    <cellStyle name="Millares 10 15" xfId="666" xr:uid="{00000000-0005-0000-0000-000095020000}"/>
    <cellStyle name="Millares 10 16" xfId="667" xr:uid="{00000000-0005-0000-0000-000096020000}"/>
    <cellStyle name="Millares 10 2" xfId="668" xr:uid="{00000000-0005-0000-0000-000097020000}"/>
    <cellStyle name="Millares 10 2 2" xfId="669" xr:uid="{00000000-0005-0000-0000-000098020000}"/>
    <cellStyle name="Millares 10 3" xfId="670" xr:uid="{00000000-0005-0000-0000-000099020000}"/>
    <cellStyle name="Millares 10 4" xfId="671" xr:uid="{00000000-0005-0000-0000-00009A020000}"/>
    <cellStyle name="Millares 10 5" xfId="672" xr:uid="{00000000-0005-0000-0000-00009B020000}"/>
    <cellStyle name="Millares 10 6" xfId="673" xr:uid="{00000000-0005-0000-0000-00009C020000}"/>
    <cellStyle name="Millares 10 7" xfId="674" xr:uid="{00000000-0005-0000-0000-00009D020000}"/>
    <cellStyle name="Millares 10 8" xfId="675" xr:uid="{00000000-0005-0000-0000-00009E020000}"/>
    <cellStyle name="Millares 10 9" xfId="676" xr:uid="{00000000-0005-0000-0000-00009F020000}"/>
    <cellStyle name="Millares 100" xfId="677" xr:uid="{00000000-0005-0000-0000-0000A0020000}"/>
    <cellStyle name="Millares 101" xfId="678" xr:uid="{00000000-0005-0000-0000-0000A1020000}"/>
    <cellStyle name="Millares 102" xfId="679" xr:uid="{00000000-0005-0000-0000-0000A2020000}"/>
    <cellStyle name="Millares 103" xfId="680" xr:uid="{00000000-0005-0000-0000-0000A3020000}"/>
    <cellStyle name="Millares 103 2" xfId="681" xr:uid="{00000000-0005-0000-0000-0000A4020000}"/>
    <cellStyle name="Millares 104" xfId="682" xr:uid="{00000000-0005-0000-0000-0000A5020000}"/>
    <cellStyle name="Millares 104 2" xfId="683" xr:uid="{00000000-0005-0000-0000-0000A6020000}"/>
    <cellStyle name="Millares 105" xfId="684" xr:uid="{00000000-0005-0000-0000-0000A7020000}"/>
    <cellStyle name="Millares 105 2" xfId="685" xr:uid="{00000000-0005-0000-0000-0000A8020000}"/>
    <cellStyle name="Millares 106" xfId="686" xr:uid="{00000000-0005-0000-0000-0000A9020000}"/>
    <cellStyle name="Millares 106 2" xfId="687" xr:uid="{00000000-0005-0000-0000-0000AA020000}"/>
    <cellStyle name="Millares 107" xfId="688" xr:uid="{00000000-0005-0000-0000-0000AB020000}"/>
    <cellStyle name="Millares 107 2" xfId="689" xr:uid="{00000000-0005-0000-0000-0000AC020000}"/>
    <cellStyle name="Millares 108" xfId="690" xr:uid="{00000000-0005-0000-0000-0000AD020000}"/>
    <cellStyle name="Millares 108 2" xfId="691" xr:uid="{00000000-0005-0000-0000-0000AE020000}"/>
    <cellStyle name="Millares 109" xfId="692" xr:uid="{00000000-0005-0000-0000-0000AF020000}"/>
    <cellStyle name="Millares 109 2" xfId="693" xr:uid="{00000000-0005-0000-0000-0000B0020000}"/>
    <cellStyle name="Millares 11" xfId="694" xr:uid="{00000000-0005-0000-0000-0000B1020000}"/>
    <cellStyle name="Millares 11 2" xfId="695" xr:uid="{00000000-0005-0000-0000-0000B2020000}"/>
    <cellStyle name="Millares 11 2 2" xfId="696" xr:uid="{00000000-0005-0000-0000-0000B3020000}"/>
    <cellStyle name="Millares 11 2 2 2" xfId="697" xr:uid="{00000000-0005-0000-0000-0000B4020000}"/>
    <cellStyle name="Millares 11 2 3" xfId="698" xr:uid="{00000000-0005-0000-0000-0000B5020000}"/>
    <cellStyle name="Millares 11 3" xfId="699" xr:uid="{00000000-0005-0000-0000-0000B6020000}"/>
    <cellStyle name="Millares 11 3 2" xfId="700" xr:uid="{00000000-0005-0000-0000-0000B7020000}"/>
    <cellStyle name="Millares 11 4" xfId="701" xr:uid="{00000000-0005-0000-0000-0000B8020000}"/>
    <cellStyle name="Millares 110" xfId="702" xr:uid="{00000000-0005-0000-0000-0000B9020000}"/>
    <cellStyle name="Millares 110 2" xfId="703" xr:uid="{00000000-0005-0000-0000-0000BA020000}"/>
    <cellStyle name="Millares 111" xfId="704" xr:uid="{00000000-0005-0000-0000-0000BB020000}"/>
    <cellStyle name="Millares 111 2" xfId="705" xr:uid="{00000000-0005-0000-0000-0000BC020000}"/>
    <cellStyle name="Millares 112" xfId="706" xr:uid="{00000000-0005-0000-0000-0000BD020000}"/>
    <cellStyle name="Millares 112 2" xfId="707" xr:uid="{00000000-0005-0000-0000-0000BE020000}"/>
    <cellStyle name="Millares 113" xfId="708" xr:uid="{00000000-0005-0000-0000-0000BF020000}"/>
    <cellStyle name="Millares 113 2" xfId="709" xr:uid="{00000000-0005-0000-0000-0000C0020000}"/>
    <cellStyle name="Millares 114" xfId="710" xr:uid="{00000000-0005-0000-0000-0000C1020000}"/>
    <cellStyle name="Millares 114 2" xfId="711" xr:uid="{00000000-0005-0000-0000-0000C2020000}"/>
    <cellStyle name="Millares 115" xfId="712" xr:uid="{00000000-0005-0000-0000-0000C3020000}"/>
    <cellStyle name="Millares 115 2" xfId="713" xr:uid="{00000000-0005-0000-0000-0000C4020000}"/>
    <cellStyle name="Millares 116" xfId="714" xr:uid="{00000000-0005-0000-0000-0000C5020000}"/>
    <cellStyle name="Millares 116 2" xfId="715" xr:uid="{00000000-0005-0000-0000-0000C6020000}"/>
    <cellStyle name="Millares 117" xfId="716" xr:uid="{00000000-0005-0000-0000-0000C7020000}"/>
    <cellStyle name="Millares 117 2" xfId="717" xr:uid="{00000000-0005-0000-0000-0000C8020000}"/>
    <cellStyle name="Millares 118" xfId="718" xr:uid="{00000000-0005-0000-0000-0000C9020000}"/>
    <cellStyle name="Millares 118 2" xfId="719" xr:uid="{00000000-0005-0000-0000-0000CA020000}"/>
    <cellStyle name="Millares 119" xfId="720" xr:uid="{00000000-0005-0000-0000-0000CB020000}"/>
    <cellStyle name="Millares 119 2" xfId="721" xr:uid="{00000000-0005-0000-0000-0000CC020000}"/>
    <cellStyle name="Millares 12" xfId="722" xr:uid="{00000000-0005-0000-0000-0000CD020000}"/>
    <cellStyle name="Millares 12 10" xfId="723" xr:uid="{00000000-0005-0000-0000-0000CE020000}"/>
    <cellStyle name="Millares 12 11" xfId="724" xr:uid="{00000000-0005-0000-0000-0000CF020000}"/>
    <cellStyle name="Millares 12 12" xfId="725" xr:uid="{00000000-0005-0000-0000-0000D0020000}"/>
    <cellStyle name="Millares 12 13" xfId="726" xr:uid="{00000000-0005-0000-0000-0000D1020000}"/>
    <cellStyle name="Millares 12 13 2" xfId="727" xr:uid="{00000000-0005-0000-0000-0000D2020000}"/>
    <cellStyle name="Millares 12 14" xfId="728" xr:uid="{00000000-0005-0000-0000-0000D3020000}"/>
    <cellStyle name="Millares 12 2" xfId="729" xr:uid="{00000000-0005-0000-0000-0000D4020000}"/>
    <cellStyle name="Millares 12 2 2" xfId="730" xr:uid="{00000000-0005-0000-0000-0000D5020000}"/>
    <cellStyle name="Millares 12 2 3" xfId="731" xr:uid="{00000000-0005-0000-0000-0000D6020000}"/>
    <cellStyle name="Millares 12 3" xfId="732" xr:uid="{00000000-0005-0000-0000-0000D7020000}"/>
    <cellStyle name="Millares 12 4" xfId="733" xr:uid="{00000000-0005-0000-0000-0000D8020000}"/>
    <cellStyle name="Millares 12 5" xfId="734" xr:uid="{00000000-0005-0000-0000-0000D9020000}"/>
    <cellStyle name="Millares 12 6" xfId="735" xr:uid="{00000000-0005-0000-0000-0000DA020000}"/>
    <cellStyle name="Millares 12 7" xfId="736" xr:uid="{00000000-0005-0000-0000-0000DB020000}"/>
    <cellStyle name="Millares 12 8" xfId="737" xr:uid="{00000000-0005-0000-0000-0000DC020000}"/>
    <cellStyle name="Millares 12 9" xfId="738" xr:uid="{00000000-0005-0000-0000-0000DD020000}"/>
    <cellStyle name="Millares 120" xfId="739" xr:uid="{00000000-0005-0000-0000-0000DE020000}"/>
    <cellStyle name="Millares 120 2" xfId="740" xr:uid="{00000000-0005-0000-0000-0000DF020000}"/>
    <cellStyle name="Millares 121" xfId="741" xr:uid="{00000000-0005-0000-0000-0000E0020000}"/>
    <cellStyle name="Millares 121 2" xfId="742" xr:uid="{00000000-0005-0000-0000-0000E1020000}"/>
    <cellStyle name="Millares 122" xfId="743" xr:uid="{00000000-0005-0000-0000-0000E2020000}"/>
    <cellStyle name="Millares 122 2" xfId="744" xr:uid="{00000000-0005-0000-0000-0000E3020000}"/>
    <cellStyle name="Millares 123" xfId="745" xr:uid="{00000000-0005-0000-0000-0000E4020000}"/>
    <cellStyle name="Millares 123 2" xfId="746" xr:uid="{00000000-0005-0000-0000-0000E5020000}"/>
    <cellStyle name="Millares 124" xfId="747" xr:uid="{00000000-0005-0000-0000-0000E6020000}"/>
    <cellStyle name="Millares 124 2" xfId="748" xr:uid="{00000000-0005-0000-0000-0000E7020000}"/>
    <cellStyle name="Millares 125" xfId="749" xr:uid="{00000000-0005-0000-0000-0000E8020000}"/>
    <cellStyle name="Millares 125 2" xfId="750" xr:uid="{00000000-0005-0000-0000-0000E9020000}"/>
    <cellStyle name="Millares 126" xfId="751" xr:uid="{00000000-0005-0000-0000-0000EA020000}"/>
    <cellStyle name="Millares 126 2" xfId="752" xr:uid="{00000000-0005-0000-0000-0000EB020000}"/>
    <cellStyle name="Millares 127" xfId="753" xr:uid="{00000000-0005-0000-0000-0000EC020000}"/>
    <cellStyle name="Millares 127 2" xfId="754" xr:uid="{00000000-0005-0000-0000-0000ED020000}"/>
    <cellStyle name="Millares 128" xfId="755" xr:uid="{00000000-0005-0000-0000-0000EE020000}"/>
    <cellStyle name="Millares 128 2" xfId="756" xr:uid="{00000000-0005-0000-0000-0000EF020000}"/>
    <cellStyle name="Millares 129" xfId="757" xr:uid="{00000000-0005-0000-0000-0000F0020000}"/>
    <cellStyle name="Millares 129 2" xfId="758" xr:uid="{00000000-0005-0000-0000-0000F1020000}"/>
    <cellStyle name="Millares 13" xfId="759" xr:uid="{00000000-0005-0000-0000-0000F2020000}"/>
    <cellStyle name="Millares 13 2" xfId="760" xr:uid="{00000000-0005-0000-0000-0000F3020000}"/>
    <cellStyle name="Millares 13 2 2" xfId="761" xr:uid="{00000000-0005-0000-0000-0000F4020000}"/>
    <cellStyle name="Millares 13 2 2 2" xfId="762" xr:uid="{00000000-0005-0000-0000-0000F5020000}"/>
    <cellStyle name="Millares 13 2 3" xfId="763" xr:uid="{00000000-0005-0000-0000-0000F6020000}"/>
    <cellStyle name="Millares 13 3" xfId="764" xr:uid="{00000000-0005-0000-0000-0000F7020000}"/>
    <cellStyle name="Millares 13 3 2" xfId="765" xr:uid="{00000000-0005-0000-0000-0000F8020000}"/>
    <cellStyle name="Millares 13 4" xfId="766" xr:uid="{00000000-0005-0000-0000-0000F9020000}"/>
    <cellStyle name="Millares 130" xfId="767" xr:uid="{00000000-0005-0000-0000-0000FA020000}"/>
    <cellStyle name="Millares 130 2" xfId="768" xr:uid="{00000000-0005-0000-0000-0000FB020000}"/>
    <cellStyle name="Millares 131" xfId="769" xr:uid="{00000000-0005-0000-0000-0000FC020000}"/>
    <cellStyle name="Millares 131 2" xfId="770" xr:uid="{00000000-0005-0000-0000-0000FD020000}"/>
    <cellStyle name="Millares 132" xfId="771" xr:uid="{00000000-0005-0000-0000-0000FE020000}"/>
    <cellStyle name="Millares 132 2" xfId="772" xr:uid="{00000000-0005-0000-0000-0000FF020000}"/>
    <cellStyle name="Millares 133" xfId="773" xr:uid="{00000000-0005-0000-0000-000000030000}"/>
    <cellStyle name="Millares 133 2" xfId="774" xr:uid="{00000000-0005-0000-0000-000001030000}"/>
    <cellStyle name="Millares 134" xfId="775" xr:uid="{00000000-0005-0000-0000-000002030000}"/>
    <cellStyle name="Millares 134 2" xfId="776" xr:uid="{00000000-0005-0000-0000-000003030000}"/>
    <cellStyle name="Millares 135" xfId="777" xr:uid="{00000000-0005-0000-0000-000004030000}"/>
    <cellStyle name="Millares 135 2" xfId="778" xr:uid="{00000000-0005-0000-0000-000005030000}"/>
    <cellStyle name="Millares 136" xfId="779" xr:uid="{00000000-0005-0000-0000-000006030000}"/>
    <cellStyle name="Millares 136 2" xfId="780" xr:uid="{00000000-0005-0000-0000-000007030000}"/>
    <cellStyle name="Millares 137" xfId="781" xr:uid="{00000000-0005-0000-0000-000008030000}"/>
    <cellStyle name="Millares 137 2" xfId="782" xr:uid="{00000000-0005-0000-0000-000009030000}"/>
    <cellStyle name="Millares 138" xfId="783" xr:uid="{00000000-0005-0000-0000-00000A030000}"/>
    <cellStyle name="Millares 138 2" xfId="784" xr:uid="{00000000-0005-0000-0000-00000B030000}"/>
    <cellStyle name="Millares 139" xfId="785" xr:uid="{00000000-0005-0000-0000-00000C030000}"/>
    <cellStyle name="Millares 139 2" xfId="786" xr:uid="{00000000-0005-0000-0000-00000D030000}"/>
    <cellStyle name="Millares 14" xfId="787" xr:uid="{00000000-0005-0000-0000-00000E030000}"/>
    <cellStyle name="Millares 14 2" xfId="788" xr:uid="{00000000-0005-0000-0000-00000F030000}"/>
    <cellStyle name="Millares 14 2 2" xfId="789" xr:uid="{00000000-0005-0000-0000-000010030000}"/>
    <cellStyle name="Millares 14 2 3" xfId="790" xr:uid="{00000000-0005-0000-0000-000011030000}"/>
    <cellStyle name="Millares 14 3" xfId="791" xr:uid="{00000000-0005-0000-0000-000012030000}"/>
    <cellStyle name="Millares 14 3 2" xfId="792" xr:uid="{00000000-0005-0000-0000-000013030000}"/>
    <cellStyle name="Millares 14 4" xfId="793" xr:uid="{00000000-0005-0000-0000-000014030000}"/>
    <cellStyle name="Millares 140" xfId="794" xr:uid="{00000000-0005-0000-0000-000015030000}"/>
    <cellStyle name="Millares 140 2" xfId="795" xr:uid="{00000000-0005-0000-0000-000016030000}"/>
    <cellStyle name="Millares 141" xfId="796" xr:uid="{00000000-0005-0000-0000-000017030000}"/>
    <cellStyle name="Millares 141 2" xfId="797" xr:uid="{00000000-0005-0000-0000-000018030000}"/>
    <cellStyle name="Millares 142" xfId="798" xr:uid="{00000000-0005-0000-0000-000019030000}"/>
    <cellStyle name="Millares 142 2" xfId="799" xr:uid="{00000000-0005-0000-0000-00001A030000}"/>
    <cellStyle name="Millares 143" xfId="800" xr:uid="{00000000-0005-0000-0000-00001B030000}"/>
    <cellStyle name="Millares 143 2" xfId="801" xr:uid="{00000000-0005-0000-0000-00001C030000}"/>
    <cellStyle name="Millares 144" xfId="802" xr:uid="{00000000-0005-0000-0000-00001D030000}"/>
    <cellStyle name="Millares 144 2" xfId="803" xr:uid="{00000000-0005-0000-0000-00001E030000}"/>
    <cellStyle name="Millares 145" xfId="804" xr:uid="{00000000-0005-0000-0000-00001F030000}"/>
    <cellStyle name="Millares 145 2" xfId="805" xr:uid="{00000000-0005-0000-0000-000020030000}"/>
    <cellStyle name="Millares 146" xfId="806" xr:uid="{00000000-0005-0000-0000-000021030000}"/>
    <cellStyle name="Millares 146 2" xfId="807" xr:uid="{00000000-0005-0000-0000-000022030000}"/>
    <cellStyle name="Millares 147" xfId="808" xr:uid="{00000000-0005-0000-0000-000023030000}"/>
    <cellStyle name="Millares 147 2" xfId="809" xr:uid="{00000000-0005-0000-0000-000024030000}"/>
    <cellStyle name="Millares 148" xfId="810" xr:uid="{00000000-0005-0000-0000-000025030000}"/>
    <cellStyle name="Millares 148 2" xfId="811" xr:uid="{00000000-0005-0000-0000-000026030000}"/>
    <cellStyle name="Millares 149" xfId="812" xr:uid="{00000000-0005-0000-0000-000027030000}"/>
    <cellStyle name="Millares 149 2" xfId="813" xr:uid="{00000000-0005-0000-0000-000028030000}"/>
    <cellStyle name="Millares 15" xfId="814" xr:uid="{00000000-0005-0000-0000-000029030000}"/>
    <cellStyle name="Millares 15 2" xfId="815" xr:uid="{00000000-0005-0000-0000-00002A030000}"/>
    <cellStyle name="Millares 15 3" xfId="816" xr:uid="{00000000-0005-0000-0000-00002B030000}"/>
    <cellStyle name="Millares 150" xfId="817" xr:uid="{00000000-0005-0000-0000-00002C030000}"/>
    <cellStyle name="Millares 150 2" xfId="818" xr:uid="{00000000-0005-0000-0000-00002D030000}"/>
    <cellStyle name="Millares 151" xfId="819" xr:uid="{00000000-0005-0000-0000-00002E030000}"/>
    <cellStyle name="Millares 152" xfId="820" xr:uid="{00000000-0005-0000-0000-00002F030000}"/>
    <cellStyle name="Millares 153" xfId="821" xr:uid="{00000000-0005-0000-0000-000030030000}"/>
    <cellStyle name="Millares 154" xfId="822" xr:uid="{00000000-0005-0000-0000-000031030000}"/>
    <cellStyle name="Millares 154 2" xfId="823" xr:uid="{00000000-0005-0000-0000-000032030000}"/>
    <cellStyle name="Millares 155" xfId="824" xr:uid="{00000000-0005-0000-0000-000033030000}"/>
    <cellStyle name="Millares 155 2" xfId="825" xr:uid="{00000000-0005-0000-0000-000034030000}"/>
    <cellStyle name="Millares 156" xfId="826" xr:uid="{00000000-0005-0000-0000-000035030000}"/>
    <cellStyle name="Millares 156 2" xfId="827" xr:uid="{00000000-0005-0000-0000-000036030000}"/>
    <cellStyle name="Millares 157" xfId="828" xr:uid="{00000000-0005-0000-0000-000037030000}"/>
    <cellStyle name="Millares 157 2" xfId="829" xr:uid="{00000000-0005-0000-0000-000038030000}"/>
    <cellStyle name="Millares 158" xfId="830" xr:uid="{00000000-0005-0000-0000-000039030000}"/>
    <cellStyle name="Millares 158 2" xfId="831" xr:uid="{00000000-0005-0000-0000-00003A030000}"/>
    <cellStyle name="Millares 159" xfId="832" xr:uid="{00000000-0005-0000-0000-00003B030000}"/>
    <cellStyle name="Millares 159 2" xfId="833" xr:uid="{00000000-0005-0000-0000-00003C030000}"/>
    <cellStyle name="Millares 16" xfId="834" xr:uid="{00000000-0005-0000-0000-00003D030000}"/>
    <cellStyle name="Millares 16 2" xfId="835" xr:uid="{00000000-0005-0000-0000-00003E030000}"/>
    <cellStyle name="Millares 16 3" xfId="836" xr:uid="{00000000-0005-0000-0000-00003F030000}"/>
    <cellStyle name="Millares 160" xfId="837" xr:uid="{00000000-0005-0000-0000-000040030000}"/>
    <cellStyle name="Millares 160 2" xfId="838" xr:uid="{00000000-0005-0000-0000-000041030000}"/>
    <cellStyle name="Millares 161" xfId="839" xr:uid="{00000000-0005-0000-0000-000042030000}"/>
    <cellStyle name="Millares 161 2" xfId="840" xr:uid="{00000000-0005-0000-0000-000043030000}"/>
    <cellStyle name="Millares 162" xfId="841" xr:uid="{00000000-0005-0000-0000-000044030000}"/>
    <cellStyle name="Millares 162 2" xfId="842" xr:uid="{00000000-0005-0000-0000-000045030000}"/>
    <cellStyle name="Millares 163" xfId="843" xr:uid="{00000000-0005-0000-0000-000046030000}"/>
    <cellStyle name="Millares 163 2" xfId="844" xr:uid="{00000000-0005-0000-0000-000047030000}"/>
    <cellStyle name="Millares 164" xfId="845" xr:uid="{00000000-0005-0000-0000-000048030000}"/>
    <cellStyle name="Millares 164 2" xfId="846" xr:uid="{00000000-0005-0000-0000-000049030000}"/>
    <cellStyle name="Millares 165" xfId="847" xr:uid="{00000000-0005-0000-0000-00004A030000}"/>
    <cellStyle name="Millares 165 2" xfId="848" xr:uid="{00000000-0005-0000-0000-00004B030000}"/>
    <cellStyle name="Millares 166" xfId="849" xr:uid="{00000000-0005-0000-0000-00004C030000}"/>
    <cellStyle name="Millares 166 2" xfId="850" xr:uid="{00000000-0005-0000-0000-00004D030000}"/>
    <cellStyle name="Millares 167" xfId="851" xr:uid="{00000000-0005-0000-0000-00004E030000}"/>
    <cellStyle name="Millares 167 2" xfId="852" xr:uid="{00000000-0005-0000-0000-00004F030000}"/>
    <cellStyle name="Millares 168" xfId="853" xr:uid="{00000000-0005-0000-0000-000050030000}"/>
    <cellStyle name="Millares 168 2" xfId="854" xr:uid="{00000000-0005-0000-0000-000051030000}"/>
    <cellStyle name="Millares 169" xfId="855" xr:uid="{00000000-0005-0000-0000-000052030000}"/>
    <cellStyle name="Millares 169 2" xfId="856" xr:uid="{00000000-0005-0000-0000-000053030000}"/>
    <cellStyle name="Millares 17" xfId="857" xr:uid="{00000000-0005-0000-0000-000054030000}"/>
    <cellStyle name="Millares 17 2" xfId="858" xr:uid="{00000000-0005-0000-0000-000055030000}"/>
    <cellStyle name="Millares 17 3" xfId="859" xr:uid="{00000000-0005-0000-0000-000056030000}"/>
    <cellStyle name="Millares 170" xfId="860" xr:uid="{00000000-0005-0000-0000-000057030000}"/>
    <cellStyle name="Millares 170 2" xfId="861" xr:uid="{00000000-0005-0000-0000-000058030000}"/>
    <cellStyle name="Millares 171" xfId="862" xr:uid="{00000000-0005-0000-0000-000059030000}"/>
    <cellStyle name="Millares 171 2" xfId="863" xr:uid="{00000000-0005-0000-0000-00005A030000}"/>
    <cellStyle name="Millares 172" xfId="864" xr:uid="{00000000-0005-0000-0000-00005B030000}"/>
    <cellStyle name="Millares 172 2" xfId="865" xr:uid="{00000000-0005-0000-0000-00005C030000}"/>
    <cellStyle name="Millares 173" xfId="866" xr:uid="{00000000-0005-0000-0000-00005D030000}"/>
    <cellStyle name="Millares 173 2" xfId="867" xr:uid="{00000000-0005-0000-0000-00005E030000}"/>
    <cellStyle name="Millares 174" xfId="868" xr:uid="{00000000-0005-0000-0000-00005F030000}"/>
    <cellStyle name="Millares 174 2" xfId="869" xr:uid="{00000000-0005-0000-0000-000060030000}"/>
    <cellStyle name="Millares 175" xfId="870" xr:uid="{00000000-0005-0000-0000-000061030000}"/>
    <cellStyle name="Millares 175 2" xfId="871" xr:uid="{00000000-0005-0000-0000-000062030000}"/>
    <cellStyle name="Millares 176" xfId="872" xr:uid="{00000000-0005-0000-0000-000063030000}"/>
    <cellStyle name="Millares 176 2" xfId="873" xr:uid="{00000000-0005-0000-0000-000064030000}"/>
    <cellStyle name="Millares 177" xfId="874" xr:uid="{00000000-0005-0000-0000-000065030000}"/>
    <cellStyle name="Millares 177 2" xfId="875" xr:uid="{00000000-0005-0000-0000-000066030000}"/>
    <cellStyle name="Millares 178" xfId="876" xr:uid="{00000000-0005-0000-0000-000067030000}"/>
    <cellStyle name="Millares 178 2" xfId="877" xr:uid="{00000000-0005-0000-0000-000068030000}"/>
    <cellStyle name="Millares 179" xfId="878" xr:uid="{00000000-0005-0000-0000-000069030000}"/>
    <cellStyle name="Millares 179 2" xfId="879" xr:uid="{00000000-0005-0000-0000-00006A030000}"/>
    <cellStyle name="Millares 18" xfId="880" xr:uid="{00000000-0005-0000-0000-00006B030000}"/>
    <cellStyle name="Millares 18 2" xfId="881" xr:uid="{00000000-0005-0000-0000-00006C030000}"/>
    <cellStyle name="Millares 18 3" xfId="882" xr:uid="{00000000-0005-0000-0000-00006D030000}"/>
    <cellStyle name="Millares 180" xfId="883" xr:uid="{00000000-0005-0000-0000-00006E030000}"/>
    <cellStyle name="Millares 180 2" xfId="884" xr:uid="{00000000-0005-0000-0000-00006F030000}"/>
    <cellStyle name="Millares 181" xfId="885" xr:uid="{00000000-0005-0000-0000-000070030000}"/>
    <cellStyle name="Millares 181 2" xfId="886" xr:uid="{00000000-0005-0000-0000-000071030000}"/>
    <cellStyle name="Millares 182" xfId="887" xr:uid="{00000000-0005-0000-0000-000072030000}"/>
    <cellStyle name="Millares 182 2" xfId="888" xr:uid="{00000000-0005-0000-0000-000073030000}"/>
    <cellStyle name="Millares 183" xfId="889" xr:uid="{00000000-0005-0000-0000-000074030000}"/>
    <cellStyle name="Millares 183 2" xfId="890" xr:uid="{00000000-0005-0000-0000-000075030000}"/>
    <cellStyle name="Millares 184" xfId="891" xr:uid="{00000000-0005-0000-0000-000076030000}"/>
    <cellStyle name="Millares 184 2" xfId="892" xr:uid="{00000000-0005-0000-0000-000077030000}"/>
    <cellStyle name="Millares 185" xfId="893" xr:uid="{00000000-0005-0000-0000-000078030000}"/>
    <cellStyle name="Millares 185 2" xfId="894" xr:uid="{00000000-0005-0000-0000-000079030000}"/>
    <cellStyle name="Millares 186" xfId="895" xr:uid="{00000000-0005-0000-0000-00007A030000}"/>
    <cellStyle name="Millares 186 2" xfId="896" xr:uid="{00000000-0005-0000-0000-00007B030000}"/>
    <cellStyle name="Millares 187" xfId="897" xr:uid="{00000000-0005-0000-0000-00007C030000}"/>
    <cellStyle name="Millares 187 2" xfId="898" xr:uid="{00000000-0005-0000-0000-00007D030000}"/>
    <cellStyle name="Millares 188" xfId="899" xr:uid="{00000000-0005-0000-0000-00007E030000}"/>
    <cellStyle name="Millares 188 2" xfId="900" xr:uid="{00000000-0005-0000-0000-00007F030000}"/>
    <cellStyle name="Millares 189" xfId="901" xr:uid="{00000000-0005-0000-0000-000080030000}"/>
    <cellStyle name="Millares 189 2" xfId="902" xr:uid="{00000000-0005-0000-0000-000081030000}"/>
    <cellStyle name="Millares 19" xfId="903" xr:uid="{00000000-0005-0000-0000-000082030000}"/>
    <cellStyle name="Millares 19 2" xfId="904" xr:uid="{00000000-0005-0000-0000-000083030000}"/>
    <cellStyle name="Millares 19 3" xfId="905" xr:uid="{00000000-0005-0000-0000-000084030000}"/>
    <cellStyle name="Millares 190" xfId="906" xr:uid="{00000000-0005-0000-0000-000085030000}"/>
    <cellStyle name="Millares 190 2" xfId="907" xr:uid="{00000000-0005-0000-0000-000086030000}"/>
    <cellStyle name="Millares 191" xfId="908" xr:uid="{00000000-0005-0000-0000-000087030000}"/>
    <cellStyle name="Millares 191 2" xfId="909" xr:uid="{00000000-0005-0000-0000-000088030000}"/>
    <cellStyle name="Millares 192" xfId="910" xr:uid="{00000000-0005-0000-0000-000089030000}"/>
    <cellStyle name="Millares 192 2" xfId="911" xr:uid="{00000000-0005-0000-0000-00008A030000}"/>
    <cellStyle name="Millares 193" xfId="912" xr:uid="{00000000-0005-0000-0000-00008B030000}"/>
    <cellStyle name="Millares 193 2" xfId="913" xr:uid="{00000000-0005-0000-0000-00008C030000}"/>
    <cellStyle name="Millares 194" xfId="914" xr:uid="{00000000-0005-0000-0000-00008D030000}"/>
    <cellStyle name="Millares 194 2" xfId="915" xr:uid="{00000000-0005-0000-0000-00008E030000}"/>
    <cellStyle name="Millares 195" xfId="916" xr:uid="{00000000-0005-0000-0000-00008F030000}"/>
    <cellStyle name="Millares 195 2" xfId="917" xr:uid="{00000000-0005-0000-0000-000090030000}"/>
    <cellStyle name="Millares 196" xfId="918" xr:uid="{00000000-0005-0000-0000-000091030000}"/>
    <cellStyle name="Millares 196 2" xfId="919" xr:uid="{00000000-0005-0000-0000-000092030000}"/>
    <cellStyle name="Millares 197" xfId="920" xr:uid="{00000000-0005-0000-0000-000093030000}"/>
    <cellStyle name="Millares 197 2" xfId="921" xr:uid="{00000000-0005-0000-0000-000094030000}"/>
    <cellStyle name="Millares 198" xfId="922" xr:uid="{00000000-0005-0000-0000-000095030000}"/>
    <cellStyle name="Millares 198 2" xfId="923" xr:uid="{00000000-0005-0000-0000-000096030000}"/>
    <cellStyle name="Millares 199" xfId="924" xr:uid="{00000000-0005-0000-0000-000097030000}"/>
    <cellStyle name="Millares 199 2" xfId="925" xr:uid="{00000000-0005-0000-0000-000098030000}"/>
    <cellStyle name="Millares 2" xfId="926" xr:uid="{00000000-0005-0000-0000-000099030000}"/>
    <cellStyle name="Millares 2 10" xfId="927" xr:uid="{00000000-0005-0000-0000-00009A030000}"/>
    <cellStyle name="Millares 2 11" xfId="928" xr:uid="{00000000-0005-0000-0000-00009B030000}"/>
    <cellStyle name="Millares 2 12" xfId="929" xr:uid="{00000000-0005-0000-0000-00009C030000}"/>
    <cellStyle name="Millares 2 2" xfId="930" xr:uid="{00000000-0005-0000-0000-00009D030000}"/>
    <cellStyle name="Millares 2 2 10" xfId="931" xr:uid="{00000000-0005-0000-0000-00009E030000}"/>
    <cellStyle name="Millares 2 2 10 2" xfId="932" xr:uid="{00000000-0005-0000-0000-00009F030000}"/>
    <cellStyle name="Millares 2 2 11" xfId="933" xr:uid="{00000000-0005-0000-0000-0000A0030000}"/>
    <cellStyle name="Millares 2 2 12" xfId="934" xr:uid="{00000000-0005-0000-0000-0000A1030000}"/>
    <cellStyle name="Millares 2 2 13" xfId="935" xr:uid="{00000000-0005-0000-0000-0000A2030000}"/>
    <cellStyle name="Millares 2 2 14" xfId="936" xr:uid="{00000000-0005-0000-0000-0000A3030000}"/>
    <cellStyle name="Millares 2 2 2" xfId="937" xr:uid="{00000000-0005-0000-0000-0000A4030000}"/>
    <cellStyle name="Millares 2 2 2 10" xfId="938" xr:uid="{00000000-0005-0000-0000-0000A5030000}"/>
    <cellStyle name="Millares 2 2 2 11" xfId="939" xr:uid="{00000000-0005-0000-0000-0000A6030000}"/>
    <cellStyle name="Millares 2 2 2 12" xfId="940" xr:uid="{00000000-0005-0000-0000-0000A7030000}"/>
    <cellStyle name="Millares 2 2 2 2" xfId="941" xr:uid="{00000000-0005-0000-0000-0000A8030000}"/>
    <cellStyle name="Millares 2 2 2 2 2" xfId="942" xr:uid="{00000000-0005-0000-0000-0000A9030000}"/>
    <cellStyle name="Millares 2 2 2 3" xfId="943" xr:uid="{00000000-0005-0000-0000-0000AA030000}"/>
    <cellStyle name="Millares 2 2 2 4" xfId="944" xr:uid="{00000000-0005-0000-0000-0000AB030000}"/>
    <cellStyle name="Millares 2 2 2 5" xfId="945" xr:uid="{00000000-0005-0000-0000-0000AC030000}"/>
    <cellStyle name="Millares 2 2 2 6" xfId="946" xr:uid="{00000000-0005-0000-0000-0000AD030000}"/>
    <cellStyle name="Millares 2 2 2 7" xfId="947" xr:uid="{00000000-0005-0000-0000-0000AE030000}"/>
    <cellStyle name="Millares 2 2 2 8" xfId="948" xr:uid="{00000000-0005-0000-0000-0000AF030000}"/>
    <cellStyle name="Millares 2 2 2 8 2" xfId="949" xr:uid="{00000000-0005-0000-0000-0000B0030000}"/>
    <cellStyle name="Millares 2 2 2 9" xfId="950" xr:uid="{00000000-0005-0000-0000-0000B1030000}"/>
    <cellStyle name="Millares 2 2 2 9 2" xfId="951" xr:uid="{00000000-0005-0000-0000-0000B2030000}"/>
    <cellStyle name="Millares 2 2 2_destino" xfId="952" xr:uid="{00000000-0005-0000-0000-0000B3030000}"/>
    <cellStyle name="Millares 2 2 3" xfId="953" xr:uid="{00000000-0005-0000-0000-0000B4030000}"/>
    <cellStyle name="Millares 2 2 3 2" xfId="954" xr:uid="{00000000-0005-0000-0000-0000B5030000}"/>
    <cellStyle name="Millares 2 2 3 2 2" xfId="955" xr:uid="{00000000-0005-0000-0000-0000B6030000}"/>
    <cellStyle name="Millares 2 2 3 3" xfId="956" xr:uid="{00000000-0005-0000-0000-0000B7030000}"/>
    <cellStyle name="Millares 2 2 3 3 2" xfId="957" xr:uid="{00000000-0005-0000-0000-0000B8030000}"/>
    <cellStyle name="Millares 2 2 3 4" xfId="958" xr:uid="{00000000-0005-0000-0000-0000B9030000}"/>
    <cellStyle name="Millares 2 2 4" xfId="959" xr:uid="{00000000-0005-0000-0000-0000BA030000}"/>
    <cellStyle name="Millares 2 2 4 2" xfId="960" xr:uid="{00000000-0005-0000-0000-0000BB030000}"/>
    <cellStyle name="Millares 2 2 5" xfId="961" xr:uid="{00000000-0005-0000-0000-0000BC030000}"/>
    <cellStyle name="Millares 2 2 5 2" xfId="962" xr:uid="{00000000-0005-0000-0000-0000BD030000}"/>
    <cellStyle name="Millares 2 2 6" xfId="963" xr:uid="{00000000-0005-0000-0000-0000BE030000}"/>
    <cellStyle name="Millares 2 2 6 2" xfId="964" xr:uid="{00000000-0005-0000-0000-0000BF030000}"/>
    <cellStyle name="Millares 2 2 7" xfId="965" xr:uid="{00000000-0005-0000-0000-0000C0030000}"/>
    <cellStyle name="Millares 2 2 7 2" xfId="966" xr:uid="{00000000-0005-0000-0000-0000C1030000}"/>
    <cellStyle name="Millares 2 2 8" xfId="967" xr:uid="{00000000-0005-0000-0000-0000C2030000}"/>
    <cellStyle name="Millares 2 2 8 2" xfId="968" xr:uid="{00000000-0005-0000-0000-0000C3030000}"/>
    <cellStyle name="Millares 2 2 9" xfId="969" xr:uid="{00000000-0005-0000-0000-0000C4030000}"/>
    <cellStyle name="Millares 2 2 9 2" xfId="970" xr:uid="{00000000-0005-0000-0000-0000C5030000}"/>
    <cellStyle name="Millares 2 2_destino" xfId="971" xr:uid="{00000000-0005-0000-0000-0000C6030000}"/>
    <cellStyle name="Millares 2 3" xfId="972" xr:uid="{00000000-0005-0000-0000-0000C7030000}"/>
    <cellStyle name="Millares 2 3 2" xfId="973" xr:uid="{00000000-0005-0000-0000-0000C8030000}"/>
    <cellStyle name="Millares 2 3 2 2" xfId="974" xr:uid="{00000000-0005-0000-0000-0000C9030000}"/>
    <cellStyle name="Millares 2 3 3" xfId="975" xr:uid="{00000000-0005-0000-0000-0000CA030000}"/>
    <cellStyle name="Millares 2 3 4" xfId="976" xr:uid="{00000000-0005-0000-0000-0000CB030000}"/>
    <cellStyle name="Millares 2 3 4 2" xfId="977" xr:uid="{00000000-0005-0000-0000-0000CC030000}"/>
    <cellStyle name="Millares 2 3 5" xfId="978" xr:uid="{00000000-0005-0000-0000-0000CD030000}"/>
    <cellStyle name="Millares 2 3 6" xfId="979" xr:uid="{00000000-0005-0000-0000-0000CE030000}"/>
    <cellStyle name="Millares 2 3 7" xfId="980" xr:uid="{00000000-0005-0000-0000-0000CF030000}"/>
    <cellStyle name="Millares 2 3_destino" xfId="981" xr:uid="{00000000-0005-0000-0000-0000D0030000}"/>
    <cellStyle name="Millares 2 4" xfId="982" xr:uid="{00000000-0005-0000-0000-0000D1030000}"/>
    <cellStyle name="Millares 2 4 2" xfId="983" xr:uid="{00000000-0005-0000-0000-0000D2030000}"/>
    <cellStyle name="Millares 2 4 3" xfId="984" xr:uid="{00000000-0005-0000-0000-0000D3030000}"/>
    <cellStyle name="Millares 2 4 3 2" xfId="985" xr:uid="{00000000-0005-0000-0000-0000D4030000}"/>
    <cellStyle name="Millares 2 4 4" xfId="986" xr:uid="{00000000-0005-0000-0000-0000D5030000}"/>
    <cellStyle name="Millares 2 4 5" xfId="987" xr:uid="{00000000-0005-0000-0000-0000D6030000}"/>
    <cellStyle name="Millares 2 5" xfId="988" xr:uid="{00000000-0005-0000-0000-0000D7030000}"/>
    <cellStyle name="Millares 2 5 2" xfId="989" xr:uid="{00000000-0005-0000-0000-0000D8030000}"/>
    <cellStyle name="Millares 2 5 3" xfId="990" xr:uid="{00000000-0005-0000-0000-0000D9030000}"/>
    <cellStyle name="Millares 2 6" xfId="991" xr:uid="{00000000-0005-0000-0000-0000DA030000}"/>
    <cellStyle name="Millares 2 6 2" xfId="992" xr:uid="{00000000-0005-0000-0000-0000DB030000}"/>
    <cellStyle name="Millares 2 6 3" xfId="993" xr:uid="{00000000-0005-0000-0000-0000DC030000}"/>
    <cellStyle name="Millares 2 7" xfId="994" xr:uid="{00000000-0005-0000-0000-0000DD030000}"/>
    <cellStyle name="Millares 2 7 2" xfId="995" xr:uid="{00000000-0005-0000-0000-0000DE030000}"/>
    <cellStyle name="Millares 2 8" xfId="996" xr:uid="{00000000-0005-0000-0000-0000DF030000}"/>
    <cellStyle name="Millares 2 8 2" xfId="997" xr:uid="{00000000-0005-0000-0000-0000E0030000}"/>
    <cellStyle name="Millares 2 9" xfId="998" xr:uid="{00000000-0005-0000-0000-0000E1030000}"/>
    <cellStyle name="Millares 2 9 2" xfId="999" xr:uid="{00000000-0005-0000-0000-0000E2030000}"/>
    <cellStyle name="Millares 2_imptos" xfId="1000" xr:uid="{00000000-0005-0000-0000-0000E3030000}"/>
    <cellStyle name="Millares 20" xfId="1001" xr:uid="{00000000-0005-0000-0000-0000E4030000}"/>
    <cellStyle name="Millares 20 2" xfId="1002" xr:uid="{00000000-0005-0000-0000-0000E5030000}"/>
    <cellStyle name="Millares 20 3" xfId="1003" xr:uid="{00000000-0005-0000-0000-0000E6030000}"/>
    <cellStyle name="Millares 200" xfId="1004" xr:uid="{00000000-0005-0000-0000-0000E7030000}"/>
    <cellStyle name="Millares 200 2" xfId="1005" xr:uid="{00000000-0005-0000-0000-0000E8030000}"/>
    <cellStyle name="Millares 201" xfId="1006" xr:uid="{00000000-0005-0000-0000-0000E9030000}"/>
    <cellStyle name="Millares 201 2" xfId="1007" xr:uid="{00000000-0005-0000-0000-0000EA030000}"/>
    <cellStyle name="Millares 202" xfId="1008" xr:uid="{00000000-0005-0000-0000-0000EB030000}"/>
    <cellStyle name="Millares 203" xfId="1009" xr:uid="{00000000-0005-0000-0000-0000EC030000}"/>
    <cellStyle name="Millares 204" xfId="1010" xr:uid="{00000000-0005-0000-0000-0000ED030000}"/>
    <cellStyle name="Millares 205" xfId="1011" xr:uid="{00000000-0005-0000-0000-0000EE030000}"/>
    <cellStyle name="Millares 205 2" xfId="1012" xr:uid="{00000000-0005-0000-0000-0000EF030000}"/>
    <cellStyle name="Millares 206" xfId="1013" xr:uid="{00000000-0005-0000-0000-0000F0030000}"/>
    <cellStyle name="Millares 206 2" xfId="1014" xr:uid="{00000000-0005-0000-0000-0000F1030000}"/>
    <cellStyle name="Millares 207" xfId="1015" xr:uid="{00000000-0005-0000-0000-0000F2030000}"/>
    <cellStyle name="Millares 207 2" xfId="1016" xr:uid="{00000000-0005-0000-0000-0000F3030000}"/>
    <cellStyle name="Millares 208" xfId="1017" xr:uid="{00000000-0005-0000-0000-0000F4030000}"/>
    <cellStyle name="Millares 208 2" xfId="1018" xr:uid="{00000000-0005-0000-0000-0000F5030000}"/>
    <cellStyle name="Millares 209" xfId="1019" xr:uid="{00000000-0005-0000-0000-0000F6030000}"/>
    <cellStyle name="Millares 209 2" xfId="1020" xr:uid="{00000000-0005-0000-0000-0000F7030000}"/>
    <cellStyle name="Millares 21" xfId="1021" xr:uid="{00000000-0005-0000-0000-0000F8030000}"/>
    <cellStyle name="Millares 21 2" xfId="1022" xr:uid="{00000000-0005-0000-0000-0000F9030000}"/>
    <cellStyle name="Millares 21 3" xfId="1023" xr:uid="{00000000-0005-0000-0000-0000FA030000}"/>
    <cellStyle name="Millares 210" xfId="1024" xr:uid="{00000000-0005-0000-0000-0000FB030000}"/>
    <cellStyle name="Millares 210 2" xfId="1025" xr:uid="{00000000-0005-0000-0000-0000FC030000}"/>
    <cellStyle name="Millares 211" xfId="1026" xr:uid="{00000000-0005-0000-0000-0000FD030000}"/>
    <cellStyle name="Millares 211 2" xfId="1027" xr:uid="{00000000-0005-0000-0000-0000FE030000}"/>
    <cellStyle name="Millares 212" xfId="1028" xr:uid="{00000000-0005-0000-0000-0000FF030000}"/>
    <cellStyle name="Millares 212 2" xfId="1029" xr:uid="{00000000-0005-0000-0000-000000040000}"/>
    <cellStyle name="Millares 213" xfId="1030" xr:uid="{00000000-0005-0000-0000-000001040000}"/>
    <cellStyle name="Millares 213 2" xfId="1031" xr:uid="{00000000-0005-0000-0000-000002040000}"/>
    <cellStyle name="Millares 214" xfId="1032" xr:uid="{00000000-0005-0000-0000-000003040000}"/>
    <cellStyle name="Millares 214 2" xfId="1033" xr:uid="{00000000-0005-0000-0000-000004040000}"/>
    <cellStyle name="Millares 215" xfId="1034" xr:uid="{00000000-0005-0000-0000-000005040000}"/>
    <cellStyle name="Millares 215 2" xfId="1035" xr:uid="{00000000-0005-0000-0000-000006040000}"/>
    <cellStyle name="Millares 216" xfId="1036" xr:uid="{00000000-0005-0000-0000-000007040000}"/>
    <cellStyle name="Millares 216 2" xfId="1037" xr:uid="{00000000-0005-0000-0000-000008040000}"/>
    <cellStyle name="Millares 217" xfId="1038" xr:uid="{00000000-0005-0000-0000-000009040000}"/>
    <cellStyle name="Millares 217 2" xfId="1039" xr:uid="{00000000-0005-0000-0000-00000A040000}"/>
    <cellStyle name="Millares 218" xfId="1040" xr:uid="{00000000-0005-0000-0000-00000B040000}"/>
    <cellStyle name="Millares 218 2" xfId="1041" xr:uid="{00000000-0005-0000-0000-00000C040000}"/>
    <cellStyle name="Millares 219" xfId="1042" xr:uid="{00000000-0005-0000-0000-00000D040000}"/>
    <cellStyle name="Millares 219 2" xfId="1043" xr:uid="{00000000-0005-0000-0000-00000E040000}"/>
    <cellStyle name="Millares 22" xfId="1044" xr:uid="{00000000-0005-0000-0000-00000F040000}"/>
    <cellStyle name="Millares 22 2" xfId="1045" xr:uid="{00000000-0005-0000-0000-000010040000}"/>
    <cellStyle name="Millares 22 3" xfId="1046" xr:uid="{00000000-0005-0000-0000-000011040000}"/>
    <cellStyle name="Millares 220" xfId="1047" xr:uid="{00000000-0005-0000-0000-000012040000}"/>
    <cellStyle name="Millares 220 2" xfId="1048" xr:uid="{00000000-0005-0000-0000-000013040000}"/>
    <cellStyle name="Millares 221" xfId="1049" xr:uid="{00000000-0005-0000-0000-000014040000}"/>
    <cellStyle name="Millares 221 2" xfId="1050" xr:uid="{00000000-0005-0000-0000-000015040000}"/>
    <cellStyle name="Millares 222" xfId="1051" xr:uid="{00000000-0005-0000-0000-000016040000}"/>
    <cellStyle name="Millares 222 2" xfId="1052" xr:uid="{00000000-0005-0000-0000-000017040000}"/>
    <cellStyle name="Millares 223" xfId="1053" xr:uid="{00000000-0005-0000-0000-000018040000}"/>
    <cellStyle name="Millares 223 2" xfId="1054" xr:uid="{00000000-0005-0000-0000-000019040000}"/>
    <cellStyle name="Millares 224" xfId="1055" xr:uid="{00000000-0005-0000-0000-00001A040000}"/>
    <cellStyle name="Millares 224 2" xfId="1056" xr:uid="{00000000-0005-0000-0000-00001B040000}"/>
    <cellStyle name="Millares 225" xfId="1057" xr:uid="{00000000-0005-0000-0000-00001C040000}"/>
    <cellStyle name="Millares 225 2" xfId="1058" xr:uid="{00000000-0005-0000-0000-00001D040000}"/>
    <cellStyle name="Millares 226" xfId="1059" xr:uid="{00000000-0005-0000-0000-00001E040000}"/>
    <cellStyle name="Millares 226 2" xfId="1060" xr:uid="{00000000-0005-0000-0000-00001F040000}"/>
    <cellStyle name="Millares 227" xfId="1061" xr:uid="{00000000-0005-0000-0000-000020040000}"/>
    <cellStyle name="Millares 227 2" xfId="1062" xr:uid="{00000000-0005-0000-0000-000021040000}"/>
    <cellStyle name="Millares 228" xfId="1063" xr:uid="{00000000-0005-0000-0000-000022040000}"/>
    <cellStyle name="Millares 228 2" xfId="1064" xr:uid="{00000000-0005-0000-0000-000023040000}"/>
    <cellStyle name="Millares 229" xfId="1065" xr:uid="{00000000-0005-0000-0000-000024040000}"/>
    <cellStyle name="Millares 229 2" xfId="1066" xr:uid="{00000000-0005-0000-0000-000025040000}"/>
    <cellStyle name="Millares 23" xfId="1067" xr:uid="{00000000-0005-0000-0000-000026040000}"/>
    <cellStyle name="Millares 23 2" xfId="1068" xr:uid="{00000000-0005-0000-0000-000027040000}"/>
    <cellStyle name="Millares 23 3" xfId="1069" xr:uid="{00000000-0005-0000-0000-000028040000}"/>
    <cellStyle name="Millares 230" xfId="1070" xr:uid="{00000000-0005-0000-0000-000029040000}"/>
    <cellStyle name="Millares 230 2" xfId="1071" xr:uid="{00000000-0005-0000-0000-00002A040000}"/>
    <cellStyle name="Millares 231" xfId="1072" xr:uid="{00000000-0005-0000-0000-00002B040000}"/>
    <cellStyle name="Millares 231 2" xfId="1073" xr:uid="{00000000-0005-0000-0000-00002C040000}"/>
    <cellStyle name="Millares 232" xfId="1074" xr:uid="{00000000-0005-0000-0000-00002D040000}"/>
    <cellStyle name="Millares 232 2" xfId="1075" xr:uid="{00000000-0005-0000-0000-00002E040000}"/>
    <cellStyle name="Millares 233" xfId="1076" xr:uid="{00000000-0005-0000-0000-00002F040000}"/>
    <cellStyle name="Millares 233 2" xfId="1077" xr:uid="{00000000-0005-0000-0000-000030040000}"/>
    <cellStyle name="Millares 234" xfId="1078" xr:uid="{00000000-0005-0000-0000-000031040000}"/>
    <cellStyle name="Millares 234 2" xfId="1079" xr:uid="{00000000-0005-0000-0000-000032040000}"/>
    <cellStyle name="Millares 235" xfId="1080" xr:uid="{00000000-0005-0000-0000-000033040000}"/>
    <cellStyle name="Millares 235 2" xfId="1081" xr:uid="{00000000-0005-0000-0000-000034040000}"/>
    <cellStyle name="Millares 236" xfId="1082" xr:uid="{00000000-0005-0000-0000-000035040000}"/>
    <cellStyle name="Millares 236 2" xfId="1083" xr:uid="{00000000-0005-0000-0000-000036040000}"/>
    <cellStyle name="Millares 237" xfId="1084" xr:uid="{00000000-0005-0000-0000-000037040000}"/>
    <cellStyle name="Millares 237 2" xfId="1085" xr:uid="{00000000-0005-0000-0000-000038040000}"/>
    <cellStyle name="Millares 238" xfId="1086" xr:uid="{00000000-0005-0000-0000-000039040000}"/>
    <cellStyle name="Millares 238 2" xfId="1087" xr:uid="{00000000-0005-0000-0000-00003A040000}"/>
    <cellStyle name="Millares 239" xfId="1088" xr:uid="{00000000-0005-0000-0000-00003B040000}"/>
    <cellStyle name="Millares 239 2" xfId="1089" xr:uid="{00000000-0005-0000-0000-00003C040000}"/>
    <cellStyle name="Millares 24" xfId="1090" xr:uid="{00000000-0005-0000-0000-00003D040000}"/>
    <cellStyle name="Millares 24 2" xfId="1091" xr:uid="{00000000-0005-0000-0000-00003E040000}"/>
    <cellStyle name="Millares 24 3" xfId="1092" xr:uid="{00000000-0005-0000-0000-00003F040000}"/>
    <cellStyle name="Millares 240" xfId="1093" xr:uid="{00000000-0005-0000-0000-000040040000}"/>
    <cellStyle name="Millares 240 2" xfId="1094" xr:uid="{00000000-0005-0000-0000-000041040000}"/>
    <cellStyle name="Millares 241" xfId="1095" xr:uid="{00000000-0005-0000-0000-000042040000}"/>
    <cellStyle name="Millares 241 2" xfId="1096" xr:uid="{00000000-0005-0000-0000-000043040000}"/>
    <cellStyle name="Millares 242" xfId="1097" xr:uid="{00000000-0005-0000-0000-000044040000}"/>
    <cellStyle name="Millares 242 2" xfId="1098" xr:uid="{00000000-0005-0000-0000-000045040000}"/>
    <cellStyle name="Millares 243" xfId="1099" xr:uid="{00000000-0005-0000-0000-000046040000}"/>
    <cellStyle name="Millares 243 2" xfId="1100" xr:uid="{00000000-0005-0000-0000-000047040000}"/>
    <cellStyle name="Millares 244" xfId="1101" xr:uid="{00000000-0005-0000-0000-000048040000}"/>
    <cellStyle name="Millares 244 2" xfId="1102" xr:uid="{00000000-0005-0000-0000-000049040000}"/>
    <cellStyle name="Millares 245" xfId="1103" xr:uid="{00000000-0005-0000-0000-00004A040000}"/>
    <cellStyle name="Millares 245 2" xfId="1104" xr:uid="{00000000-0005-0000-0000-00004B040000}"/>
    <cellStyle name="Millares 246" xfId="1105" xr:uid="{00000000-0005-0000-0000-00004C040000}"/>
    <cellStyle name="Millares 246 2" xfId="1106" xr:uid="{00000000-0005-0000-0000-00004D040000}"/>
    <cellStyle name="Millares 247" xfId="1107" xr:uid="{00000000-0005-0000-0000-00004E040000}"/>
    <cellStyle name="Millares 247 2" xfId="1108" xr:uid="{00000000-0005-0000-0000-00004F040000}"/>
    <cellStyle name="Millares 248" xfId="1109" xr:uid="{00000000-0005-0000-0000-000050040000}"/>
    <cellStyle name="Millares 248 2" xfId="1110" xr:uid="{00000000-0005-0000-0000-000051040000}"/>
    <cellStyle name="Millares 249" xfId="1111" xr:uid="{00000000-0005-0000-0000-000052040000}"/>
    <cellStyle name="Millares 249 2" xfId="1112" xr:uid="{00000000-0005-0000-0000-000053040000}"/>
    <cellStyle name="Millares 25" xfId="1113" xr:uid="{00000000-0005-0000-0000-000054040000}"/>
    <cellStyle name="Millares 25 2" xfId="1114" xr:uid="{00000000-0005-0000-0000-000055040000}"/>
    <cellStyle name="Millares 25 3" xfId="1115" xr:uid="{00000000-0005-0000-0000-000056040000}"/>
    <cellStyle name="Millares 250" xfId="1116" xr:uid="{00000000-0005-0000-0000-000057040000}"/>
    <cellStyle name="Millares 250 2" xfId="1117" xr:uid="{00000000-0005-0000-0000-000058040000}"/>
    <cellStyle name="Millares 251" xfId="1118" xr:uid="{00000000-0005-0000-0000-000059040000}"/>
    <cellStyle name="Millares 251 2" xfId="1119" xr:uid="{00000000-0005-0000-0000-00005A040000}"/>
    <cellStyle name="Millares 252" xfId="1120" xr:uid="{00000000-0005-0000-0000-00005B040000}"/>
    <cellStyle name="Millares 252 2" xfId="1121" xr:uid="{00000000-0005-0000-0000-00005C040000}"/>
    <cellStyle name="Millares 253" xfId="1122" xr:uid="{00000000-0005-0000-0000-00005D040000}"/>
    <cellStyle name="Millares 254" xfId="1123" xr:uid="{00000000-0005-0000-0000-00005E040000}"/>
    <cellStyle name="Millares 255" xfId="1124" xr:uid="{00000000-0005-0000-0000-00005F040000}"/>
    <cellStyle name="Millares 256" xfId="1125" xr:uid="{00000000-0005-0000-0000-000060040000}"/>
    <cellStyle name="Millares 257" xfId="1126" xr:uid="{00000000-0005-0000-0000-000061040000}"/>
    <cellStyle name="Millares 258" xfId="1127" xr:uid="{00000000-0005-0000-0000-000062040000}"/>
    <cellStyle name="Millares 259" xfId="1128" xr:uid="{00000000-0005-0000-0000-000063040000}"/>
    <cellStyle name="Millares 26" xfId="1129" xr:uid="{00000000-0005-0000-0000-000064040000}"/>
    <cellStyle name="Millares 26 2" xfId="1130" xr:uid="{00000000-0005-0000-0000-000065040000}"/>
    <cellStyle name="Millares 26 3" xfId="1131" xr:uid="{00000000-0005-0000-0000-000066040000}"/>
    <cellStyle name="Millares 260" xfId="1132" xr:uid="{00000000-0005-0000-0000-000067040000}"/>
    <cellStyle name="Millares 261" xfId="1133" xr:uid="{00000000-0005-0000-0000-000068040000}"/>
    <cellStyle name="Millares 262" xfId="1134" xr:uid="{00000000-0005-0000-0000-000069040000}"/>
    <cellStyle name="Millares 263" xfId="1135" xr:uid="{00000000-0005-0000-0000-00006A040000}"/>
    <cellStyle name="Millares 27" xfId="1136" xr:uid="{00000000-0005-0000-0000-00006B040000}"/>
    <cellStyle name="Millares 27 2" xfId="1137" xr:uid="{00000000-0005-0000-0000-00006C040000}"/>
    <cellStyle name="Millares 27 3" xfId="1138" xr:uid="{00000000-0005-0000-0000-00006D040000}"/>
    <cellStyle name="Millares 28" xfId="1139" xr:uid="{00000000-0005-0000-0000-00006E040000}"/>
    <cellStyle name="Millares 28 2" xfId="1140" xr:uid="{00000000-0005-0000-0000-00006F040000}"/>
    <cellStyle name="Millares 28 3" xfId="1141" xr:uid="{00000000-0005-0000-0000-000070040000}"/>
    <cellStyle name="Millares 29" xfId="1142" xr:uid="{00000000-0005-0000-0000-000071040000}"/>
    <cellStyle name="Millares 29 2" xfId="1143" xr:uid="{00000000-0005-0000-0000-000072040000}"/>
    <cellStyle name="Millares 29 3" xfId="1144" xr:uid="{00000000-0005-0000-0000-000073040000}"/>
    <cellStyle name="Millares 3" xfId="1145" xr:uid="{00000000-0005-0000-0000-000074040000}"/>
    <cellStyle name="Millares 3 10" xfId="1146" xr:uid="{00000000-0005-0000-0000-000075040000}"/>
    <cellStyle name="Millares 3 11" xfId="1147" xr:uid="{00000000-0005-0000-0000-000076040000}"/>
    <cellStyle name="Millares 3 12" xfId="1148" xr:uid="{00000000-0005-0000-0000-000077040000}"/>
    <cellStyle name="Millares 3 13" xfId="1149" xr:uid="{00000000-0005-0000-0000-000078040000}"/>
    <cellStyle name="Millares 3 14" xfId="1150" xr:uid="{00000000-0005-0000-0000-000079040000}"/>
    <cellStyle name="Millares 3 2" xfId="1151" xr:uid="{00000000-0005-0000-0000-00007A040000}"/>
    <cellStyle name="Millares 3 2 2" xfId="1152" xr:uid="{00000000-0005-0000-0000-00007B040000}"/>
    <cellStyle name="Millares 3 2 2 2" xfId="1153" xr:uid="{00000000-0005-0000-0000-00007C040000}"/>
    <cellStyle name="Millares 3 2 2 3" xfId="1154" xr:uid="{00000000-0005-0000-0000-00007D040000}"/>
    <cellStyle name="Millares 3 2 2 4" xfId="1155" xr:uid="{00000000-0005-0000-0000-00007E040000}"/>
    <cellStyle name="Millares 3 2 3" xfId="1156" xr:uid="{00000000-0005-0000-0000-00007F040000}"/>
    <cellStyle name="Millares 3 2 3 2" xfId="1157" xr:uid="{00000000-0005-0000-0000-000080040000}"/>
    <cellStyle name="Millares 3 2 4" xfId="1158" xr:uid="{00000000-0005-0000-0000-000081040000}"/>
    <cellStyle name="Millares 3 2 5" xfId="1159" xr:uid="{00000000-0005-0000-0000-000082040000}"/>
    <cellStyle name="Millares 3 2 6" xfId="1160" xr:uid="{00000000-0005-0000-0000-000083040000}"/>
    <cellStyle name="Millares 3 3" xfId="1161" xr:uid="{00000000-0005-0000-0000-000084040000}"/>
    <cellStyle name="Millares 3 3 2" xfId="1162" xr:uid="{00000000-0005-0000-0000-000085040000}"/>
    <cellStyle name="Millares 3 3 3" xfId="1163" xr:uid="{00000000-0005-0000-0000-000086040000}"/>
    <cellStyle name="Millares 3 3 4" xfId="1164" xr:uid="{00000000-0005-0000-0000-000087040000}"/>
    <cellStyle name="Millares 3 3 5" xfId="1165" xr:uid="{00000000-0005-0000-0000-000088040000}"/>
    <cellStyle name="Millares 3 3 6" xfId="1166" xr:uid="{00000000-0005-0000-0000-000089040000}"/>
    <cellStyle name="Millares 3 4" xfId="1167" xr:uid="{00000000-0005-0000-0000-00008A040000}"/>
    <cellStyle name="Millares 3 4 2" xfId="1168" xr:uid="{00000000-0005-0000-0000-00008B040000}"/>
    <cellStyle name="Millares 3 4 3" xfId="1169" xr:uid="{00000000-0005-0000-0000-00008C040000}"/>
    <cellStyle name="Millares 3 4 4" xfId="1170" xr:uid="{00000000-0005-0000-0000-00008D040000}"/>
    <cellStyle name="Millares 3 4 5" xfId="1171" xr:uid="{00000000-0005-0000-0000-00008E040000}"/>
    <cellStyle name="Millares 3 5" xfId="1172" xr:uid="{00000000-0005-0000-0000-00008F040000}"/>
    <cellStyle name="Millares 3 5 2" xfId="1173" xr:uid="{00000000-0005-0000-0000-000090040000}"/>
    <cellStyle name="Millares 3 5 3" xfId="1174" xr:uid="{00000000-0005-0000-0000-000091040000}"/>
    <cellStyle name="Millares 3 5 4" xfId="1175" xr:uid="{00000000-0005-0000-0000-000092040000}"/>
    <cellStyle name="Millares 3 5 5" xfId="1176" xr:uid="{00000000-0005-0000-0000-000093040000}"/>
    <cellStyle name="Millares 3 5 6" xfId="1177" xr:uid="{00000000-0005-0000-0000-000094040000}"/>
    <cellStyle name="Millares 3 5_destino" xfId="1178" xr:uid="{00000000-0005-0000-0000-000095040000}"/>
    <cellStyle name="Millares 3 6" xfId="1179" xr:uid="{00000000-0005-0000-0000-000096040000}"/>
    <cellStyle name="Millares 3 6 2" xfId="1180" xr:uid="{00000000-0005-0000-0000-000097040000}"/>
    <cellStyle name="Millares 3 6 3" xfId="1181" xr:uid="{00000000-0005-0000-0000-000098040000}"/>
    <cellStyle name="Millares 3 6 4" xfId="1182" xr:uid="{00000000-0005-0000-0000-000099040000}"/>
    <cellStyle name="Millares 3 7" xfId="1183" xr:uid="{00000000-0005-0000-0000-00009A040000}"/>
    <cellStyle name="Millares 3 8" xfId="1184" xr:uid="{00000000-0005-0000-0000-00009B040000}"/>
    <cellStyle name="Millares 3 9" xfId="1185" xr:uid="{00000000-0005-0000-0000-00009C040000}"/>
    <cellStyle name="Millares 3_destino" xfId="1186" xr:uid="{00000000-0005-0000-0000-00009D040000}"/>
    <cellStyle name="Millares 30" xfId="1187" xr:uid="{00000000-0005-0000-0000-00009E040000}"/>
    <cellStyle name="Millares 30 2" xfId="1188" xr:uid="{00000000-0005-0000-0000-00009F040000}"/>
    <cellStyle name="Millares 30 3" xfId="1189" xr:uid="{00000000-0005-0000-0000-0000A0040000}"/>
    <cellStyle name="Millares 31" xfId="1190" xr:uid="{00000000-0005-0000-0000-0000A1040000}"/>
    <cellStyle name="Millares 31 2" xfId="1191" xr:uid="{00000000-0005-0000-0000-0000A2040000}"/>
    <cellStyle name="Millares 31 3" xfId="1192" xr:uid="{00000000-0005-0000-0000-0000A3040000}"/>
    <cellStyle name="Millares 32" xfId="1193" xr:uid="{00000000-0005-0000-0000-0000A4040000}"/>
    <cellStyle name="Millares 32 2" xfId="1194" xr:uid="{00000000-0005-0000-0000-0000A5040000}"/>
    <cellStyle name="Millares 32 3" xfId="1195" xr:uid="{00000000-0005-0000-0000-0000A6040000}"/>
    <cellStyle name="Millares 33" xfId="1196" xr:uid="{00000000-0005-0000-0000-0000A7040000}"/>
    <cellStyle name="Millares 33 2" xfId="1197" xr:uid="{00000000-0005-0000-0000-0000A8040000}"/>
    <cellStyle name="Millares 33 3" xfId="1198" xr:uid="{00000000-0005-0000-0000-0000A9040000}"/>
    <cellStyle name="Millares 34" xfId="1199" xr:uid="{00000000-0005-0000-0000-0000AA040000}"/>
    <cellStyle name="Millares 34 2" xfId="1200" xr:uid="{00000000-0005-0000-0000-0000AB040000}"/>
    <cellStyle name="Millares 34 3" xfId="1201" xr:uid="{00000000-0005-0000-0000-0000AC040000}"/>
    <cellStyle name="Millares 35" xfId="1202" xr:uid="{00000000-0005-0000-0000-0000AD040000}"/>
    <cellStyle name="Millares 35 2" xfId="1203" xr:uid="{00000000-0005-0000-0000-0000AE040000}"/>
    <cellStyle name="Millares 35 3" xfId="1204" xr:uid="{00000000-0005-0000-0000-0000AF040000}"/>
    <cellStyle name="Millares 36" xfId="1205" xr:uid="{00000000-0005-0000-0000-0000B0040000}"/>
    <cellStyle name="Millares 36 2" xfId="1206" xr:uid="{00000000-0005-0000-0000-0000B1040000}"/>
    <cellStyle name="Millares 36 3" xfId="1207" xr:uid="{00000000-0005-0000-0000-0000B2040000}"/>
    <cellStyle name="Millares 37" xfId="1208" xr:uid="{00000000-0005-0000-0000-0000B3040000}"/>
    <cellStyle name="Millares 37 2" xfId="1209" xr:uid="{00000000-0005-0000-0000-0000B4040000}"/>
    <cellStyle name="Millares 37 3" xfId="1210" xr:uid="{00000000-0005-0000-0000-0000B5040000}"/>
    <cellStyle name="Millares 38" xfId="1211" xr:uid="{00000000-0005-0000-0000-0000B6040000}"/>
    <cellStyle name="Millares 38 2" xfId="1212" xr:uid="{00000000-0005-0000-0000-0000B7040000}"/>
    <cellStyle name="Millares 38 3" xfId="1213" xr:uid="{00000000-0005-0000-0000-0000B8040000}"/>
    <cellStyle name="Millares 39" xfId="1214" xr:uid="{00000000-0005-0000-0000-0000B9040000}"/>
    <cellStyle name="Millares 39 2" xfId="1215" xr:uid="{00000000-0005-0000-0000-0000BA040000}"/>
    <cellStyle name="Millares 39 3" xfId="1216" xr:uid="{00000000-0005-0000-0000-0000BB040000}"/>
    <cellStyle name="Millares 4" xfId="1217" xr:uid="{00000000-0005-0000-0000-0000BC040000}"/>
    <cellStyle name="Millares 4 10" xfId="1218" xr:uid="{00000000-0005-0000-0000-0000BD040000}"/>
    <cellStyle name="Millares 4 11" xfId="1219" xr:uid="{00000000-0005-0000-0000-0000BE040000}"/>
    <cellStyle name="Millares 4 12" xfId="1220" xr:uid="{00000000-0005-0000-0000-0000BF040000}"/>
    <cellStyle name="Millares 4 13" xfId="1221" xr:uid="{00000000-0005-0000-0000-0000C0040000}"/>
    <cellStyle name="Millares 4 2" xfId="1222" xr:uid="{00000000-0005-0000-0000-0000C1040000}"/>
    <cellStyle name="Millares 4 2 2" xfId="1223" xr:uid="{00000000-0005-0000-0000-0000C2040000}"/>
    <cellStyle name="Millares 4 2 2 2" xfId="1224" xr:uid="{00000000-0005-0000-0000-0000C3040000}"/>
    <cellStyle name="Millares 4 2 2 3" xfId="1225" xr:uid="{00000000-0005-0000-0000-0000C4040000}"/>
    <cellStyle name="Millares 4 2 2 4" xfId="1226" xr:uid="{00000000-0005-0000-0000-0000C5040000}"/>
    <cellStyle name="Millares 4 2 3" xfId="1227" xr:uid="{00000000-0005-0000-0000-0000C6040000}"/>
    <cellStyle name="Millares 4 2 4" xfId="1228" xr:uid="{00000000-0005-0000-0000-0000C7040000}"/>
    <cellStyle name="Millares 4 2 5" xfId="1229" xr:uid="{00000000-0005-0000-0000-0000C8040000}"/>
    <cellStyle name="Millares 4 2 6" xfId="1230" xr:uid="{00000000-0005-0000-0000-0000C9040000}"/>
    <cellStyle name="Millares 4 2_destino" xfId="1231" xr:uid="{00000000-0005-0000-0000-0000CA040000}"/>
    <cellStyle name="Millares 4 3" xfId="1232" xr:uid="{00000000-0005-0000-0000-0000CB040000}"/>
    <cellStyle name="Millares 4 3 2" xfId="1233" xr:uid="{00000000-0005-0000-0000-0000CC040000}"/>
    <cellStyle name="Millares 4 3 2 2" xfId="1234" xr:uid="{00000000-0005-0000-0000-0000CD040000}"/>
    <cellStyle name="Millares 4 3 2 3" xfId="1235" xr:uid="{00000000-0005-0000-0000-0000CE040000}"/>
    <cellStyle name="Millares 4 3 2 4" xfId="1236" xr:uid="{00000000-0005-0000-0000-0000CF040000}"/>
    <cellStyle name="Millares 4 3 3" xfId="1237" xr:uid="{00000000-0005-0000-0000-0000D0040000}"/>
    <cellStyle name="Millares 4 3 4" xfId="1238" xr:uid="{00000000-0005-0000-0000-0000D1040000}"/>
    <cellStyle name="Millares 4 3 5" xfId="1239" xr:uid="{00000000-0005-0000-0000-0000D2040000}"/>
    <cellStyle name="Millares 4 3 6" xfId="1240" xr:uid="{00000000-0005-0000-0000-0000D3040000}"/>
    <cellStyle name="Millares 4 4" xfId="1241" xr:uid="{00000000-0005-0000-0000-0000D4040000}"/>
    <cellStyle name="Millares 4 4 2" xfId="1242" xr:uid="{00000000-0005-0000-0000-0000D5040000}"/>
    <cellStyle name="Millares 4 4 3" xfId="1243" xr:uid="{00000000-0005-0000-0000-0000D6040000}"/>
    <cellStyle name="Millares 4 4 4" xfId="1244" xr:uid="{00000000-0005-0000-0000-0000D7040000}"/>
    <cellStyle name="Millares 4 5" xfId="1245" xr:uid="{00000000-0005-0000-0000-0000D8040000}"/>
    <cellStyle name="Millares 4 5 2" xfId="1246" xr:uid="{00000000-0005-0000-0000-0000D9040000}"/>
    <cellStyle name="Millares 4 5 3" xfId="1247" xr:uid="{00000000-0005-0000-0000-0000DA040000}"/>
    <cellStyle name="Millares 4 5 4" xfId="1248" xr:uid="{00000000-0005-0000-0000-0000DB040000}"/>
    <cellStyle name="Millares 4 6" xfId="1249" xr:uid="{00000000-0005-0000-0000-0000DC040000}"/>
    <cellStyle name="Millares 4 6 2" xfId="1250" xr:uid="{00000000-0005-0000-0000-0000DD040000}"/>
    <cellStyle name="Millares 4 7" xfId="1251" xr:uid="{00000000-0005-0000-0000-0000DE040000}"/>
    <cellStyle name="Millares 4 7 2" xfId="1252" xr:uid="{00000000-0005-0000-0000-0000DF040000}"/>
    <cellStyle name="Millares 4 8" xfId="1253" xr:uid="{00000000-0005-0000-0000-0000E0040000}"/>
    <cellStyle name="Millares 4 8 2" xfId="1254" xr:uid="{00000000-0005-0000-0000-0000E1040000}"/>
    <cellStyle name="Millares 4 9" xfId="1255" xr:uid="{00000000-0005-0000-0000-0000E2040000}"/>
    <cellStyle name="Millares 4_destino" xfId="1256" xr:uid="{00000000-0005-0000-0000-0000E3040000}"/>
    <cellStyle name="Millares 40" xfId="1257" xr:uid="{00000000-0005-0000-0000-0000E4040000}"/>
    <cellStyle name="Millares 40 2" xfId="1258" xr:uid="{00000000-0005-0000-0000-0000E5040000}"/>
    <cellStyle name="Millares 40 3" xfId="1259" xr:uid="{00000000-0005-0000-0000-0000E6040000}"/>
    <cellStyle name="Millares 41" xfId="1260" xr:uid="{00000000-0005-0000-0000-0000E7040000}"/>
    <cellStyle name="Millares 41 2" xfId="1261" xr:uid="{00000000-0005-0000-0000-0000E8040000}"/>
    <cellStyle name="Millares 41 3" xfId="1262" xr:uid="{00000000-0005-0000-0000-0000E9040000}"/>
    <cellStyle name="Millares 42" xfId="1263" xr:uid="{00000000-0005-0000-0000-0000EA040000}"/>
    <cellStyle name="Millares 42 2" xfId="1264" xr:uid="{00000000-0005-0000-0000-0000EB040000}"/>
    <cellStyle name="Millares 42 3" xfId="1265" xr:uid="{00000000-0005-0000-0000-0000EC040000}"/>
    <cellStyle name="Millares 43" xfId="1266" xr:uid="{00000000-0005-0000-0000-0000ED040000}"/>
    <cellStyle name="Millares 43 2" xfId="1267" xr:uid="{00000000-0005-0000-0000-0000EE040000}"/>
    <cellStyle name="Millares 43 3" xfId="1268" xr:uid="{00000000-0005-0000-0000-0000EF040000}"/>
    <cellStyle name="Millares 44" xfId="1269" xr:uid="{00000000-0005-0000-0000-0000F0040000}"/>
    <cellStyle name="Millares 44 2" xfId="1270" xr:uid="{00000000-0005-0000-0000-0000F1040000}"/>
    <cellStyle name="Millares 45" xfId="1271" xr:uid="{00000000-0005-0000-0000-0000F2040000}"/>
    <cellStyle name="Millares 45 2" xfId="1272" xr:uid="{00000000-0005-0000-0000-0000F3040000}"/>
    <cellStyle name="Millares 46" xfId="1273" xr:uid="{00000000-0005-0000-0000-0000F4040000}"/>
    <cellStyle name="Millares 46 2" xfId="1274" xr:uid="{00000000-0005-0000-0000-0000F5040000}"/>
    <cellStyle name="Millares 47" xfId="1275" xr:uid="{00000000-0005-0000-0000-0000F6040000}"/>
    <cellStyle name="Millares 47 2" xfId="1276" xr:uid="{00000000-0005-0000-0000-0000F7040000}"/>
    <cellStyle name="Millares 48" xfId="1277" xr:uid="{00000000-0005-0000-0000-0000F8040000}"/>
    <cellStyle name="Millares 48 2" xfId="1278" xr:uid="{00000000-0005-0000-0000-0000F9040000}"/>
    <cellStyle name="Millares 49" xfId="1279" xr:uid="{00000000-0005-0000-0000-0000FA040000}"/>
    <cellStyle name="Millares 49 2" xfId="1280" xr:uid="{00000000-0005-0000-0000-0000FB040000}"/>
    <cellStyle name="Millares 5" xfId="1281" xr:uid="{00000000-0005-0000-0000-0000FC040000}"/>
    <cellStyle name="Millares 5 10" xfId="1282" xr:uid="{00000000-0005-0000-0000-0000FD040000}"/>
    <cellStyle name="Millares 5 10 2" xfId="1283" xr:uid="{00000000-0005-0000-0000-0000FE040000}"/>
    <cellStyle name="Millares 5 11" xfId="1284" xr:uid="{00000000-0005-0000-0000-0000FF040000}"/>
    <cellStyle name="Millares 5 11 2" xfId="1285" xr:uid="{00000000-0005-0000-0000-000000050000}"/>
    <cellStyle name="Millares 5 12" xfId="1286" xr:uid="{00000000-0005-0000-0000-000001050000}"/>
    <cellStyle name="Millares 5 13" xfId="1287" xr:uid="{00000000-0005-0000-0000-000002050000}"/>
    <cellStyle name="Millares 5 14" xfId="1288" xr:uid="{00000000-0005-0000-0000-000003050000}"/>
    <cellStyle name="Millares 5 15" xfId="1289" xr:uid="{00000000-0005-0000-0000-000004050000}"/>
    <cellStyle name="Millares 5 16" xfId="1290" xr:uid="{00000000-0005-0000-0000-000005050000}"/>
    <cellStyle name="Millares 5 17" xfId="1291" xr:uid="{00000000-0005-0000-0000-000006050000}"/>
    <cellStyle name="Millares 5 18" xfId="1292" xr:uid="{00000000-0005-0000-0000-000007050000}"/>
    <cellStyle name="Millares 5 19" xfId="1293" xr:uid="{00000000-0005-0000-0000-000008050000}"/>
    <cellStyle name="Millares 5 2" xfId="1294" xr:uid="{00000000-0005-0000-0000-000009050000}"/>
    <cellStyle name="Millares 5 2 2" xfId="1295" xr:uid="{00000000-0005-0000-0000-00000A050000}"/>
    <cellStyle name="Millares 5 2 2 2" xfId="1296" xr:uid="{00000000-0005-0000-0000-00000B050000}"/>
    <cellStyle name="Millares 5 2 3" xfId="1297" xr:uid="{00000000-0005-0000-0000-00000C050000}"/>
    <cellStyle name="Millares 5 2 4" xfId="1298" xr:uid="{00000000-0005-0000-0000-00000D050000}"/>
    <cellStyle name="Millares 5 2 5" xfId="1299" xr:uid="{00000000-0005-0000-0000-00000E050000}"/>
    <cellStyle name="Millares 5 2 6" xfId="1300" xr:uid="{00000000-0005-0000-0000-00000F050000}"/>
    <cellStyle name="Millares 5 2 7" xfId="1301" xr:uid="{00000000-0005-0000-0000-000010050000}"/>
    <cellStyle name="Millares 5 2 8" xfId="1302" xr:uid="{00000000-0005-0000-0000-000011050000}"/>
    <cellStyle name="Millares 5 2_destino" xfId="1303" xr:uid="{00000000-0005-0000-0000-000012050000}"/>
    <cellStyle name="Millares 5 20" xfId="1304" xr:uid="{00000000-0005-0000-0000-000013050000}"/>
    <cellStyle name="Millares 5 21" xfId="1305" xr:uid="{00000000-0005-0000-0000-000014050000}"/>
    <cellStyle name="Millares 5 22" xfId="1306" xr:uid="{00000000-0005-0000-0000-000015050000}"/>
    <cellStyle name="Millares 5 23" xfId="1307" xr:uid="{00000000-0005-0000-0000-000016050000}"/>
    <cellStyle name="Millares 5 24" xfId="1308" xr:uid="{00000000-0005-0000-0000-000017050000}"/>
    <cellStyle name="Millares 5 25" xfId="1309" xr:uid="{00000000-0005-0000-0000-000018050000}"/>
    <cellStyle name="Millares 5 26" xfId="1310" xr:uid="{00000000-0005-0000-0000-000019050000}"/>
    <cellStyle name="Millares 5 27" xfId="1311" xr:uid="{00000000-0005-0000-0000-00001A050000}"/>
    <cellStyle name="Millares 5 3" xfId="1312" xr:uid="{00000000-0005-0000-0000-00001B050000}"/>
    <cellStyle name="Millares 5 3 2" xfId="1313" xr:uid="{00000000-0005-0000-0000-00001C050000}"/>
    <cellStyle name="Millares 5 3 3" xfId="1314" xr:uid="{00000000-0005-0000-0000-00001D050000}"/>
    <cellStyle name="Millares 5 4" xfId="1315" xr:uid="{00000000-0005-0000-0000-00001E050000}"/>
    <cellStyle name="Millares 5 4 2" xfId="1316" xr:uid="{00000000-0005-0000-0000-00001F050000}"/>
    <cellStyle name="Millares 5 5" xfId="1317" xr:uid="{00000000-0005-0000-0000-000020050000}"/>
    <cellStyle name="Millares 5 5 2" xfId="1318" xr:uid="{00000000-0005-0000-0000-000021050000}"/>
    <cellStyle name="Millares 5 6" xfId="1319" xr:uid="{00000000-0005-0000-0000-000022050000}"/>
    <cellStyle name="Millares 5 6 2" xfId="1320" xr:uid="{00000000-0005-0000-0000-000023050000}"/>
    <cellStyle name="Millares 5 7" xfId="1321" xr:uid="{00000000-0005-0000-0000-000024050000}"/>
    <cellStyle name="Millares 5 7 2" xfId="1322" xr:uid="{00000000-0005-0000-0000-000025050000}"/>
    <cellStyle name="Millares 5 8" xfId="1323" xr:uid="{00000000-0005-0000-0000-000026050000}"/>
    <cellStyle name="Millares 5 8 2" xfId="1324" xr:uid="{00000000-0005-0000-0000-000027050000}"/>
    <cellStyle name="Millares 5 9" xfId="1325" xr:uid="{00000000-0005-0000-0000-000028050000}"/>
    <cellStyle name="Millares 5 9 2" xfId="1326" xr:uid="{00000000-0005-0000-0000-000029050000}"/>
    <cellStyle name="Millares 5_destino" xfId="1327" xr:uid="{00000000-0005-0000-0000-00002A050000}"/>
    <cellStyle name="Millares 50" xfId="1328" xr:uid="{00000000-0005-0000-0000-00002B050000}"/>
    <cellStyle name="Millares 51" xfId="1329" xr:uid="{00000000-0005-0000-0000-00002C050000}"/>
    <cellStyle name="Millares 51 2" xfId="1330" xr:uid="{00000000-0005-0000-0000-00002D050000}"/>
    <cellStyle name="Millares 52" xfId="1331" xr:uid="{00000000-0005-0000-0000-00002E050000}"/>
    <cellStyle name="Millares 52 2" xfId="1332" xr:uid="{00000000-0005-0000-0000-00002F050000}"/>
    <cellStyle name="Millares 53" xfId="1333" xr:uid="{00000000-0005-0000-0000-000030050000}"/>
    <cellStyle name="Millares 53 2" xfId="1334" xr:uid="{00000000-0005-0000-0000-000031050000}"/>
    <cellStyle name="Millares 54" xfId="1335" xr:uid="{00000000-0005-0000-0000-000032050000}"/>
    <cellStyle name="Millares 54 2" xfId="1336" xr:uid="{00000000-0005-0000-0000-000033050000}"/>
    <cellStyle name="Millares 55" xfId="1337" xr:uid="{00000000-0005-0000-0000-000034050000}"/>
    <cellStyle name="Millares 55 2" xfId="1338" xr:uid="{00000000-0005-0000-0000-000035050000}"/>
    <cellStyle name="Millares 56" xfId="1339" xr:uid="{00000000-0005-0000-0000-000036050000}"/>
    <cellStyle name="Millares 56 2" xfId="1340" xr:uid="{00000000-0005-0000-0000-000037050000}"/>
    <cellStyle name="Millares 57" xfId="1341" xr:uid="{00000000-0005-0000-0000-000038050000}"/>
    <cellStyle name="Millares 57 2" xfId="1342" xr:uid="{00000000-0005-0000-0000-000039050000}"/>
    <cellStyle name="Millares 58" xfId="1343" xr:uid="{00000000-0005-0000-0000-00003A050000}"/>
    <cellStyle name="Millares 58 2" xfId="1344" xr:uid="{00000000-0005-0000-0000-00003B050000}"/>
    <cellStyle name="Millares 59" xfId="1345" xr:uid="{00000000-0005-0000-0000-00003C050000}"/>
    <cellStyle name="Millares 59 2" xfId="1346" xr:uid="{00000000-0005-0000-0000-00003D050000}"/>
    <cellStyle name="Millares 6" xfId="1347" xr:uid="{00000000-0005-0000-0000-00003E050000}"/>
    <cellStyle name="Millares 6 2" xfId="1348" xr:uid="{00000000-0005-0000-0000-00003F050000}"/>
    <cellStyle name="Millares 6 2 2" xfId="1349" xr:uid="{00000000-0005-0000-0000-000040050000}"/>
    <cellStyle name="Millares 6 2 3" xfId="1350" xr:uid="{00000000-0005-0000-0000-000041050000}"/>
    <cellStyle name="Millares 6 2 4" xfId="1351" xr:uid="{00000000-0005-0000-0000-000042050000}"/>
    <cellStyle name="Millares 6 2 5" xfId="1352" xr:uid="{00000000-0005-0000-0000-000043050000}"/>
    <cellStyle name="Millares 6 3" xfId="1353" xr:uid="{00000000-0005-0000-0000-000044050000}"/>
    <cellStyle name="Millares 6 3 2" xfId="1354" xr:uid="{00000000-0005-0000-0000-000045050000}"/>
    <cellStyle name="Millares 6 3 3" xfId="1355" xr:uid="{00000000-0005-0000-0000-000046050000}"/>
    <cellStyle name="Millares 6 3 4" xfId="1356" xr:uid="{00000000-0005-0000-0000-000047050000}"/>
    <cellStyle name="Millares 6 4" xfId="1357" xr:uid="{00000000-0005-0000-0000-000048050000}"/>
    <cellStyle name="Millares 6 5" xfId="1358" xr:uid="{00000000-0005-0000-0000-000049050000}"/>
    <cellStyle name="Millares 6 6" xfId="1359" xr:uid="{00000000-0005-0000-0000-00004A050000}"/>
    <cellStyle name="Millares 6 7" xfId="1360" xr:uid="{00000000-0005-0000-0000-00004B050000}"/>
    <cellStyle name="Millares 6 8" xfId="1361" xr:uid="{00000000-0005-0000-0000-00004C050000}"/>
    <cellStyle name="Millares 6_destino" xfId="1362" xr:uid="{00000000-0005-0000-0000-00004D050000}"/>
    <cellStyle name="Millares 60" xfId="1363" xr:uid="{00000000-0005-0000-0000-00004E050000}"/>
    <cellStyle name="Millares 60 2" xfId="1364" xr:uid="{00000000-0005-0000-0000-00004F050000}"/>
    <cellStyle name="Millares 61" xfId="1365" xr:uid="{00000000-0005-0000-0000-000050050000}"/>
    <cellStyle name="Millares 61 2" xfId="1366" xr:uid="{00000000-0005-0000-0000-000051050000}"/>
    <cellStyle name="Millares 62" xfId="1367" xr:uid="{00000000-0005-0000-0000-000052050000}"/>
    <cellStyle name="Millares 62 2" xfId="1368" xr:uid="{00000000-0005-0000-0000-000053050000}"/>
    <cellStyle name="Millares 63" xfId="1369" xr:uid="{00000000-0005-0000-0000-000054050000}"/>
    <cellStyle name="Millares 63 2" xfId="1370" xr:uid="{00000000-0005-0000-0000-000055050000}"/>
    <cellStyle name="Millares 64" xfId="1371" xr:uid="{00000000-0005-0000-0000-000056050000}"/>
    <cellStyle name="Millares 64 2" xfId="1372" xr:uid="{00000000-0005-0000-0000-000057050000}"/>
    <cellStyle name="Millares 65" xfId="1373" xr:uid="{00000000-0005-0000-0000-000058050000}"/>
    <cellStyle name="Millares 65 2" xfId="1374" xr:uid="{00000000-0005-0000-0000-000059050000}"/>
    <cellStyle name="Millares 66" xfId="1375" xr:uid="{00000000-0005-0000-0000-00005A050000}"/>
    <cellStyle name="Millares 66 2" xfId="1376" xr:uid="{00000000-0005-0000-0000-00005B050000}"/>
    <cellStyle name="Millares 67" xfId="1377" xr:uid="{00000000-0005-0000-0000-00005C050000}"/>
    <cellStyle name="Millares 67 2" xfId="1378" xr:uid="{00000000-0005-0000-0000-00005D050000}"/>
    <cellStyle name="Millares 68" xfId="1379" xr:uid="{00000000-0005-0000-0000-00005E050000}"/>
    <cellStyle name="Millares 68 2" xfId="1380" xr:uid="{00000000-0005-0000-0000-00005F050000}"/>
    <cellStyle name="Millares 69" xfId="1381" xr:uid="{00000000-0005-0000-0000-000060050000}"/>
    <cellStyle name="Millares 69 2" xfId="1382" xr:uid="{00000000-0005-0000-0000-000061050000}"/>
    <cellStyle name="Millares 7" xfId="1383" xr:uid="{00000000-0005-0000-0000-000062050000}"/>
    <cellStyle name="Millares 7 2" xfId="1384" xr:uid="{00000000-0005-0000-0000-000063050000}"/>
    <cellStyle name="Millares 7 2 2" xfId="1385" xr:uid="{00000000-0005-0000-0000-000064050000}"/>
    <cellStyle name="Millares 7 3" xfId="1386" xr:uid="{00000000-0005-0000-0000-000065050000}"/>
    <cellStyle name="Millares 7 3 2" xfId="1387" xr:uid="{00000000-0005-0000-0000-000066050000}"/>
    <cellStyle name="Millares 7 4" xfId="1388" xr:uid="{00000000-0005-0000-0000-000067050000}"/>
    <cellStyle name="Millares 7 5" xfId="1389" xr:uid="{00000000-0005-0000-0000-000068050000}"/>
    <cellStyle name="Millares 7 6" xfId="1390" xr:uid="{00000000-0005-0000-0000-000069050000}"/>
    <cellStyle name="Millares 70" xfId="1391" xr:uid="{00000000-0005-0000-0000-00006A050000}"/>
    <cellStyle name="Millares 70 2" xfId="1392" xr:uid="{00000000-0005-0000-0000-00006B050000}"/>
    <cellStyle name="Millares 71" xfId="1393" xr:uid="{00000000-0005-0000-0000-00006C050000}"/>
    <cellStyle name="Millares 71 2" xfId="1394" xr:uid="{00000000-0005-0000-0000-00006D050000}"/>
    <cellStyle name="Millares 72" xfId="1395" xr:uid="{00000000-0005-0000-0000-00006E050000}"/>
    <cellStyle name="Millares 72 2" xfId="1396" xr:uid="{00000000-0005-0000-0000-00006F050000}"/>
    <cellStyle name="Millares 73" xfId="1397" xr:uid="{00000000-0005-0000-0000-000070050000}"/>
    <cellStyle name="Millares 73 2" xfId="1398" xr:uid="{00000000-0005-0000-0000-000071050000}"/>
    <cellStyle name="Millares 74" xfId="1399" xr:uid="{00000000-0005-0000-0000-000072050000}"/>
    <cellStyle name="Millares 74 2" xfId="1400" xr:uid="{00000000-0005-0000-0000-000073050000}"/>
    <cellStyle name="Millares 75" xfId="1401" xr:uid="{00000000-0005-0000-0000-000074050000}"/>
    <cellStyle name="Millares 75 2" xfId="1402" xr:uid="{00000000-0005-0000-0000-000075050000}"/>
    <cellStyle name="Millares 76" xfId="1403" xr:uid="{00000000-0005-0000-0000-000076050000}"/>
    <cellStyle name="Millares 76 2" xfId="1404" xr:uid="{00000000-0005-0000-0000-000077050000}"/>
    <cellStyle name="Millares 77" xfId="1405" xr:uid="{00000000-0005-0000-0000-000078050000}"/>
    <cellStyle name="Millares 77 2" xfId="1406" xr:uid="{00000000-0005-0000-0000-000079050000}"/>
    <cellStyle name="Millares 78" xfId="1407" xr:uid="{00000000-0005-0000-0000-00007A050000}"/>
    <cellStyle name="Millares 78 2" xfId="1408" xr:uid="{00000000-0005-0000-0000-00007B050000}"/>
    <cellStyle name="Millares 79" xfId="1409" xr:uid="{00000000-0005-0000-0000-00007C050000}"/>
    <cellStyle name="Millares 79 2" xfId="1410" xr:uid="{00000000-0005-0000-0000-00007D050000}"/>
    <cellStyle name="Millares 8" xfId="1411" xr:uid="{00000000-0005-0000-0000-00007E050000}"/>
    <cellStyle name="Millares 8 2" xfId="1412" xr:uid="{00000000-0005-0000-0000-00007F050000}"/>
    <cellStyle name="Millares 8 2 2" xfId="1413" xr:uid="{00000000-0005-0000-0000-000080050000}"/>
    <cellStyle name="Millares 8 3" xfId="1414" xr:uid="{00000000-0005-0000-0000-000081050000}"/>
    <cellStyle name="Millares 8 3 2" xfId="1415" xr:uid="{00000000-0005-0000-0000-000082050000}"/>
    <cellStyle name="Millares 8 4" xfId="1416" xr:uid="{00000000-0005-0000-0000-000083050000}"/>
    <cellStyle name="Millares 8 5" xfId="1417" xr:uid="{00000000-0005-0000-0000-000084050000}"/>
    <cellStyle name="Millares 80" xfId="1418" xr:uid="{00000000-0005-0000-0000-000085050000}"/>
    <cellStyle name="Millares 80 2" xfId="1419" xr:uid="{00000000-0005-0000-0000-000086050000}"/>
    <cellStyle name="Millares 81" xfId="1420" xr:uid="{00000000-0005-0000-0000-000087050000}"/>
    <cellStyle name="Millares 81 2" xfId="1421" xr:uid="{00000000-0005-0000-0000-000088050000}"/>
    <cellStyle name="Millares 82" xfId="1422" xr:uid="{00000000-0005-0000-0000-000089050000}"/>
    <cellStyle name="Millares 82 2" xfId="1423" xr:uid="{00000000-0005-0000-0000-00008A050000}"/>
    <cellStyle name="Millares 83" xfId="1424" xr:uid="{00000000-0005-0000-0000-00008B050000}"/>
    <cellStyle name="Millares 83 2" xfId="1425" xr:uid="{00000000-0005-0000-0000-00008C050000}"/>
    <cellStyle name="Millares 84" xfId="1426" xr:uid="{00000000-0005-0000-0000-00008D050000}"/>
    <cellStyle name="Millares 84 2" xfId="1427" xr:uid="{00000000-0005-0000-0000-00008E050000}"/>
    <cellStyle name="Millares 85" xfId="1428" xr:uid="{00000000-0005-0000-0000-00008F050000}"/>
    <cellStyle name="Millares 85 2" xfId="1429" xr:uid="{00000000-0005-0000-0000-000090050000}"/>
    <cellStyle name="Millares 86" xfId="1430" xr:uid="{00000000-0005-0000-0000-000091050000}"/>
    <cellStyle name="Millares 86 2" xfId="1431" xr:uid="{00000000-0005-0000-0000-000092050000}"/>
    <cellStyle name="Millares 87" xfId="1432" xr:uid="{00000000-0005-0000-0000-000093050000}"/>
    <cellStyle name="Millares 87 2" xfId="1433" xr:uid="{00000000-0005-0000-0000-000094050000}"/>
    <cellStyle name="Millares 88" xfId="1434" xr:uid="{00000000-0005-0000-0000-000095050000}"/>
    <cellStyle name="Millares 88 2" xfId="1435" xr:uid="{00000000-0005-0000-0000-000096050000}"/>
    <cellStyle name="Millares 89" xfId="1436" xr:uid="{00000000-0005-0000-0000-000097050000}"/>
    <cellStyle name="Millares 89 2" xfId="1437" xr:uid="{00000000-0005-0000-0000-000098050000}"/>
    <cellStyle name="Millares 9" xfId="1438" xr:uid="{00000000-0005-0000-0000-000099050000}"/>
    <cellStyle name="Millares 9 2" xfId="1439" xr:uid="{00000000-0005-0000-0000-00009A050000}"/>
    <cellStyle name="Millares 9 2 2" xfId="1440" xr:uid="{00000000-0005-0000-0000-00009B050000}"/>
    <cellStyle name="Millares 9 2 3" xfId="1441" xr:uid="{00000000-0005-0000-0000-00009C050000}"/>
    <cellStyle name="Millares 9 3" xfId="1442" xr:uid="{00000000-0005-0000-0000-00009D050000}"/>
    <cellStyle name="Millares 9 3 2" xfId="1443" xr:uid="{00000000-0005-0000-0000-00009E050000}"/>
    <cellStyle name="Millares 9 4" xfId="1444" xr:uid="{00000000-0005-0000-0000-00009F050000}"/>
    <cellStyle name="Millares 9 5" xfId="1445" xr:uid="{00000000-0005-0000-0000-0000A0050000}"/>
    <cellStyle name="Millares 9 6" xfId="1446" xr:uid="{00000000-0005-0000-0000-0000A1050000}"/>
    <cellStyle name="Millares 9_destino" xfId="1447" xr:uid="{00000000-0005-0000-0000-0000A2050000}"/>
    <cellStyle name="Millares 90" xfId="1448" xr:uid="{00000000-0005-0000-0000-0000A3050000}"/>
    <cellStyle name="Millares 90 2" xfId="1449" xr:uid="{00000000-0005-0000-0000-0000A4050000}"/>
    <cellStyle name="Millares 91" xfId="1450" xr:uid="{00000000-0005-0000-0000-0000A5050000}"/>
    <cellStyle name="Millares 91 2" xfId="1451" xr:uid="{00000000-0005-0000-0000-0000A6050000}"/>
    <cellStyle name="Millares 92" xfId="1452" xr:uid="{00000000-0005-0000-0000-0000A7050000}"/>
    <cellStyle name="Millares 92 2" xfId="1453" xr:uid="{00000000-0005-0000-0000-0000A8050000}"/>
    <cellStyle name="Millares 93" xfId="1454" xr:uid="{00000000-0005-0000-0000-0000A9050000}"/>
    <cellStyle name="Millares 93 2" xfId="1455" xr:uid="{00000000-0005-0000-0000-0000AA050000}"/>
    <cellStyle name="Millares 94" xfId="1456" xr:uid="{00000000-0005-0000-0000-0000AB050000}"/>
    <cellStyle name="Millares 94 2" xfId="1457" xr:uid="{00000000-0005-0000-0000-0000AC050000}"/>
    <cellStyle name="Millares 95" xfId="1458" xr:uid="{00000000-0005-0000-0000-0000AD050000}"/>
    <cellStyle name="Millares 95 2" xfId="1459" xr:uid="{00000000-0005-0000-0000-0000AE050000}"/>
    <cellStyle name="Millares 96" xfId="1460" xr:uid="{00000000-0005-0000-0000-0000AF050000}"/>
    <cellStyle name="Millares 96 2" xfId="1461" xr:uid="{00000000-0005-0000-0000-0000B0050000}"/>
    <cellStyle name="Millares 97" xfId="1462" xr:uid="{00000000-0005-0000-0000-0000B1050000}"/>
    <cellStyle name="Millares 97 2" xfId="1463" xr:uid="{00000000-0005-0000-0000-0000B2050000}"/>
    <cellStyle name="Millares 98" xfId="1464" xr:uid="{00000000-0005-0000-0000-0000B3050000}"/>
    <cellStyle name="Millares 98 2" xfId="1465" xr:uid="{00000000-0005-0000-0000-0000B4050000}"/>
    <cellStyle name="Millares 99" xfId="1466" xr:uid="{00000000-0005-0000-0000-0000B5050000}"/>
    <cellStyle name="Milliers [0]_AGF International 3Q2003" xfId="1467" xr:uid="{00000000-0005-0000-0000-0000B6050000}"/>
    <cellStyle name="Milliers_AGF International 3Q2003" xfId="1468" xr:uid="{00000000-0005-0000-0000-0000B7050000}"/>
    <cellStyle name="Monétaire [0]_AGF International 3Q2003" xfId="1469" xr:uid="{00000000-0005-0000-0000-0000B8050000}"/>
    <cellStyle name="Monétaire_AGF International 3Q2003" xfId="1470" xr:uid="{00000000-0005-0000-0000-0000B9050000}"/>
    <cellStyle name="Monetario" xfId="1471" xr:uid="{00000000-0005-0000-0000-0000BA050000}"/>
    <cellStyle name="Neutral 2" xfId="1472" xr:uid="{00000000-0005-0000-0000-0000BB050000}"/>
    <cellStyle name="Neutral 2 2" xfId="1473" xr:uid="{00000000-0005-0000-0000-0000BC050000}"/>
    <cellStyle name="Neutral 2 3" xfId="1474" xr:uid="{00000000-0005-0000-0000-0000BD050000}"/>
    <cellStyle name="Neutral 2 4" xfId="1475" xr:uid="{00000000-0005-0000-0000-0000BE050000}"/>
    <cellStyle name="Neutral 2 5" xfId="1476" xr:uid="{00000000-0005-0000-0000-0000BF050000}"/>
    <cellStyle name="Neutral 3" xfId="1477" xr:uid="{00000000-0005-0000-0000-0000C0050000}"/>
    <cellStyle name="Neutral 4" xfId="1478" xr:uid="{00000000-0005-0000-0000-0000C1050000}"/>
    <cellStyle name="Neutral 5" xfId="1479" xr:uid="{00000000-0005-0000-0000-0000C2050000}"/>
    <cellStyle name="no shading" xfId="1480" xr:uid="{00000000-0005-0000-0000-0000C3050000}"/>
    <cellStyle name="No-definido" xfId="1481" xr:uid="{00000000-0005-0000-0000-0000C4050000}"/>
    <cellStyle name="Normal" xfId="0" builtinId="0"/>
    <cellStyle name="Normal 10" xfId="1482" xr:uid="{00000000-0005-0000-0000-0000C6050000}"/>
    <cellStyle name="Normal 10 2" xfId="1483" xr:uid="{00000000-0005-0000-0000-0000C7050000}"/>
    <cellStyle name="Normal 10 2 2" xfId="1484" xr:uid="{00000000-0005-0000-0000-0000C8050000}"/>
    <cellStyle name="Normal 10 2 3" xfId="1485" xr:uid="{00000000-0005-0000-0000-0000C9050000}"/>
    <cellStyle name="Normal 10 3" xfId="1486" xr:uid="{00000000-0005-0000-0000-0000CA050000}"/>
    <cellStyle name="Normal 11" xfId="1487" xr:uid="{00000000-0005-0000-0000-0000CB050000}"/>
    <cellStyle name="Normal 11 10" xfId="1488" xr:uid="{00000000-0005-0000-0000-0000CC050000}"/>
    <cellStyle name="Normal 11 11" xfId="1489" xr:uid="{00000000-0005-0000-0000-0000CD050000}"/>
    <cellStyle name="Normal 11 12" xfId="1490" xr:uid="{00000000-0005-0000-0000-0000CE050000}"/>
    <cellStyle name="Normal 11 13" xfId="1491" xr:uid="{00000000-0005-0000-0000-0000CF050000}"/>
    <cellStyle name="Normal 11 14" xfId="1492" xr:uid="{00000000-0005-0000-0000-0000D0050000}"/>
    <cellStyle name="Normal 11 2" xfId="1493" xr:uid="{00000000-0005-0000-0000-0000D1050000}"/>
    <cellStyle name="Normal 11 2 2" xfId="1494" xr:uid="{00000000-0005-0000-0000-0000D2050000}"/>
    <cellStyle name="Normal 11 2 3" xfId="1495" xr:uid="{00000000-0005-0000-0000-0000D3050000}"/>
    <cellStyle name="Normal 11 2 4" xfId="1496" xr:uid="{00000000-0005-0000-0000-0000D4050000}"/>
    <cellStyle name="Normal 11 2 5" xfId="1497" xr:uid="{00000000-0005-0000-0000-0000D5050000}"/>
    <cellStyle name="Normal 11 2 6" xfId="1498" xr:uid="{00000000-0005-0000-0000-0000D6050000}"/>
    <cellStyle name="Normal 11 2 7" xfId="1499" xr:uid="{00000000-0005-0000-0000-0000D7050000}"/>
    <cellStyle name="Normal 11 2 8" xfId="1500" xr:uid="{00000000-0005-0000-0000-0000D8050000}"/>
    <cellStyle name="Normal 11 3" xfId="1501" xr:uid="{00000000-0005-0000-0000-0000D9050000}"/>
    <cellStyle name="Normal 11 3 2" xfId="1502" xr:uid="{00000000-0005-0000-0000-0000DA050000}"/>
    <cellStyle name="Normal 11 3 3" xfId="1503" xr:uid="{00000000-0005-0000-0000-0000DB050000}"/>
    <cellStyle name="Normal 11 3 4" xfId="1504" xr:uid="{00000000-0005-0000-0000-0000DC050000}"/>
    <cellStyle name="Normal 11 3 5" xfId="1505" xr:uid="{00000000-0005-0000-0000-0000DD050000}"/>
    <cellStyle name="Normal 11 3 6" xfId="1506" xr:uid="{00000000-0005-0000-0000-0000DE050000}"/>
    <cellStyle name="Normal 11 3 7" xfId="1507" xr:uid="{00000000-0005-0000-0000-0000DF050000}"/>
    <cellStyle name="Normal 11 4" xfId="1508" xr:uid="{00000000-0005-0000-0000-0000E0050000}"/>
    <cellStyle name="Normal 11 4 2" xfId="1509" xr:uid="{00000000-0005-0000-0000-0000E1050000}"/>
    <cellStyle name="Normal 11 4 3" xfId="1510" xr:uid="{00000000-0005-0000-0000-0000E2050000}"/>
    <cellStyle name="Normal 11 4 4" xfId="1511" xr:uid="{00000000-0005-0000-0000-0000E3050000}"/>
    <cellStyle name="Normal 11 4 5" xfId="1512" xr:uid="{00000000-0005-0000-0000-0000E4050000}"/>
    <cellStyle name="Normal 11 4 6" xfId="1513" xr:uid="{00000000-0005-0000-0000-0000E5050000}"/>
    <cellStyle name="Normal 11 4 7" xfId="1514" xr:uid="{00000000-0005-0000-0000-0000E6050000}"/>
    <cellStyle name="Normal 11 5" xfId="1515" xr:uid="{00000000-0005-0000-0000-0000E7050000}"/>
    <cellStyle name="Normal 11 5 2" xfId="1516" xr:uid="{00000000-0005-0000-0000-0000E8050000}"/>
    <cellStyle name="Normal 11 5 3" xfId="1517" xr:uid="{00000000-0005-0000-0000-0000E9050000}"/>
    <cellStyle name="Normal 11 5 4" xfId="1518" xr:uid="{00000000-0005-0000-0000-0000EA050000}"/>
    <cellStyle name="Normal 11 5 5" xfId="1519" xr:uid="{00000000-0005-0000-0000-0000EB050000}"/>
    <cellStyle name="Normal 11 5 6" xfId="1520" xr:uid="{00000000-0005-0000-0000-0000EC050000}"/>
    <cellStyle name="Normal 11 5 7" xfId="1521" xr:uid="{00000000-0005-0000-0000-0000ED050000}"/>
    <cellStyle name="Normal 11 6" xfId="1522" xr:uid="{00000000-0005-0000-0000-0000EE050000}"/>
    <cellStyle name="Normal 11 7" xfId="1523" xr:uid="{00000000-0005-0000-0000-0000EF050000}"/>
    <cellStyle name="Normal 11 8" xfId="1524" xr:uid="{00000000-0005-0000-0000-0000F0050000}"/>
    <cellStyle name="Normal 11 9" xfId="1525" xr:uid="{00000000-0005-0000-0000-0000F1050000}"/>
    <cellStyle name="Normal 12" xfId="1526" xr:uid="{00000000-0005-0000-0000-0000F2050000}"/>
    <cellStyle name="Normal 12 10" xfId="1527" xr:uid="{00000000-0005-0000-0000-0000F3050000}"/>
    <cellStyle name="Normal 12 11" xfId="1528" xr:uid="{00000000-0005-0000-0000-0000F4050000}"/>
    <cellStyle name="Normal 12 12" xfId="1529" xr:uid="{00000000-0005-0000-0000-0000F5050000}"/>
    <cellStyle name="Normal 12 2" xfId="1530" xr:uid="{00000000-0005-0000-0000-0000F6050000}"/>
    <cellStyle name="Normal 12 2 2" xfId="1531" xr:uid="{00000000-0005-0000-0000-0000F7050000}"/>
    <cellStyle name="Normal 12 2 2 2" xfId="1532" xr:uid="{00000000-0005-0000-0000-0000F8050000}"/>
    <cellStyle name="Normal 12 2 3" xfId="1533" xr:uid="{00000000-0005-0000-0000-0000F9050000}"/>
    <cellStyle name="Normal 12 2 3 2" xfId="1534" xr:uid="{00000000-0005-0000-0000-0000FA050000}"/>
    <cellStyle name="Normal 12 2 4" xfId="1535" xr:uid="{00000000-0005-0000-0000-0000FB050000}"/>
    <cellStyle name="Normal 12 3" xfId="1536" xr:uid="{00000000-0005-0000-0000-0000FC050000}"/>
    <cellStyle name="Normal 12 4" xfId="1537" xr:uid="{00000000-0005-0000-0000-0000FD050000}"/>
    <cellStyle name="Normal 12 4 2" xfId="1538" xr:uid="{00000000-0005-0000-0000-0000FE050000}"/>
    <cellStyle name="Normal 12 5" xfId="1539" xr:uid="{00000000-0005-0000-0000-0000FF050000}"/>
    <cellStyle name="Normal 12 5 2" xfId="1540" xr:uid="{00000000-0005-0000-0000-000000060000}"/>
    <cellStyle name="Normal 12 6" xfId="1541" xr:uid="{00000000-0005-0000-0000-000001060000}"/>
    <cellStyle name="Normal 12 7" xfId="1542" xr:uid="{00000000-0005-0000-0000-000002060000}"/>
    <cellStyle name="Normal 12 8" xfId="1543" xr:uid="{00000000-0005-0000-0000-000003060000}"/>
    <cellStyle name="Normal 12 8 2" xfId="1544" xr:uid="{00000000-0005-0000-0000-000004060000}"/>
    <cellStyle name="Normal 12 9" xfId="1545" xr:uid="{00000000-0005-0000-0000-000005060000}"/>
    <cellStyle name="Normal 13" xfId="1546" xr:uid="{00000000-0005-0000-0000-000006060000}"/>
    <cellStyle name="Normal 13 10" xfId="1547" xr:uid="{00000000-0005-0000-0000-000007060000}"/>
    <cellStyle name="Normal 13 11" xfId="1548" xr:uid="{00000000-0005-0000-0000-000008060000}"/>
    <cellStyle name="Normal 13 12" xfId="1549" xr:uid="{00000000-0005-0000-0000-000009060000}"/>
    <cellStyle name="Normal 13 13" xfId="1550" xr:uid="{00000000-0005-0000-0000-00000A060000}"/>
    <cellStyle name="Normal 13 14" xfId="1551" xr:uid="{00000000-0005-0000-0000-00000B060000}"/>
    <cellStyle name="Normal 13 2" xfId="1552" xr:uid="{00000000-0005-0000-0000-00000C060000}"/>
    <cellStyle name="Normal 13 2 2" xfId="1553" xr:uid="{00000000-0005-0000-0000-00000D060000}"/>
    <cellStyle name="Normal 13 2 3" xfId="1554" xr:uid="{00000000-0005-0000-0000-00000E060000}"/>
    <cellStyle name="Normal 13 2 4" xfId="1555" xr:uid="{00000000-0005-0000-0000-00000F060000}"/>
    <cellStyle name="Normal 13 2 5" xfId="1556" xr:uid="{00000000-0005-0000-0000-000010060000}"/>
    <cellStyle name="Normal 13 2 6" xfId="1557" xr:uid="{00000000-0005-0000-0000-000011060000}"/>
    <cellStyle name="Normal 13 2 7" xfId="1558" xr:uid="{00000000-0005-0000-0000-000012060000}"/>
    <cellStyle name="Normal 13 2 8" xfId="1559" xr:uid="{00000000-0005-0000-0000-000013060000}"/>
    <cellStyle name="Normal 13 3" xfId="1560" xr:uid="{00000000-0005-0000-0000-000014060000}"/>
    <cellStyle name="Normal 13 4" xfId="1561" xr:uid="{00000000-0005-0000-0000-000015060000}"/>
    <cellStyle name="Normal 13 5" xfId="1562" xr:uid="{00000000-0005-0000-0000-000016060000}"/>
    <cellStyle name="Normal 13 6" xfId="1563" xr:uid="{00000000-0005-0000-0000-000017060000}"/>
    <cellStyle name="Normal 13 7" xfId="1564" xr:uid="{00000000-0005-0000-0000-000018060000}"/>
    <cellStyle name="Normal 13 8" xfId="1565" xr:uid="{00000000-0005-0000-0000-000019060000}"/>
    <cellStyle name="Normal 13 9" xfId="1566" xr:uid="{00000000-0005-0000-0000-00001A060000}"/>
    <cellStyle name="Normal 14" xfId="1567" xr:uid="{00000000-0005-0000-0000-00001B060000}"/>
    <cellStyle name="Normal 14 10" xfId="1568" xr:uid="{00000000-0005-0000-0000-00001C060000}"/>
    <cellStyle name="Normal 14 11" xfId="1569" xr:uid="{00000000-0005-0000-0000-00001D060000}"/>
    <cellStyle name="Normal 14 12" xfId="1570" xr:uid="{00000000-0005-0000-0000-00001E060000}"/>
    <cellStyle name="Normal 14 13" xfId="1571" xr:uid="{00000000-0005-0000-0000-00001F060000}"/>
    <cellStyle name="Normal 14 14" xfId="1572" xr:uid="{00000000-0005-0000-0000-000020060000}"/>
    <cellStyle name="Normal 14 15" xfId="1573" xr:uid="{00000000-0005-0000-0000-000021060000}"/>
    <cellStyle name="Normal 14 2" xfId="1574" xr:uid="{00000000-0005-0000-0000-000022060000}"/>
    <cellStyle name="Normal 14 2 2" xfId="1575" xr:uid="{00000000-0005-0000-0000-000023060000}"/>
    <cellStyle name="Normal 14 3" xfId="1576" xr:uid="{00000000-0005-0000-0000-000024060000}"/>
    <cellStyle name="Normal 14 4" xfId="1577" xr:uid="{00000000-0005-0000-0000-000025060000}"/>
    <cellStyle name="Normal 14 5" xfId="1578" xr:uid="{00000000-0005-0000-0000-000026060000}"/>
    <cellStyle name="Normal 14 6" xfId="1579" xr:uid="{00000000-0005-0000-0000-000027060000}"/>
    <cellStyle name="Normal 14 7" xfId="1580" xr:uid="{00000000-0005-0000-0000-000028060000}"/>
    <cellStyle name="Normal 14 8" xfId="1581" xr:uid="{00000000-0005-0000-0000-000029060000}"/>
    <cellStyle name="Normal 14 9" xfId="1582" xr:uid="{00000000-0005-0000-0000-00002A060000}"/>
    <cellStyle name="Normal 15" xfId="1583" xr:uid="{00000000-0005-0000-0000-00002B060000}"/>
    <cellStyle name="Normal 15 2" xfId="1584" xr:uid="{00000000-0005-0000-0000-00002C060000}"/>
    <cellStyle name="Normal 15 2 2" xfId="1585" xr:uid="{00000000-0005-0000-0000-00002D060000}"/>
    <cellStyle name="Normal 15 3" xfId="1586" xr:uid="{00000000-0005-0000-0000-00002E060000}"/>
    <cellStyle name="Normal 15 3 2" xfId="1587" xr:uid="{00000000-0005-0000-0000-00002F060000}"/>
    <cellStyle name="Normal 15 4" xfId="1588" xr:uid="{00000000-0005-0000-0000-000030060000}"/>
    <cellStyle name="Normal 16" xfId="1589" xr:uid="{00000000-0005-0000-0000-000031060000}"/>
    <cellStyle name="Normal 16 2" xfId="1590" xr:uid="{00000000-0005-0000-0000-000032060000}"/>
    <cellStyle name="Normal 16 2 2" xfId="1591" xr:uid="{00000000-0005-0000-0000-000033060000}"/>
    <cellStyle name="Normal 16 3" xfId="1592" xr:uid="{00000000-0005-0000-0000-000034060000}"/>
    <cellStyle name="Normal 16 4" xfId="1593" xr:uid="{00000000-0005-0000-0000-000035060000}"/>
    <cellStyle name="Normal 17" xfId="1594" xr:uid="{00000000-0005-0000-0000-000036060000}"/>
    <cellStyle name="Normal 17 2" xfId="1595" xr:uid="{00000000-0005-0000-0000-000037060000}"/>
    <cellStyle name="Normal 17 3" xfId="1596" xr:uid="{00000000-0005-0000-0000-000038060000}"/>
    <cellStyle name="Normal 17 4" xfId="1597" xr:uid="{00000000-0005-0000-0000-000039060000}"/>
    <cellStyle name="Normal 17 5" xfId="1598" xr:uid="{00000000-0005-0000-0000-00003A060000}"/>
    <cellStyle name="Normal 18" xfId="1599" xr:uid="{00000000-0005-0000-0000-00003B060000}"/>
    <cellStyle name="Normal 19" xfId="1600" xr:uid="{00000000-0005-0000-0000-00003C060000}"/>
    <cellStyle name="Normal 19 2" xfId="1601" xr:uid="{00000000-0005-0000-0000-00003D060000}"/>
    <cellStyle name="Normal 19 3" xfId="1602" xr:uid="{00000000-0005-0000-0000-00003E060000}"/>
    <cellStyle name="Normal 2" xfId="1603" xr:uid="{00000000-0005-0000-0000-00003F060000}"/>
    <cellStyle name="Normal 2 10" xfId="1604" xr:uid="{00000000-0005-0000-0000-000040060000}"/>
    <cellStyle name="Normal 2 10 2" xfId="1605" xr:uid="{00000000-0005-0000-0000-000041060000}"/>
    <cellStyle name="Normal 2 11" xfId="1606" xr:uid="{00000000-0005-0000-0000-000042060000}"/>
    <cellStyle name="Normal 2 12" xfId="1607" xr:uid="{00000000-0005-0000-0000-000043060000}"/>
    <cellStyle name="Normal 2 12 2" xfId="1608" xr:uid="{00000000-0005-0000-0000-000044060000}"/>
    <cellStyle name="Normal 2 12 3" xfId="1609" xr:uid="{00000000-0005-0000-0000-000045060000}"/>
    <cellStyle name="Normal 2 13" xfId="1610" xr:uid="{00000000-0005-0000-0000-000046060000}"/>
    <cellStyle name="Normal 2 14" xfId="1611" xr:uid="{00000000-0005-0000-0000-000047060000}"/>
    <cellStyle name="Normal 2 15" xfId="1612" xr:uid="{00000000-0005-0000-0000-000048060000}"/>
    <cellStyle name="Normal 2 16" xfId="1613" xr:uid="{00000000-0005-0000-0000-000049060000}"/>
    <cellStyle name="Normal 2 17" xfId="1614" xr:uid="{00000000-0005-0000-0000-00004A060000}"/>
    <cellStyle name="Normal 2 18" xfId="1615" xr:uid="{00000000-0005-0000-0000-00004B060000}"/>
    <cellStyle name="Normal 2 19" xfId="1616" xr:uid="{00000000-0005-0000-0000-00004C060000}"/>
    <cellStyle name="Normal 2 2" xfId="1617" xr:uid="{00000000-0005-0000-0000-00004D060000}"/>
    <cellStyle name="Normal 2 2 10" xfId="1618" xr:uid="{00000000-0005-0000-0000-00004E060000}"/>
    <cellStyle name="Normal 2 2 2" xfId="1619" xr:uid="{00000000-0005-0000-0000-00004F060000}"/>
    <cellStyle name="Normal 2 2 2 2" xfId="1620" xr:uid="{00000000-0005-0000-0000-000050060000}"/>
    <cellStyle name="Normal 2 2 2 2 2" xfId="1621" xr:uid="{00000000-0005-0000-0000-000051060000}"/>
    <cellStyle name="Normal 2 2 2 3" xfId="1622" xr:uid="{00000000-0005-0000-0000-000052060000}"/>
    <cellStyle name="Normal 2 2 2 4" xfId="1623" xr:uid="{00000000-0005-0000-0000-000053060000}"/>
    <cellStyle name="Normal 2 2 3" xfId="1624" xr:uid="{00000000-0005-0000-0000-000054060000}"/>
    <cellStyle name="Normal 2 2 4" xfId="1625" xr:uid="{00000000-0005-0000-0000-000055060000}"/>
    <cellStyle name="Normal 2 2 5" xfId="1626" xr:uid="{00000000-0005-0000-0000-000056060000}"/>
    <cellStyle name="Normal 2 2 6" xfId="1627" xr:uid="{00000000-0005-0000-0000-000057060000}"/>
    <cellStyle name="Normal 2 2 7" xfId="1628" xr:uid="{00000000-0005-0000-0000-000058060000}"/>
    <cellStyle name="Normal 2 2 8" xfId="1629" xr:uid="{00000000-0005-0000-0000-000059060000}"/>
    <cellStyle name="Normal 2 2 8 2" xfId="1630" xr:uid="{00000000-0005-0000-0000-00005A060000}"/>
    <cellStyle name="Normal 2 2 9" xfId="1631" xr:uid="{00000000-0005-0000-0000-00005B060000}"/>
    <cellStyle name="Normal 2 2 9 2" xfId="1632" xr:uid="{00000000-0005-0000-0000-00005C060000}"/>
    <cellStyle name="Normal 2 2_destino" xfId="1633" xr:uid="{00000000-0005-0000-0000-00005D060000}"/>
    <cellStyle name="Normal 2 20" xfId="1634" xr:uid="{00000000-0005-0000-0000-00005E060000}"/>
    <cellStyle name="Normal 2 21" xfId="1635" xr:uid="{00000000-0005-0000-0000-00005F060000}"/>
    <cellStyle name="Normal 2 21 2" xfId="1636" xr:uid="{00000000-0005-0000-0000-000060060000}"/>
    <cellStyle name="Normal 2 22" xfId="1637" xr:uid="{00000000-0005-0000-0000-000061060000}"/>
    <cellStyle name="Normal 2 23" xfId="1638" xr:uid="{00000000-0005-0000-0000-000062060000}"/>
    <cellStyle name="Normal 2 3" xfId="1639" xr:uid="{00000000-0005-0000-0000-000063060000}"/>
    <cellStyle name="Normal 2 3 2" xfId="1640" xr:uid="{00000000-0005-0000-0000-000064060000}"/>
    <cellStyle name="Normal 2 3 2 2" xfId="1641" xr:uid="{00000000-0005-0000-0000-000065060000}"/>
    <cellStyle name="Normal 2 3 2 2 2" xfId="1642" xr:uid="{00000000-0005-0000-0000-000066060000}"/>
    <cellStyle name="Normal 2 3 3" xfId="1643" xr:uid="{00000000-0005-0000-0000-000067060000}"/>
    <cellStyle name="Normal 2 3 3 2" xfId="1644" xr:uid="{00000000-0005-0000-0000-000068060000}"/>
    <cellStyle name="Normal 2 3 4" xfId="1645" xr:uid="{00000000-0005-0000-0000-000069060000}"/>
    <cellStyle name="Normal 2 3 5" xfId="1646" xr:uid="{00000000-0005-0000-0000-00006A060000}"/>
    <cellStyle name="Normal 2 3 6" xfId="1647" xr:uid="{00000000-0005-0000-0000-00006B060000}"/>
    <cellStyle name="Normal 2 3 7" xfId="1648" xr:uid="{00000000-0005-0000-0000-00006C060000}"/>
    <cellStyle name="Normal 2 4" xfId="1649" xr:uid="{00000000-0005-0000-0000-00006D060000}"/>
    <cellStyle name="Normal 2 4 2" xfId="1650" xr:uid="{00000000-0005-0000-0000-00006E060000}"/>
    <cellStyle name="Normal 2 4 2 2" xfId="1651" xr:uid="{00000000-0005-0000-0000-00006F060000}"/>
    <cellStyle name="Normal 2 4 3" xfId="1652" xr:uid="{00000000-0005-0000-0000-000070060000}"/>
    <cellStyle name="Normal 2 5" xfId="1653" xr:uid="{00000000-0005-0000-0000-000071060000}"/>
    <cellStyle name="Normal 2 5 2" xfId="1654" xr:uid="{00000000-0005-0000-0000-000072060000}"/>
    <cellStyle name="Normal 2 5 2 2" xfId="1655" xr:uid="{00000000-0005-0000-0000-000073060000}"/>
    <cellStyle name="Normal 2 5 3" xfId="1656" xr:uid="{00000000-0005-0000-0000-000074060000}"/>
    <cellStyle name="Normal 2 6" xfId="1657" xr:uid="{00000000-0005-0000-0000-000075060000}"/>
    <cellStyle name="Normal 2 6 2" xfId="1658" xr:uid="{00000000-0005-0000-0000-000076060000}"/>
    <cellStyle name="Normal 2 6 2 2" xfId="1659" xr:uid="{00000000-0005-0000-0000-000077060000}"/>
    <cellStyle name="Normal 2 6 2 3" xfId="1660" xr:uid="{00000000-0005-0000-0000-000078060000}"/>
    <cellStyle name="Normal 2 6 3" xfId="1661" xr:uid="{00000000-0005-0000-0000-000079060000}"/>
    <cellStyle name="Normal 2 7" xfId="1662" xr:uid="{00000000-0005-0000-0000-00007A060000}"/>
    <cellStyle name="Normal 2 7 2" xfId="1663" xr:uid="{00000000-0005-0000-0000-00007B060000}"/>
    <cellStyle name="Normal 2 7 2 2" xfId="1664" xr:uid="{00000000-0005-0000-0000-00007C060000}"/>
    <cellStyle name="Normal 2 7 3" xfId="1665" xr:uid="{00000000-0005-0000-0000-00007D060000}"/>
    <cellStyle name="Normal 2 8" xfId="1666" xr:uid="{00000000-0005-0000-0000-00007E060000}"/>
    <cellStyle name="Normal 2 8 2" xfId="1667" xr:uid="{00000000-0005-0000-0000-00007F060000}"/>
    <cellStyle name="Normal 2 8 2 2" xfId="1668" xr:uid="{00000000-0005-0000-0000-000080060000}"/>
    <cellStyle name="Normal 2 8 3" xfId="1669" xr:uid="{00000000-0005-0000-0000-000081060000}"/>
    <cellStyle name="Normal 2 9" xfId="1670" xr:uid="{00000000-0005-0000-0000-000082060000}"/>
    <cellStyle name="Normal 2 9 2" xfId="1671" xr:uid="{00000000-0005-0000-0000-000083060000}"/>
    <cellStyle name="Normal 2 9 3" xfId="1672" xr:uid="{00000000-0005-0000-0000-000084060000}"/>
    <cellStyle name="Normal 2_destino" xfId="1673" xr:uid="{00000000-0005-0000-0000-000085060000}"/>
    <cellStyle name="Normal 20" xfId="1674" xr:uid="{00000000-0005-0000-0000-000086060000}"/>
    <cellStyle name="Normal 20 2" xfId="1675" xr:uid="{00000000-0005-0000-0000-000087060000}"/>
    <cellStyle name="Normal 21" xfId="1676" xr:uid="{00000000-0005-0000-0000-000088060000}"/>
    <cellStyle name="Normal 21 2" xfId="1677" xr:uid="{00000000-0005-0000-0000-000089060000}"/>
    <cellStyle name="Normal 21 2 2" xfId="1678" xr:uid="{00000000-0005-0000-0000-00008A060000}"/>
    <cellStyle name="Normal 21 3" xfId="1679" xr:uid="{00000000-0005-0000-0000-00008B060000}"/>
    <cellStyle name="Normal 22" xfId="1680" xr:uid="{00000000-0005-0000-0000-00008C060000}"/>
    <cellStyle name="Normal 22 2" xfId="1681" xr:uid="{00000000-0005-0000-0000-00008D060000}"/>
    <cellStyle name="Normal 22 3" xfId="1682" xr:uid="{00000000-0005-0000-0000-00008E060000}"/>
    <cellStyle name="Normal 23" xfId="1683" xr:uid="{00000000-0005-0000-0000-00008F060000}"/>
    <cellStyle name="Normal 23 2" xfId="1684" xr:uid="{00000000-0005-0000-0000-000090060000}"/>
    <cellStyle name="Normal 23 3" xfId="1685" xr:uid="{00000000-0005-0000-0000-000091060000}"/>
    <cellStyle name="Normal 24" xfId="1686" xr:uid="{00000000-0005-0000-0000-000092060000}"/>
    <cellStyle name="Normal 24 2" xfId="1687" xr:uid="{00000000-0005-0000-0000-000093060000}"/>
    <cellStyle name="Normal 24 3" xfId="1688" xr:uid="{00000000-0005-0000-0000-000094060000}"/>
    <cellStyle name="Normal 25" xfId="1689" xr:uid="{00000000-0005-0000-0000-000095060000}"/>
    <cellStyle name="Normal 25 2" xfId="1690" xr:uid="{00000000-0005-0000-0000-000096060000}"/>
    <cellStyle name="Normal 25 3" xfId="1691" xr:uid="{00000000-0005-0000-0000-000097060000}"/>
    <cellStyle name="Normal 25 4" xfId="1692" xr:uid="{00000000-0005-0000-0000-000098060000}"/>
    <cellStyle name="Normal 26" xfId="1693" xr:uid="{00000000-0005-0000-0000-000099060000}"/>
    <cellStyle name="Normal 26 2" xfId="1694" xr:uid="{00000000-0005-0000-0000-00009A060000}"/>
    <cellStyle name="Normal 26 3" xfId="1695" xr:uid="{00000000-0005-0000-0000-00009B060000}"/>
    <cellStyle name="Normal 27" xfId="1696" xr:uid="{00000000-0005-0000-0000-00009C060000}"/>
    <cellStyle name="Normal 27 2" xfId="1697" xr:uid="{00000000-0005-0000-0000-00009D060000}"/>
    <cellStyle name="Normal 28" xfId="1698" xr:uid="{00000000-0005-0000-0000-00009E060000}"/>
    <cellStyle name="Normal 28 2" xfId="1699" xr:uid="{00000000-0005-0000-0000-00009F060000}"/>
    <cellStyle name="Normal 29" xfId="1700" xr:uid="{00000000-0005-0000-0000-0000A0060000}"/>
    <cellStyle name="Normal 29 2" xfId="1701" xr:uid="{00000000-0005-0000-0000-0000A1060000}"/>
    <cellStyle name="Normal 3" xfId="1702" xr:uid="{00000000-0005-0000-0000-0000A2060000}"/>
    <cellStyle name="Normal 3 2" xfId="1703" xr:uid="{00000000-0005-0000-0000-0000A3060000}"/>
    <cellStyle name="Normal 3 2 2" xfId="1704" xr:uid="{00000000-0005-0000-0000-0000A4060000}"/>
    <cellStyle name="Normal 3 2 2 2" xfId="1705" xr:uid="{00000000-0005-0000-0000-0000A5060000}"/>
    <cellStyle name="Normal 3 2 3" xfId="1706" xr:uid="{00000000-0005-0000-0000-0000A6060000}"/>
    <cellStyle name="Normal 3 2 4" xfId="1707" xr:uid="{00000000-0005-0000-0000-0000A7060000}"/>
    <cellStyle name="Normal 3 2 4 2" xfId="1708" xr:uid="{00000000-0005-0000-0000-0000A8060000}"/>
    <cellStyle name="Normal 3 2 5" xfId="1709" xr:uid="{00000000-0005-0000-0000-0000A9060000}"/>
    <cellStyle name="Normal 3 2 6" xfId="1710" xr:uid="{00000000-0005-0000-0000-0000AA060000}"/>
    <cellStyle name="Normal 3 2 6 2" xfId="1711" xr:uid="{00000000-0005-0000-0000-0000AB060000}"/>
    <cellStyle name="Normal 3 3" xfId="1712" xr:uid="{00000000-0005-0000-0000-0000AC060000}"/>
    <cellStyle name="Normal 3 3 2" xfId="1713" xr:uid="{00000000-0005-0000-0000-0000AD060000}"/>
    <cellStyle name="Normal 3 3 3" xfId="1714" xr:uid="{00000000-0005-0000-0000-0000AE060000}"/>
    <cellStyle name="Normal 3 4" xfId="1715" xr:uid="{00000000-0005-0000-0000-0000AF060000}"/>
    <cellStyle name="Normal 3 4 2" xfId="1716" xr:uid="{00000000-0005-0000-0000-0000B0060000}"/>
    <cellStyle name="Normal 3 4 3" xfId="1717" xr:uid="{00000000-0005-0000-0000-0000B1060000}"/>
    <cellStyle name="Normal 3 5" xfId="1718" xr:uid="{00000000-0005-0000-0000-0000B2060000}"/>
    <cellStyle name="Normal 3 5 2" xfId="1719" xr:uid="{00000000-0005-0000-0000-0000B3060000}"/>
    <cellStyle name="Normal 3 5 3" xfId="1720" xr:uid="{00000000-0005-0000-0000-0000B4060000}"/>
    <cellStyle name="Normal 3 6" xfId="1721" xr:uid="{00000000-0005-0000-0000-0000B5060000}"/>
    <cellStyle name="Normal 3 6 2" xfId="1722" xr:uid="{00000000-0005-0000-0000-0000B6060000}"/>
    <cellStyle name="Normal 3 6 3" xfId="1723" xr:uid="{00000000-0005-0000-0000-0000B7060000}"/>
    <cellStyle name="Normal 3 7" xfId="1724" xr:uid="{00000000-0005-0000-0000-0000B8060000}"/>
    <cellStyle name="Normal 3 8" xfId="1725" xr:uid="{00000000-0005-0000-0000-0000B9060000}"/>
    <cellStyle name="Normal 3_destino" xfId="1726" xr:uid="{00000000-0005-0000-0000-0000BA060000}"/>
    <cellStyle name="Normal 30" xfId="1727" xr:uid="{00000000-0005-0000-0000-0000BB060000}"/>
    <cellStyle name="Normal 30 2" xfId="1728" xr:uid="{00000000-0005-0000-0000-0000BC060000}"/>
    <cellStyle name="Normal 31" xfId="1729" xr:uid="{00000000-0005-0000-0000-0000BD060000}"/>
    <cellStyle name="Normal 31 2" xfId="1730" xr:uid="{00000000-0005-0000-0000-0000BE060000}"/>
    <cellStyle name="Normal 32" xfId="1731" xr:uid="{00000000-0005-0000-0000-0000BF060000}"/>
    <cellStyle name="Normal 4" xfId="2" xr:uid="{00000000-0005-0000-0000-0000C0060000}"/>
    <cellStyle name="Normal 4 10" xfId="1732" xr:uid="{00000000-0005-0000-0000-0000C1060000}"/>
    <cellStyle name="Normal 4 10 2" xfId="1733" xr:uid="{00000000-0005-0000-0000-0000C2060000}"/>
    <cellStyle name="Normal 4 11" xfId="1734" xr:uid="{00000000-0005-0000-0000-0000C3060000}"/>
    <cellStyle name="Normal 4 11 2" xfId="1735" xr:uid="{00000000-0005-0000-0000-0000C4060000}"/>
    <cellStyle name="Normal 4 12" xfId="1736" xr:uid="{00000000-0005-0000-0000-0000C5060000}"/>
    <cellStyle name="Normal 4 12 2" xfId="1737" xr:uid="{00000000-0005-0000-0000-0000C6060000}"/>
    <cellStyle name="Normal 4 13" xfId="1738" xr:uid="{00000000-0005-0000-0000-0000C7060000}"/>
    <cellStyle name="Normal 4 14" xfId="1739" xr:uid="{00000000-0005-0000-0000-0000C8060000}"/>
    <cellStyle name="Normal 4 15" xfId="1740" xr:uid="{00000000-0005-0000-0000-0000C9060000}"/>
    <cellStyle name="Normal 4 2" xfId="1741" xr:uid="{00000000-0005-0000-0000-0000CA060000}"/>
    <cellStyle name="Normal 4 2 2" xfId="1742" xr:uid="{00000000-0005-0000-0000-0000CB060000}"/>
    <cellStyle name="Normal 4 2 2 2" xfId="1743" xr:uid="{00000000-0005-0000-0000-0000CC060000}"/>
    <cellStyle name="Normal 4 2 2 2 2" xfId="1744" xr:uid="{00000000-0005-0000-0000-0000CD060000}"/>
    <cellStyle name="Normal 4 2 2 2 2 2" xfId="6" xr:uid="{00000000-0005-0000-0000-0000CE060000}"/>
    <cellStyle name="Normal 4 2 2 3" xfId="1745" xr:uid="{00000000-0005-0000-0000-0000CF060000}"/>
    <cellStyle name="Normal 4 2 2 3 2" xfId="1746" xr:uid="{00000000-0005-0000-0000-0000D0060000}"/>
    <cellStyle name="Normal 4 2 2 4" xfId="1747" xr:uid="{00000000-0005-0000-0000-0000D1060000}"/>
    <cellStyle name="Normal 4 2 2 5" xfId="1748" xr:uid="{00000000-0005-0000-0000-0000D2060000}"/>
    <cellStyle name="Normal 4 2 2 6" xfId="1749" xr:uid="{00000000-0005-0000-0000-0000D3060000}"/>
    <cellStyle name="Normal 4 2 3" xfId="1750" xr:uid="{00000000-0005-0000-0000-0000D4060000}"/>
    <cellStyle name="Normal 4 2 3 2" xfId="1751" xr:uid="{00000000-0005-0000-0000-0000D5060000}"/>
    <cellStyle name="Normal 4 2 4" xfId="1752" xr:uid="{00000000-0005-0000-0000-0000D6060000}"/>
    <cellStyle name="Normal 4 2 5" xfId="1753" xr:uid="{00000000-0005-0000-0000-0000D7060000}"/>
    <cellStyle name="Normal 4 2 5 2" xfId="1754" xr:uid="{00000000-0005-0000-0000-0000D8060000}"/>
    <cellStyle name="Normal 4 2 5 2 2" xfId="1755" xr:uid="{00000000-0005-0000-0000-0000D9060000}"/>
    <cellStyle name="Normal 4 2 6" xfId="1756" xr:uid="{00000000-0005-0000-0000-0000DA060000}"/>
    <cellStyle name="Normal 4 2 7" xfId="1757" xr:uid="{00000000-0005-0000-0000-0000DB060000}"/>
    <cellStyle name="Normal 4 3" xfId="1758" xr:uid="{00000000-0005-0000-0000-0000DC060000}"/>
    <cellStyle name="Normal 4 3 2" xfId="1759" xr:uid="{00000000-0005-0000-0000-0000DD060000}"/>
    <cellStyle name="Normal 4 3 2 2" xfId="1760" xr:uid="{00000000-0005-0000-0000-0000DE060000}"/>
    <cellStyle name="Normal 4 3 3" xfId="1761" xr:uid="{00000000-0005-0000-0000-0000DF060000}"/>
    <cellStyle name="Normal 4 4" xfId="1762" xr:uid="{00000000-0005-0000-0000-0000E0060000}"/>
    <cellStyle name="Normal 4 4 2" xfId="1763" xr:uid="{00000000-0005-0000-0000-0000E1060000}"/>
    <cellStyle name="Normal 4 4 2 2" xfId="1764" xr:uid="{00000000-0005-0000-0000-0000E2060000}"/>
    <cellStyle name="Normal 4 4 2 3" xfId="1765" xr:uid="{00000000-0005-0000-0000-0000E3060000}"/>
    <cellStyle name="Normal 4 4 3" xfId="1766" xr:uid="{00000000-0005-0000-0000-0000E4060000}"/>
    <cellStyle name="Normal 4 4 3 2" xfId="1767" xr:uid="{00000000-0005-0000-0000-0000E5060000}"/>
    <cellStyle name="Normal 4 4 4" xfId="1768" xr:uid="{00000000-0005-0000-0000-0000E6060000}"/>
    <cellStyle name="Normal 4 4 5" xfId="1769" xr:uid="{00000000-0005-0000-0000-0000E7060000}"/>
    <cellStyle name="Normal 4 4 6" xfId="1770" xr:uid="{00000000-0005-0000-0000-0000E8060000}"/>
    <cellStyle name="Normal 4 4 7" xfId="1771" xr:uid="{00000000-0005-0000-0000-0000E9060000}"/>
    <cellStyle name="Normal 4 4 8" xfId="1772" xr:uid="{00000000-0005-0000-0000-0000EA060000}"/>
    <cellStyle name="Normal 4 4 9" xfId="1773" xr:uid="{00000000-0005-0000-0000-0000EB060000}"/>
    <cellStyle name="Normal 4 5" xfId="1774" xr:uid="{00000000-0005-0000-0000-0000EC060000}"/>
    <cellStyle name="Normal 4 5 2" xfId="1775" xr:uid="{00000000-0005-0000-0000-0000ED060000}"/>
    <cellStyle name="Normal 4 5 3" xfId="1776" xr:uid="{00000000-0005-0000-0000-0000EE060000}"/>
    <cellStyle name="Normal 4 5 4" xfId="1777" xr:uid="{00000000-0005-0000-0000-0000EF060000}"/>
    <cellStyle name="Normal 4 5 5" xfId="1778" xr:uid="{00000000-0005-0000-0000-0000F0060000}"/>
    <cellStyle name="Normal 4 5 6" xfId="1779" xr:uid="{00000000-0005-0000-0000-0000F1060000}"/>
    <cellStyle name="Normal 4 5 7" xfId="1780" xr:uid="{00000000-0005-0000-0000-0000F2060000}"/>
    <cellStyle name="Normal 4 5 8" xfId="1781" xr:uid="{00000000-0005-0000-0000-0000F3060000}"/>
    <cellStyle name="Normal 4 6" xfId="5" xr:uid="{00000000-0005-0000-0000-0000F4060000}"/>
    <cellStyle name="Normal 4 6 2" xfId="1782" xr:uid="{00000000-0005-0000-0000-0000F5060000}"/>
    <cellStyle name="Normal 4 6 3" xfId="1783" xr:uid="{00000000-0005-0000-0000-0000F6060000}"/>
    <cellStyle name="Normal 4 6 4" xfId="1784" xr:uid="{00000000-0005-0000-0000-0000F7060000}"/>
    <cellStyle name="Normal 4 6 5" xfId="1785" xr:uid="{00000000-0005-0000-0000-0000F8060000}"/>
    <cellStyle name="Normal 4 6 6" xfId="1786" xr:uid="{00000000-0005-0000-0000-0000F9060000}"/>
    <cellStyle name="Normal 4 6 7" xfId="1787" xr:uid="{00000000-0005-0000-0000-0000FA060000}"/>
    <cellStyle name="Normal 4 6 8" xfId="1788" xr:uid="{00000000-0005-0000-0000-0000FB060000}"/>
    <cellStyle name="Normal 4 7" xfId="1789" xr:uid="{00000000-0005-0000-0000-0000FC060000}"/>
    <cellStyle name="Normal 4 7 2" xfId="1790" xr:uid="{00000000-0005-0000-0000-0000FD060000}"/>
    <cellStyle name="Normal 4 7 3" xfId="1791" xr:uid="{00000000-0005-0000-0000-0000FE060000}"/>
    <cellStyle name="Normal 4 7 4" xfId="1792" xr:uid="{00000000-0005-0000-0000-0000FF060000}"/>
    <cellStyle name="Normal 4 7 5" xfId="1793" xr:uid="{00000000-0005-0000-0000-000000070000}"/>
    <cellStyle name="Normal 4 7 6" xfId="1794" xr:uid="{00000000-0005-0000-0000-000001070000}"/>
    <cellStyle name="Normal 4 7 7" xfId="1795" xr:uid="{00000000-0005-0000-0000-000002070000}"/>
    <cellStyle name="Normal 4 7 8" xfId="1796" xr:uid="{00000000-0005-0000-0000-000003070000}"/>
    <cellStyle name="Normal 4 8" xfId="1797" xr:uid="{00000000-0005-0000-0000-000004070000}"/>
    <cellStyle name="Normal 4 8 2" xfId="1798" xr:uid="{00000000-0005-0000-0000-000005070000}"/>
    <cellStyle name="Normal 4 9" xfId="1799" xr:uid="{00000000-0005-0000-0000-000006070000}"/>
    <cellStyle name="Normal 4 9 2" xfId="1800" xr:uid="{00000000-0005-0000-0000-000007070000}"/>
    <cellStyle name="Normal 4_imptos" xfId="1801" xr:uid="{00000000-0005-0000-0000-000008070000}"/>
    <cellStyle name="Normal 5" xfId="1802" xr:uid="{00000000-0005-0000-0000-000009070000}"/>
    <cellStyle name="Normal 5 2" xfId="1803" xr:uid="{00000000-0005-0000-0000-00000A070000}"/>
    <cellStyle name="Normal 5 2 2" xfId="1804" xr:uid="{00000000-0005-0000-0000-00000B070000}"/>
    <cellStyle name="Normal 5 2 2 2" xfId="1805" xr:uid="{00000000-0005-0000-0000-00000C070000}"/>
    <cellStyle name="Normal 5 2 3" xfId="1806" xr:uid="{00000000-0005-0000-0000-00000D070000}"/>
    <cellStyle name="Normal 5 2 4" xfId="1807" xr:uid="{00000000-0005-0000-0000-00000E070000}"/>
    <cellStyle name="Normal 5 3" xfId="1808" xr:uid="{00000000-0005-0000-0000-00000F070000}"/>
    <cellStyle name="Normal 5 3 2" xfId="1809" xr:uid="{00000000-0005-0000-0000-000010070000}"/>
    <cellStyle name="Normal 5 3 3" xfId="1810" xr:uid="{00000000-0005-0000-0000-000011070000}"/>
    <cellStyle name="Normal 5 3 4" xfId="1811" xr:uid="{00000000-0005-0000-0000-000012070000}"/>
    <cellStyle name="Normal 5 4" xfId="1812" xr:uid="{00000000-0005-0000-0000-000013070000}"/>
    <cellStyle name="Normal 5 5" xfId="1813" xr:uid="{00000000-0005-0000-0000-000014070000}"/>
    <cellStyle name="Normal 5 6" xfId="1814" xr:uid="{00000000-0005-0000-0000-000015070000}"/>
    <cellStyle name="Normal 5 7" xfId="1815" xr:uid="{00000000-0005-0000-0000-000016070000}"/>
    <cellStyle name="Normal 5 7 2" xfId="1816" xr:uid="{00000000-0005-0000-0000-000017070000}"/>
    <cellStyle name="Normal 5 8" xfId="1817" xr:uid="{00000000-0005-0000-0000-000018070000}"/>
    <cellStyle name="Normal 5_CCNN2003-2010_Cap_1" xfId="1818" xr:uid="{00000000-0005-0000-0000-000019070000}"/>
    <cellStyle name="Normal 6" xfId="1819" xr:uid="{00000000-0005-0000-0000-00001A070000}"/>
    <cellStyle name="Normal 6 10" xfId="1820" xr:uid="{00000000-0005-0000-0000-00001B070000}"/>
    <cellStyle name="Normal 6 10 2" xfId="1821" xr:uid="{00000000-0005-0000-0000-00001C070000}"/>
    <cellStyle name="Normal 6 11" xfId="1822" xr:uid="{00000000-0005-0000-0000-00001D070000}"/>
    <cellStyle name="Normal 6 12" xfId="1823" xr:uid="{00000000-0005-0000-0000-00001E070000}"/>
    <cellStyle name="Normal 6 13" xfId="1824" xr:uid="{00000000-0005-0000-0000-00001F070000}"/>
    <cellStyle name="Normal 6 14" xfId="1825" xr:uid="{00000000-0005-0000-0000-000020070000}"/>
    <cellStyle name="Normal 6 15" xfId="1826" xr:uid="{00000000-0005-0000-0000-000021070000}"/>
    <cellStyle name="Normal 6 2" xfId="1827" xr:uid="{00000000-0005-0000-0000-000022070000}"/>
    <cellStyle name="Normal 6 2 2" xfId="1828" xr:uid="{00000000-0005-0000-0000-000023070000}"/>
    <cellStyle name="Normal 6 2 2 2" xfId="1829" xr:uid="{00000000-0005-0000-0000-000024070000}"/>
    <cellStyle name="Normal 6 2 2 3" xfId="1830" xr:uid="{00000000-0005-0000-0000-000025070000}"/>
    <cellStyle name="Normal 6 2 3" xfId="1831" xr:uid="{00000000-0005-0000-0000-000026070000}"/>
    <cellStyle name="Normal 6 2 3 2" xfId="1832" xr:uid="{00000000-0005-0000-0000-000027070000}"/>
    <cellStyle name="Normal 6 2 4" xfId="1833" xr:uid="{00000000-0005-0000-0000-000028070000}"/>
    <cellStyle name="Normal 6 2 4 2" xfId="1834" xr:uid="{00000000-0005-0000-0000-000029070000}"/>
    <cellStyle name="Normal 6 2 5" xfId="1835" xr:uid="{00000000-0005-0000-0000-00002A070000}"/>
    <cellStyle name="Normal 6 2 6" xfId="1836" xr:uid="{00000000-0005-0000-0000-00002B070000}"/>
    <cellStyle name="Normal 6 2 7" xfId="1837" xr:uid="{00000000-0005-0000-0000-00002C070000}"/>
    <cellStyle name="Normal 6 3" xfId="1838" xr:uid="{00000000-0005-0000-0000-00002D070000}"/>
    <cellStyle name="Normal 6 3 2" xfId="1839" xr:uid="{00000000-0005-0000-0000-00002E070000}"/>
    <cellStyle name="Normal 6 3 2 2" xfId="1840" xr:uid="{00000000-0005-0000-0000-00002F070000}"/>
    <cellStyle name="Normal 6 3 2 3" xfId="1841" xr:uid="{00000000-0005-0000-0000-000030070000}"/>
    <cellStyle name="Normal 6 3 3" xfId="1842" xr:uid="{00000000-0005-0000-0000-000031070000}"/>
    <cellStyle name="Normal 6 3 4" xfId="1843" xr:uid="{00000000-0005-0000-0000-000032070000}"/>
    <cellStyle name="Normal 6 3 5" xfId="1844" xr:uid="{00000000-0005-0000-0000-000033070000}"/>
    <cellStyle name="Normal 6 3 6" xfId="1845" xr:uid="{00000000-0005-0000-0000-000034070000}"/>
    <cellStyle name="Normal 6 3 7" xfId="1846" xr:uid="{00000000-0005-0000-0000-000035070000}"/>
    <cellStyle name="Normal 6 4" xfId="1847" xr:uid="{00000000-0005-0000-0000-000036070000}"/>
    <cellStyle name="Normal 6 4 2" xfId="1848" xr:uid="{00000000-0005-0000-0000-000037070000}"/>
    <cellStyle name="Normal 6 4 2 2" xfId="1849" xr:uid="{00000000-0005-0000-0000-000038070000}"/>
    <cellStyle name="Normal 6 4 2 3" xfId="1850" xr:uid="{00000000-0005-0000-0000-000039070000}"/>
    <cellStyle name="Normal 6 4 3" xfId="1851" xr:uid="{00000000-0005-0000-0000-00003A070000}"/>
    <cellStyle name="Normal 6 4 3 2" xfId="1852" xr:uid="{00000000-0005-0000-0000-00003B070000}"/>
    <cellStyle name="Normal 6 4 4" xfId="1853" xr:uid="{00000000-0005-0000-0000-00003C070000}"/>
    <cellStyle name="Normal 6 4 5" xfId="1854" xr:uid="{00000000-0005-0000-0000-00003D070000}"/>
    <cellStyle name="Normal 6 4 6" xfId="1855" xr:uid="{00000000-0005-0000-0000-00003E070000}"/>
    <cellStyle name="Normal 6 4 7" xfId="1856" xr:uid="{00000000-0005-0000-0000-00003F070000}"/>
    <cellStyle name="Normal 6 5" xfId="1857" xr:uid="{00000000-0005-0000-0000-000040070000}"/>
    <cellStyle name="Normal 6 5 2" xfId="1858" xr:uid="{00000000-0005-0000-0000-000041070000}"/>
    <cellStyle name="Normal 6 5 3" xfId="1859" xr:uid="{00000000-0005-0000-0000-000042070000}"/>
    <cellStyle name="Normal 6 5 4" xfId="1860" xr:uid="{00000000-0005-0000-0000-000043070000}"/>
    <cellStyle name="Normal 6 5 5" xfId="1861" xr:uid="{00000000-0005-0000-0000-000044070000}"/>
    <cellStyle name="Normal 6 5 6" xfId="1862" xr:uid="{00000000-0005-0000-0000-000045070000}"/>
    <cellStyle name="Normal 6 5 7" xfId="1863" xr:uid="{00000000-0005-0000-0000-000046070000}"/>
    <cellStyle name="Normal 6 6" xfId="1864" xr:uid="{00000000-0005-0000-0000-000047070000}"/>
    <cellStyle name="Normal 6 6 2" xfId="1865" xr:uid="{00000000-0005-0000-0000-000048070000}"/>
    <cellStyle name="Normal 6 6 3" xfId="1866" xr:uid="{00000000-0005-0000-0000-000049070000}"/>
    <cellStyle name="Normal 6 6 4" xfId="1867" xr:uid="{00000000-0005-0000-0000-00004A070000}"/>
    <cellStyle name="Normal 6 6 5" xfId="1868" xr:uid="{00000000-0005-0000-0000-00004B070000}"/>
    <cellStyle name="Normal 6 6 6" xfId="1869" xr:uid="{00000000-0005-0000-0000-00004C070000}"/>
    <cellStyle name="Normal 6 6 7" xfId="1870" xr:uid="{00000000-0005-0000-0000-00004D070000}"/>
    <cellStyle name="Normal 6 7" xfId="1871" xr:uid="{00000000-0005-0000-0000-00004E070000}"/>
    <cellStyle name="Normal 6 7 10" xfId="1872" xr:uid="{00000000-0005-0000-0000-00004F070000}"/>
    <cellStyle name="Normal 6 7 2" xfId="1873" xr:uid="{00000000-0005-0000-0000-000050070000}"/>
    <cellStyle name="Normal 6 7 3" xfId="1874" xr:uid="{00000000-0005-0000-0000-000051070000}"/>
    <cellStyle name="Normal 6 7 4" xfId="1875" xr:uid="{00000000-0005-0000-0000-000052070000}"/>
    <cellStyle name="Normal 6 7 5" xfId="1876" xr:uid="{00000000-0005-0000-0000-000053070000}"/>
    <cellStyle name="Normal 6 7 6" xfId="1877" xr:uid="{00000000-0005-0000-0000-000054070000}"/>
    <cellStyle name="Normal 6 7 7" xfId="1878" xr:uid="{00000000-0005-0000-0000-000055070000}"/>
    <cellStyle name="Normal 6 7 8" xfId="1879" xr:uid="{00000000-0005-0000-0000-000056070000}"/>
    <cellStyle name="Normal 6 7 9" xfId="1880" xr:uid="{00000000-0005-0000-0000-000057070000}"/>
    <cellStyle name="Normal 6 8" xfId="1881" xr:uid="{00000000-0005-0000-0000-000058070000}"/>
    <cellStyle name="Normal 6 8 2" xfId="1882" xr:uid="{00000000-0005-0000-0000-000059070000}"/>
    <cellStyle name="Normal 6 8 3" xfId="1883" xr:uid="{00000000-0005-0000-0000-00005A070000}"/>
    <cellStyle name="Normal 6 8 4" xfId="1884" xr:uid="{00000000-0005-0000-0000-00005B070000}"/>
    <cellStyle name="Normal 6 9" xfId="1885" xr:uid="{00000000-0005-0000-0000-00005C070000}"/>
    <cellStyle name="Normal 6 9 2" xfId="1886" xr:uid="{00000000-0005-0000-0000-00005D070000}"/>
    <cellStyle name="Normal 6_destino" xfId="1887" xr:uid="{00000000-0005-0000-0000-00005E070000}"/>
    <cellStyle name="Normal 7" xfId="1888" xr:uid="{00000000-0005-0000-0000-00005F070000}"/>
    <cellStyle name="Normal 7 2" xfId="1889" xr:uid="{00000000-0005-0000-0000-000060070000}"/>
    <cellStyle name="Normal 7 2 2" xfId="1890" xr:uid="{00000000-0005-0000-0000-000061070000}"/>
    <cellStyle name="Normal 7 2 2 2" xfId="1891" xr:uid="{00000000-0005-0000-0000-000062070000}"/>
    <cellStyle name="Normal 7 2 2 2 2" xfId="1892" xr:uid="{00000000-0005-0000-0000-000063070000}"/>
    <cellStyle name="Normal 7 2 3" xfId="1893" xr:uid="{00000000-0005-0000-0000-000064070000}"/>
    <cellStyle name="Normal 7 2 3 2" xfId="1894" xr:uid="{00000000-0005-0000-0000-000065070000}"/>
    <cellStyle name="Normal 7 2 4" xfId="1895" xr:uid="{00000000-0005-0000-0000-000066070000}"/>
    <cellStyle name="Normal 7 2 5" xfId="1896" xr:uid="{00000000-0005-0000-0000-000067070000}"/>
    <cellStyle name="Normal 7 2_destino" xfId="1897" xr:uid="{00000000-0005-0000-0000-000068070000}"/>
    <cellStyle name="Normal 7 3" xfId="1898" xr:uid="{00000000-0005-0000-0000-000069070000}"/>
    <cellStyle name="Normal 7 3 2" xfId="1899" xr:uid="{00000000-0005-0000-0000-00006A070000}"/>
    <cellStyle name="Normal 7 4" xfId="1900" xr:uid="{00000000-0005-0000-0000-00006B070000}"/>
    <cellStyle name="Normal 7 5" xfId="1901" xr:uid="{00000000-0005-0000-0000-00006C070000}"/>
    <cellStyle name="Normal 8" xfId="1902" xr:uid="{00000000-0005-0000-0000-00006D070000}"/>
    <cellStyle name="Normal 8 2" xfId="1903" xr:uid="{00000000-0005-0000-0000-00006E070000}"/>
    <cellStyle name="Normal 8 2 2" xfId="1904" xr:uid="{00000000-0005-0000-0000-00006F070000}"/>
    <cellStyle name="Normal 8 2 3" xfId="1905" xr:uid="{00000000-0005-0000-0000-000070070000}"/>
    <cellStyle name="Normal 8 3" xfId="1906" xr:uid="{00000000-0005-0000-0000-000071070000}"/>
    <cellStyle name="Normal 8 3 2" xfId="1907" xr:uid="{00000000-0005-0000-0000-000072070000}"/>
    <cellStyle name="Normal 8 3 3" xfId="1908" xr:uid="{00000000-0005-0000-0000-000073070000}"/>
    <cellStyle name="Normal 8 3 4" xfId="1909" xr:uid="{00000000-0005-0000-0000-000074070000}"/>
    <cellStyle name="Normal 8 4" xfId="1910" xr:uid="{00000000-0005-0000-0000-000075070000}"/>
    <cellStyle name="Normal 8 5" xfId="1911" xr:uid="{00000000-0005-0000-0000-000076070000}"/>
    <cellStyle name="Normal 8 6" xfId="1912" xr:uid="{00000000-0005-0000-0000-000077070000}"/>
    <cellStyle name="Normal 8 7" xfId="1913" xr:uid="{00000000-0005-0000-0000-000078070000}"/>
    <cellStyle name="Normal 8_destino" xfId="1914" xr:uid="{00000000-0005-0000-0000-000079070000}"/>
    <cellStyle name="Normal 9" xfId="1915" xr:uid="{00000000-0005-0000-0000-00007A070000}"/>
    <cellStyle name="Normal 9 2" xfId="1916" xr:uid="{00000000-0005-0000-0000-00007B070000}"/>
    <cellStyle name="Normal 9 2 2" xfId="1917" xr:uid="{00000000-0005-0000-0000-00007C070000}"/>
    <cellStyle name="Normal 9 3" xfId="1918" xr:uid="{00000000-0005-0000-0000-00007D070000}"/>
    <cellStyle name="Normal 9 3 2" xfId="1919" xr:uid="{00000000-0005-0000-0000-00007E070000}"/>
    <cellStyle name="Normal 9 4" xfId="1920" xr:uid="{00000000-0005-0000-0000-00007F070000}"/>
    <cellStyle name="Normal 9 5" xfId="1921" xr:uid="{00000000-0005-0000-0000-000080070000}"/>
    <cellStyle name="Normal_00_Glosa" xfId="2070" xr:uid="{00000000-0005-0000-0000-000081070000}"/>
    <cellStyle name="Normal_consulta212 2" xfId="1" xr:uid="{00000000-0005-0000-0000-000082070000}"/>
    <cellStyle name="Normal_consulta212 5" xfId="4" xr:uid="{00000000-0005-0000-0000-000083070000}"/>
    <cellStyle name="Normal_DESEST97" xfId="3" xr:uid="{00000000-0005-0000-0000-000084070000}"/>
    <cellStyle name="normální_Allianz Pojistovna" xfId="1922" xr:uid="{00000000-0005-0000-0000-000086070000}"/>
    <cellStyle name="Notas 2" xfId="1923" xr:uid="{00000000-0005-0000-0000-000087070000}"/>
    <cellStyle name="Notas 2 2" xfId="1924" xr:uid="{00000000-0005-0000-0000-000088070000}"/>
    <cellStyle name="Notas 2 2 2" xfId="1925" xr:uid="{00000000-0005-0000-0000-000089070000}"/>
    <cellStyle name="Notas 2 3" xfId="1926" xr:uid="{00000000-0005-0000-0000-00008A070000}"/>
    <cellStyle name="Notas 2 3 2" xfId="1927" xr:uid="{00000000-0005-0000-0000-00008B070000}"/>
    <cellStyle name="Notas 2 4" xfId="1928" xr:uid="{00000000-0005-0000-0000-00008C070000}"/>
    <cellStyle name="Notas 2 5" xfId="1929" xr:uid="{00000000-0005-0000-0000-00008D070000}"/>
    <cellStyle name="Notas 3" xfId="1930" xr:uid="{00000000-0005-0000-0000-00008E070000}"/>
    <cellStyle name="Notas 3 2" xfId="1931" xr:uid="{00000000-0005-0000-0000-00008F070000}"/>
    <cellStyle name="Notas 3 3" xfId="1932" xr:uid="{00000000-0005-0000-0000-000090070000}"/>
    <cellStyle name="Notas 4" xfId="1933" xr:uid="{00000000-0005-0000-0000-000091070000}"/>
    <cellStyle name="Notas 4 2" xfId="1934" xr:uid="{00000000-0005-0000-0000-000092070000}"/>
    <cellStyle name="Notas 5" xfId="1935" xr:uid="{00000000-0005-0000-0000-000093070000}"/>
    <cellStyle name="Notas 5 2" xfId="1936" xr:uid="{00000000-0005-0000-0000-000094070000}"/>
    <cellStyle name="Note" xfId="1937" xr:uid="{00000000-0005-0000-0000-000095070000}"/>
    <cellStyle name="Output" xfId="1938" xr:uid="{00000000-0005-0000-0000-000096070000}"/>
    <cellStyle name="pablo" xfId="1939" xr:uid="{00000000-0005-0000-0000-000097070000}"/>
    <cellStyle name="Porcentaje 2" xfId="1940" xr:uid="{00000000-0005-0000-0000-000098070000}"/>
    <cellStyle name="Porcentaje 2 2" xfId="1941" xr:uid="{00000000-0005-0000-0000-000099070000}"/>
    <cellStyle name="Porcentaje 2 2 2" xfId="1942" xr:uid="{00000000-0005-0000-0000-00009A070000}"/>
    <cellStyle name="Porcentaje 2 2 3" xfId="1943" xr:uid="{00000000-0005-0000-0000-00009B070000}"/>
    <cellStyle name="Porcentaje 2 3" xfId="1944" xr:uid="{00000000-0005-0000-0000-00009C070000}"/>
    <cellStyle name="Porcentaje 2 4" xfId="1945" xr:uid="{00000000-0005-0000-0000-00009D070000}"/>
    <cellStyle name="Porcentaje 3" xfId="1946" xr:uid="{00000000-0005-0000-0000-00009E070000}"/>
    <cellStyle name="Porcentaje 3 2" xfId="1947" xr:uid="{00000000-0005-0000-0000-00009F070000}"/>
    <cellStyle name="Porcentaje 3 3" xfId="1948" xr:uid="{00000000-0005-0000-0000-0000A0070000}"/>
    <cellStyle name="Porcentaje 3 4" xfId="1949" xr:uid="{00000000-0005-0000-0000-0000A1070000}"/>
    <cellStyle name="Porcentaje 3 5" xfId="1950" xr:uid="{00000000-0005-0000-0000-0000A2070000}"/>
    <cellStyle name="Porcentaje 3 6" xfId="1951" xr:uid="{00000000-0005-0000-0000-0000A3070000}"/>
    <cellStyle name="Porcentaje 4" xfId="1952" xr:uid="{00000000-0005-0000-0000-0000A4070000}"/>
    <cellStyle name="Porcentaje 4 2" xfId="1953" xr:uid="{00000000-0005-0000-0000-0000A5070000}"/>
    <cellStyle name="Porcentaje 5" xfId="1954" xr:uid="{00000000-0005-0000-0000-0000A6070000}"/>
    <cellStyle name="Porcentaje 5 2" xfId="1955" xr:uid="{00000000-0005-0000-0000-0000A7070000}"/>
    <cellStyle name="Porcentaje 5 3" xfId="1956" xr:uid="{00000000-0005-0000-0000-0000A8070000}"/>
    <cellStyle name="Porcentaje 6" xfId="1957" xr:uid="{00000000-0005-0000-0000-0000A9070000}"/>
    <cellStyle name="Porcentaje 6 2" xfId="1958" xr:uid="{00000000-0005-0000-0000-0000AA070000}"/>
    <cellStyle name="Porcentaje 7" xfId="1959" xr:uid="{00000000-0005-0000-0000-0000AB070000}"/>
    <cellStyle name="Porcentual" xfId="1960" xr:uid="{00000000-0005-0000-0000-0000AC070000}"/>
    <cellStyle name="Porcentual 2" xfId="1961" xr:uid="{00000000-0005-0000-0000-0000AD070000}"/>
    <cellStyle name="Porcentual 2 2" xfId="1962" xr:uid="{00000000-0005-0000-0000-0000AE070000}"/>
    <cellStyle name="Porcentual 2 2 2" xfId="1963" xr:uid="{00000000-0005-0000-0000-0000AF070000}"/>
    <cellStyle name="Porcentual 2 2 2 2" xfId="1964" xr:uid="{00000000-0005-0000-0000-0000B0070000}"/>
    <cellStyle name="Porcentual 2 2 2 3" xfId="1965" xr:uid="{00000000-0005-0000-0000-0000B1070000}"/>
    <cellStyle name="Porcentual 2 2 3" xfId="1966" xr:uid="{00000000-0005-0000-0000-0000B2070000}"/>
    <cellStyle name="Porcentual 2 2 3 2" xfId="1967" xr:uid="{00000000-0005-0000-0000-0000B3070000}"/>
    <cellStyle name="Porcentual 2 2 3 3" xfId="1968" xr:uid="{00000000-0005-0000-0000-0000B4070000}"/>
    <cellStyle name="Porcentual 2 2 4" xfId="1969" xr:uid="{00000000-0005-0000-0000-0000B5070000}"/>
    <cellStyle name="Porcentual 2 2 5" xfId="1970" xr:uid="{00000000-0005-0000-0000-0000B6070000}"/>
    <cellStyle name="Porcentual 2 2 6" xfId="1971" xr:uid="{00000000-0005-0000-0000-0000B7070000}"/>
    <cellStyle name="Porcentual 2 3" xfId="1972" xr:uid="{00000000-0005-0000-0000-0000B8070000}"/>
    <cellStyle name="Porcentual 2 3 2" xfId="1973" xr:uid="{00000000-0005-0000-0000-0000B9070000}"/>
    <cellStyle name="Porcentual 2 3 3" xfId="1974" xr:uid="{00000000-0005-0000-0000-0000BA070000}"/>
    <cellStyle name="Porcentual 2 4" xfId="1975" xr:uid="{00000000-0005-0000-0000-0000BB070000}"/>
    <cellStyle name="Porcentual 2 4 2" xfId="1976" xr:uid="{00000000-0005-0000-0000-0000BC070000}"/>
    <cellStyle name="Porcentual 2 4 3" xfId="1977" xr:uid="{00000000-0005-0000-0000-0000BD070000}"/>
    <cellStyle name="Porcentual 2 5" xfId="1978" xr:uid="{00000000-0005-0000-0000-0000BE070000}"/>
    <cellStyle name="Porcentual 2 5 2" xfId="1979" xr:uid="{00000000-0005-0000-0000-0000BF070000}"/>
    <cellStyle name="Porcentual 2 5 3" xfId="1980" xr:uid="{00000000-0005-0000-0000-0000C0070000}"/>
    <cellStyle name="Porcentual 2 6" xfId="1981" xr:uid="{00000000-0005-0000-0000-0000C1070000}"/>
    <cellStyle name="Porcentual 2 6 2" xfId="1982" xr:uid="{00000000-0005-0000-0000-0000C2070000}"/>
    <cellStyle name="Porcentual 2 6 3" xfId="1983" xr:uid="{00000000-0005-0000-0000-0000C3070000}"/>
    <cellStyle name="Porcentual 2 7" xfId="1984" xr:uid="{00000000-0005-0000-0000-0000C4070000}"/>
    <cellStyle name="Porcentual 3" xfId="1985" xr:uid="{00000000-0005-0000-0000-0000C5070000}"/>
    <cellStyle name="Porcentual 3 2" xfId="1986" xr:uid="{00000000-0005-0000-0000-0000C6070000}"/>
    <cellStyle name="Porcentual 4" xfId="1987" xr:uid="{00000000-0005-0000-0000-0000C7070000}"/>
    <cellStyle name="Porcentual 4 2" xfId="1988" xr:uid="{00000000-0005-0000-0000-0000C8070000}"/>
    <cellStyle name="Porcentual 4 2 2" xfId="1989" xr:uid="{00000000-0005-0000-0000-0000C9070000}"/>
    <cellStyle name="Porcentual 4 3" xfId="1990" xr:uid="{00000000-0005-0000-0000-0000CA070000}"/>
    <cellStyle name="Porcentual 4 3 2" xfId="1991" xr:uid="{00000000-0005-0000-0000-0000CB070000}"/>
    <cellStyle name="Porcentual 4 4" xfId="1992" xr:uid="{00000000-0005-0000-0000-0000CC070000}"/>
    <cellStyle name="Porcentual 5" xfId="1993" xr:uid="{00000000-0005-0000-0000-0000CD070000}"/>
    <cellStyle name="Salida 2" xfId="1994" xr:uid="{00000000-0005-0000-0000-0000CE070000}"/>
    <cellStyle name="Salida 2 2" xfId="1995" xr:uid="{00000000-0005-0000-0000-0000CF070000}"/>
    <cellStyle name="Salida 2 3" xfId="1996" xr:uid="{00000000-0005-0000-0000-0000D0070000}"/>
    <cellStyle name="Salida 2 4" xfId="1997" xr:uid="{00000000-0005-0000-0000-0000D1070000}"/>
    <cellStyle name="Salida 2 5" xfId="1998" xr:uid="{00000000-0005-0000-0000-0000D2070000}"/>
    <cellStyle name="Salida 3" xfId="1999" xr:uid="{00000000-0005-0000-0000-0000D3070000}"/>
    <cellStyle name="Salida 4" xfId="2000" xr:uid="{00000000-0005-0000-0000-0000D4070000}"/>
    <cellStyle name="Salida 5" xfId="2001" xr:uid="{00000000-0005-0000-0000-0000D5070000}"/>
    <cellStyle name="SAPBEXstdItem" xfId="2002" xr:uid="{00000000-0005-0000-0000-0000D6070000}"/>
    <cellStyle name="SAPBEXtitle" xfId="2003" xr:uid="{00000000-0005-0000-0000-0000D7070000}"/>
    <cellStyle name="standard" xfId="2004" xr:uid="{00000000-0005-0000-0000-0000D8070000}"/>
    <cellStyle name="Texto de advertencia 2" xfId="2005" xr:uid="{00000000-0005-0000-0000-0000D9070000}"/>
    <cellStyle name="Texto de advertencia 2 2" xfId="2006" xr:uid="{00000000-0005-0000-0000-0000DA070000}"/>
    <cellStyle name="Texto de advertencia 2 3" xfId="2007" xr:uid="{00000000-0005-0000-0000-0000DB070000}"/>
    <cellStyle name="Texto de advertencia 2 4" xfId="2008" xr:uid="{00000000-0005-0000-0000-0000DC070000}"/>
    <cellStyle name="Texto de advertencia 2 5" xfId="2009" xr:uid="{00000000-0005-0000-0000-0000DD070000}"/>
    <cellStyle name="Texto de advertencia 3" xfId="2010" xr:uid="{00000000-0005-0000-0000-0000DE070000}"/>
    <cellStyle name="Texto de advertencia 4" xfId="2011" xr:uid="{00000000-0005-0000-0000-0000DF070000}"/>
    <cellStyle name="Texto de advertencia 5" xfId="2012" xr:uid="{00000000-0005-0000-0000-0000E0070000}"/>
    <cellStyle name="Texto explicativo 2" xfId="2013" xr:uid="{00000000-0005-0000-0000-0000E1070000}"/>
    <cellStyle name="Texto explicativo 2 2" xfId="2014" xr:uid="{00000000-0005-0000-0000-0000E2070000}"/>
    <cellStyle name="Texto explicativo 2 3" xfId="2015" xr:uid="{00000000-0005-0000-0000-0000E3070000}"/>
    <cellStyle name="Texto explicativo 2 4" xfId="2016" xr:uid="{00000000-0005-0000-0000-0000E4070000}"/>
    <cellStyle name="Texto explicativo 2 5" xfId="2017" xr:uid="{00000000-0005-0000-0000-0000E5070000}"/>
    <cellStyle name="Texto explicativo 3" xfId="2018" xr:uid="{00000000-0005-0000-0000-0000E6070000}"/>
    <cellStyle name="Texto explicativo 4" xfId="2019" xr:uid="{00000000-0005-0000-0000-0000E7070000}"/>
    <cellStyle name="Texto explicativo 5" xfId="2020" xr:uid="{00000000-0005-0000-0000-0000E8070000}"/>
    <cellStyle name="Title" xfId="2021" xr:uid="{00000000-0005-0000-0000-0000E9070000}"/>
    <cellStyle name="Título 1 2" xfId="2022" xr:uid="{00000000-0005-0000-0000-0000EA070000}"/>
    <cellStyle name="Título 1 2 2" xfId="2023" xr:uid="{00000000-0005-0000-0000-0000EB070000}"/>
    <cellStyle name="Título 1 2 3" xfId="2024" xr:uid="{00000000-0005-0000-0000-0000EC070000}"/>
    <cellStyle name="Título 1 2 4" xfId="2025" xr:uid="{00000000-0005-0000-0000-0000ED070000}"/>
    <cellStyle name="Título 1 2 5" xfId="2026" xr:uid="{00000000-0005-0000-0000-0000EE070000}"/>
    <cellStyle name="Título 1 3" xfId="2027" xr:uid="{00000000-0005-0000-0000-0000EF070000}"/>
    <cellStyle name="Título 1 3 2" xfId="2028" xr:uid="{00000000-0005-0000-0000-0000F0070000}"/>
    <cellStyle name="Título 1 4" xfId="2029" xr:uid="{00000000-0005-0000-0000-0000F1070000}"/>
    <cellStyle name="Título 1 4 2" xfId="2030" xr:uid="{00000000-0005-0000-0000-0000F2070000}"/>
    <cellStyle name="Título 1 5" xfId="2031" xr:uid="{00000000-0005-0000-0000-0000F3070000}"/>
    <cellStyle name="Título 1 5 2" xfId="2032" xr:uid="{00000000-0005-0000-0000-0000F4070000}"/>
    <cellStyle name="Título 1 6" xfId="2033" xr:uid="{00000000-0005-0000-0000-0000F5070000}"/>
    <cellStyle name="Título 2 2" xfId="2034" xr:uid="{00000000-0005-0000-0000-0000F6070000}"/>
    <cellStyle name="Título 2 2 2" xfId="2035" xr:uid="{00000000-0005-0000-0000-0000F7070000}"/>
    <cellStyle name="Título 2 2 3" xfId="2036" xr:uid="{00000000-0005-0000-0000-0000F8070000}"/>
    <cellStyle name="Título 2 2 4" xfId="2037" xr:uid="{00000000-0005-0000-0000-0000F9070000}"/>
    <cellStyle name="Título 2 2 5" xfId="2038" xr:uid="{00000000-0005-0000-0000-0000FA070000}"/>
    <cellStyle name="Título 2 3" xfId="2039" xr:uid="{00000000-0005-0000-0000-0000FB070000}"/>
    <cellStyle name="Título 2 4" xfId="2040" xr:uid="{00000000-0005-0000-0000-0000FC070000}"/>
    <cellStyle name="Título 2 5" xfId="2041" xr:uid="{00000000-0005-0000-0000-0000FD070000}"/>
    <cellStyle name="Título 3 2" xfId="2042" xr:uid="{00000000-0005-0000-0000-0000FE070000}"/>
    <cellStyle name="Título 3 2 2" xfId="2043" xr:uid="{00000000-0005-0000-0000-0000FF070000}"/>
    <cellStyle name="Título 3 2 3" xfId="2044" xr:uid="{00000000-0005-0000-0000-000000080000}"/>
    <cellStyle name="Título 3 2 4" xfId="2045" xr:uid="{00000000-0005-0000-0000-000001080000}"/>
    <cellStyle name="Título 3 2 5" xfId="2046" xr:uid="{00000000-0005-0000-0000-000002080000}"/>
    <cellStyle name="Título 3 3" xfId="2047" xr:uid="{00000000-0005-0000-0000-000003080000}"/>
    <cellStyle name="Título 3 4" xfId="2048" xr:uid="{00000000-0005-0000-0000-000004080000}"/>
    <cellStyle name="Título 3 5" xfId="2049" xr:uid="{00000000-0005-0000-0000-000005080000}"/>
    <cellStyle name="Título 4" xfId="2050" xr:uid="{00000000-0005-0000-0000-000006080000}"/>
    <cellStyle name="Título 4 2" xfId="2051" xr:uid="{00000000-0005-0000-0000-000007080000}"/>
    <cellStyle name="Título 4 3" xfId="2052" xr:uid="{00000000-0005-0000-0000-000008080000}"/>
    <cellStyle name="Título 4 4" xfId="2053" xr:uid="{00000000-0005-0000-0000-000009080000}"/>
    <cellStyle name="Título 4 5" xfId="2054" xr:uid="{00000000-0005-0000-0000-00000A080000}"/>
    <cellStyle name="Título 5" xfId="2055" xr:uid="{00000000-0005-0000-0000-00000B080000}"/>
    <cellStyle name="Título 6" xfId="2056" xr:uid="{00000000-0005-0000-0000-00000C080000}"/>
    <cellStyle name="Título 7" xfId="2057" xr:uid="{00000000-0005-0000-0000-00000D080000}"/>
    <cellStyle name="Total 2" xfId="2058" xr:uid="{00000000-0005-0000-0000-00000E080000}"/>
    <cellStyle name="Total 2 2" xfId="2059" xr:uid="{00000000-0005-0000-0000-00000F080000}"/>
    <cellStyle name="Total 2 3" xfId="2060" xr:uid="{00000000-0005-0000-0000-000010080000}"/>
    <cellStyle name="Total 2 4" xfId="2061" xr:uid="{00000000-0005-0000-0000-000011080000}"/>
    <cellStyle name="Total 2 5" xfId="2062" xr:uid="{00000000-0005-0000-0000-000012080000}"/>
    <cellStyle name="Total 3" xfId="2063" xr:uid="{00000000-0005-0000-0000-000013080000}"/>
    <cellStyle name="Total 4" xfId="2064" xr:uid="{00000000-0005-0000-0000-000014080000}"/>
    <cellStyle name="Total 5" xfId="2065" xr:uid="{00000000-0005-0000-0000-000015080000}"/>
    <cellStyle name="Undefiniert" xfId="2066" xr:uid="{00000000-0005-0000-0000-000016080000}"/>
    <cellStyle name="Währung [0]_Tax Losses 00-01 February 1" xfId="2067" xr:uid="{00000000-0005-0000-0000-000017080000}"/>
    <cellStyle name="Währung_Tax Losses 00-01 February 1" xfId="2068" xr:uid="{00000000-0005-0000-0000-000018080000}"/>
    <cellStyle name="Warning Text" xfId="2069" xr:uid="{00000000-0005-0000-0000-000019080000}"/>
  </cellStyles>
  <dxfs count="1">
    <dxf>
      <numFmt numFmtId="3" formatCode="#,##0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Vargas" refreshedDate="45900.873913425923" createdVersion="8" refreshedVersion="8" minRefreshableVersion="3" recordCount="216" xr:uid="{F5C9C54B-ABF7-43FF-B4D2-E08A842C0C4B}">
  <cacheSource type="worksheet">
    <worksheetSource ref="A3:K219" sheet="Resultado"/>
  </cacheSource>
  <cacheFields count="11">
    <cacheField name="Fila" numFmtId="0">
      <sharedItems/>
    </cacheField>
    <cacheField name="Columna" numFmtId="0">
      <sharedItems/>
    </cacheField>
    <cacheField name="Valor" numFmtId="0">
      <sharedItems containsSemiMixedTypes="0" containsString="0" containsNumber="1" minValue="-315.1916644546144" maxValue="50201.314984253913"/>
    </cacheField>
    <cacheField name="Transaccion Fila" numFmtId="0">
      <sharedItems/>
    </cacheField>
    <cacheField name="Código Sector Fila" numFmtId="0">
      <sharedItems containsSemiMixedTypes="0" containsString="0" containsNumber="1" containsInteger="1" minValue="1" maxValue="12"/>
    </cacheField>
    <cacheField name="Sector Fila" numFmtId="0">
      <sharedItems/>
    </cacheField>
    <cacheField name="Bioeconomía filas" numFmtId="0">
      <sharedItems count="3">
        <s v="Bioeconomía"/>
        <s v="No Bioeconomía"/>
        <s v="Bioeconomía extendida"/>
      </sharedItems>
    </cacheField>
    <cacheField name="Transacción Columnas" numFmtId="0">
      <sharedItems count="7">
        <s v="Demanda intermedia"/>
        <s v="Consumo de hogares"/>
        <s v="Consumo  de IPSFL"/>
        <s v="Consumo de gobierno"/>
        <s v="Formación bruta de capital fijo"/>
        <s v="Variación de existencias"/>
        <s v="Exportaciones"/>
      </sharedItems>
    </cacheField>
    <cacheField name="Código Sector Columna" numFmtId="0">
      <sharedItems containsMixedTypes="1" containsNumber="1" containsInteger="1" minValue="1" maxValue="12"/>
    </cacheField>
    <cacheField name="Sector Columna" numFmtId="0">
      <sharedItems/>
    </cacheField>
    <cacheField name="Bioeconomía columnas" numFmtId="0">
      <sharedItems count="4">
        <s v="Bioeconomía"/>
        <s v="No Bioeconomía"/>
        <s v="Bioeconomía extendida"/>
        <s v="Ningu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s v="Oferta intermedia_1_Agropecuario-silvícola y Pesca"/>
    <s v="Demanda intermedia_1_Agropecuario-silvícola y Pesca"/>
    <n v="4115.25324179359"/>
    <s v="Oferta intermedia"/>
    <n v="1"/>
    <s v="Agropecuario-silvícola y Pesca"/>
    <x v="0"/>
    <x v="0"/>
    <n v="1"/>
    <s v="Agropecuario-silvícola y Pesca"/>
    <x v="0"/>
  </r>
  <r>
    <s v="Oferta intermedia_1_Agropecuario-silvícola y Pesca"/>
    <s v="Demanda intermedia_2_Minería"/>
    <n v="0.64223706650561818"/>
    <s v="Oferta intermedia"/>
    <n v="1"/>
    <s v="Agropecuario-silvícola y Pesca"/>
    <x v="0"/>
    <x v="0"/>
    <n v="2"/>
    <s v="Minería"/>
    <x v="1"/>
  </r>
  <r>
    <s v="Oferta intermedia_1_Agropecuario-silvícola y Pesca"/>
    <s v="Demanda intermedia_3_Industria manufacturera"/>
    <n v="11866.038642245503"/>
    <s v="Oferta intermedia"/>
    <n v="1"/>
    <s v="Agropecuario-silvícola y Pesca"/>
    <x v="0"/>
    <x v="0"/>
    <n v="3"/>
    <s v="Industria manufacturera"/>
    <x v="1"/>
  </r>
  <r>
    <s v="Oferta intermedia_1_Agropecuario-silvícola y Pesca"/>
    <s v="Demanda intermedia_4_Electricidad, gas, agua y gestión de desechos"/>
    <n v="41.408529901637003"/>
    <s v="Oferta intermedia"/>
    <n v="1"/>
    <s v="Agropecuario-silvícola y Pesca"/>
    <x v="0"/>
    <x v="0"/>
    <n v="4"/>
    <s v="Electricidad, gas, agua y gestión de desechos"/>
    <x v="1"/>
  </r>
  <r>
    <s v="Oferta intermedia_1_Agropecuario-silvícola y Pesca"/>
    <s v="Demanda intermedia_5_Construcción"/>
    <n v="13.540523211729319"/>
    <s v="Oferta intermedia"/>
    <n v="1"/>
    <s v="Agropecuario-silvícola y Pesca"/>
    <x v="0"/>
    <x v="0"/>
    <n v="5"/>
    <s v="Construcción"/>
    <x v="1"/>
  </r>
  <r>
    <s v="Oferta intermedia_1_Agropecuario-silvícola y Pesca"/>
    <s v="Demanda intermedia_6_Comercio, hoteles y restaurantes"/>
    <n v="323.50973122279078"/>
    <s v="Oferta intermedia"/>
    <n v="1"/>
    <s v="Agropecuario-silvícola y Pesca"/>
    <x v="0"/>
    <x v="0"/>
    <n v="6"/>
    <s v="Comercio, hoteles y restaurantes"/>
    <x v="1"/>
  </r>
  <r>
    <s v="Oferta intermedia_1_Agropecuario-silvícola y Pesca"/>
    <s v="Demanda intermedia_7_Transporte, comunicaciones y servicios de información"/>
    <n v="3.7189800027750808"/>
    <s v="Oferta intermedia"/>
    <n v="1"/>
    <s v="Agropecuario-silvícola y Pesca"/>
    <x v="0"/>
    <x v="0"/>
    <n v="7"/>
    <s v="Transporte, comunicaciones y servicios de información"/>
    <x v="1"/>
  </r>
  <r>
    <s v="Oferta intermedia_1_Agropecuario-silvícola y Pesca"/>
    <s v="Demanda intermedia_8_Intermediación financiera"/>
    <n v="1.1738699574293463"/>
    <s v="Oferta intermedia"/>
    <n v="1"/>
    <s v="Agropecuario-silvícola y Pesca"/>
    <x v="0"/>
    <x v="0"/>
    <n v="8"/>
    <s v="Intermediación financiera"/>
    <x v="1"/>
  </r>
  <r>
    <s v="Oferta intermedia_1_Agropecuario-silvícola y Pesca"/>
    <s v="Demanda intermedia_9_Servicios inmobiliarios y de vivienda"/>
    <n v="4.6620560822918836E-2"/>
    <s v="Oferta intermedia"/>
    <n v="1"/>
    <s v="Agropecuario-silvícola y Pesca"/>
    <x v="0"/>
    <x v="0"/>
    <n v="9"/>
    <s v="Servicios inmobiliarios y de vivienda"/>
    <x v="1"/>
  </r>
  <r>
    <s v="Oferta intermedia_1_Agropecuario-silvícola y Pesca"/>
    <s v="Demanda intermedia_10_Servicios empresariales"/>
    <n v="6.0921412337751075"/>
    <s v="Oferta intermedia"/>
    <n v="1"/>
    <s v="Agropecuario-silvícola y Pesca"/>
    <x v="0"/>
    <x v="0"/>
    <n v="10"/>
    <s v="Servicios empresariales"/>
    <x v="2"/>
  </r>
  <r>
    <s v="Oferta intermedia_1_Agropecuario-silvícola y Pesca"/>
    <s v="Demanda intermedia_11_Servicios personales"/>
    <n v="59.351152722115152"/>
    <s v="Oferta intermedia"/>
    <n v="1"/>
    <s v="Agropecuario-silvícola y Pesca"/>
    <x v="0"/>
    <x v="0"/>
    <n v="11"/>
    <s v="Servicios personales"/>
    <x v="1"/>
  </r>
  <r>
    <s v="Oferta intermedia_1_Agropecuario-silvícola y Pesca"/>
    <s v="Demanda intermedia_12_Administración pública"/>
    <n v="62.713022185845844"/>
    <s v="Oferta intermedia"/>
    <n v="1"/>
    <s v="Agropecuario-silvícola y Pesca"/>
    <x v="0"/>
    <x v="0"/>
    <n v="12"/>
    <s v="Administración pública"/>
    <x v="1"/>
  </r>
  <r>
    <s v="Oferta intermedia_1_Agropecuario-silvícola y Pesca"/>
    <s v="Consumo de hogares_Ninguno_Ninguno"/>
    <n v="2783.6759149078262"/>
    <s v="Oferta intermedia"/>
    <n v="1"/>
    <s v="Agropecuario-silvícola y Pesca"/>
    <x v="0"/>
    <x v="1"/>
    <s v="Ninguno"/>
    <s v="Ninguno"/>
    <x v="3"/>
  </r>
  <r>
    <s v="Oferta intermedia_1_Agropecuario-silvícola y Pesca"/>
    <s v="Consumo  de IPSFL_Ninguno_Ninguno"/>
    <n v="0"/>
    <s v="Oferta intermedia"/>
    <n v="1"/>
    <s v="Agropecuario-silvícola y Pesca"/>
    <x v="0"/>
    <x v="2"/>
    <s v="Ninguno"/>
    <s v="Ninguno"/>
    <x v="3"/>
  </r>
  <r>
    <s v="Oferta intermedia_1_Agropecuario-silvícola y Pesca"/>
    <s v="Consumo de gobierno_Ninguno_Ninguno"/>
    <n v="2.668751046842022E-2"/>
    <s v="Oferta intermedia"/>
    <n v="1"/>
    <s v="Agropecuario-silvícola y Pesca"/>
    <x v="0"/>
    <x v="3"/>
    <s v="Ninguno"/>
    <s v="Ninguno"/>
    <x v="3"/>
  </r>
  <r>
    <s v="Oferta intermedia_1_Agropecuario-silvícola y Pesca"/>
    <s v="Formación bruta de capital fijo_Ninguno_Ninguno"/>
    <n v="790.68687043852901"/>
    <s v="Oferta intermedia"/>
    <n v="1"/>
    <s v="Agropecuario-silvícola y Pesca"/>
    <x v="0"/>
    <x v="4"/>
    <s v="Ninguno"/>
    <s v="Ninguno"/>
    <x v="3"/>
  </r>
  <r>
    <s v="Oferta intermedia_1_Agropecuario-silvícola y Pesca"/>
    <s v="Variación de existencias_Ninguno_Ninguno"/>
    <n v="-133.35791971044395"/>
    <s v="Oferta intermedia"/>
    <n v="1"/>
    <s v="Agropecuario-silvícola y Pesca"/>
    <x v="0"/>
    <x v="5"/>
    <s v="Ninguno"/>
    <s v="Ninguno"/>
    <x v="3"/>
  </r>
  <r>
    <s v="Oferta intermedia_1_Agropecuario-silvícola y Pesca"/>
    <s v="Exportaciones_Ninguno_Ninguno"/>
    <n v="3460.4746110713118"/>
    <s v="Oferta intermedia"/>
    <n v="1"/>
    <s v="Agropecuario-silvícola y Pesca"/>
    <x v="0"/>
    <x v="6"/>
    <s v="Ninguno"/>
    <s v="Ninguno"/>
    <x v="3"/>
  </r>
  <r>
    <s v="Oferta intermedia_2_Minería"/>
    <s v="Demanda intermedia_1_Agropecuario-silvícola y Pesca"/>
    <n v="17.284374579552285"/>
    <s v="Oferta intermedia"/>
    <n v="2"/>
    <s v="Minería"/>
    <x v="1"/>
    <x v="0"/>
    <n v="1"/>
    <s v="Agropecuario-silvícola y Pesca"/>
    <x v="0"/>
  </r>
  <r>
    <s v="Oferta intermedia_2_Minería"/>
    <s v="Demanda intermedia_2_Minería"/>
    <n v="5176.8488401808499"/>
    <s v="Oferta intermedia"/>
    <n v="2"/>
    <s v="Minería"/>
    <x v="1"/>
    <x v="0"/>
    <n v="2"/>
    <s v="Minería"/>
    <x v="1"/>
  </r>
  <r>
    <s v="Oferta intermedia_2_Minería"/>
    <s v="Demanda intermedia_3_Industria manufacturera"/>
    <n v="3249.0835489237825"/>
    <s v="Oferta intermedia"/>
    <n v="2"/>
    <s v="Minería"/>
    <x v="1"/>
    <x v="0"/>
    <n v="3"/>
    <s v="Industria manufacturera"/>
    <x v="1"/>
  </r>
  <r>
    <s v="Oferta intermedia_2_Minería"/>
    <s v="Demanda intermedia_4_Electricidad, gas, agua y gestión de desechos"/>
    <n v="69.390608604192025"/>
    <s v="Oferta intermedia"/>
    <n v="2"/>
    <s v="Minería"/>
    <x v="1"/>
    <x v="0"/>
    <n v="4"/>
    <s v="Electricidad, gas, agua y gestión de desechos"/>
    <x v="1"/>
  </r>
  <r>
    <s v="Oferta intermedia_2_Minería"/>
    <s v="Demanda intermedia_5_Construcción"/>
    <n v="194.00930683931554"/>
    <s v="Oferta intermedia"/>
    <n v="2"/>
    <s v="Minería"/>
    <x v="1"/>
    <x v="0"/>
    <n v="5"/>
    <s v="Construcción"/>
    <x v="1"/>
  </r>
  <r>
    <s v="Oferta intermedia_2_Minería"/>
    <s v="Demanda intermedia_6_Comercio, hoteles y restaurantes"/>
    <n v="47.012198735913366"/>
    <s v="Oferta intermedia"/>
    <n v="2"/>
    <s v="Minería"/>
    <x v="1"/>
    <x v="0"/>
    <n v="6"/>
    <s v="Comercio, hoteles y restaurantes"/>
    <x v="1"/>
  </r>
  <r>
    <s v="Oferta intermedia_2_Minería"/>
    <s v="Demanda intermedia_7_Transporte, comunicaciones y servicios de información"/>
    <n v="26.834354104437423"/>
    <s v="Oferta intermedia"/>
    <n v="2"/>
    <s v="Minería"/>
    <x v="1"/>
    <x v="0"/>
    <n v="7"/>
    <s v="Transporte, comunicaciones y servicios de información"/>
    <x v="1"/>
  </r>
  <r>
    <s v="Oferta intermedia_2_Minería"/>
    <s v="Demanda intermedia_8_Intermediación financiera"/>
    <n v="26.634541079722645"/>
    <s v="Oferta intermedia"/>
    <n v="2"/>
    <s v="Minería"/>
    <x v="1"/>
    <x v="0"/>
    <n v="8"/>
    <s v="Intermediación financiera"/>
    <x v="1"/>
  </r>
  <r>
    <s v="Oferta intermedia_2_Minería"/>
    <s v="Demanda intermedia_9_Servicios inmobiliarios y de vivienda"/>
    <n v="5.9874064065828323"/>
    <s v="Oferta intermedia"/>
    <n v="2"/>
    <s v="Minería"/>
    <x v="1"/>
    <x v="0"/>
    <n v="9"/>
    <s v="Servicios inmobiliarios y de vivienda"/>
    <x v="1"/>
  </r>
  <r>
    <s v="Oferta intermedia_2_Minería"/>
    <s v="Demanda intermedia_10_Servicios empresariales"/>
    <n v="48.327516181388418"/>
    <s v="Oferta intermedia"/>
    <n v="2"/>
    <s v="Minería"/>
    <x v="1"/>
    <x v="0"/>
    <n v="10"/>
    <s v="Servicios empresariales"/>
    <x v="2"/>
  </r>
  <r>
    <s v="Oferta intermedia_2_Minería"/>
    <s v="Demanda intermedia_11_Servicios personales"/>
    <n v="28.725164915130467"/>
    <s v="Oferta intermedia"/>
    <n v="2"/>
    <s v="Minería"/>
    <x v="1"/>
    <x v="0"/>
    <n v="11"/>
    <s v="Servicios personales"/>
    <x v="1"/>
  </r>
  <r>
    <s v="Oferta intermedia_2_Minería"/>
    <s v="Demanda intermedia_12_Administración pública"/>
    <n v="9.6188118745458535"/>
    <s v="Oferta intermedia"/>
    <n v="2"/>
    <s v="Minería"/>
    <x v="1"/>
    <x v="0"/>
    <n v="12"/>
    <s v="Administración pública"/>
    <x v="1"/>
  </r>
  <r>
    <s v="Oferta intermedia_2_Minería"/>
    <s v="Consumo de hogares_Ninguno_Ninguno"/>
    <n v="46.319552771228189"/>
    <s v="Oferta intermedia"/>
    <n v="2"/>
    <s v="Minería"/>
    <x v="1"/>
    <x v="1"/>
    <s v="Ninguno"/>
    <s v="Ninguno"/>
    <x v="3"/>
  </r>
  <r>
    <s v="Oferta intermedia_2_Minería"/>
    <s v="Consumo  de IPSFL_Ninguno_Ninguno"/>
    <n v="0"/>
    <s v="Oferta intermedia"/>
    <n v="2"/>
    <s v="Minería"/>
    <x v="1"/>
    <x v="2"/>
    <s v="Ninguno"/>
    <s v="Ninguno"/>
    <x v="3"/>
  </r>
  <r>
    <s v="Oferta intermedia_2_Minería"/>
    <s v="Consumo de gobierno_Ninguno_Ninguno"/>
    <n v="2.722812321192706"/>
    <s v="Oferta intermedia"/>
    <n v="2"/>
    <s v="Minería"/>
    <x v="1"/>
    <x v="3"/>
    <s v="Ninguno"/>
    <s v="Ninguno"/>
    <x v="3"/>
  </r>
  <r>
    <s v="Oferta intermedia_2_Minería"/>
    <s v="Formación bruta de capital fijo_Ninguno_Ninguno"/>
    <n v="704.96650590998138"/>
    <s v="Oferta intermedia"/>
    <n v="2"/>
    <s v="Minería"/>
    <x v="1"/>
    <x v="4"/>
    <s v="Ninguno"/>
    <s v="Ninguno"/>
    <x v="3"/>
  </r>
  <r>
    <s v="Oferta intermedia_2_Minería"/>
    <s v="Variación de existencias_Ninguno_Ninguno"/>
    <n v="-315.1916644546144"/>
    <s v="Oferta intermedia"/>
    <n v="2"/>
    <s v="Minería"/>
    <x v="1"/>
    <x v="5"/>
    <s v="Ninguno"/>
    <s v="Ninguno"/>
    <x v="3"/>
  </r>
  <r>
    <s v="Oferta intermedia_2_Minería"/>
    <s v="Exportaciones_Ninguno_Ninguno"/>
    <n v="50201.314984253913"/>
    <s v="Oferta intermedia"/>
    <n v="2"/>
    <s v="Minería"/>
    <x v="1"/>
    <x v="6"/>
    <s v="Ninguno"/>
    <s v="Ninguno"/>
    <x v="3"/>
  </r>
  <r>
    <s v="Oferta intermedia_3_Industria manufacturera"/>
    <s v="Demanda intermedia_1_Agropecuario-silvícola y Pesca"/>
    <n v="4649.3295943695384"/>
    <s v="Oferta intermedia"/>
    <n v="3"/>
    <s v="Industria manufacturera"/>
    <x v="1"/>
    <x v="0"/>
    <n v="1"/>
    <s v="Agropecuario-silvícola y Pesca"/>
    <x v="0"/>
  </r>
  <r>
    <s v="Oferta intermedia_3_Industria manufacturera"/>
    <s v="Demanda intermedia_2_Minería"/>
    <n v="3599.6667329405113"/>
    <s v="Oferta intermedia"/>
    <n v="3"/>
    <s v="Industria manufacturera"/>
    <x v="1"/>
    <x v="0"/>
    <n v="2"/>
    <s v="Minería"/>
    <x v="1"/>
  </r>
  <r>
    <s v="Oferta intermedia_3_Industria manufacturera"/>
    <s v="Demanda intermedia_3_Industria manufacturera"/>
    <n v="12335.8393584939"/>
    <s v="Oferta intermedia"/>
    <n v="3"/>
    <s v="Industria manufacturera"/>
    <x v="1"/>
    <x v="0"/>
    <n v="3"/>
    <s v="Industria manufacturera"/>
    <x v="1"/>
  </r>
  <r>
    <s v="Oferta intermedia_3_Industria manufacturera"/>
    <s v="Demanda intermedia_4_Electricidad, gas, agua y gestión de desechos"/>
    <n v="629.30829100869278"/>
    <s v="Oferta intermedia"/>
    <n v="3"/>
    <s v="Industria manufacturera"/>
    <x v="1"/>
    <x v="0"/>
    <n v="4"/>
    <s v="Electricidad, gas, agua y gestión de desechos"/>
    <x v="1"/>
  </r>
  <r>
    <s v="Oferta intermedia_3_Industria manufacturera"/>
    <s v="Demanda intermedia_5_Construcción"/>
    <n v="6599.0788607576997"/>
    <s v="Oferta intermedia"/>
    <n v="3"/>
    <s v="Industria manufacturera"/>
    <x v="1"/>
    <x v="0"/>
    <n v="5"/>
    <s v="Construcción"/>
    <x v="1"/>
  </r>
  <r>
    <s v="Oferta intermedia_3_Industria manufacturera"/>
    <s v="Demanda intermedia_6_Comercio, hoteles y restaurantes"/>
    <n v="4798.4363534631539"/>
    <s v="Oferta intermedia"/>
    <n v="3"/>
    <s v="Industria manufacturera"/>
    <x v="1"/>
    <x v="0"/>
    <n v="6"/>
    <s v="Comercio, hoteles y restaurantes"/>
    <x v="1"/>
  </r>
  <r>
    <s v="Oferta intermedia_3_Industria manufacturera"/>
    <s v="Demanda intermedia_7_Transporte, comunicaciones y servicios de información"/>
    <n v="2849.6015364058621"/>
    <s v="Oferta intermedia"/>
    <n v="3"/>
    <s v="Industria manufacturera"/>
    <x v="1"/>
    <x v="0"/>
    <n v="7"/>
    <s v="Transporte, comunicaciones y servicios de información"/>
    <x v="1"/>
  </r>
  <r>
    <s v="Oferta intermedia_3_Industria manufacturera"/>
    <s v="Demanda intermedia_8_Intermediación financiera"/>
    <n v="175.11488424190145"/>
    <s v="Oferta intermedia"/>
    <n v="3"/>
    <s v="Industria manufacturera"/>
    <x v="1"/>
    <x v="0"/>
    <n v="8"/>
    <s v="Intermediación financiera"/>
    <x v="1"/>
  </r>
  <r>
    <s v="Oferta intermedia_3_Industria manufacturera"/>
    <s v="Demanda intermedia_9_Servicios inmobiliarios y de vivienda"/>
    <n v="62.12138377444434"/>
    <s v="Oferta intermedia"/>
    <n v="3"/>
    <s v="Industria manufacturera"/>
    <x v="1"/>
    <x v="0"/>
    <n v="9"/>
    <s v="Servicios inmobiliarios y de vivienda"/>
    <x v="1"/>
  </r>
  <r>
    <s v="Oferta intermedia_3_Industria manufacturera"/>
    <s v="Demanda intermedia_10_Servicios empresariales"/>
    <n v="724.34215505105772"/>
    <s v="Oferta intermedia"/>
    <n v="3"/>
    <s v="Industria manufacturera"/>
    <x v="1"/>
    <x v="0"/>
    <n v="10"/>
    <s v="Servicios empresariales"/>
    <x v="2"/>
  </r>
  <r>
    <s v="Oferta intermedia_3_Industria manufacturera"/>
    <s v="Demanda intermedia_11_Servicios personales"/>
    <n v="2143.2518453646339"/>
    <s v="Oferta intermedia"/>
    <n v="3"/>
    <s v="Industria manufacturera"/>
    <x v="1"/>
    <x v="0"/>
    <n v="11"/>
    <s v="Servicios personales"/>
    <x v="1"/>
  </r>
  <r>
    <s v="Oferta intermedia_3_Industria manufacturera"/>
    <s v="Demanda intermedia_12_Administración pública"/>
    <n v="363.03962712610962"/>
    <s v="Oferta intermedia"/>
    <n v="3"/>
    <s v="Industria manufacturera"/>
    <x v="1"/>
    <x v="0"/>
    <n v="12"/>
    <s v="Administración pública"/>
    <x v="1"/>
  </r>
  <r>
    <s v="Oferta intermedia_3_Industria manufacturera"/>
    <s v="Consumo de hogares_Ninguno_Ninguno"/>
    <n v="22272.496082856436"/>
    <s v="Oferta intermedia"/>
    <n v="3"/>
    <s v="Industria manufacturera"/>
    <x v="1"/>
    <x v="1"/>
    <s v="Ninguno"/>
    <s v="Ninguno"/>
    <x v="3"/>
  </r>
  <r>
    <s v="Oferta intermedia_3_Industria manufacturera"/>
    <s v="Consumo  de IPSFL_Ninguno_Ninguno"/>
    <n v="0"/>
    <s v="Oferta intermedia"/>
    <n v="3"/>
    <s v="Industria manufacturera"/>
    <x v="1"/>
    <x v="2"/>
    <s v="Ninguno"/>
    <s v="Ninguno"/>
    <x v="3"/>
  </r>
  <r>
    <s v="Oferta intermedia_3_Industria manufacturera"/>
    <s v="Consumo de gobierno_Ninguno_Ninguno"/>
    <n v="86.443491400629199"/>
    <s v="Oferta intermedia"/>
    <n v="3"/>
    <s v="Industria manufacturera"/>
    <x v="1"/>
    <x v="3"/>
    <s v="Ninguno"/>
    <s v="Ninguno"/>
    <x v="3"/>
  </r>
  <r>
    <s v="Oferta intermedia_3_Industria manufacturera"/>
    <s v="Formación bruta de capital fijo_Ninguno_Ninguno"/>
    <n v="4045.856643177457"/>
    <s v="Oferta intermedia"/>
    <n v="3"/>
    <s v="Industria manufacturera"/>
    <x v="1"/>
    <x v="4"/>
    <s v="Ninguno"/>
    <s v="Ninguno"/>
    <x v="3"/>
  </r>
  <r>
    <s v="Oferta intermedia_3_Industria manufacturera"/>
    <s v="Variación de existencias_Ninguno_Ninguno"/>
    <n v="-300.63449098921058"/>
    <s v="Oferta intermedia"/>
    <n v="3"/>
    <s v="Industria manufacturera"/>
    <x v="1"/>
    <x v="5"/>
    <s v="Ninguno"/>
    <s v="Ninguno"/>
    <x v="3"/>
  </r>
  <r>
    <s v="Oferta intermedia_3_Industria manufacturera"/>
    <s v="Exportaciones_Ninguno_Ninguno"/>
    <n v="27660.472046589188"/>
    <s v="Oferta intermedia"/>
    <n v="3"/>
    <s v="Industria manufacturera"/>
    <x v="1"/>
    <x v="6"/>
    <s v="Ninguno"/>
    <s v="Ninguno"/>
    <x v="3"/>
  </r>
  <r>
    <s v="Oferta intermedia_4_Electricidad, gas, agua y gestión de desechos"/>
    <s v="Demanda intermedia_1_Agropecuario-silvícola y Pesca"/>
    <n v="245.3914624015523"/>
    <s v="Oferta intermedia"/>
    <n v="4"/>
    <s v="Electricidad, gas, agua y gestión de desechos"/>
    <x v="1"/>
    <x v="0"/>
    <n v="1"/>
    <s v="Agropecuario-silvícola y Pesca"/>
    <x v="0"/>
  </r>
  <r>
    <s v="Oferta intermedia_4_Electricidad, gas, agua y gestión de desechos"/>
    <s v="Demanda intermedia_2_Minería"/>
    <n v="3380.9071105102366"/>
    <s v="Oferta intermedia"/>
    <n v="4"/>
    <s v="Electricidad, gas, agua y gestión de desechos"/>
    <x v="1"/>
    <x v="0"/>
    <n v="2"/>
    <s v="Minería"/>
    <x v="1"/>
  </r>
  <r>
    <s v="Oferta intermedia_4_Electricidad, gas, agua y gestión de desechos"/>
    <s v="Demanda intermedia_3_Industria manufacturera"/>
    <n v="2940.4898871786891"/>
    <s v="Oferta intermedia"/>
    <n v="4"/>
    <s v="Electricidad, gas, agua y gestión de desechos"/>
    <x v="1"/>
    <x v="0"/>
    <n v="3"/>
    <s v="Industria manufacturera"/>
    <x v="1"/>
  </r>
  <r>
    <s v="Oferta intermedia_4_Electricidad, gas, agua y gestión de desechos"/>
    <s v="Demanda intermedia_4_Electricidad, gas, agua y gestión de desechos"/>
    <n v="2005.3179010334675"/>
    <s v="Oferta intermedia"/>
    <n v="4"/>
    <s v="Electricidad, gas, agua y gestión de desechos"/>
    <x v="1"/>
    <x v="0"/>
    <n v="4"/>
    <s v="Electricidad, gas, agua y gestión de desechos"/>
    <x v="1"/>
  </r>
  <r>
    <s v="Oferta intermedia_4_Electricidad, gas, agua y gestión de desechos"/>
    <s v="Demanda intermedia_5_Construcción"/>
    <n v="268.21388592482629"/>
    <s v="Oferta intermedia"/>
    <n v="4"/>
    <s v="Electricidad, gas, agua y gestión de desechos"/>
    <x v="1"/>
    <x v="0"/>
    <n v="5"/>
    <s v="Construcción"/>
    <x v="1"/>
  </r>
  <r>
    <s v="Oferta intermedia_4_Electricidad, gas, agua y gestión de desechos"/>
    <s v="Demanda intermedia_6_Comercio, hoteles y restaurantes"/>
    <n v="987.68203986104686"/>
    <s v="Oferta intermedia"/>
    <n v="4"/>
    <s v="Electricidad, gas, agua y gestión de desechos"/>
    <x v="1"/>
    <x v="0"/>
    <n v="6"/>
    <s v="Comercio, hoteles y restaurantes"/>
    <x v="1"/>
  </r>
  <r>
    <s v="Oferta intermedia_4_Electricidad, gas, agua y gestión de desechos"/>
    <s v="Demanda intermedia_7_Transporte, comunicaciones y servicios de información"/>
    <n v="498.25204850715994"/>
    <s v="Oferta intermedia"/>
    <n v="4"/>
    <s v="Electricidad, gas, agua y gestión de desechos"/>
    <x v="1"/>
    <x v="0"/>
    <n v="7"/>
    <s v="Transporte, comunicaciones y servicios de información"/>
    <x v="1"/>
  </r>
  <r>
    <s v="Oferta intermedia_4_Electricidad, gas, agua y gestión de desechos"/>
    <s v="Demanda intermedia_8_Intermediación financiera"/>
    <n v="134.92253182901922"/>
    <s v="Oferta intermedia"/>
    <n v="4"/>
    <s v="Electricidad, gas, agua y gestión de desechos"/>
    <x v="1"/>
    <x v="0"/>
    <n v="8"/>
    <s v="Intermediación financiera"/>
    <x v="1"/>
  </r>
  <r>
    <s v="Oferta intermedia_4_Electricidad, gas, agua y gestión de desechos"/>
    <s v="Demanda intermedia_9_Servicios inmobiliarios y de vivienda"/>
    <n v="217.21723463459776"/>
    <s v="Oferta intermedia"/>
    <n v="4"/>
    <s v="Electricidad, gas, agua y gestión de desechos"/>
    <x v="1"/>
    <x v="0"/>
    <n v="9"/>
    <s v="Servicios inmobiliarios y de vivienda"/>
    <x v="1"/>
  </r>
  <r>
    <s v="Oferta intermedia_4_Electricidad, gas, agua y gestión de desechos"/>
    <s v="Demanda intermedia_10_Servicios empresariales"/>
    <n v="231.67899014736994"/>
    <s v="Oferta intermedia"/>
    <n v="4"/>
    <s v="Electricidad, gas, agua y gestión de desechos"/>
    <x v="1"/>
    <x v="0"/>
    <n v="10"/>
    <s v="Servicios empresariales"/>
    <x v="2"/>
  </r>
  <r>
    <s v="Oferta intermedia_4_Electricidad, gas, agua y gestión de desechos"/>
    <s v="Demanda intermedia_11_Servicios personales"/>
    <n v="487.05717689247598"/>
    <s v="Oferta intermedia"/>
    <n v="4"/>
    <s v="Electricidad, gas, agua y gestión de desechos"/>
    <x v="1"/>
    <x v="0"/>
    <n v="11"/>
    <s v="Servicios personales"/>
    <x v="1"/>
  </r>
  <r>
    <s v="Oferta intermedia_4_Electricidad, gas, agua y gestión de desechos"/>
    <s v="Demanda intermedia_12_Administración pública"/>
    <n v="578.822278306935"/>
    <s v="Oferta intermedia"/>
    <n v="4"/>
    <s v="Electricidad, gas, agua y gestión de desechos"/>
    <x v="1"/>
    <x v="0"/>
    <n v="12"/>
    <s v="Administración pública"/>
    <x v="1"/>
  </r>
  <r>
    <s v="Oferta intermedia_4_Electricidad, gas, agua y gestión de desechos"/>
    <s v="Consumo de hogares_Ninguno_Ninguno"/>
    <n v="3763.8962261861479"/>
    <s v="Oferta intermedia"/>
    <n v="4"/>
    <s v="Electricidad, gas, agua y gestión de desechos"/>
    <x v="1"/>
    <x v="1"/>
    <s v="Ninguno"/>
    <s v="Ninguno"/>
    <x v="3"/>
  </r>
  <r>
    <s v="Oferta intermedia_4_Electricidad, gas, agua y gestión de desechos"/>
    <s v="Consumo  de IPSFL_Ninguno_Ninguno"/>
    <n v="0"/>
    <s v="Oferta intermedia"/>
    <n v="4"/>
    <s v="Electricidad, gas, agua y gestión de desechos"/>
    <x v="1"/>
    <x v="2"/>
    <s v="Ninguno"/>
    <s v="Ninguno"/>
    <x v="3"/>
  </r>
  <r>
    <s v="Oferta intermedia_4_Electricidad, gas, agua y gestión de desechos"/>
    <s v="Consumo de gobierno_Ninguno_Ninguno"/>
    <n v="83.189665272501514"/>
    <s v="Oferta intermedia"/>
    <n v="4"/>
    <s v="Electricidad, gas, agua y gestión de desechos"/>
    <x v="1"/>
    <x v="3"/>
    <s v="Ninguno"/>
    <s v="Ninguno"/>
    <x v="3"/>
  </r>
  <r>
    <s v="Oferta intermedia_4_Electricidad, gas, agua y gestión de desechos"/>
    <s v="Formación bruta de capital fijo_Ninguno_Ninguno"/>
    <n v="55.968353856951722"/>
    <s v="Oferta intermedia"/>
    <n v="4"/>
    <s v="Electricidad, gas, agua y gestión de desechos"/>
    <x v="1"/>
    <x v="4"/>
    <s v="Ninguno"/>
    <s v="Ninguno"/>
    <x v="3"/>
  </r>
  <r>
    <s v="Oferta intermedia_4_Electricidad, gas, agua y gestión de desechos"/>
    <s v="Variación de existencias_Ninguno_Ninguno"/>
    <n v="0.45411780960103626"/>
    <s v="Oferta intermedia"/>
    <n v="4"/>
    <s v="Electricidad, gas, agua y gestión de desechos"/>
    <x v="1"/>
    <x v="5"/>
    <s v="Ninguno"/>
    <s v="Ninguno"/>
    <x v="3"/>
  </r>
  <r>
    <s v="Oferta intermedia_4_Electricidad, gas, agua y gestión de desechos"/>
    <s v="Exportaciones_Ninguno_Ninguno"/>
    <n v="81.481389629637704"/>
    <s v="Oferta intermedia"/>
    <n v="4"/>
    <s v="Electricidad, gas, agua y gestión de desechos"/>
    <x v="1"/>
    <x v="6"/>
    <s v="Ninguno"/>
    <s v="Ninguno"/>
    <x v="3"/>
  </r>
  <r>
    <s v="Oferta intermedia_5_Construcción"/>
    <s v="Demanda intermedia_1_Agropecuario-silvícola y Pesca"/>
    <n v="1.0332716340274708"/>
    <s v="Oferta intermedia"/>
    <n v="5"/>
    <s v="Construcción"/>
    <x v="1"/>
    <x v="0"/>
    <n v="1"/>
    <s v="Agropecuario-silvícola y Pesca"/>
    <x v="0"/>
  </r>
  <r>
    <s v="Oferta intermedia_5_Construcción"/>
    <s v="Demanda intermedia_2_Minería"/>
    <n v="3.0356265766134927"/>
    <s v="Oferta intermedia"/>
    <n v="5"/>
    <s v="Construcción"/>
    <x v="1"/>
    <x v="0"/>
    <n v="2"/>
    <s v="Minería"/>
    <x v="1"/>
  </r>
  <r>
    <s v="Oferta intermedia_5_Construcción"/>
    <s v="Demanda intermedia_3_Industria manufacturera"/>
    <n v="10.808026343273349"/>
    <s v="Oferta intermedia"/>
    <n v="5"/>
    <s v="Construcción"/>
    <x v="1"/>
    <x v="0"/>
    <n v="3"/>
    <s v="Industria manufacturera"/>
    <x v="1"/>
  </r>
  <r>
    <s v="Oferta intermedia_5_Construcción"/>
    <s v="Demanda intermedia_4_Electricidad, gas, agua y gestión de desechos"/>
    <n v="1.6691959202417861"/>
    <s v="Oferta intermedia"/>
    <n v="5"/>
    <s v="Construcción"/>
    <x v="1"/>
    <x v="0"/>
    <n v="4"/>
    <s v="Electricidad, gas, agua y gestión de desechos"/>
    <x v="1"/>
  </r>
  <r>
    <s v="Oferta intermedia_5_Construcción"/>
    <s v="Demanda intermedia_5_Construcción"/>
    <n v="5292.5470910371168"/>
    <s v="Oferta intermedia"/>
    <n v="5"/>
    <s v="Construcción"/>
    <x v="1"/>
    <x v="0"/>
    <n v="5"/>
    <s v="Construcción"/>
    <x v="1"/>
  </r>
  <r>
    <s v="Oferta intermedia_5_Construcción"/>
    <s v="Demanda intermedia_6_Comercio, hoteles y restaurantes"/>
    <n v="59.406447949104333"/>
    <s v="Oferta intermedia"/>
    <n v="5"/>
    <s v="Construcción"/>
    <x v="1"/>
    <x v="0"/>
    <n v="6"/>
    <s v="Comercio, hoteles y restaurantes"/>
    <x v="1"/>
  </r>
  <r>
    <s v="Oferta intermedia_5_Construcción"/>
    <s v="Demanda intermedia_7_Transporte, comunicaciones y servicios de información"/>
    <n v="30.30313659084123"/>
    <s v="Oferta intermedia"/>
    <n v="5"/>
    <s v="Construcción"/>
    <x v="1"/>
    <x v="0"/>
    <n v="7"/>
    <s v="Transporte, comunicaciones y servicios de información"/>
    <x v="1"/>
  </r>
  <r>
    <s v="Oferta intermedia_5_Construcción"/>
    <s v="Demanda intermedia_8_Intermediación financiera"/>
    <n v="15.079325402288482"/>
    <s v="Oferta intermedia"/>
    <n v="5"/>
    <s v="Construcción"/>
    <x v="1"/>
    <x v="0"/>
    <n v="8"/>
    <s v="Intermediación financiera"/>
    <x v="1"/>
  </r>
  <r>
    <s v="Oferta intermedia_5_Construcción"/>
    <s v="Demanda intermedia_9_Servicios inmobiliarios y de vivienda"/>
    <n v="2916.6355399187187"/>
    <s v="Oferta intermedia"/>
    <n v="5"/>
    <s v="Construcción"/>
    <x v="1"/>
    <x v="0"/>
    <n v="9"/>
    <s v="Servicios inmobiliarios y de vivienda"/>
    <x v="1"/>
  </r>
  <r>
    <s v="Oferta intermedia_5_Construcción"/>
    <s v="Demanda intermedia_10_Servicios empresariales"/>
    <n v="17.996332768911621"/>
    <s v="Oferta intermedia"/>
    <n v="5"/>
    <s v="Construcción"/>
    <x v="1"/>
    <x v="0"/>
    <n v="10"/>
    <s v="Servicios empresariales"/>
    <x v="2"/>
  </r>
  <r>
    <s v="Oferta intermedia_5_Construcción"/>
    <s v="Demanda intermedia_11_Servicios personales"/>
    <n v="20.730084837589924"/>
    <s v="Oferta intermedia"/>
    <n v="5"/>
    <s v="Construcción"/>
    <x v="1"/>
    <x v="0"/>
    <n v="11"/>
    <s v="Servicios personales"/>
    <x v="1"/>
  </r>
  <r>
    <s v="Oferta intermedia_5_Construcción"/>
    <s v="Demanda intermedia_12_Administración pública"/>
    <n v="5.9405624169232105"/>
    <s v="Oferta intermedia"/>
    <n v="5"/>
    <s v="Construcción"/>
    <x v="1"/>
    <x v="0"/>
    <n v="12"/>
    <s v="Administración pública"/>
    <x v="1"/>
  </r>
  <r>
    <s v="Oferta intermedia_5_Construcción"/>
    <s v="Consumo de hogares_Ninguno_Ninguno"/>
    <n v="11.8029683309727"/>
    <s v="Oferta intermedia"/>
    <n v="5"/>
    <s v="Construcción"/>
    <x v="1"/>
    <x v="1"/>
    <s v="Ninguno"/>
    <s v="Ninguno"/>
    <x v="3"/>
  </r>
  <r>
    <s v="Oferta intermedia_5_Construcción"/>
    <s v="Consumo  de IPSFL_Ninguno_Ninguno"/>
    <n v="0"/>
    <s v="Oferta intermedia"/>
    <n v="5"/>
    <s v="Construcción"/>
    <x v="1"/>
    <x v="2"/>
    <s v="Ninguno"/>
    <s v="Ninguno"/>
    <x v="3"/>
  </r>
  <r>
    <s v="Oferta intermedia_5_Construcción"/>
    <s v="Consumo de gobierno_Ninguno_Ninguno"/>
    <n v="0.12944474112889989"/>
    <s v="Oferta intermedia"/>
    <n v="5"/>
    <s v="Construcción"/>
    <x v="1"/>
    <x v="3"/>
    <s v="Ninguno"/>
    <s v="Ninguno"/>
    <x v="3"/>
  </r>
  <r>
    <s v="Oferta intermedia_5_Construcción"/>
    <s v="Formación bruta de capital fijo_Ninguno_Ninguno"/>
    <n v="28753.102909771198"/>
    <s v="Oferta intermedia"/>
    <n v="5"/>
    <s v="Construcción"/>
    <x v="1"/>
    <x v="4"/>
    <s v="Ninguno"/>
    <s v="Ninguno"/>
    <x v="3"/>
  </r>
  <r>
    <s v="Oferta intermedia_5_Construcción"/>
    <s v="Variación de existencias_Ninguno_Ninguno"/>
    <n v="0"/>
    <s v="Oferta intermedia"/>
    <n v="5"/>
    <s v="Construcción"/>
    <x v="1"/>
    <x v="5"/>
    <s v="Ninguno"/>
    <s v="Ninguno"/>
    <x v="3"/>
  </r>
  <r>
    <s v="Oferta intermedia_5_Construcción"/>
    <s v="Exportaciones_Ninguno_Ninguno"/>
    <n v="5.6507347800817076"/>
    <s v="Oferta intermedia"/>
    <n v="5"/>
    <s v="Construcción"/>
    <x v="1"/>
    <x v="6"/>
    <s v="Ninguno"/>
    <s v="Ninguno"/>
    <x v="3"/>
  </r>
  <r>
    <s v="Oferta intermedia_6_Comercio, hoteles y restaurantes"/>
    <s v="Demanda intermedia_1_Agropecuario-silvícola y Pesca"/>
    <n v="966.82833786755134"/>
    <s v="Oferta intermedia"/>
    <n v="6"/>
    <s v="Comercio, hoteles y restaurantes"/>
    <x v="1"/>
    <x v="0"/>
    <n v="1"/>
    <s v="Agropecuario-silvícola y Pesca"/>
    <x v="0"/>
  </r>
  <r>
    <s v="Oferta intermedia_6_Comercio, hoteles y restaurantes"/>
    <s v="Demanda intermedia_2_Minería"/>
    <n v="1770.7817322909834"/>
    <s v="Oferta intermedia"/>
    <n v="6"/>
    <s v="Comercio, hoteles y restaurantes"/>
    <x v="1"/>
    <x v="0"/>
    <n v="2"/>
    <s v="Minería"/>
    <x v="1"/>
  </r>
  <r>
    <s v="Oferta intermedia_6_Comercio, hoteles y restaurantes"/>
    <s v="Demanda intermedia_3_Industria manufacturera"/>
    <n v="4469.314197541139"/>
    <s v="Oferta intermedia"/>
    <n v="6"/>
    <s v="Comercio, hoteles y restaurantes"/>
    <x v="1"/>
    <x v="0"/>
    <n v="3"/>
    <s v="Industria manufacturera"/>
    <x v="1"/>
  </r>
  <r>
    <s v="Oferta intermedia_6_Comercio, hoteles y restaurantes"/>
    <s v="Demanda intermedia_4_Electricidad, gas, agua y gestión de desechos"/>
    <n v="315.0718035047139"/>
    <s v="Oferta intermedia"/>
    <n v="6"/>
    <s v="Comercio, hoteles y restaurantes"/>
    <x v="1"/>
    <x v="0"/>
    <n v="4"/>
    <s v="Electricidad, gas, agua y gestión de desechos"/>
    <x v="1"/>
  </r>
  <r>
    <s v="Oferta intermedia_6_Comercio, hoteles y restaurantes"/>
    <s v="Demanda intermedia_5_Construcción"/>
    <n v="2349.1399443389273"/>
    <s v="Oferta intermedia"/>
    <n v="6"/>
    <s v="Comercio, hoteles y restaurantes"/>
    <x v="1"/>
    <x v="0"/>
    <n v="5"/>
    <s v="Construcción"/>
    <x v="1"/>
  </r>
  <r>
    <s v="Oferta intermedia_6_Comercio, hoteles y restaurantes"/>
    <s v="Demanda intermedia_6_Comercio, hoteles y restaurantes"/>
    <n v="4647.6657757804314"/>
    <s v="Oferta intermedia"/>
    <n v="6"/>
    <s v="Comercio, hoteles y restaurantes"/>
    <x v="1"/>
    <x v="0"/>
    <n v="6"/>
    <s v="Comercio, hoteles y restaurantes"/>
    <x v="1"/>
  </r>
  <r>
    <s v="Oferta intermedia_6_Comercio, hoteles y restaurantes"/>
    <s v="Demanda intermedia_7_Transporte, comunicaciones y servicios de información"/>
    <n v="2529.3725339900752"/>
    <s v="Oferta intermedia"/>
    <n v="6"/>
    <s v="Comercio, hoteles y restaurantes"/>
    <x v="1"/>
    <x v="0"/>
    <n v="7"/>
    <s v="Transporte, comunicaciones y servicios de información"/>
    <x v="1"/>
  </r>
  <r>
    <s v="Oferta intermedia_6_Comercio, hoteles y restaurantes"/>
    <s v="Demanda intermedia_8_Intermediación financiera"/>
    <n v="350.69454613681694"/>
    <s v="Oferta intermedia"/>
    <n v="6"/>
    <s v="Comercio, hoteles y restaurantes"/>
    <x v="1"/>
    <x v="0"/>
    <n v="8"/>
    <s v="Intermediación financiera"/>
    <x v="1"/>
  </r>
  <r>
    <s v="Oferta intermedia_6_Comercio, hoteles y restaurantes"/>
    <s v="Demanda intermedia_9_Servicios inmobiliarios y de vivienda"/>
    <n v="60.12173835484959"/>
    <s v="Oferta intermedia"/>
    <n v="6"/>
    <s v="Comercio, hoteles y restaurantes"/>
    <x v="1"/>
    <x v="0"/>
    <n v="9"/>
    <s v="Servicios inmobiliarios y de vivienda"/>
    <x v="1"/>
  </r>
  <r>
    <s v="Oferta intermedia_6_Comercio, hoteles y restaurantes"/>
    <s v="Demanda intermedia_10_Servicios empresariales"/>
    <n v="1133.367122027342"/>
    <s v="Oferta intermedia"/>
    <n v="6"/>
    <s v="Comercio, hoteles y restaurantes"/>
    <x v="1"/>
    <x v="0"/>
    <n v="10"/>
    <s v="Servicios empresariales"/>
    <x v="2"/>
  </r>
  <r>
    <s v="Oferta intermedia_6_Comercio, hoteles y restaurantes"/>
    <s v="Demanda intermedia_11_Servicios personales"/>
    <n v="1800.0868346419295"/>
    <s v="Oferta intermedia"/>
    <n v="6"/>
    <s v="Comercio, hoteles y restaurantes"/>
    <x v="1"/>
    <x v="0"/>
    <n v="11"/>
    <s v="Servicios personales"/>
    <x v="1"/>
  </r>
  <r>
    <s v="Oferta intermedia_6_Comercio, hoteles y restaurantes"/>
    <s v="Demanda intermedia_12_Administración pública"/>
    <n v="305.19939715018097"/>
    <s v="Oferta intermedia"/>
    <n v="6"/>
    <s v="Comercio, hoteles y restaurantes"/>
    <x v="1"/>
    <x v="0"/>
    <n v="12"/>
    <s v="Administración pública"/>
    <x v="1"/>
  </r>
  <r>
    <s v="Oferta intermedia_6_Comercio, hoteles y restaurantes"/>
    <s v="Consumo de hogares_Ninguno_Ninguno"/>
    <n v="30901.887330008965"/>
    <s v="Oferta intermedia"/>
    <n v="6"/>
    <s v="Comercio, hoteles y restaurantes"/>
    <x v="1"/>
    <x v="1"/>
    <s v="Ninguno"/>
    <s v="Ninguno"/>
    <x v="3"/>
  </r>
  <r>
    <s v="Oferta intermedia_6_Comercio, hoteles y restaurantes"/>
    <s v="Consumo  de IPSFL_Ninguno_Ninguno"/>
    <n v="0"/>
    <s v="Oferta intermedia"/>
    <n v="6"/>
    <s v="Comercio, hoteles y restaurantes"/>
    <x v="1"/>
    <x v="2"/>
    <s v="Ninguno"/>
    <s v="Ninguno"/>
    <x v="3"/>
  </r>
  <r>
    <s v="Oferta intermedia_6_Comercio, hoteles y restaurantes"/>
    <s v="Consumo de gobierno_Ninguno_Ninguno"/>
    <n v="715.54930083129898"/>
    <s v="Oferta intermedia"/>
    <n v="6"/>
    <s v="Comercio, hoteles y restaurantes"/>
    <x v="1"/>
    <x v="3"/>
    <s v="Ninguno"/>
    <s v="Ninguno"/>
    <x v="3"/>
  </r>
  <r>
    <s v="Oferta intermedia_6_Comercio, hoteles y restaurantes"/>
    <s v="Formación bruta de capital fijo_Ninguno_Ninguno"/>
    <n v="6164.3481824745741"/>
    <s v="Oferta intermedia"/>
    <n v="6"/>
    <s v="Comercio, hoteles y restaurantes"/>
    <x v="1"/>
    <x v="4"/>
    <s v="Ninguno"/>
    <s v="Ninguno"/>
    <x v="3"/>
  </r>
  <r>
    <s v="Oferta intermedia_6_Comercio, hoteles y restaurantes"/>
    <s v="Variación de existencias_Ninguno_Ninguno"/>
    <n v="-2.5610536651533788"/>
    <s v="Oferta intermedia"/>
    <n v="6"/>
    <s v="Comercio, hoteles y restaurantes"/>
    <x v="1"/>
    <x v="5"/>
    <s v="Ninguno"/>
    <s v="Ninguno"/>
    <x v="3"/>
  </r>
  <r>
    <s v="Oferta intermedia_6_Comercio, hoteles y restaurantes"/>
    <s v="Exportaciones_Ninguno_Ninguno"/>
    <n v="3003.0162638239958"/>
    <s v="Oferta intermedia"/>
    <n v="6"/>
    <s v="Comercio, hoteles y restaurantes"/>
    <x v="1"/>
    <x v="6"/>
    <s v="Ninguno"/>
    <s v="Ninguno"/>
    <x v="3"/>
  </r>
  <r>
    <s v="Oferta intermedia_7_Transporte, comunicaciones y servicios de información"/>
    <s v="Demanda intermedia_1_Agropecuario-silvícola y Pesca"/>
    <n v="1062.4133737383852"/>
    <s v="Oferta intermedia"/>
    <n v="7"/>
    <s v="Transporte, comunicaciones y servicios de información"/>
    <x v="1"/>
    <x v="0"/>
    <n v="1"/>
    <s v="Agropecuario-silvícola y Pesca"/>
    <x v="0"/>
  </r>
  <r>
    <s v="Oferta intermedia_7_Transporte, comunicaciones y servicios de información"/>
    <s v="Demanda intermedia_2_Minería"/>
    <n v="1833.5671296604153"/>
    <s v="Oferta intermedia"/>
    <n v="7"/>
    <s v="Transporte, comunicaciones y servicios de información"/>
    <x v="1"/>
    <x v="0"/>
    <n v="2"/>
    <s v="Minería"/>
    <x v="1"/>
  </r>
  <r>
    <s v="Oferta intermedia_7_Transporte, comunicaciones y servicios de información"/>
    <s v="Demanda intermedia_3_Industria manufacturera"/>
    <n v="4744.7545438125126"/>
    <s v="Oferta intermedia"/>
    <n v="7"/>
    <s v="Transporte, comunicaciones y servicios de información"/>
    <x v="1"/>
    <x v="0"/>
    <n v="3"/>
    <s v="Industria manufacturera"/>
    <x v="1"/>
  </r>
  <r>
    <s v="Oferta intermedia_7_Transporte, comunicaciones y servicios de información"/>
    <s v="Demanda intermedia_4_Electricidad, gas, agua y gestión de desechos"/>
    <n v="530.47941388537822"/>
    <s v="Oferta intermedia"/>
    <n v="7"/>
    <s v="Transporte, comunicaciones y servicios de información"/>
    <x v="1"/>
    <x v="0"/>
    <n v="4"/>
    <s v="Electricidad, gas, agua y gestión de desechos"/>
    <x v="1"/>
  </r>
  <r>
    <s v="Oferta intermedia_7_Transporte, comunicaciones y servicios de información"/>
    <s v="Demanda intermedia_5_Construcción"/>
    <n v="1031.9693618789372"/>
    <s v="Oferta intermedia"/>
    <n v="7"/>
    <s v="Transporte, comunicaciones y servicios de información"/>
    <x v="1"/>
    <x v="0"/>
    <n v="5"/>
    <s v="Construcción"/>
    <x v="1"/>
  </r>
  <r>
    <s v="Oferta intermedia_7_Transporte, comunicaciones y servicios de información"/>
    <s v="Demanda intermedia_6_Comercio, hoteles y restaurantes"/>
    <n v="7309.3569906340563"/>
    <s v="Oferta intermedia"/>
    <n v="7"/>
    <s v="Transporte, comunicaciones y servicios de información"/>
    <x v="1"/>
    <x v="0"/>
    <n v="6"/>
    <s v="Comercio, hoteles y restaurantes"/>
    <x v="1"/>
  </r>
  <r>
    <s v="Oferta intermedia_7_Transporte, comunicaciones y servicios de información"/>
    <s v="Demanda intermedia_7_Transporte, comunicaciones y servicios de información"/>
    <n v="8000.1396888266036"/>
    <s v="Oferta intermedia"/>
    <n v="7"/>
    <s v="Transporte, comunicaciones y servicios de información"/>
    <x v="1"/>
    <x v="0"/>
    <n v="7"/>
    <s v="Transporte, comunicaciones y servicios de información"/>
    <x v="1"/>
  </r>
  <r>
    <s v="Oferta intermedia_7_Transporte, comunicaciones y servicios de información"/>
    <s v="Demanda intermedia_8_Intermediación financiera"/>
    <n v="904.07699024263366"/>
    <s v="Oferta intermedia"/>
    <n v="7"/>
    <s v="Transporte, comunicaciones y servicios de información"/>
    <x v="1"/>
    <x v="0"/>
    <n v="8"/>
    <s v="Intermediación financiera"/>
    <x v="1"/>
  </r>
  <r>
    <s v="Oferta intermedia_7_Transporte, comunicaciones y servicios de información"/>
    <s v="Demanda intermedia_9_Servicios inmobiliarios y de vivienda"/>
    <n v="77.339440803232648"/>
    <s v="Oferta intermedia"/>
    <n v="7"/>
    <s v="Transporte, comunicaciones y servicios de información"/>
    <x v="1"/>
    <x v="0"/>
    <n v="9"/>
    <s v="Servicios inmobiliarios y de vivienda"/>
    <x v="1"/>
  </r>
  <r>
    <s v="Oferta intermedia_7_Transporte, comunicaciones y servicios de información"/>
    <s v="Demanda intermedia_10_Servicios empresariales"/>
    <n v="1471.0034731919143"/>
    <s v="Oferta intermedia"/>
    <n v="7"/>
    <s v="Transporte, comunicaciones y servicios de información"/>
    <x v="1"/>
    <x v="0"/>
    <n v="10"/>
    <s v="Servicios empresariales"/>
    <x v="2"/>
  </r>
  <r>
    <s v="Oferta intermedia_7_Transporte, comunicaciones y servicios de información"/>
    <s v="Demanda intermedia_11_Servicios personales"/>
    <n v="863.62840417232007"/>
    <s v="Oferta intermedia"/>
    <n v="7"/>
    <s v="Transporte, comunicaciones y servicios de información"/>
    <x v="1"/>
    <x v="0"/>
    <n v="11"/>
    <s v="Servicios personales"/>
    <x v="1"/>
  </r>
  <r>
    <s v="Oferta intermedia_7_Transporte, comunicaciones y servicios de información"/>
    <s v="Demanda intermedia_12_Administración pública"/>
    <n v="594.23803054473694"/>
    <s v="Oferta intermedia"/>
    <n v="7"/>
    <s v="Transporte, comunicaciones y servicios de información"/>
    <x v="1"/>
    <x v="0"/>
    <n v="12"/>
    <s v="Administración pública"/>
    <x v="1"/>
  </r>
  <r>
    <s v="Oferta intermedia_7_Transporte, comunicaciones y servicios de información"/>
    <s v="Consumo de hogares_Ninguno_Ninguno"/>
    <n v="11716.771316548366"/>
    <s v="Oferta intermedia"/>
    <n v="7"/>
    <s v="Transporte, comunicaciones y servicios de información"/>
    <x v="1"/>
    <x v="1"/>
    <s v="Ninguno"/>
    <s v="Ninguno"/>
    <x v="3"/>
  </r>
  <r>
    <s v="Oferta intermedia_7_Transporte, comunicaciones y servicios de información"/>
    <s v="Consumo  de IPSFL_Ninguno_Ninguno"/>
    <n v="0"/>
    <s v="Oferta intermedia"/>
    <n v="7"/>
    <s v="Transporte, comunicaciones y servicios de información"/>
    <x v="1"/>
    <x v="2"/>
    <s v="Ninguno"/>
    <s v="Ninguno"/>
    <x v="3"/>
  </r>
  <r>
    <s v="Oferta intermedia_7_Transporte, comunicaciones y servicios de información"/>
    <s v="Consumo de gobierno_Ninguno_Ninguno"/>
    <n v="10.022818548600483"/>
    <s v="Oferta intermedia"/>
    <n v="7"/>
    <s v="Transporte, comunicaciones y servicios de información"/>
    <x v="1"/>
    <x v="3"/>
    <s v="Ninguno"/>
    <s v="Ninguno"/>
    <x v="3"/>
  </r>
  <r>
    <s v="Oferta intermedia_7_Transporte, comunicaciones y servicios de información"/>
    <s v="Formación bruta de capital fijo_Ninguno_Ninguno"/>
    <n v="2908.8034916749398"/>
    <s v="Oferta intermedia"/>
    <n v="7"/>
    <s v="Transporte, comunicaciones y servicios de información"/>
    <x v="1"/>
    <x v="4"/>
    <s v="Ninguno"/>
    <s v="Ninguno"/>
    <x v="3"/>
  </r>
  <r>
    <s v="Oferta intermedia_7_Transporte, comunicaciones y servicios de información"/>
    <s v="Variación de existencias_Ninguno_Ninguno"/>
    <n v="0"/>
    <s v="Oferta intermedia"/>
    <n v="7"/>
    <s v="Transporte, comunicaciones y servicios de información"/>
    <x v="1"/>
    <x v="5"/>
    <s v="Ninguno"/>
    <s v="Ninguno"/>
    <x v="3"/>
  </r>
  <r>
    <s v="Oferta intermedia_7_Transporte, comunicaciones y servicios de información"/>
    <s v="Exportaciones_Ninguno_Ninguno"/>
    <n v="4108.0305736087175"/>
    <s v="Oferta intermedia"/>
    <n v="7"/>
    <s v="Transporte, comunicaciones y servicios de información"/>
    <x v="1"/>
    <x v="6"/>
    <s v="Ninguno"/>
    <s v="Ninguno"/>
    <x v="3"/>
  </r>
  <r>
    <s v="Oferta intermedia_8_Intermediación financiera"/>
    <s v="Demanda intermedia_1_Agropecuario-silvícola y Pesca"/>
    <n v="310.09645740051849"/>
    <s v="Oferta intermedia"/>
    <n v="8"/>
    <s v="Intermediación financiera"/>
    <x v="1"/>
    <x v="0"/>
    <n v="1"/>
    <s v="Agropecuario-silvícola y Pesca"/>
    <x v="0"/>
  </r>
  <r>
    <s v="Oferta intermedia_8_Intermediación financiera"/>
    <s v="Demanda intermedia_2_Minería"/>
    <n v="274.66528525786589"/>
    <s v="Oferta intermedia"/>
    <n v="8"/>
    <s v="Intermediación financiera"/>
    <x v="1"/>
    <x v="0"/>
    <n v="2"/>
    <s v="Minería"/>
    <x v="1"/>
  </r>
  <r>
    <s v="Oferta intermedia_8_Intermediación financiera"/>
    <s v="Demanda intermedia_3_Industria manufacturera"/>
    <n v="810.19138986447888"/>
    <s v="Oferta intermedia"/>
    <n v="8"/>
    <s v="Intermediación financiera"/>
    <x v="1"/>
    <x v="0"/>
    <n v="3"/>
    <s v="Industria manufacturera"/>
    <x v="1"/>
  </r>
  <r>
    <s v="Oferta intermedia_8_Intermediación financiera"/>
    <s v="Demanda intermedia_4_Electricidad, gas, agua y gestión de desechos"/>
    <n v="363.093240764916"/>
    <s v="Oferta intermedia"/>
    <n v="8"/>
    <s v="Intermediación financiera"/>
    <x v="1"/>
    <x v="0"/>
    <n v="4"/>
    <s v="Electricidad, gas, agua y gestión de desechos"/>
    <x v="1"/>
  </r>
  <r>
    <s v="Oferta intermedia_8_Intermediación financiera"/>
    <s v="Demanda intermedia_5_Construcción"/>
    <n v="584.48260935479061"/>
    <s v="Oferta intermedia"/>
    <n v="8"/>
    <s v="Intermediación financiera"/>
    <x v="1"/>
    <x v="0"/>
    <n v="5"/>
    <s v="Construcción"/>
    <x v="1"/>
  </r>
  <r>
    <s v="Oferta intermedia_8_Intermediación financiera"/>
    <s v="Demanda intermedia_6_Comercio, hoteles y restaurantes"/>
    <n v="1750.6706525790887"/>
    <s v="Oferta intermedia"/>
    <n v="8"/>
    <s v="Intermediación financiera"/>
    <x v="1"/>
    <x v="0"/>
    <n v="6"/>
    <s v="Comercio, hoteles y restaurantes"/>
    <x v="1"/>
  </r>
  <r>
    <s v="Oferta intermedia_8_Intermediación financiera"/>
    <s v="Demanda intermedia_7_Transporte, comunicaciones y servicios de información"/>
    <n v="635.75459166565099"/>
    <s v="Oferta intermedia"/>
    <n v="8"/>
    <s v="Intermediación financiera"/>
    <x v="1"/>
    <x v="0"/>
    <n v="7"/>
    <s v="Transporte, comunicaciones y servicios de información"/>
    <x v="1"/>
  </r>
  <r>
    <s v="Oferta intermedia_8_Intermediación financiera"/>
    <s v="Demanda intermedia_8_Intermediación financiera"/>
    <n v="5982.5788079375088"/>
    <s v="Oferta intermedia"/>
    <n v="8"/>
    <s v="Intermediación financiera"/>
    <x v="1"/>
    <x v="0"/>
    <n v="8"/>
    <s v="Intermediación financiera"/>
    <x v="1"/>
  </r>
  <r>
    <s v="Oferta intermedia_8_Intermediación financiera"/>
    <s v="Demanda intermedia_9_Servicios inmobiliarios y de vivienda"/>
    <n v="617.14534693199323"/>
    <s v="Oferta intermedia"/>
    <n v="8"/>
    <s v="Intermediación financiera"/>
    <x v="1"/>
    <x v="0"/>
    <n v="9"/>
    <s v="Servicios inmobiliarios y de vivienda"/>
    <x v="1"/>
  </r>
  <r>
    <s v="Oferta intermedia_8_Intermediación financiera"/>
    <s v="Demanda intermedia_10_Servicios empresariales"/>
    <n v="898.43815273963571"/>
    <s v="Oferta intermedia"/>
    <n v="8"/>
    <s v="Intermediación financiera"/>
    <x v="1"/>
    <x v="0"/>
    <n v="10"/>
    <s v="Servicios empresariales"/>
    <x v="2"/>
  </r>
  <r>
    <s v="Oferta intermedia_8_Intermediación financiera"/>
    <s v="Demanda intermedia_11_Servicios personales"/>
    <n v="327.8381041152071"/>
    <s v="Oferta intermedia"/>
    <n v="8"/>
    <s v="Intermediación financiera"/>
    <x v="1"/>
    <x v="0"/>
    <n v="11"/>
    <s v="Servicios personales"/>
    <x v="1"/>
  </r>
  <r>
    <s v="Oferta intermedia_8_Intermediación financiera"/>
    <s v="Demanda intermedia_12_Administración pública"/>
    <n v="248.25606623159638"/>
    <s v="Oferta intermedia"/>
    <n v="8"/>
    <s v="Intermediación financiera"/>
    <x v="1"/>
    <x v="0"/>
    <n v="12"/>
    <s v="Administración pública"/>
    <x v="1"/>
  </r>
  <r>
    <s v="Oferta intermedia_8_Intermediación financiera"/>
    <s v="Consumo de hogares_Ninguno_Ninguno"/>
    <n v="7988.7193001477608"/>
    <s v="Oferta intermedia"/>
    <n v="8"/>
    <s v="Intermediación financiera"/>
    <x v="1"/>
    <x v="1"/>
    <s v="Ninguno"/>
    <s v="Ninguno"/>
    <x v="3"/>
  </r>
  <r>
    <s v="Oferta intermedia_8_Intermediación financiera"/>
    <s v="Consumo  de IPSFL_Ninguno_Ninguno"/>
    <n v="0"/>
    <s v="Oferta intermedia"/>
    <n v="8"/>
    <s v="Intermediación financiera"/>
    <x v="1"/>
    <x v="2"/>
    <s v="Ninguno"/>
    <s v="Ninguno"/>
    <x v="3"/>
  </r>
  <r>
    <s v="Oferta intermedia_8_Intermediación financiera"/>
    <s v="Consumo de gobierno_Ninguno_Ninguno"/>
    <n v="228.71296489010598"/>
    <s v="Oferta intermedia"/>
    <n v="8"/>
    <s v="Intermediación financiera"/>
    <x v="1"/>
    <x v="3"/>
    <s v="Ninguno"/>
    <s v="Ninguno"/>
    <x v="3"/>
  </r>
  <r>
    <s v="Oferta intermedia_8_Intermediación financiera"/>
    <s v="Formación bruta de capital fijo_Ninguno_Ninguno"/>
    <n v="61.206592899449085"/>
    <s v="Oferta intermedia"/>
    <n v="8"/>
    <s v="Intermediación financiera"/>
    <x v="1"/>
    <x v="4"/>
    <s v="Ninguno"/>
    <s v="Ninguno"/>
    <x v="3"/>
  </r>
  <r>
    <s v="Oferta intermedia_8_Intermediación financiera"/>
    <s v="Variación de existencias_Ninguno_Ninguno"/>
    <n v="0"/>
    <s v="Oferta intermedia"/>
    <n v="8"/>
    <s v="Intermediación financiera"/>
    <x v="1"/>
    <x v="5"/>
    <s v="Ninguno"/>
    <s v="Ninguno"/>
    <x v="3"/>
  </r>
  <r>
    <s v="Oferta intermedia_8_Intermediación financiera"/>
    <s v="Exportaciones_Ninguno_Ninguno"/>
    <n v="723.43574874002161"/>
    <s v="Oferta intermedia"/>
    <n v="8"/>
    <s v="Intermediación financiera"/>
    <x v="1"/>
    <x v="6"/>
    <s v="Ninguno"/>
    <s v="Ninguno"/>
    <x v="3"/>
  </r>
  <r>
    <s v="Oferta intermedia_9_Servicios inmobiliarios y de vivienda"/>
    <s v="Demanda intermedia_1_Agropecuario-silvícola y Pesca"/>
    <n v="52.019252663173717"/>
    <s v="Oferta intermedia"/>
    <n v="9"/>
    <s v="Servicios inmobiliarios y de vivienda"/>
    <x v="1"/>
    <x v="0"/>
    <n v="1"/>
    <s v="Agropecuario-silvícola y Pesca"/>
    <x v="0"/>
  </r>
  <r>
    <s v="Oferta intermedia_9_Servicios inmobiliarios y de vivienda"/>
    <s v="Demanda intermedia_2_Minería"/>
    <n v="56.805470824236494"/>
    <s v="Oferta intermedia"/>
    <n v="9"/>
    <s v="Servicios inmobiliarios y de vivienda"/>
    <x v="1"/>
    <x v="0"/>
    <n v="2"/>
    <s v="Minería"/>
    <x v="1"/>
  </r>
  <r>
    <s v="Oferta intermedia_9_Servicios inmobiliarios y de vivienda"/>
    <s v="Demanda intermedia_3_Industria manufacturera"/>
    <n v="456.05277774667604"/>
    <s v="Oferta intermedia"/>
    <n v="9"/>
    <s v="Servicios inmobiliarios y de vivienda"/>
    <x v="1"/>
    <x v="0"/>
    <n v="3"/>
    <s v="Industria manufacturera"/>
    <x v="1"/>
  </r>
  <r>
    <s v="Oferta intermedia_9_Servicios inmobiliarios y de vivienda"/>
    <s v="Demanda intermedia_4_Electricidad, gas, agua y gestión de desechos"/>
    <n v="48.722291732972622"/>
    <s v="Oferta intermedia"/>
    <n v="9"/>
    <s v="Servicios inmobiliarios y de vivienda"/>
    <x v="1"/>
    <x v="0"/>
    <n v="4"/>
    <s v="Electricidad, gas, agua y gestión de desechos"/>
    <x v="1"/>
  </r>
  <r>
    <s v="Oferta intermedia_9_Servicios inmobiliarios y de vivienda"/>
    <s v="Demanda intermedia_5_Construcción"/>
    <n v="112.41270105040677"/>
    <s v="Oferta intermedia"/>
    <n v="9"/>
    <s v="Servicios inmobiliarios y de vivienda"/>
    <x v="1"/>
    <x v="0"/>
    <n v="5"/>
    <s v="Construcción"/>
    <x v="1"/>
  </r>
  <r>
    <s v="Oferta intermedia_9_Servicios inmobiliarios y de vivienda"/>
    <s v="Demanda intermedia_6_Comercio, hoteles y restaurantes"/>
    <n v="2527.8830313909971"/>
    <s v="Oferta intermedia"/>
    <n v="9"/>
    <s v="Servicios inmobiliarios y de vivienda"/>
    <x v="1"/>
    <x v="0"/>
    <n v="6"/>
    <s v="Comercio, hoteles y restaurantes"/>
    <x v="1"/>
  </r>
  <r>
    <s v="Oferta intermedia_9_Servicios inmobiliarios y de vivienda"/>
    <s v="Demanda intermedia_7_Transporte, comunicaciones y servicios de información"/>
    <n v="644.81757888727145"/>
    <s v="Oferta intermedia"/>
    <n v="9"/>
    <s v="Servicios inmobiliarios y de vivienda"/>
    <x v="1"/>
    <x v="0"/>
    <n v="7"/>
    <s v="Transporte, comunicaciones y servicios de información"/>
    <x v="1"/>
  </r>
  <r>
    <s v="Oferta intermedia_9_Servicios inmobiliarios y de vivienda"/>
    <s v="Demanda intermedia_8_Intermediación financiera"/>
    <n v="458.16230248226009"/>
    <s v="Oferta intermedia"/>
    <n v="9"/>
    <s v="Servicios inmobiliarios y de vivienda"/>
    <x v="1"/>
    <x v="0"/>
    <n v="8"/>
    <s v="Intermediación financiera"/>
    <x v="1"/>
  </r>
  <r>
    <s v="Oferta intermedia_9_Servicios inmobiliarios y de vivienda"/>
    <s v="Demanda intermedia_9_Servicios inmobiliarios y de vivienda"/>
    <n v="332.54365020357113"/>
    <s v="Oferta intermedia"/>
    <n v="9"/>
    <s v="Servicios inmobiliarios y de vivienda"/>
    <x v="1"/>
    <x v="0"/>
    <n v="9"/>
    <s v="Servicios inmobiliarios y de vivienda"/>
    <x v="1"/>
  </r>
  <r>
    <s v="Oferta intermedia_9_Servicios inmobiliarios y de vivienda"/>
    <s v="Demanda intermedia_10_Servicios empresariales"/>
    <n v="654.14719439340126"/>
    <s v="Oferta intermedia"/>
    <n v="9"/>
    <s v="Servicios inmobiliarios y de vivienda"/>
    <x v="1"/>
    <x v="0"/>
    <n v="10"/>
    <s v="Servicios empresariales"/>
    <x v="2"/>
  </r>
  <r>
    <s v="Oferta intermedia_9_Servicios inmobiliarios y de vivienda"/>
    <s v="Demanda intermedia_11_Servicios personales"/>
    <n v="893.16879355697392"/>
    <s v="Oferta intermedia"/>
    <n v="9"/>
    <s v="Servicios inmobiliarios y de vivienda"/>
    <x v="1"/>
    <x v="0"/>
    <n v="11"/>
    <s v="Servicios personales"/>
    <x v="1"/>
  </r>
  <r>
    <s v="Oferta intermedia_9_Servicios inmobiliarios y de vivienda"/>
    <s v="Demanda intermedia_12_Administración pública"/>
    <n v="167.6369254416006"/>
    <s v="Oferta intermedia"/>
    <n v="9"/>
    <s v="Servicios inmobiliarios y de vivienda"/>
    <x v="1"/>
    <x v="0"/>
    <n v="12"/>
    <s v="Administración pública"/>
    <x v="1"/>
  </r>
  <r>
    <s v="Oferta intermedia_9_Servicios inmobiliarios y de vivienda"/>
    <s v="Consumo de hogares_Ninguno_Ninguno"/>
    <n v="19091.525196647348"/>
    <s v="Oferta intermedia"/>
    <n v="9"/>
    <s v="Servicios inmobiliarios y de vivienda"/>
    <x v="1"/>
    <x v="1"/>
    <s v="Ninguno"/>
    <s v="Ninguno"/>
    <x v="3"/>
  </r>
  <r>
    <s v="Oferta intermedia_9_Servicios inmobiliarios y de vivienda"/>
    <s v="Consumo  de IPSFL_Ninguno_Ninguno"/>
    <n v="0"/>
    <s v="Oferta intermedia"/>
    <n v="9"/>
    <s v="Servicios inmobiliarios y de vivienda"/>
    <x v="1"/>
    <x v="2"/>
    <s v="Ninguno"/>
    <s v="Ninguno"/>
    <x v="3"/>
  </r>
  <r>
    <s v="Oferta intermedia_9_Servicios inmobiliarios y de vivienda"/>
    <s v="Consumo de gobierno_Ninguno_Ninguno"/>
    <n v="0.13745594412125137"/>
    <s v="Oferta intermedia"/>
    <n v="9"/>
    <s v="Servicios inmobiliarios y de vivienda"/>
    <x v="1"/>
    <x v="3"/>
    <s v="Ninguno"/>
    <s v="Ninguno"/>
    <x v="3"/>
  </r>
  <r>
    <s v="Oferta intermedia_9_Servicios inmobiliarios y de vivienda"/>
    <s v="Formación bruta de capital fijo_Ninguno_Ninguno"/>
    <n v="121.53446015282401"/>
    <s v="Oferta intermedia"/>
    <n v="9"/>
    <s v="Servicios inmobiliarios y de vivienda"/>
    <x v="1"/>
    <x v="4"/>
    <s v="Ninguno"/>
    <s v="Ninguno"/>
    <x v="3"/>
  </r>
  <r>
    <s v="Oferta intermedia_9_Servicios inmobiliarios y de vivienda"/>
    <s v="Variación de existencias_Ninguno_Ninguno"/>
    <n v="0"/>
    <s v="Oferta intermedia"/>
    <n v="9"/>
    <s v="Servicios inmobiliarios y de vivienda"/>
    <x v="1"/>
    <x v="5"/>
    <s v="Ninguno"/>
    <s v="Ninguno"/>
    <x v="3"/>
  </r>
  <r>
    <s v="Oferta intermedia_9_Servicios inmobiliarios y de vivienda"/>
    <s v="Exportaciones_Ninguno_Ninguno"/>
    <n v="49.574675015200178"/>
    <s v="Oferta intermedia"/>
    <n v="9"/>
    <s v="Servicios inmobiliarios y de vivienda"/>
    <x v="1"/>
    <x v="6"/>
    <s v="Ninguno"/>
    <s v="Ninguno"/>
    <x v="3"/>
  </r>
  <r>
    <s v="Oferta intermedia_10_Servicios empresariales"/>
    <s v="Demanda intermedia_1_Agropecuario-silvícola y Pesca"/>
    <n v="749.34541065891779"/>
    <s v="Oferta intermedia"/>
    <n v="10"/>
    <s v="Servicios empresariales"/>
    <x v="2"/>
    <x v="0"/>
    <n v="1"/>
    <s v="Agropecuario-silvícola y Pesca"/>
    <x v="0"/>
  </r>
  <r>
    <s v="Oferta intermedia_10_Servicios empresariales"/>
    <s v="Demanda intermedia_2_Minería"/>
    <n v="4370.2376709270884"/>
    <s v="Oferta intermedia"/>
    <n v="10"/>
    <s v="Servicios empresariales"/>
    <x v="2"/>
    <x v="0"/>
    <n v="2"/>
    <s v="Minería"/>
    <x v="1"/>
  </r>
  <r>
    <s v="Oferta intermedia_10_Servicios empresariales"/>
    <s v="Demanda intermedia_3_Industria manufacturera"/>
    <n v="3411.4399274628327"/>
    <s v="Oferta intermedia"/>
    <n v="10"/>
    <s v="Servicios empresariales"/>
    <x v="2"/>
    <x v="0"/>
    <n v="3"/>
    <s v="Industria manufacturera"/>
    <x v="1"/>
  </r>
  <r>
    <s v="Oferta intermedia_10_Servicios empresariales"/>
    <s v="Demanda intermedia_4_Electricidad, gas, agua y gestión de desechos"/>
    <n v="1061.4773696477309"/>
    <s v="Oferta intermedia"/>
    <n v="10"/>
    <s v="Servicios empresariales"/>
    <x v="2"/>
    <x v="0"/>
    <n v="4"/>
    <s v="Electricidad, gas, agua y gestión de desechos"/>
    <x v="1"/>
  </r>
  <r>
    <s v="Oferta intermedia_10_Servicios empresariales"/>
    <s v="Demanda intermedia_5_Construcción"/>
    <n v="1714.9704099583787"/>
    <s v="Oferta intermedia"/>
    <n v="10"/>
    <s v="Servicios empresariales"/>
    <x v="2"/>
    <x v="0"/>
    <n v="5"/>
    <s v="Construcción"/>
    <x v="1"/>
  </r>
  <r>
    <s v="Oferta intermedia_10_Servicios empresariales"/>
    <s v="Demanda intermedia_6_Comercio, hoteles y restaurantes"/>
    <n v="5489.8329214910655"/>
    <s v="Oferta intermedia"/>
    <n v="10"/>
    <s v="Servicios empresariales"/>
    <x v="2"/>
    <x v="0"/>
    <n v="6"/>
    <s v="Comercio, hoteles y restaurantes"/>
    <x v="1"/>
  </r>
  <r>
    <s v="Oferta intermedia_10_Servicios empresariales"/>
    <s v="Demanda intermedia_7_Transporte, comunicaciones y servicios de información"/>
    <n v="2646.587623954787"/>
    <s v="Oferta intermedia"/>
    <n v="10"/>
    <s v="Servicios empresariales"/>
    <x v="2"/>
    <x v="0"/>
    <n v="7"/>
    <s v="Transporte, comunicaciones y servicios de información"/>
    <x v="1"/>
  </r>
  <r>
    <s v="Oferta intermedia_10_Servicios empresariales"/>
    <s v="Demanda intermedia_8_Intermediación financiera"/>
    <n v="2399.6728566456377"/>
    <s v="Oferta intermedia"/>
    <n v="10"/>
    <s v="Servicios empresariales"/>
    <x v="2"/>
    <x v="0"/>
    <n v="8"/>
    <s v="Intermediación financiera"/>
    <x v="1"/>
  </r>
  <r>
    <s v="Oferta intermedia_10_Servicios empresariales"/>
    <s v="Demanda intermedia_9_Servicios inmobiliarios y de vivienda"/>
    <n v="453.41048516706951"/>
    <s v="Oferta intermedia"/>
    <n v="10"/>
    <s v="Servicios empresariales"/>
    <x v="2"/>
    <x v="0"/>
    <n v="9"/>
    <s v="Servicios inmobiliarios y de vivienda"/>
    <x v="1"/>
  </r>
  <r>
    <s v="Oferta intermedia_10_Servicios empresariales"/>
    <s v="Demanda intermedia_10_Servicios empresariales"/>
    <n v="4585.662619325376"/>
    <s v="Oferta intermedia"/>
    <n v="10"/>
    <s v="Servicios empresariales"/>
    <x v="2"/>
    <x v="0"/>
    <n v="10"/>
    <s v="Servicios empresariales"/>
    <x v="2"/>
  </r>
  <r>
    <s v="Oferta intermedia_10_Servicios empresariales"/>
    <s v="Demanda intermedia_11_Servicios personales"/>
    <n v="2007.4007782251022"/>
    <s v="Oferta intermedia"/>
    <n v="10"/>
    <s v="Servicios empresariales"/>
    <x v="2"/>
    <x v="0"/>
    <n v="11"/>
    <s v="Servicios personales"/>
    <x v="1"/>
  </r>
  <r>
    <s v="Oferta intermedia_10_Servicios empresariales"/>
    <s v="Demanda intermedia_12_Administración pública"/>
    <n v="950.45330643330249"/>
    <s v="Oferta intermedia"/>
    <n v="10"/>
    <s v="Servicios empresariales"/>
    <x v="2"/>
    <x v="0"/>
    <n v="12"/>
    <s v="Administración pública"/>
    <x v="1"/>
  </r>
  <r>
    <s v="Oferta intermedia_10_Servicios empresariales"/>
    <s v="Consumo de hogares_Ninguno_Ninguno"/>
    <n v="1570.0364102032977"/>
    <s v="Oferta intermedia"/>
    <n v="10"/>
    <s v="Servicios empresariales"/>
    <x v="2"/>
    <x v="1"/>
    <s v="Ninguno"/>
    <s v="Ninguno"/>
    <x v="3"/>
  </r>
  <r>
    <s v="Oferta intermedia_10_Servicios empresariales"/>
    <s v="Consumo  de IPSFL_Ninguno_Ninguno"/>
    <n v="0"/>
    <s v="Oferta intermedia"/>
    <n v="10"/>
    <s v="Servicios empresariales"/>
    <x v="2"/>
    <x v="2"/>
    <s v="Ninguno"/>
    <s v="Ninguno"/>
    <x v="3"/>
  </r>
  <r>
    <s v="Oferta intermedia_10_Servicios empresariales"/>
    <s v="Consumo de gobierno_Ninguno_Ninguno"/>
    <n v="73.289573665182871"/>
    <s v="Oferta intermedia"/>
    <n v="10"/>
    <s v="Servicios empresariales"/>
    <x v="2"/>
    <x v="3"/>
    <s v="Ninguno"/>
    <s v="Ninguno"/>
    <x v="3"/>
  </r>
  <r>
    <s v="Oferta intermedia_10_Servicios empresariales"/>
    <s v="Formación bruta de capital fijo_Ninguno_Ninguno"/>
    <n v="4072.6307240641954"/>
    <s v="Oferta intermedia"/>
    <n v="10"/>
    <s v="Servicios empresariales"/>
    <x v="2"/>
    <x v="4"/>
    <s v="Ninguno"/>
    <s v="Ninguno"/>
    <x v="3"/>
  </r>
  <r>
    <s v="Oferta intermedia_10_Servicios empresariales"/>
    <s v="Variación de existencias_Ninguno_Ninguno"/>
    <n v="5.1274777730822097E-4"/>
    <s v="Oferta intermedia"/>
    <n v="10"/>
    <s v="Servicios empresariales"/>
    <x v="2"/>
    <x v="5"/>
    <s v="Ninguno"/>
    <s v="Ninguno"/>
    <x v="3"/>
  </r>
  <r>
    <s v="Oferta intermedia_10_Servicios empresariales"/>
    <s v="Exportaciones_Ninguno_Ninguno"/>
    <n v="1232.2600711522966"/>
    <s v="Oferta intermedia"/>
    <n v="10"/>
    <s v="Servicios empresariales"/>
    <x v="2"/>
    <x v="6"/>
    <s v="Ninguno"/>
    <s v="Ninguno"/>
    <x v="3"/>
  </r>
  <r>
    <s v="Oferta intermedia_11_Servicios personales"/>
    <s v="Demanda intermedia_1_Agropecuario-silvícola y Pesca"/>
    <n v="26.146010446501101"/>
    <s v="Oferta intermedia"/>
    <n v="11"/>
    <s v="Servicios personales"/>
    <x v="1"/>
    <x v="0"/>
    <n v="1"/>
    <s v="Agropecuario-silvícola y Pesca"/>
    <x v="0"/>
  </r>
  <r>
    <s v="Oferta intermedia_11_Servicios personales"/>
    <s v="Demanda intermedia_2_Minería"/>
    <n v="71.001522643679934"/>
    <s v="Oferta intermedia"/>
    <n v="11"/>
    <s v="Servicios personales"/>
    <x v="1"/>
    <x v="0"/>
    <n v="2"/>
    <s v="Minería"/>
    <x v="1"/>
  </r>
  <r>
    <s v="Oferta intermedia_11_Servicios personales"/>
    <s v="Demanda intermedia_3_Industria manufacturera"/>
    <n v="104.66133938950553"/>
    <s v="Oferta intermedia"/>
    <n v="11"/>
    <s v="Servicios personales"/>
    <x v="1"/>
    <x v="0"/>
    <n v="3"/>
    <s v="Industria manufacturera"/>
    <x v="1"/>
  </r>
  <r>
    <s v="Oferta intermedia_11_Servicios personales"/>
    <s v="Demanda intermedia_4_Electricidad, gas, agua y gestión de desechos"/>
    <n v="18.74537114568566"/>
    <s v="Oferta intermedia"/>
    <n v="11"/>
    <s v="Servicios personales"/>
    <x v="1"/>
    <x v="0"/>
    <n v="4"/>
    <s v="Electricidad, gas, agua y gestión de desechos"/>
    <x v="1"/>
  </r>
  <r>
    <s v="Oferta intermedia_11_Servicios personales"/>
    <s v="Demanda intermedia_5_Construcción"/>
    <n v="86.166105260201789"/>
    <s v="Oferta intermedia"/>
    <n v="11"/>
    <s v="Servicios personales"/>
    <x v="1"/>
    <x v="0"/>
    <n v="5"/>
    <s v="Construcción"/>
    <x v="1"/>
  </r>
  <r>
    <s v="Oferta intermedia_11_Servicios personales"/>
    <s v="Demanda intermedia_6_Comercio, hoteles y restaurantes"/>
    <n v="172.29881171122656"/>
    <s v="Oferta intermedia"/>
    <n v="11"/>
    <s v="Servicios personales"/>
    <x v="1"/>
    <x v="0"/>
    <n v="6"/>
    <s v="Comercio, hoteles y restaurantes"/>
    <x v="1"/>
  </r>
  <r>
    <s v="Oferta intermedia_11_Servicios personales"/>
    <s v="Demanda intermedia_7_Transporte, comunicaciones y servicios de información"/>
    <n v="243.82967031442757"/>
    <s v="Oferta intermedia"/>
    <n v="11"/>
    <s v="Servicios personales"/>
    <x v="1"/>
    <x v="0"/>
    <n v="7"/>
    <s v="Transporte, comunicaciones y servicios de información"/>
    <x v="1"/>
  </r>
  <r>
    <s v="Oferta intermedia_11_Servicios personales"/>
    <s v="Demanda intermedia_8_Intermediación financiera"/>
    <n v="75.432657765664459"/>
    <s v="Oferta intermedia"/>
    <n v="11"/>
    <s v="Servicios personales"/>
    <x v="1"/>
    <x v="0"/>
    <n v="8"/>
    <s v="Intermediación financiera"/>
    <x v="1"/>
  </r>
  <r>
    <s v="Oferta intermedia_11_Servicios personales"/>
    <s v="Demanda intermedia_9_Servicios inmobiliarios y de vivienda"/>
    <n v="10.201213527495979"/>
    <s v="Oferta intermedia"/>
    <n v="11"/>
    <s v="Servicios personales"/>
    <x v="1"/>
    <x v="0"/>
    <n v="9"/>
    <s v="Servicios inmobiliarios y de vivienda"/>
    <x v="1"/>
  </r>
  <r>
    <s v="Oferta intermedia_11_Servicios personales"/>
    <s v="Demanda intermedia_10_Servicios empresariales"/>
    <n v="92.444838416256331"/>
    <s v="Oferta intermedia"/>
    <n v="11"/>
    <s v="Servicios personales"/>
    <x v="1"/>
    <x v="0"/>
    <n v="10"/>
    <s v="Servicios empresariales"/>
    <x v="2"/>
  </r>
  <r>
    <s v="Oferta intermedia_11_Servicios personales"/>
    <s v="Demanda intermedia_11_Servicios personales"/>
    <n v="2107.4689255578878"/>
    <s v="Oferta intermedia"/>
    <n v="11"/>
    <s v="Servicios personales"/>
    <x v="1"/>
    <x v="0"/>
    <n v="11"/>
    <s v="Servicios personales"/>
    <x v="1"/>
  </r>
  <r>
    <s v="Oferta intermedia_11_Servicios personales"/>
    <s v="Demanda intermedia_12_Administración pública"/>
    <n v="59.650812061650051"/>
    <s v="Oferta intermedia"/>
    <n v="11"/>
    <s v="Servicios personales"/>
    <x v="1"/>
    <x v="0"/>
    <n v="12"/>
    <s v="Administración pública"/>
    <x v="1"/>
  </r>
  <r>
    <s v="Oferta intermedia_11_Servicios personales"/>
    <s v="Consumo de hogares_Ninguno_Ninguno"/>
    <n v="18747.743045551404"/>
    <s v="Oferta intermedia"/>
    <n v="11"/>
    <s v="Servicios personales"/>
    <x v="1"/>
    <x v="1"/>
    <s v="Ninguno"/>
    <s v="Ninguno"/>
    <x v="3"/>
  </r>
  <r>
    <s v="Oferta intermedia_11_Servicios personales"/>
    <s v="Consumo  de IPSFL_Ninguno_Ninguno"/>
    <n v="1392.2380252579896"/>
    <s v="Oferta intermedia"/>
    <n v="11"/>
    <s v="Servicios personales"/>
    <x v="1"/>
    <x v="2"/>
    <s v="Ninguno"/>
    <s v="Ninguno"/>
    <x v="3"/>
  </r>
  <r>
    <s v="Oferta intermedia_11_Servicios personales"/>
    <s v="Consumo de gobierno_Ninguno_Ninguno"/>
    <n v="21792.013073454033"/>
    <s v="Oferta intermedia"/>
    <n v="11"/>
    <s v="Servicios personales"/>
    <x v="1"/>
    <x v="3"/>
    <s v="Ninguno"/>
    <s v="Ninguno"/>
    <x v="3"/>
  </r>
  <r>
    <s v="Oferta intermedia_11_Servicios personales"/>
    <s v="Formación bruta de capital fijo_Ninguno_Ninguno"/>
    <n v="642.2393858889194"/>
    <s v="Oferta intermedia"/>
    <n v="11"/>
    <s v="Servicios personales"/>
    <x v="1"/>
    <x v="4"/>
    <s v="Ninguno"/>
    <s v="Ninguno"/>
    <x v="3"/>
  </r>
  <r>
    <s v="Oferta intermedia_11_Servicios personales"/>
    <s v="Variación de existencias_Ninguno_Ninguno"/>
    <n v="-8.2204399908404561E-3"/>
    <s v="Oferta intermedia"/>
    <n v="11"/>
    <s v="Servicios personales"/>
    <x v="1"/>
    <x v="5"/>
    <s v="Ninguno"/>
    <s v="Ninguno"/>
    <x v="3"/>
  </r>
  <r>
    <s v="Oferta intermedia_11_Servicios personales"/>
    <s v="Exportaciones_Ninguno_Ninguno"/>
    <n v="47.160185488993221"/>
    <s v="Oferta intermedia"/>
    <n v="11"/>
    <s v="Servicios personales"/>
    <x v="1"/>
    <x v="6"/>
    <s v="Ninguno"/>
    <s v="Ninguno"/>
    <x v="3"/>
  </r>
  <r>
    <s v="Oferta intermedia_12_Administración pública"/>
    <s v="Demanda intermedia_1_Agropecuario-silvícola y Pesca"/>
    <n v="45.019161136860212"/>
    <s v="Oferta intermedia"/>
    <n v="12"/>
    <s v="Administración pública"/>
    <x v="1"/>
    <x v="0"/>
    <n v="1"/>
    <s v="Agropecuario-silvícola y Pesca"/>
    <x v="0"/>
  </r>
  <r>
    <s v="Oferta intermedia_12_Administración pública"/>
    <s v="Demanda intermedia_2_Minería"/>
    <n v="105.95826284156541"/>
    <s v="Oferta intermedia"/>
    <n v="12"/>
    <s v="Administración pública"/>
    <x v="1"/>
    <x v="0"/>
    <n v="2"/>
    <s v="Minería"/>
    <x v="1"/>
  </r>
  <r>
    <s v="Oferta intermedia_12_Administración pública"/>
    <s v="Demanda intermedia_3_Industria manufacturera"/>
    <n v="162.0471055939139"/>
    <s v="Oferta intermedia"/>
    <n v="12"/>
    <s v="Administración pública"/>
    <x v="1"/>
    <x v="0"/>
    <n v="3"/>
    <s v="Industria manufacturera"/>
    <x v="1"/>
  </r>
  <r>
    <s v="Oferta intermedia_12_Administración pública"/>
    <s v="Demanda intermedia_4_Electricidad, gas, agua y gestión de desechos"/>
    <n v="22.240215143348898"/>
    <s v="Oferta intermedia"/>
    <n v="12"/>
    <s v="Administración pública"/>
    <x v="1"/>
    <x v="0"/>
    <n v="4"/>
    <s v="Electricidad, gas, agua y gestión de desechos"/>
    <x v="1"/>
  </r>
  <r>
    <s v="Oferta intermedia_12_Administración pública"/>
    <s v="Demanda intermedia_5_Construcción"/>
    <n v="24.677827243492303"/>
    <s v="Oferta intermedia"/>
    <n v="12"/>
    <s v="Administración pública"/>
    <x v="1"/>
    <x v="0"/>
    <n v="5"/>
    <s v="Construcción"/>
    <x v="1"/>
  </r>
  <r>
    <s v="Oferta intermedia_12_Administración pública"/>
    <s v="Demanda intermedia_6_Comercio, hoteles y restaurantes"/>
    <n v="126.68165372499297"/>
    <s v="Oferta intermedia"/>
    <n v="12"/>
    <s v="Administración pública"/>
    <x v="1"/>
    <x v="0"/>
    <n v="6"/>
    <s v="Comercio, hoteles y restaurantes"/>
    <x v="1"/>
  </r>
  <r>
    <s v="Oferta intermedia_12_Administración pública"/>
    <s v="Demanda intermedia_7_Transporte, comunicaciones y servicios de información"/>
    <n v="161.78894070707526"/>
    <s v="Oferta intermedia"/>
    <n v="12"/>
    <s v="Administración pública"/>
    <x v="1"/>
    <x v="0"/>
    <n v="7"/>
    <s v="Transporte, comunicaciones y servicios de información"/>
    <x v="1"/>
  </r>
  <r>
    <s v="Oferta intermedia_12_Administración pública"/>
    <s v="Demanda intermedia_8_Intermediación financiera"/>
    <n v="15.357297307656054"/>
    <s v="Oferta intermedia"/>
    <n v="12"/>
    <s v="Administración pública"/>
    <x v="1"/>
    <x v="0"/>
    <n v="8"/>
    <s v="Intermediación financiera"/>
    <x v="1"/>
  </r>
  <r>
    <s v="Oferta intermedia_12_Administración pública"/>
    <s v="Demanda intermedia_9_Servicios inmobiliarios y de vivienda"/>
    <n v="5.399949221798507"/>
    <s v="Oferta intermedia"/>
    <n v="12"/>
    <s v="Administración pública"/>
    <x v="1"/>
    <x v="0"/>
    <n v="9"/>
    <s v="Servicios inmobiliarios y de vivienda"/>
    <x v="1"/>
  </r>
  <r>
    <s v="Oferta intermedia_12_Administración pública"/>
    <s v="Demanda intermedia_10_Servicios empresariales"/>
    <n v="24.258369001657989"/>
    <s v="Oferta intermedia"/>
    <n v="12"/>
    <s v="Administración pública"/>
    <x v="1"/>
    <x v="0"/>
    <n v="10"/>
    <s v="Servicios empresariales"/>
    <x v="2"/>
  </r>
  <r>
    <s v="Oferta intermedia_12_Administración pública"/>
    <s v="Demanda intermedia_11_Servicios personales"/>
    <n v="36.656948973033373"/>
    <s v="Oferta intermedia"/>
    <n v="12"/>
    <s v="Administración pública"/>
    <x v="1"/>
    <x v="0"/>
    <n v="11"/>
    <s v="Servicios personales"/>
    <x v="1"/>
  </r>
  <r>
    <s v="Oferta intermedia_12_Administración pública"/>
    <s v="Demanda intermedia_12_Administración pública"/>
    <n v="59.206027614482906"/>
    <s v="Oferta intermedia"/>
    <n v="12"/>
    <s v="Administración pública"/>
    <x v="1"/>
    <x v="0"/>
    <n v="12"/>
    <s v="Administración pública"/>
    <x v="1"/>
  </r>
  <r>
    <s v="Oferta intermedia_12_Administración pública"/>
    <s v="Consumo de hogares_Ninguno_Ninguno"/>
    <n v="298.66271651688129"/>
    <s v="Oferta intermedia"/>
    <n v="12"/>
    <s v="Administración pública"/>
    <x v="1"/>
    <x v="1"/>
    <s v="Ninguno"/>
    <s v="Ninguno"/>
    <x v="3"/>
  </r>
  <r>
    <s v="Oferta intermedia_12_Administración pública"/>
    <s v="Consumo  de IPSFL_Ninguno_Ninguno"/>
    <n v="3.5741953963919346E-32"/>
    <s v="Oferta intermedia"/>
    <n v="12"/>
    <s v="Administración pública"/>
    <x v="1"/>
    <x v="2"/>
    <s v="Ninguno"/>
    <s v="Ninguno"/>
    <x v="3"/>
  </r>
  <r>
    <s v="Oferta intermedia_12_Administración pública"/>
    <s v="Consumo de gobierno_Ninguno_Ninguno"/>
    <n v="15301.742139226442"/>
    <s v="Oferta intermedia"/>
    <n v="12"/>
    <s v="Administración pública"/>
    <x v="1"/>
    <x v="3"/>
    <s v="Ninguno"/>
    <s v="Ninguno"/>
    <x v="3"/>
  </r>
  <r>
    <s v="Oferta intermedia_12_Administración pública"/>
    <s v="Formación bruta de capital fijo_Ninguno_Ninguno"/>
    <n v="57.798044834622026"/>
    <s v="Oferta intermedia"/>
    <n v="12"/>
    <s v="Administración pública"/>
    <x v="1"/>
    <x v="4"/>
    <s v="Ninguno"/>
    <s v="Ninguno"/>
    <x v="3"/>
  </r>
  <r>
    <s v="Oferta intermedia_12_Administración pública"/>
    <s v="Variación de existencias_Ninguno_Ninguno"/>
    <n v="-0.56305630084890801"/>
    <s v="Oferta intermedia"/>
    <n v="12"/>
    <s v="Administración pública"/>
    <x v="1"/>
    <x v="5"/>
    <s v="Ninguno"/>
    <s v="Ninguno"/>
    <x v="3"/>
  </r>
  <r>
    <s v="Oferta intermedia_12_Administración pública"/>
    <s v="Exportaciones_Ninguno_Ninguno"/>
    <n v="48.890801325195177"/>
    <s v="Oferta intermedia"/>
    <n v="12"/>
    <s v="Administración pública"/>
    <x v="1"/>
    <x v="6"/>
    <s v="Ninguno"/>
    <s v="Ninguno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D3380-0E7C-4936-9DEA-B46C649744B8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K9" firstHeaderRow="1" firstDataRow="3" firstDataCol="1"/>
  <pivotFields count="11"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axis="axisRow" showAll="0" defaultSubtotal="0">
      <items count="3">
        <item x="0"/>
        <item x="2"/>
        <item x="1"/>
      </items>
    </pivotField>
    <pivotField axis="axisCol" showAll="0" defaultSubtotal="0">
      <items count="7">
        <item x="0"/>
        <item x="2"/>
        <item x="3"/>
        <item x="1"/>
        <item x="6"/>
        <item x="4"/>
        <item x="5"/>
      </items>
    </pivotField>
    <pivotField showAll="0" defaultSubtotal="0"/>
    <pivotField showAll="0" defaultSubtotal="0"/>
    <pivotField axis="axisCol" showAll="0" defaultSubtotal="0">
      <items count="4">
        <item x="0"/>
        <item x="2"/>
        <item x="3"/>
        <item x="1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7"/>
    <field x="10"/>
  </colFields>
  <colItems count="10">
    <i>
      <x/>
      <x/>
    </i>
    <i r="1">
      <x v="1"/>
    </i>
    <i r="1">
      <x v="3"/>
    </i>
    <i>
      <x v="1"/>
      <x v="2"/>
    </i>
    <i>
      <x v="2"/>
      <x v="2"/>
    </i>
    <i>
      <x v="3"/>
      <x v="2"/>
    </i>
    <i>
      <x v="4"/>
      <x v="2"/>
    </i>
    <i>
      <x v="5"/>
      <x v="2"/>
    </i>
    <i>
      <x v="6"/>
      <x v="2"/>
    </i>
    <i t="grand">
      <x/>
    </i>
  </colItems>
  <dataFields count="1">
    <dataField name="Suma de Valor" fld="2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1E0C-F4B6-4989-A2C8-91BF2514DAAB}">
  <dimension ref="A1:GG40"/>
  <sheetViews>
    <sheetView showGridLines="0" zoomScale="72" zoomScaleNormal="70" workbookViewId="0">
      <selection activeCell="C12" sqref="C12"/>
    </sheetView>
  </sheetViews>
  <sheetFormatPr baseColWidth="10" defaultRowHeight="14.25"/>
  <cols>
    <col min="1" max="1" width="9.265625" customWidth="1"/>
    <col min="2" max="2" width="21.3984375" customWidth="1"/>
    <col min="15" max="15" width="1.265625" customWidth="1"/>
    <col min="17" max="17" width="1" customWidth="1"/>
    <col min="30" max="30" width="11.59765625" customWidth="1"/>
  </cols>
  <sheetData>
    <row r="1" spans="1:32" s="1" customFormat="1" ht="13.15"/>
    <row r="2" spans="1:32" s="1" customFormat="1" ht="13.15">
      <c r="A2" s="54"/>
      <c r="B2" s="2" t="s">
        <v>0</v>
      </c>
    </row>
    <row r="3" spans="1:32" s="1" customFormat="1" ht="13.15">
      <c r="B3" s="1" t="s">
        <v>1</v>
      </c>
    </row>
    <row r="4" spans="1:32" s="1" customFormat="1" ht="13.15">
      <c r="B4" s="1" t="s">
        <v>2</v>
      </c>
    </row>
    <row r="5" spans="1:32" s="1" customFormat="1" ht="13.15">
      <c r="B5" s="3" t="s">
        <v>32</v>
      </c>
    </row>
    <row r="6" spans="1:32" ht="12.75" customHeight="1">
      <c r="B6" s="4"/>
    </row>
    <row r="7" spans="1:32" ht="12.75" customHeight="1">
      <c r="A7" s="1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2" ht="32.25" customHeight="1">
      <c r="A8" s="7"/>
      <c r="B8" s="8" t="s">
        <v>3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P8" s="7"/>
      <c r="Q8" s="7"/>
      <c r="R8" s="68" t="s">
        <v>4</v>
      </c>
      <c r="S8" s="31"/>
      <c r="T8" s="68" t="s">
        <v>5</v>
      </c>
      <c r="U8" s="31"/>
      <c r="V8" s="68" t="s">
        <v>6</v>
      </c>
      <c r="W8" s="31"/>
      <c r="X8" s="68" t="s">
        <v>7</v>
      </c>
      <c r="Y8" s="31"/>
      <c r="Z8" s="68" t="s">
        <v>8</v>
      </c>
      <c r="AA8" s="31"/>
      <c r="AB8" s="68" t="s">
        <v>9</v>
      </c>
      <c r="AC8" s="11"/>
      <c r="AD8" s="67" t="s">
        <v>10</v>
      </c>
    </row>
    <row r="9" spans="1:32" ht="12.75" customHeight="1">
      <c r="A9" s="7"/>
      <c r="B9" s="7"/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/>
      <c r="P9" s="8" t="s">
        <v>11</v>
      </c>
      <c r="Q9" s="28"/>
      <c r="R9" s="68"/>
      <c r="S9" s="7"/>
      <c r="T9" s="68"/>
      <c r="U9" s="7"/>
      <c r="V9" s="68"/>
      <c r="W9" s="7"/>
      <c r="X9" s="68"/>
      <c r="Y9" s="7"/>
      <c r="Z9" s="68"/>
      <c r="AA9" s="7"/>
      <c r="AB9" s="68"/>
      <c r="AC9" s="7"/>
      <c r="AD9" s="67"/>
    </row>
    <row r="10" spans="1:32" ht="12" customHeight="1" thickBot="1">
      <c r="A10" s="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spans="1:32">
      <c r="A11" s="7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2" ht="12.75" customHeight="1">
      <c r="B12" s="16">
        <v>1</v>
      </c>
      <c r="C12" s="17">
        <v>4115.25324179359</v>
      </c>
      <c r="D12" s="17">
        <v>0.64223706650561818</v>
      </c>
      <c r="E12" s="17">
        <v>11866.038642245503</v>
      </c>
      <c r="F12" s="17">
        <v>41.408529901637003</v>
      </c>
      <c r="G12" s="17">
        <v>13.540523211729319</v>
      </c>
      <c r="H12" s="17">
        <v>323.50973122279078</v>
      </c>
      <c r="I12" s="17">
        <v>3.7189800027750808</v>
      </c>
      <c r="J12" s="17">
        <v>1.1738699574293463</v>
      </c>
      <c r="K12" s="17">
        <v>4.6620560822918836E-2</v>
      </c>
      <c r="L12" s="17">
        <v>6.0921412337751075</v>
      </c>
      <c r="M12" s="17">
        <v>59.351152722115152</v>
      </c>
      <c r="N12" s="17">
        <v>62.713022185845844</v>
      </c>
      <c r="O12" s="17"/>
      <c r="P12" s="18">
        <v>16493.488692104518</v>
      </c>
      <c r="Q12" s="19"/>
      <c r="R12" s="19">
        <v>2783.6759149078262</v>
      </c>
      <c r="S12" s="19"/>
      <c r="T12" s="19">
        <v>0</v>
      </c>
      <c r="U12" s="19"/>
      <c r="V12" s="19">
        <v>2.668751046842022E-2</v>
      </c>
      <c r="W12" s="19"/>
      <c r="X12" s="19">
        <v>790.68687043852901</v>
      </c>
      <c r="Y12" s="19"/>
      <c r="Z12" s="19">
        <v>-133.35791971044395</v>
      </c>
      <c r="AA12" s="19"/>
      <c r="AB12" s="19">
        <v>3460.4746110713118</v>
      </c>
      <c r="AC12" s="19"/>
      <c r="AD12" s="18">
        <v>23394.99485632221</v>
      </c>
      <c r="AE12" s="29"/>
      <c r="AF12" s="30"/>
    </row>
    <row r="13" spans="1:32" ht="12.75" customHeight="1">
      <c r="B13" s="16">
        <v>2</v>
      </c>
      <c r="C13" s="17">
        <v>17.284374579552285</v>
      </c>
      <c r="D13" s="17">
        <v>5176.8488401808499</v>
      </c>
      <c r="E13" s="17">
        <v>3249.0835489237825</v>
      </c>
      <c r="F13" s="17">
        <v>69.390608604192025</v>
      </c>
      <c r="G13" s="17">
        <v>194.00930683931554</v>
      </c>
      <c r="H13" s="17">
        <v>47.012198735913366</v>
      </c>
      <c r="I13" s="17">
        <v>26.834354104437423</v>
      </c>
      <c r="J13" s="17">
        <v>26.634541079722645</v>
      </c>
      <c r="K13" s="17">
        <v>5.9874064065828323</v>
      </c>
      <c r="L13" s="17">
        <v>48.327516181388418</v>
      </c>
      <c r="M13" s="17">
        <v>28.725164915130467</v>
      </c>
      <c r="N13" s="17">
        <v>9.6188118745458535</v>
      </c>
      <c r="O13" s="17"/>
      <c r="P13" s="18">
        <v>8899.7566724254139</v>
      </c>
      <c r="Q13" s="19"/>
      <c r="R13" s="19">
        <v>46.319552771228189</v>
      </c>
      <c r="S13" s="19"/>
      <c r="T13" s="19">
        <v>0</v>
      </c>
      <c r="U13" s="19"/>
      <c r="V13" s="19">
        <v>2.722812321192706</v>
      </c>
      <c r="W13" s="19"/>
      <c r="X13" s="19">
        <v>704.96650590998138</v>
      </c>
      <c r="Y13" s="19"/>
      <c r="Z13" s="19">
        <v>-315.1916644546144</v>
      </c>
      <c r="AA13" s="19"/>
      <c r="AB13" s="19">
        <v>50201.314984253913</v>
      </c>
      <c r="AC13" s="19"/>
      <c r="AD13" s="18">
        <v>59539.888863227112</v>
      </c>
      <c r="AE13" s="29"/>
      <c r="AF13" s="30"/>
    </row>
    <row r="14" spans="1:32" ht="12.75" customHeight="1">
      <c r="B14" s="16">
        <v>3</v>
      </c>
      <c r="C14" s="17">
        <v>4649.3295943695384</v>
      </c>
      <c r="D14" s="17">
        <v>3599.6667329405113</v>
      </c>
      <c r="E14" s="17">
        <v>12335.8393584939</v>
      </c>
      <c r="F14" s="17">
        <v>629.30829100869278</v>
      </c>
      <c r="G14" s="17">
        <v>6599.0788607576997</v>
      </c>
      <c r="H14" s="17">
        <v>4798.4363534631539</v>
      </c>
      <c r="I14" s="17">
        <v>2849.6015364058621</v>
      </c>
      <c r="J14" s="17">
        <v>175.11488424190145</v>
      </c>
      <c r="K14" s="17">
        <v>62.12138377444434</v>
      </c>
      <c r="L14" s="17">
        <v>724.34215505105772</v>
      </c>
      <c r="M14" s="17">
        <v>2143.2518453646339</v>
      </c>
      <c r="N14" s="17">
        <v>363.03962712610962</v>
      </c>
      <c r="O14" s="17"/>
      <c r="P14" s="18">
        <v>38929.130622997509</v>
      </c>
      <c r="Q14" s="19"/>
      <c r="R14" s="19">
        <v>22272.496082856436</v>
      </c>
      <c r="S14" s="19"/>
      <c r="T14" s="19">
        <v>0</v>
      </c>
      <c r="U14" s="19"/>
      <c r="V14" s="19">
        <v>86.443491400629199</v>
      </c>
      <c r="W14" s="19"/>
      <c r="X14" s="19">
        <v>4045.856643177457</v>
      </c>
      <c r="Y14" s="19"/>
      <c r="Z14" s="19">
        <v>-300.63449098921058</v>
      </c>
      <c r="AA14" s="19"/>
      <c r="AB14" s="19">
        <v>27660.472046589188</v>
      </c>
      <c r="AC14" s="19"/>
      <c r="AD14" s="18">
        <v>92693.764396031998</v>
      </c>
      <c r="AE14" s="29"/>
      <c r="AF14" s="30"/>
    </row>
    <row r="15" spans="1:32" ht="12.75" customHeight="1">
      <c r="B15" s="16">
        <v>4</v>
      </c>
      <c r="C15" s="17">
        <v>245.3914624015523</v>
      </c>
      <c r="D15" s="17">
        <v>3380.9071105102366</v>
      </c>
      <c r="E15" s="17">
        <v>2940.4898871786891</v>
      </c>
      <c r="F15" s="17">
        <v>2005.3179010334675</v>
      </c>
      <c r="G15" s="17">
        <v>268.21388592482629</v>
      </c>
      <c r="H15" s="17">
        <v>987.68203986104686</v>
      </c>
      <c r="I15" s="17">
        <v>498.25204850715994</v>
      </c>
      <c r="J15" s="17">
        <v>134.92253182901922</v>
      </c>
      <c r="K15" s="17">
        <v>217.21723463459776</v>
      </c>
      <c r="L15" s="17">
        <v>231.67899014736994</v>
      </c>
      <c r="M15" s="17">
        <v>487.05717689247598</v>
      </c>
      <c r="N15" s="17">
        <v>578.822278306935</v>
      </c>
      <c r="O15" s="17"/>
      <c r="P15" s="18">
        <v>11975.952547227378</v>
      </c>
      <c r="Q15" s="19"/>
      <c r="R15" s="19">
        <v>3763.8962261861479</v>
      </c>
      <c r="S15" s="19"/>
      <c r="T15" s="19">
        <v>0</v>
      </c>
      <c r="U15" s="19"/>
      <c r="V15" s="19">
        <v>83.189665272501514</v>
      </c>
      <c r="W15" s="19"/>
      <c r="X15" s="19">
        <v>55.968353856951722</v>
      </c>
      <c r="Y15" s="19"/>
      <c r="Z15" s="19">
        <v>0.45411780960103626</v>
      </c>
      <c r="AA15" s="19"/>
      <c r="AB15" s="19">
        <v>81.481389629637704</v>
      </c>
      <c r="AC15" s="19"/>
      <c r="AD15" s="18">
        <v>15960.942299982218</v>
      </c>
      <c r="AE15" s="29"/>
      <c r="AF15" s="30"/>
    </row>
    <row r="16" spans="1:32" ht="12.75" customHeight="1">
      <c r="B16" s="16">
        <v>5</v>
      </c>
      <c r="C16" s="17">
        <v>1.0332716340274708</v>
      </c>
      <c r="D16" s="17">
        <v>3.0356265766134927</v>
      </c>
      <c r="E16" s="17">
        <v>10.808026343273349</v>
      </c>
      <c r="F16" s="17">
        <v>1.6691959202417861</v>
      </c>
      <c r="G16" s="17">
        <v>5292.5470910371168</v>
      </c>
      <c r="H16" s="17">
        <v>59.406447949104333</v>
      </c>
      <c r="I16" s="17">
        <v>30.30313659084123</v>
      </c>
      <c r="J16" s="17">
        <v>15.079325402288482</v>
      </c>
      <c r="K16" s="17">
        <v>2916.6355399187187</v>
      </c>
      <c r="L16" s="17">
        <v>17.996332768911621</v>
      </c>
      <c r="M16" s="17">
        <v>20.730084837589924</v>
      </c>
      <c r="N16" s="17">
        <v>5.9405624169232105</v>
      </c>
      <c r="O16" s="17"/>
      <c r="P16" s="18">
        <v>8375.18464139565</v>
      </c>
      <c r="Q16" s="19"/>
      <c r="R16" s="19">
        <v>11.8029683309727</v>
      </c>
      <c r="S16" s="19"/>
      <c r="T16" s="19">
        <v>0</v>
      </c>
      <c r="U16" s="19"/>
      <c r="V16" s="19">
        <v>0.12944474112889989</v>
      </c>
      <c r="W16" s="19"/>
      <c r="X16" s="19">
        <v>28753.102909771198</v>
      </c>
      <c r="Y16" s="19"/>
      <c r="Z16" s="19">
        <v>0</v>
      </c>
      <c r="AA16" s="19"/>
      <c r="AB16" s="19">
        <v>5.6507347800817076</v>
      </c>
      <c r="AC16" s="19"/>
      <c r="AD16" s="18">
        <v>37145.870699019033</v>
      </c>
      <c r="AE16" s="29"/>
      <c r="AF16" s="30"/>
    </row>
    <row r="17" spans="1:189" ht="12.75" customHeight="1">
      <c r="B17" s="16">
        <v>6</v>
      </c>
      <c r="C17" s="17">
        <v>966.82833786755134</v>
      </c>
      <c r="D17" s="17">
        <v>1770.7817322909834</v>
      </c>
      <c r="E17" s="17">
        <v>4469.314197541139</v>
      </c>
      <c r="F17" s="17">
        <v>315.0718035047139</v>
      </c>
      <c r="G17" s="17">
        <v>2349.1399443389273</v>
      </c>
      <c r="H17" s="17">
        <v>4647.6657757804314</v>
      </c>
      <c r="I17" s="17">
        <v>2529.3725339900752</v>
      </c>
      <c r="J17" s="17">
        <v>350.69454613681694</v>
      </c>
      <c r="K17" s="17">
        <v>60.12173835484959</v>
      </c>
      <c r="L17" s="17">
        <v>1133.367122027342</v>
      </c>
      <c r="M17" s="17">
        <v>1800.0868346419295</v>
      </c>
      <c r="N17" s="17">
        <v>305.19939715018097</v>
      </c>
      <c r="O17" s="17"/>
      <c r="P17" s="18">
        <v>20697.643963624938</v>
      </c>
      <c r="Q17" s="19"/>
      <c r="R17" s="19">
        <v>30901.887330008965</v>
      </c>
      <c r="S17" s="19"/>
      <c r="T17" s="19">
        <v>0</v>
      </c>
      <c r="U17" s="19"/>
      <c r="V17" s="19">
        <v>715.54930083129898</v>
      </c>
      <c r="W17" s="19"/>
      <c r="X17" s="19">
        <v>6164.3481824745741</v>
      </c>
      <c r="Y17" s="19"/>
      <c r="Z17" s="19">
        <v>-2.5610536651533788</v>
      </c>
      <c r="AA17" s="19"/>
      <c r="AB17" s="19">
        <v>3003.0162638239958</v>
      </c>
      <c r="AC17" s="19"/>
      <c r="AD17" s="18">
        <v>61479.883987098612</v>
      </c>
      <c r="AE17" s="29"/>
      <c r="AF17" s="30"/>
    </row>
    <row r="18" spans="1:189" ht="12.75" customHeight="1">
      <c r="B18" s="16">
        <v>7</v>
      </c>
      <c r="C18" s="17">
        <v>1062.4133737383852</v>
      </c>
      <c r="D18" s="17">
        <v>1833.5671296604153</v>
      </c>
      <c r="E18" s="17">
        <v>4744.7545438125126</v>
      </c>
      <c r="F18" s="17">
        <v>530.47941388537822</v>
      </c>
      <c r="G18" s="17">
        <v>1031.9693618789372</v>
      </c>
      <c r="H18" s="17">
        <v>7309.3569906340563</v>
      </c>
      <c r="I18" s="17">
        <v>8000.1396888266036</v>
      </c>
      <c r="J18" s="17">
        <v>904.07699024263366</v>
      </c>
      <c r="K18" s="17">
        <v>77.339440803232648</v>
      </c>
      <c r="L18" s="17">
        <v>1471.0034731919143</v>
      </c>
      <c r="M18" s="17">
        <v>863.62840417232007</v>
      </c>
      <c r="N18" s="17">
        <v>594.23803054473694</v>
      </c>
      <c r="O18" s="17"/>
      <c r="P18" s="18">
        <v>28422.966841391124</v>
      </c>
      <c r="Q18" s="19"/>
      <c r="R18" s="19">
        <v>11716.771316548366</v>
      </c>
      <c r="S18" s="19"/>
      <c r="T18" s="19">
        <v>0</v>
      </c>
      <c r="U18" s="19"/>
      <c r="V18" s="19">
        <v>10.022818548600483</v>
      </c>
      <c r="W18" s="19"/>
      <c r="X18" s="19">
        <v>2908.8034916749398</v>
      </c>
      <c r="Y18" s="19"/>
      <c r="Z18" s="19">
        <v>0</v>
      </c>
      <c r="AA18" s="19"/>
      <c r="AB18" s="19">
        <v>4108.0305736087175</v>
      </c>
      <c r="AC18" s="19"/>
      <c r="AD18" s="18">
        <v>47166.595041771754</v>
      </c>
      <c r="AE18" s="29"/>
      <c r="AF18" s="30"/>
    </row>
    <row r="19" spans="1:189" ht="12.75" customHeight="1">
      <c r="B19" s="16">
        <v>8</v>
      </c>
      <c r="C19" s="17">
        <v>310.09645740051849</v>
      </c>
      <c r="D19" s="17">
        <v>274.66528525786589</v>
      </c>
      <c r="E19" s="17">
        <v>810.19138986447888</v>
      </c>
      <c r="F19" s="17">
        <v>363.093240764916</v>
      </c>
      <c r="G19" s="17">
        <v>584.48260935479061</v>
      </c>
      <c r="H19" s="17">
        <v>1750.6706525790887</v>
      </c>
      <c r="I19" s="17">
        <v>635.75459166565099</v>
      </c>
      <c r="J19" s="17">
        <v>5982.5788079375088</v>
      </c>
      <c r="K19" s="17">
        <v>617.14534693199323</v>
      </c>
      <c r="L19" s="17">
        <v>898.43815273963571</v>
      </c>
      <c r="M19" s="17">
        <v>327.8381041152071</v>
      </c>
      <c r="N19" s="17">
        <v>248.25606623159638</v>
      </c>
      <c r="O19" s="17"/>
      <c r="P19" s="18">
        <v>12803.210704843252</v>
      </c>
      <c r="Q19" s="19"/>
      <c r="R19" s="19">
        <v>7988.7193001477608</v>
      </c>
      <c r="S19" s="19"/>
      <c r="T19" s="19">
        <v>0</v>
      </c>
      <c r="U19" s="19"/>
      <c r="V19" s="19">
        <v>228.71296489010598</v>
      </c>
      <c r="W19" s="19"/>
      <c r="X19" s="19">
        <v>61.206592899449085</v>
      </c>
      <c r="Y19" s="19"/>
      <c r="Z19" s="19">
        <v>0</v>
      </c>
      <c r="AA19" s="19"/>
      <c r="AB19" s="19">
        <v>723.43574874002161</v>
      </c>
      <c r="AC19" s="19"/>
      <c r="AD19" s="18">
        <v>21805.285311520587</v>
      </c>
      <c r="AE19" s="29"/>
      <c r="AF19" s="30"/>
    </row>
    <row r="20" spans="1:189" ht="12.75" customHeight="1">
      <c r="B20" s="16">
        <v>9</v>
      </c>
      <c r="C20" s="17">
        <v>52.019252663173717</v>
      </c>
      <c r="D20" s="17">
        <v>56.805470824236494</v>
      </c>
      <c r="E20" s="17">
        <v>456.05277774667604</v>
      </c>
      <c r="F20" s="17">
        <v>48.722291732972622</v>
      </c>
      <c r="G20" s="17">
        <v>112.41270105040677</v>
      </c>
      <c r="H20" s="17">
        <v>2527.8830313909971</v>
      </c>
      <c r="I20" s="17">
        <v>644.81757888727145</v>
      </c>
      <c r="J20" s="17">
        <v>458.16230248226009</v>
      </c>
      <c r="K20" s="17">
        <v>332.54365020357113</v>
      </c>
      <c r="L20" s="17">
        <v>654.14719439340126</v>
      </c>
      <c r="M20" s="17">
        <v>893.16879355697392</v>
      </c>
      <c r="N20" s="17">
        <v>167.6369254416006</v>
      </c>
      <c r="O20" s="17"/>
      <c r="P20" s="18">
        <v>6404.3719703735405</v>
      </c>
      <c r="Q20" s="19"/>
      <c r="R20" s="19">
        <v>19091.525196647348</v>
      </c>
      <c r="S20" s="19"/>
      <c r="T20" s="19">
        <v>0</v>
      </c>
      <c r="U20" s="19"/>
      <c r="V20" s="19">
        <v>0.13745594412125137</v>
      </c>
      <c r="W20" s="19"/>
      <c r="X20" s="19">
        <v>121.53446015282401</v>
      </c>
      <c r="Y20" s="19"/>
      <c r="Z20" s="19">
        <v>0</v>
      </c>
      <c r="AA20" s="19"/>
      <c r="AB20" s="19">
        <v>49.574675015200178</v>
      </c>
      <c r="AC20" s="19"/>
      <c r="AD20" s="18">
        <v>25667.143758133032</v>
      </c>
      <c r="AE20" s="29"/>
      <c r="AF20" s="30"/>
    </row>
    <row r="21" spans="1:189" ht="12.75" customHeight="1">
      <c r="B21" s="16">
        <v>10</v>
      </c>
      <c r="C21" s="17">
        <v>749.34541065891779</v>
      </c>
      <c r="D21" s="17">
        <v>4370.2376709270884</v>
      </c>
      <c r="E21" s="17">
        <v>3411.4399274628327</v>
      </c>
      <c r="F21" s="17">
        <v>1061.4773696477309</v>
      </c>
      <c r="G21" s="17">
        <v>1714.9704099583787</v>
      </c>
      <c r="H21" s="17">
        <v>5489.8329214910655</v>
      </c>
      <c r="I21" s="17">
        <v>2646.587623954787</v>
      </c>
      <c r="J21" s="17">
        <v>2399.6728566456377</v>
      </c>
      <c r="K21" s="17">
        <v>453.41048516706951</v>
      </c>
      <c r="L21" s="17">
        <v>4585.662619325376</v>
      </c>
      <c r="M21" s="17">
        <v>2007.4007782251022</v>
      </c>
      <c r="N21" s="17">
        <v>950.45330643330249</v>
      </c>
      <c r="O21" s="17"/>
      <c r="P21" s="18">
        <v>29840.491379897288</v>
      </c>
      <c r="Q21" s="19"/>
      <c r="R21" s="19">
        <v>1570.0364102032977</v>
      </c>
      <c r="S21" s="19"/>
      <c r="T21" s="19">
        <v>0</v>
      </c>
      <c r="U21" s="19"/>
      <c r="V21" s="19">
        <v>73.289573665182871</v>
      </c>
      <c r="W21" s="19"/>
      <c r="X21" s="19">
        <v>4072.6307240641954</v>
      </c>
      <c r="Y21" s="19"/>
      <c r="Z21" s="19">
        <v>5.1274777730822097E-4</v>
      </c>
      <c r="AA21" s="19"/>
      <c r="AB21" s="19">
        <v>1232.2600711522966</v>
      </c>
      <c r="AC21" s="19"/>
      <c r="AD21" s="18">
        <v>36788.708671730041</v>
      </c>
      <c r="AE21" s="29"/>
      <c r="AF21" s="30"/>
    </row>
    <row r="22" spans="1:189" ht="12.75" customHeight="1">
      <c r="B22" s="16">
        <v>11</v>
      </c>
      <c r="C22" s="17">
        <v>26.146010446501101</v>
      </c>
      <c r="D22" s="17">
        <v>71.001522643679934</v>
      </c>
      <c r="E22" s="17">
        <v>104.66133938950553</v>
      </c>
      <c r="F22" s="17">
        <v>18.74537114568566</v>
      </c>
      <c r="G22" s="17">
        <v>86.166105260201789</v>
      </c>
      <c r="H22" s="17">
        <v>172.29881171122656</v>
      </c>
      <c r="I22" s="17">
        <v>243.82967031442757</v>
      </c>
      <c r="J22" s="17">
        <v>75.432657765664459</v>
      </c>
      <c r="K22" s="17">
        <v>10.201213527495979</v>
      </c>
      <c r="L22" s="17">
        <v>92.444838416256331</v>
      </c>
      <c r="M22" s="17">
        <v>2107.4689255578878</v>
      </c>
      <c r="N22" s="17">
        <v>59.650812061650051</v>
      </c>
      <c r="O22" s="17"/>
      <c r="P22" s="18">
        <v>3068.0472782401825</v>
      </c>
      <c r="Q22" s="19"/>
      <c r="R22" s="19">
        <v>18747.743045551404</v>
      </c>
      <c r="S22" s="19"/>
      <c r="T22" s="19">
        <v>1392.2380252579896</v>
      </c>
      <c r="U22" s="19"/>
      <c r="V22" s="19">
        <v>21792.013073454033</v>
      </c>
      <c r="W22" s="19"/>
      <c r="X22" s="19">
        <v>642.2393858889194</v>
      </c>
      <c r="Y22" s="19"/>
      <c r="Z22" s="19">
        <v>-8.2204399908404561E-3</v>
      </c>
      <c r="AA22" s="19"/>
      <c r="AB22" s="19">
        <v>47.160185488993221</v>
      </c>
      <c r="AC22" s="19"/>
      <c r="AD22" s="18">
        <v>45689.432773441542</v>
      </c>
      <c r="AE22" s="29"/>
      <c r="AF22" s="30"/>
    </row>
    <row r="23" spans="1:189" ht="12.75" customHeight="1">
      <c r="B23" s="16">
        <v>12</v>
      </c>
      <c r="C23" s="17">
        <v>45.019161136860212</v>
      </c>
      <c r="D23" s="17">
        <v>105.95826284156541</v>
      </c>
      <c r="E23" s="17">
        <v>162.0471055939139</v>
      </c>
      <c r="F23" s="17">
        <v>22.240215143348898</v>
      </c>
      <c r="G23" s="17">
        <v>24.677827243492303</v>
      </c>
      <c r="H23" s="17">
        <v>126.68165372499297</v>
      </c>
      <c r="I23" s="17">
        <v>161.78894070707526</v>
      </c>
      <c r="J23" s="17">
        <v>15.357297307656054</v>
      </c>
      <c r="K23" s="17">
        <v>5.399949221798507</v>
      </c>
      <c r="L23" s="17">
        <v>24.258369001657989</v>
      </c>
      <c r="M23" s="17">
        <v>36.656948973033373</v>
      </c>
      <c r="N23" s="17">
        <v>59.206027614482906</v>
      </c>
      <c r="O23" s="17"/>
      <c r="P23" s="18">
        <v>789.29175850987781</v>
      </c>
      <c r="Q23" s="19"/>
      <c r="R23" s="19">
        <v>298.66271651688129</v>
      </c>
      <c r="S23" s="19"/>
      <c r="T23" s="19">
        <v>3.5741953963919346E-32</v>
      </c>
      <c r="U23" s="19"/>
      <c r="V23" s="19">
        <v>15301.742139226442</v>
      </c>
      <c r="W23" s="19"/>
      <c r="X23" s="19">
        <v>57.798044834622026</v>
      </c>
      <c r="Y23" s="19"/>
      <c r="Z23" s="19">
        <v>-0.56305630084890801</v>
      </c>
      <c r="AA23" s="19"/>
      <c r="AB23" s="19">
        <v>48.890801325195177</v>
      </c>
      <c r="AC23" s="19"/>
      <c r="AD23" s="18">
        <v>16495.822404112168</v>
      </c>
      <c r="AE23" s="29"/>
      <c r="AF23" s="30"/>
    </row>
    <row r="24" spans="1:189" ht="12.75" customHeight="1">
      <c r="B24" s="1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AF24" s="30"/>
    </row>
    <row r="25" spans="1:189" ht="12.75" customHeight="1">
      <c r="A25" s="1"/>
      <c r="B25" s="20" t="s">
        <v>11</v>
      </c>
      <c r="C25" s="21">
        <v>12240.15994869017</v>
      </c>
      <c r="D25" s="21">
        <v>20644.117621720554</v>
      </c>
      <c r="E25" s="21">
        <v>44560.720744596205</v>
      </c>
      <c r="F25" s="21">
        <v>5106.9242322929767</v>
      </c>
      <c r="G25" s="21">
        <v>18271.208626855823</v>
      </c>
      <c r="H25" s="21">
        <v>28240.436608543871</v>
      </c>
      <c r="I25" s="21">
        <v>18271.000683956965</v>
      </c>
      <c r="J25" s="21">
        <v>10538.900611028537</v>
      </c>
      <c r="K25" s="21">
        <v>4758.1700095051774</v>
      </c>
      <c r="L25" s="21">
        <v>9887.7589044780871</v>
      </c>
      <c r="M25" s="21">
        <v>10775.364213974399</v>
      </c>
      <c r="N25" s="21">
        <v>3404.7748673879096</v>
      </c>
      <c r="O25" s="21"/>
      <c r="P25" s="21">
        <v>186699.53707303069</v>
      </c>
      <c r="Q25" s="21"/>
      <c r="R25" s="21">
        <v>119193.53606067662</v>
      </c>
      <c r="S25" s="21"/>
      <c r="T25" s="21">
        <v>1392.2380252579896</v>
      </c>
      <c r="U25" s="21"/>
      <c r="V25" s="21">
        <v>38293.979427805709</v>
      </c>
      <c r="W25" s="21"/>
      <c r="X25" s="21">
        <v>48379.142165143647</v>
      </c>
      <c r="Y25" s="21"/>
      <c r="Z25" s="21">
        <v>-751.86177500288375</v>
      </c>
      <c r="AA25" s="21"/>
      <c r="AB25" s="21">
        <v>90621.762085478549</v>
      </c>
      <c r="AC25" s="21"/>
      <c r="AD25" s="21">
        <v>483828.33306239027</v>
      </c>
      <c r="AE25" s="29"/>
      <c r="AF25" s="30"/>
    </row>
    <row r="26" spans="1:189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89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spans="1:189" s="1" customFormat="1" ht="33" customHeight="1">
      <c r="B28" s="22" t="s">
        <v>12</v>
      </c>
      <c r="C28" s="21">
        <v>2621.9280808395724</v>
      </c>
      <c r="D28" s="21">
        <v>3729.7252105234356</v>
      </c>
      <c r="E28" s="21">
        <v>22990.792093446977</v>
      </c>
      <c r="F28" s="21">
        <v>4723.5612116698549</v>
      </c>
      <c r="G28" s="21">
        <v>3217.1655567732764</v>
      </c>
      <c r="H28" s="21">
        <v>4586.7670869257327</v>
      </c>
      <c r="I28" s="21">
        <v>8548.9234724597627</v>
      </c>
      <c r="J28" s="21">
        <v>2005.0088812497274</v>
      </c>
      <c r="K28" s="21">
        <v>63.643435442522964</v>
      </c>
      <c r="L28" s="21">
        <v>1472.4797247086938</v>
      </c>
      <c r="M28" s="21">
        <v>1702.1442435734568</v>
      </c>
      <c r="N28" s="21">
        <v>864.20392109573584</v>
      </c>
      <c r="O28" s="21"/>
      <c r="P28" s="21">
        <v>56526.342918708753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</row>
    <row r="29" spans="1:189" s="1" customFormat="1" ht="33" customHeight="1">
      <c r="B29" s="23" t="s">
        <v>13</v>
      </c>
      <c r="C29" s="19">
        <v>-6.1578671835141794</v>
      </c>
      <c r="D29" s="19">
        <v>-25.855656096195126</v>
      </c>
      <c r="E29" s="19">
        <v>33.94373838084001</v>
      </c>
      <c r="F29" s="19">
        <v>-4.7832725479421629</v>
      </c>
      <c r="G29" s="19">
        <v>203.44533901020566</v>
      </c>
      <c r="H29" s="19">
        <v>116.20250105155807</v>
      </c>
      <c r="I29" s="19">
        <v>917.55740939538384</v>
      </c>
      <c r="J29" s="19">
        <v>580.02991606453929</v>
      </c>
      <c r="K29" s="19">
        <v>94.178253444138832</v>
      </c>
      <c r="L29" s="19">
        <v>339.14555392314782</v>
      </c>
      <c r="M29" s="19">
        <v>1463.9756721097374</v>
      </c>
      <c r="N29" s="19">
        <v>581.57113492192912</v>
      </c>
      <c r="O29" s="19"/>
      <c r="P29" s="19">
        <v>4293.2527224738287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</row>
    <row r="30" spans="1:189" s="1" customFormat="1" ht="33" customHeight="1">
      <c r="B30" s="24" t="s">
        <v>14</v>
      </c>
      <c r="C30" s="19">
        <v>29.741378628641737</v>
      </c>
      <c r="D30" s="19">
        <v>17.183697078207224</v>
      </c>
      <c r="E30" s="19">
        <v>181.62211350987934</v>
      </c>
      <c r="F30" s="19">
        <v>27.483605469587751</v>
      </c>
      <c r="G30" s="19">
        <v>25.987829273780726</v>
      </c>
      <c r="H30" s="19">
        <v>50.736194820624419</v>
      </c>
      <c r="I30" s="19">
        <v>99.295578080373005</v>
      </c>
      <c r="J30" s="19">
        <v>2.6035014420280138</v>
      </c>
      <c r="K30" s="19">
        <v>0.85384691330617069</v>
      </c>
      <c r="L30" s="19">
        <v>16.745443087527491</v>
      </c>
      <c r="M30" s="19">
        <v>37.971329317198297</v>
      </c>
      <c r="N30" s="19">
        <v>7.5984560413913682</v>
      </c>
      <c r="O30" s="19"/>
      <c r="P30" s="19">
        <v>497.82297366254545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</row>
    <row r="31" spans="1:189" s="1" customFormat="1"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</row>
    <row r="32" spans="1:189" s="1" customFormat="1">
      <c r="B32" s="25" t="s">
        <v>15</v>
      </c>
      <c r="C32" s="21">
        <v>8509.3233153470737</v>
      </c>
      <c r="D32" s="21">
        <v>35174.717990001103</v>
      </c>
      <c r="E32" s="21">
        <v>24926.685706098495</v>
      </c>
      <c r="F32" s="21">
        <v>6107.7565230977407</v>
      </c>
      <c r="G32" s="21">
        <v>15428.063347105943</v>
      </c>
      <c r="H32" s="21">
        <v>28485.741595756641</v>
      </c>
      <c r="I32" s="21">
        <v>19329.817897879289</v>
      </c>
      <c r="J32" s="21">
        <v>8678.7424017357534</v>
      </c>
      <c r="K32" s="21">
        <v>20750.298212827896</v>
      </c>
      <c r="L32" s="21">
        <v>25072.579045532675</v>
      </c>
      <c r="M32" s="21">
        <v>31709.977314466632</v>
      </c>
      <c r="N32" s="21">
        <v>11637.67402466505</v>
      </c>
      <c r="O32" s="21"/>
      <c r="P32" s="21">
        <v>235811.3773745143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</row>
    <row r="33" spans="2:189" s="1" customFormat="1"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</row>
    <row r="34" spans="2:189" s="1" customFormat="1" ht="33" customHeight="1">
      <c r="B34" s="23" t="s">
        <v>16</v>
      </c>
      <c r="C34" s="19">
        <v>2645.681334850934</v>
      </c>
      <c r="D34" s="19">
        <v>3769.3373881962289</v>
      </c>
      <c r="E34" s="19">
        <v>8599.0722529684717</v>
      </c>
      <c r="F34" s="19">
        <v>1424.9128642587689</v>
      </c>
      <c r="G34" s="19">
        <v>8252.3108205320423</v>
      </c>
      <c r="H34" s="19">
        <v>17055.341752458855</v>
      </c>
      <c r="I34" s="19">
        <v>8964.3480012126856</v>
      </c>
      <c r="J34" s="19">
        <v>6293.9209253899171</v>
      </c>
      <c r="K34" s="19">
        <v>727.11375330752833</v>
      </c>
      <c r="L34" s="19">
        <v>11502.883527545328</v>
      </c>
      <c r="M34" s="19">
        <v>24353.807640754796</v>
      </c>
      <c r="N34" s="19">
        <v>9302.2420541386382</v>
      </c>
      <c r="O34" s="19"/>
      <c r="P34" s="19">
        <v>102890.97231561418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</row>
    <row r="35" spans="2:189" s="1" customFormat="1" ht="33" customHeight="1">
      <c r="B35" s="23" t="s">
        <v>17</v>
      </c>
      <c r="C35" s="19">
        <v>5751.1043366804606</v>
      </c>
      <c r="D35" s="19">
        <v>31179.317011507141</v>
      </c>
      <c r="E35" s="19">
        <v>15959.068409142172</v>
      </c>
      <c r="F35" s="19">
        <v>4355.3374963269889</v>
      </c>
      <c r="G35" s="19">
        <v>6990.6379361599375</v>
      </c>
      <c r="H35" s="19">
        <v>10834.618603607369</v>
      </c>
      <c r="I35" s="19">
        <v>11032.477017108866</v>
      </c>
      <c r="J35" s="19">
        <v>1921.8604936491874</v>
      </c>
      <c r="K35" s="19">
        <v>18450.283562764231</v>
      </c>
      <c r="L35" s="19">
        <v>13396.453659620764</v>
      </c>
      <c r="M35" s="19">
        <v>7029.9534310787994</v>
      </c>
      <c r="N35" s="19">
        <v>2305.9620037279501</v>
      </c>
      <c r="O35" s="19"/>
      <c r="P35" s="19">
        <v>129207.07396137387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</row>
    <row r="36" spans="2:189" s="1" customFormat="1" ht="33" customHeight="1">
      <c r="B36" s="23" t="s">
        <v>18</v>
      </c>
      <c r="C36" s="19">
        <v>112.53764381568075</v>
      </c>
      <c r="D36" s="19">
        <v>226.06359029772705</v>
      </c>
      <c r="E36" s="19">
        <v>368.54504398785014</v>
      </c>
      <c r="F36" s="19">
        <v>327.50616251198204</v>
      </c>
      <c r="G36" s="19">
        <v>185.11459041396282</v>
      </c>
      <c r="H36" s="19">
        <v>595.78123969042099</v>
      </c>
      <c r="I36" s="19">
        <v>-667.00712044226043</v>
      </c>
      <c r="J36" s="19">
        <v>462.96098269664981</v>
      </c>
      <c r="K36" s="19">
        <v>1572.9008967561376</v>
      </c>
      <c r="L36" s="19">
        <v>173.24185836658287</v>
      </c>
      <c r="M36" s="19">
        <v>326.21624263303607</v>
      </c>
      <c r="N36" s="19">
        <v>29.469966798461439</v>
      </c>
      <c r="O36" s="19"/>
      <c r="P36" s="19">
        <v>3713.3310975262311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</row>
    <row r="37" spans="2:189" s="1" customFormat="1"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</row>
    <row r="38" spans="2:189" s="1" customFormat="1" ht="33" customHeight="1">
      <c r="B38" s="26" t="s">
        <v>19</v>
      </c>
      <c r="C38" s="21">
        <v>23394.994856321944</v>
      </c>
      <c r="D38" s="21">
        <v>59539.888863227105</v>
      </c>
      <c r="E38" s="21">
        <v>92693.764396032391</v>
      </c>
      <c r="F38" s="21">
        <v>15960.94229998222</v>
      </c>
      <c r="G38" s="21">
        <v>37145.870699019033</v>
      </c>
      <c r="H38" s="21">
        <v>61479.883987098423</v>
      </c>
      <c r="I38" s="21">
        <v>47166.595041771769</v>
      </c>
      <c r="J38" s="21">
        <v>21805.285311520587</v>
      </c>
      <c r="K38" s="21">
        <v>25667.143758133043</v>
      </c>
      <c r="L38" s="21">
        <v>36788.708671730128</v>
      </c>
      <c r="M38" s="21">
        <v>45689.432773441426</v>
      </c>
      <c r="N38" s="21">
        <v>16495.822404112016</v>
      </c>
      <c r="O38" s="21">
        <v>0</v>
      </c>
      <c r="P38" s="21">
        <v>483828.3330623901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</row>
    <row r="39" spans="2:189"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spans="2:189">
      <c r="C40" s="19"/>
    </row>
  </sheetData>
  <mergeCells count="7">
    <mergeCell ref="AD8:AD9"/>
    <mergeCell ref="R8:R9"/>
    <mergeCell ref="T8:T9"/>
    <mergeCell ref="V8:V9"/>
    <mergeCell ref="X8:X9"/>
    <mergeCell ref="Z8:Z9"/>
    <mergeCell ref="AB8:AB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"/>
  <sheetViews>
    <sheetView showGridLines="0" zoomScaleNormal="100" workbookViewId="0"/>
  </sheetViews>
  <sheetFormatPr baseColWidth="10" defaultRowHeight="13.15"/>
  <cols>
    <col min="1" max="1" width="10.6640625" style="32"/>
    <col min="2" max="2" width="9.265625" style="32" customWidth="1"/>
    <col min="3" max="3" width="40.86328125" style="32" bestFit="1" customWidth="1"/>
    <col min="4" max="4" width="43.3984375" style="32" bestFit="1" customWidth="1"/>
    <col min="5" max="5" width="34.265625" style="32" customWidth="1"/>
    <col min="6" max="6" width="28.06640625" style="32" customWidth="1"/>
    <col min="7" max="8" width="34.265625" style="32" customWidth="1"/>
    <col min="9" max="9" width="32.265625" style="32" customWidth="1"/>
    <col min="10" max="16" width="34.265625" style="32" customWidth="1"/>
    <col min="17" max="17" width="34" style="32" customWidth="1"/>
    <col min="18" max="18" width="33.53125" style="32" customWidth="1"/>
    <col min="19" max="21" width="34.265625" style="32" customWidth="1"/>
    <col min="22" max="22" width="28.9296875" style="32" customWidth="1"/>
    <col min="23" max="16384" width="10.6640625" style="32"/>
  </cols>
  <sheetData>
    <row r="1" spans="1:24" s="1" customFormat="1"/>
    <row r="2" spans="1:24">
      <c r="B2" s="1"/>
      <c r="C2" s="1"/>
      <c r="D2" s="1"/>
      <c r="E2" s="33" t="s">
        <v>34</v>
      </c>
      <c r="F2" s="33" t="s">
        <v>34</v>
      </c>
      <c r="G2" s="33" t="s">
        <v>34</v>
      </c>
      <c r="H2" s="33" t="s">
        <v>34</v>
      </c>
      <c r="I2" s="33" t="s">
        <v>34</v>
      </c>
      <c r="J2" s="33" t="s">
        <v>34</v>
      </c>
      <c r="K2" s="33" t="s">
        <v>34</v>
      </c>
      <c r="L2" s="33" t="s">
        <v>34</v>
      </c>
      <c r="M2" s="33" t="s">
        <v>34</v>
      </c>
      <c r="N2" s="33" t="s">
        <v>34</v>
      </c>
      <c r="O2" s="33" t="s">
        <v>34</v>
      </c>
      <c r="P2" s="33" t="s">
        <v>34</v>
      </c>
      <c r="Q2" s="41" t="s">
        <v>4</v>
      </c>
      <c r="R2" s="41" t="s">
        <v>5</v>
      </c>
      <c r="S2" s="41" t="s">
        <v>6</v>
      </c>
      <c r="T2" s="41" t="s">
        <v>7</v>
      </c>
      <c r="U2" s="41" t="s">
        <v>8</v>
      </c>
      <c r="V2" s="41" t="s">
        <v>9</v>
      </c>
    </row>
    <row r="3" spans="1:24" ht="32.25" customHeight="1">
      <c r="B3" s="1"/>
      <c r="C3" s="42"/>
      <c r="D3" s="42"/>
      <c r="E3" s="1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41" t="s">
        <v>35</v>
      </c>
      <c r="R3" s="41" t="s">
        <v>35</v>
      </c>
      <c r="S3" s="41" t="s">
        <v>35</v>
      </c>
      <c r="T3" s="41" t="s">
        <v>35</v>
      </c>
      <c r="U3" s="41" t="s">
        <v>35</v>
      </c>
      <c r="V3" s="41" t="s">
        <v>35</v>
      </c>
    </row>
    <row r="4" spans="1:24" s="34" customFormat="1" ht="26.25">
      <c r="B4" s="33"/>
      <c r="C4" s="33"/>
      <c r="D4" s="33"/>
      <c r="E4" s="33" t="s">
        <v>22</v>
      </c>
      <c r="F4" s="33" t="s">
        <v>23</v>
      </c>
      <c r="G4" s="33" t="s">
        <v>24</v>
      </c>
      <c r="H4" s="33" t="s">
        <v>25</v>
      </c>
      <c r="I4" s="33" t="s">
        <v>26</v>
      </c>
      <c r="J4" s="33" t="s">
        <v>27</v>
      </c>
      <c r="K4" s="33" t="s">
        <v>28</v>
      </c>
      <c r="L4" s="33" t="s">
        <v>20</v>
      </c>
      <c r="M4" s="33" t="s">
        <v>29</v>
      </c>
      <c r="N4" s="33" t="s">
        <v>30</v>
      </c>
      <c r="O4" s="33" t="s">
        <v>31</v>
      </c>
      <c r="P4" s="33" t="s">
        <v>21</v>
      </c>
      <c r="Q4" s="41" t="s">
        <v>35</v>
      </c>
      <c r="R4" s="41" t="s">
        <v>35</v>
      </c>
      <c r="S4" s="41" t="s">
        <v>35</v>
      </c>
      <c r="T4" s="41" t="s">
        <v>35</v>
      </c>
      <c r="U4" s="41" t="s">
        <v>35</v>
      </c>
      <c r="V4" s="41" t="s">
        <v>35</v>
      </c>
    </row>
    <row r="5" spans="1:24" ht="25.9">
      <c r="B5" s="1"/>
      <c r="C5" s="1"/>
      <c r="D5" s="43"/>
      <c r="E5" s="44" t="str">
        <f>CONCATENATE(E2, "_",E3,"_",E4)</f>
        <v>Demanda intermedia_1_Agropecuario-silvícola y Pesca</v>
      </c>
      <c r="F5" s="44" t="str">
        <f t="shared" ref="F5:V5" si="0">CONCATENATE(F2, "_",F3,"_",F4)</f>
        <v>Demanda intermedia_2_Minería</v>
      </c>
      <c r="G5" s="44" t="str">
        <f t="shared" si="0"/>
        <v>Demanda intermedia_3_Industria manufacturera</v>
      </c>
      <c r="H5" s="44" t="str">
        <f t="shared" si="0"/>
        <v>Demanda intermedia_4_Electricidad, gas, agua y gestión de desechos</v>
      </c>
      <c r="I5" s="44" t="str">
        <f t="shared" si="0"/>
        <v>Demanda intermedia_5_Construcción</v>
      </c>
      <c r="J5" s="44" t="str">
        <f t="shared" si="0"/>
        <v>Demanda intermedia_6_Comercio, hoteles y restaurantes</v>
      </c>
      <c r="K5" s="44" t="str">
        <f t="shared" si="0"/>
        <v>Demanda intermedia_7_Transporte, comunicaciones y servicios de información</v>
      </c>
      <c r="L5" s="44" t="str">
        <f t="shared" si="0"/>
        <v>Demanda intermedia_8_Intermediación financiera</v>
      </c>
      <c r="M5" s="44" t="str">
        <f t="shared" si="0"/>
        <v>Demanda intermedia_9_Servicios inmobiliarios y de vivienda</v>
      </c>
      <c r="N5" s="44" t="str">
        <f t="shared" si="0"/>
        <v>Demanda intermedia_10_Servicios empresariales</v>
      </c>
      <c r="O5" s="44" t="str">
        <f t="shared" si="0"/>
        <v>Demanda intermedia_11_Servicios personales</v>
      </c>
      <c r="P5" s="44" t="str">
        <f t="shared" si="0"/>
        <v>Demanda intermedia_12_Administración pública</v>
      </c>
      <c r="Q5" s="44" t="str">
        <f t="shared" si="0"/>
        <v>Consumo de hogares_Ninguno_Ninguno</v>
      </c>
      <c r="R5" s="44" t="str">
        <f t="shared" si="0"/>
        <v>Consumo  de IPSFL_Ninguno_Ninguno</v>
      </c>
      <c r="S5" s="44" t="str">
        <f t="shared" si="0"/>
        <v>Consumo de gobierno_Ninguno_Ninguno</v>
      </c>
      <c r="T5" s="44" t="str">
        <f t="shared" si="0"/>
        <v>Formación bruta de capital fijo_Ninguno_Ninguno</v>
      </c>
      <c r="U5" s="44" t="str">
        <f t="shared" si="0"/>
        <v>Variación de existencias_Ninguno_Ninguno</v>
      </c>
      <c r="V5" s="44" t="str">
        <f t="shared" si="0"/>
        <v>Exportaciones_Ninguno_Ninguno</v>
      </c>
    </row>
    <row r="6" spans="1:24" ht="12.75" customHeight="1">
      <c r="A6" s="32" t="s">
        <v>33</v>
      </c>
      <c r="B6" s="35">
        <v>1</v>
      </c>
      <c r="C6" s="36" t="s">
        <v>22</v>
      </c>
      <c r="D6" s="45" t="str">
        <f>CONCATENATE(A6,"_", B6,"_",C6)</f>
        <v>Oferta intermedia_1_Agropecuario-silvícola y Pesca</v>
      </c>
      <c r="E6" s="46">
        <v>4115.25324179359</v>
      </c>
      <c r="F6" s="46">
        <v>0.64223706650561818</v>
      </c>
      <c r="G6" s="46">
        <v>11866.038642245503</v>
      </c>
      <c r="H6" s="46">
        <v>41.408529901637003</v>
      </c>
      <c r="I6" s="46">
        <v>13.540523211729319</v>
      </c>
      <c r="J6" s="46">
        <v>323.50973122279078</v>
      </c>
      <c r="K6" s="46">
        <v>3.7189800027750808</v>
      </c>
      <c r="L6" s="46">
        <v>1.1738699574293463</v>
      </c>
      <c r="M6" s="46">
        <v>4.6620560822918836E-2</v>
      </c>
      <c r="N6" s="46">
        <v>6.0921412337751075</v>
      </c>
      <c r="O6" s="46">
        <v>59.351152722115152</v>
      </c>
      <c r="P6" s="46">
        <v>62.713022185845844</v>
      </c>
      <c r="Q6" s="47">
        <v>2783.6759149078262</v>
      </c>
      <c r="R6" s="47">
        <v>0</v>
      </c>
      <c r="S6" s="47">
        <v>2.668751046842022E-2</v>
      </c>
      <c r="T6" s="47">
        <v>790.68687043852901</v>
      </c>
      <c r="U6" s="47">
        <v>-133.35791971044395</v>
      </c>
      <c r="V6" s="48">
        <v>3460.4746110713118</v>
      </c>
      <c r="W6" s="37"/>
      <c r="X6" s="38"/>
    </row>
    <row r="7" spans="1:24" ht="12.75" customHeight="1">
      <c r="A7" s="32" t="s">
        <v>33</v>
      </c>
      <c r="B7" s="35">
        <v>2</v>
      </c>
      <c r="C7" s="39" t="s">
        <v>23</v>
      </c>
      <c r="D7" s="45" t="str">
        <f t="shared" ref="D7:D17" si="1">CONCATENATE(A7,"_", B7,"_",C7)</f>
        <v>Oferta intermedia_2_Minería</v>
      </c>
      <c r="E7" s="46">
        <v>17.284374579552285</v>
      </c>
      <c r="F7" s="46">
        <v>5176.8488401808499</v>
      </c>
      <c r="G7" s="46">
        <v>3249.0835489237825</v>
      </c>
      <c r="H7" s="46">
        <v>69.390608604192025</v>
      </c>
      <c r="I7" s="46">
        <v>194.00930683931554</v>
      </c>
      <c r="J7" s="46">
        <v>47.012198735913366</v>
      </c>
      <c r="K7" s="46">
        <v>26.834354104437423</v>
      </c>
      <c r="L7" s="46">
        <v>26.634541079722645</v>
      </c>
      <c r="M7" s="46">
        <v>5.9874064065828323</v>
      </c>
      <c r="N7" s="46">
        <v>48.327516181388418</v>
      </c>
      <c r="O7" s="46">
        <v>28.725164915130467</v>
      </c>
      <c r="P7" s="46">
        <v>9.6188118745458535</v>
      </c>
      <c r="Q7" s="47">
        <v>46.319552771228189</v>
      </c>
      <c r="R7" s="47">
        <v>0</v>
      </c>
      <c r="S7" s="47">
        <v>2.722812321192706</v>
      </c>
      <c r="T7" s="47">
        <v>704.96650590998138</v>
      </c>
      <c r="U7" s="47">
        <v>-315.1916644546144</v>
      </c>
      <c r="V7" s="48">
        <v>50201.314984253913</v>
      </c>
      <c r="W7" s="37"/>
      <c r="X7" s="38"/>
    </row>
    <row r="8" spans="1:24" ht="12.75" customHeight="1">
      <c r="A8" s="32" t="s">
        <v>33</v>
      </c>
      <c r="B8" s="35">
        <v>3</v>
      </c>
      <c r="C8" s="36" t="s">
        <v>24</v>
      </c>
      <c r="D8" s="45" t="str">
        <f t="shared" si="1"/>
        <v>Oferta intermedia_3_Industria manufacturera</v>
      </c>
      <c r="E8" s="46">
        <v>4649.3295943695384</v>
      </c>
      <c r="F8" s="46">
        <v>3599.6667329405113</v>
      </c>
      <c r="G8" s="46">
        <v>12335.8393584939</v>
      </c>
      <c r="H8" s="46">
        <v>629.30829100869278</v>
      </c>
      <c r="I8" s="46">
        <v>6599.0788607576997</v>
      </c>
      <c r="J8" s="46">
        <v>4798.4363534631539</v>
      </c>
      <c r="K8" s="46">
        <v>2849.6015364058621</v>
      </c>
      <c r="L8" s="46">
        <v>175.11488424190145</v>
      </c>
      <c r="M8" s="46">
        <v>62.12138377444434</v>
      </c>
      <c r="N8" s="46">
        <v>724.34215505105772</v>
      </c>
      <c r="O8" s="46">
        <v>2143.2518453646339</v>
      </c>
      <c r="P8" s="46">
        <v>363.03962712610962</v>
      </c>
      <c r="Q8" s="47">
        <v>22272.496082856436</v>
      </c>
      <c r="R8" s="47">
        <v>0</v>
      </c>
      <c r="S8" s="47">
        <v>86.443491400629199</v>
      </c>
      <c r="T8" s="47">
        <v>4045.856643177457</v>
      </c>
      <c r="U8" s="47">
        <v>-300.63449098921058</v>
      </c>
      <c r="V8" s="48">
        <v>27660.472046589188</v>
      </c>
      <c r="W8" s="37"/>
      <c r="X8" s="38"/>
    </row>
    <row r="9" spans="1:24" ht="12.75" customHeight="1">
      <c r="A9" s="32" t="s">
        <v>33</v>
      </c>
      <c r="B9" s="35">
        <v>4</v>
      </c>
      <c r="C9" s="36" t="s">
        <v>25</v>
      </c>
      <c r="D9" s="45" t="str">
        <f t="shared" si="1"/>
        <v>Oferta intermedia_4_Electricidad, gas, agua y gestión de desechos</v>
      </c>
      <c r="E9" s="46">
        <v>245.3914624015523</v>
      </c>
      <c r="F9" s="46">
        <v>3380.9071105102366</v>
      </c>
      <c r="G9" s="46">
        <v>2940.4898871786891</v>
      </c>
      <c r="H9" s="46">
        <v>2005.3179010334675</v>
      </c>
      <c r="I9" s="46">
        <v>268.21388592482629</v>
      </c>
      <c r="J9" s="46">
        <v>987.68203986104686</v>
      </c>
      <c r="K9" s="46">
        <v>498.25204850715994</v>
      </c>
      <c r="L9" s="46">
        <v>134.92253182901922</v>
      </c>
      <c r="M9" s="46">
        <v>217.21723463459776</v>
      </c>
      <c r="N9" s="46">
        <v>231.67899014736994</v>
      </c>
      <c r="O9" s="46">
        <v>487.05717689247598</v>
      </c>
      <c r="P9" s="46">
        <v>578.822278306935</v>
      </c>
      <c r="Q9" s="47">
        <v>3763.8962261861479</v>
      </c>
      <c r="R9" s="47">
        <v>0</v>
      </c>
      <c r="S9" s="47">
        <v>83.189665272501514</v>
      </c>
      <c r="T9" s="47">
        <v>55.968353856951722</v>
      </c>
      <c r="U9" s="47">
        <v>0.45411780960103626</v>
      </c>
      <c r="V9" s="48">
        <v>81.481389629637704</v>
      </c>
      <c r="W9" s="37"/>
      <c r="X9" s="38"/>
    </row>
    <row r="10" spans="1:24" ht="12.75" customHeight="1">
      <c r="A10" s="32" t="s">
        <v>33</v>
      </c>
      <c r="B10" s="35">
        <v>5</v>
      </c>
      <c r="C10" s="36" t="s">
        <v>26</v>
      </c>
      <c r="D10" s="45" t="str">
        <f t="shared" si="1"/>
        <v>Oferta intermedia_5_Construcción</v>
      </c>
      <c r="E10" s="46">
        <v>1.0332716340274708</v>
      </c>
      <c r="F10" s="46">
        <v>3.0356265766134927</v>
      </c>
      <c r="G10" s="46">
        <v>10.808026343273349</v>
      </c>
      <c r="H10" s="46">
        <v>1.6691959202417861</v>
      </c>
      <c r="I10" s="46">
        <v>5292.5470910371168</v>
      </c>
      <c r="J10" s="46">
        <v>59.406447949104333</v>
      </c>
      <c r="K10" s="46">
        <v>30.30313659084123</v>
      </c>
      <c r="L10" s="46">
        <v>15.079325402288482</v>
      </c>
      <c r="M10" s="46">
        <v>2916.6355399187187</v>
      </c>
      <c r="N10" s="46">
        <v>17.996332768911621</v>
      </c>
      <c r="O10" s="46">
        <v>20.730084837589924</v>
      </c>
      <c r="P10" s="46">
        <v>5.9405624169232105</v>
      </c>
      <c r="Q10" s="47">
        <v>11.8029683309727</v>
      </c>
      <c r="R10" s="47">
        <v>0</v>
      </c>
      <c r="S10" s="47">
        <v>0.12944474112889989</v>
      </c>
      <c r="T10" s="47">
        <v>28753.102909771198</v>
      </c>
      <c r="U10" s="47">
        <v>0</v>
      </c>
      <c r="V10" s="48">
        <v>5.6507347800817076</v>
      </c>
      <c r="W10" s="37"/>
      <c r="X10" s="38"/>
    </row>
    <row r="11" spans="1:24" ht="12.75" customHeight="1">
      <c r="A11" s="32" t="s">
        <v>33</v>
      </c>
      <c r="B11" s="35">
        <v>6</v>
      </c>
      <c r="C11" s="36" t="s">
        <v>27</v>
      </c>
      <c r="D11" s="45" t="str">
        <f t="shared" si="1"/>
        <v>Oferta intermedia_6_Comercio, hoteles y restaurantes</v>
      </c>
      <c r="E11" s="46">
        <v>966.82833786755134</v>
      </c>
      <c r="F11" s="46">
        <v>1770.7817322909834</v>
      </c>
      <c r="G11" s="46">
        <v>4469.314197541139</v>
      </c>
      <c r="H11" s="46">
        <v>315.0718035047139</v>
      </c>
      <c r="I11" s="46">
        <v>2349.1399443389273</v>
      </c>
      <c r="J11" s="46">
        <v>4647.6657757804314</v>
      </c>
      <c r="K11" s="46">
        <v>2529.3725339900752</v>
      </c>
      <c r="L11" s="46">
        <v>350.69454613681694</v>
      </c>
      <c r="M11" s="46">
        <v>60.12173835484959</v>
      </c>
      <c r="N11" s="46">
        <v>1133.367122027342</v>
      </c>
      <c r="O11" s="46">
        <v>1800.0868346419295</v>
      </c>
      <c r="P11" s="46">
        <v>305.19939715018097</v>
      </c>
      <c r="Q11" s="47">
        <v>30901.887330008965</v>
      </c>
      <c r="R11" s="47">
        <v>0</v>
      </c>
      <c r="S11" s="47">
        <v>715.54930083129898</v>
      </c>
      <c r="T11" s="47">
        <v>6164.3481824745741</v>
      </c>
      <c r="U11" s="47">
        <v>-2.5610536651533788</v>
      </c>
      <c r="V11" s="48">
        <v>3003.0162638239958</v>
      </c>
      <c r="W11" s="37"/>
      <c r="X11" s="38"/>
    </row>
    <row r="12" spans="1:24" ht="12.75" customHeight="1">
      <c r="A12" s="32" t="s">
        <v>33</v>
      </c>
      <c r="B12" s="35">
        <v>7</v>
      </c>
      <c r="C12" s="36" t="s">
        <v>28</v>
      </c>
      <c r="D12" s="45" t="str">
        <f t="shared" si="1"/>
        <v>Oferta intermedia_7_Transporte, comunicaciones y servicios de información</v>
      </c>
      <c r="E12" s="46">
        <v>1062.4133737383852</v>
      </c>
      <c r="F12" s="46">
        <v>1833.5671296604153</v>
      </c>
      <c r="G12" s="46">
        <v>4744.7545438125126</v>
      </c>
      <c r="H12" s="46">
        <v>530.47941388537822</v>
      </c>
      <c r="I12" s="46">
        <v>1031.9693618789372</v>
      </c>
      <c r="J12" s="46">
        <v>7309.3569906340563</v>
      </c>
      <c r="K12" s="46">
        <v>8000.1396888266036</v>
      </c>
      <c r="L12" s="46">
        <v>904.07699024263366</v>
      </c>
      <c r="M12" s="46">
        <v>77.339440803232648</v>
      </c>
      <c r="N12" s="46">
        <v>1471.0034731919143</v>
      </c>
      <c r="O12" s="46">
        <v>863.62840417232007</v>
      </c>
      <c r="P12" s="46">
        <v>594.23803054473694</v>
      </c>
      <c r="Q12" s="47">
        <v>11716.771316548366</v>
      </c>
      <c r="R12" s="47">
        <v>0</v>
      </c>
      <c r="S12" s="47">
        <v>10.022818548600483</v>
      </c>
      <c r="T12" s="47">
        <v>2908.8034916749398</v>
      </c>
      <c r="U12" s="47">
        <v>0</v>
      </c>
      <c r="V12" s="48">
        <v>4108.0305736087175</v>
      </c>
      <c r="W12" s="37"/>
      <c r="X12" s="38"/>
    </row>
    <row r="13" spans="1:24" ht="12.75" customHeight="1">
      <c r="A13" s="32" t="s">
        <v>33</v>
      </c>
      <c r="B13" s="35">
        <v>8</v>
      </c>
      <c r="C13" s="36" t="s">
        <v>20</v>
      </c>
      <c r="D13" s="45" t="str">
        <f t="shared" si="1"/>
        <v>Oferta intermedia_8_Intermediación financiera</v>
      </c>
      <c r="E13" s="46">
        <v>310.09645740051849</v>
      </c>
      <c r="F13" s="46">
        <v>274.66528525786589</v>
      </c>
      <c r="G13" s="46">
        <v>810.19138986447888</v>
      </c>
      <c r="H13" s="46">
        <v>363.093240764916</v>
      </c>
      <c r="I13" s="46">
        <v>584.48260935479061</v>
      </c>
      <c r="J13" s="46">
        <v>1750.6706525790887</v>
      </c>
      <c r="K13" s="46">
        <v>635.75459166565099</v>
      </c>
      <c r="L13" s="46">
        <v>5982.5788079375088</v>
      </c>
      <c r="M13" s="46">
        <v>617.14534693199323</v>
      </c>
      <c r="N13" s="46">
        <v>898.43815273963571</v>
      </c>
      <c r="O13" s="46">
        <v>327.8381041152071</v>
      </c>
      <c r="P13" s="46">
        <v>248.25606623159638</v>
      </c>
      <c r="Q13" s="47">
        <v>7988.7193001477608</v>
      </c>
      <c r="R13" s="47">
        <v>0</v>
      </c>
      <c r="S13" s="47">
        <v>228.71296489010598</v>
      </c>
      <c r="T13" s="47">
        <v>61.206592899449085</v>
      </c>
      <c r="U13" s="47">
        <v>0</v>
      </c>
      <c r="V13" s="48">
        <v>723.43574874002161</v>
      </c>
      <c r="W13" s="37"/>
      <c r="X13" s="38"/>
    </row>
    <row r="14" spans="1:24" ht="12.75" customHeight="1">
      <c r="A14" s="32" t="s">
        <v>33</v>
      </c>
      <c r="B14" s="35">
        <v>9</v>
      </c>
      <c r="C14" s="36" t="s">
        <v>29</v>
      </c>
      <c r="D14" s="45" t="str">
        <f t="shared" si="1"/>
        <v>Oferta intermedia_9_Servicios inmobiliarios y de vivienda</v>
      </c>
      <c r="E14" s="46">
        <v>52.019252663173717</v>
      </c>
      <c r="F14" s="46">
        <v>56.805470824236494</v>
      </c>
      <c r="G14" s="46">
        <v>456.05277774667604</v>
      </c>
      <c r="H14" s="46">
        <v>48.722291732972622</v>
      </c>
      <c r="I14" s="46">
        <v>112.41270105040677</v>
      </c>
      <c r="J14" s="46">
        <v>2527.8830313909971</v>
      </c>
      <c r="K14" s="46">
        <v>644.81757888727145</v>
      </c>
      <c r="L14" s="46">
        <v>458.16230248226009</v>
      </c>
      <c r="M14" s="46">
        <v>332.54365020357113</v>
      </c>
      <c r="N14" s="46">
        <v>654.14719439340126</v>
      </c>
      <c r="O14" s="46">
        <v>893.16879355697392</v>
      </c>
      <c r="P14" s="46">
        <v>167.6369254416006</v>
      </c>
      <c r="Q14" s="47">
        <v>19091.525196647348</v>
      </c>
      <c r="R14" s="47">
        <v>0</v>
      </c>
      <c r="S14" s="47">
        <v>0.13745594412125137</v>
      </c>
      <c r="T14" s="47">
        <v>121.53446015282401</v>
      </c>
      <c r="U14" s="47">
        <v>0</v>
      </c>
      <c r="V14" s="48">
        <v>49.574675015200178</v>
      </c>
      <c r="W14" s="37"/>
      <c r="X14" s="38"/>
    </row>
    <row r="15" spans="1:24" ht="12.75" customHeight="1">
      <c r="A15" s="32" t="s">
        <v>33</v>
      </c>
      <c r="B15" s="35">
        <v>10</v>
      </c>
      <c r="C15" s="35" t="s">
        <v>30</v>
      </c>
      <c r="D15" s="45" t="str">
        <f t="shared" si="1"/>
        <v>Oferta intermedia_10_Servicios empresariales</v>
      </c>
      <c r="E15" s="46">
        <v>749.34541065891779</v>
      </c>
      <c r="F15" s="46">
        <v>4370.2376709270884</v>
      </c>
      <c r="G15" s="46">
        <v>3411.4399274628327</v>
      </c>
      <c r="H15" s="46">
        <v>1061.4773696477309</v>
      </c>
      <c r="I15" s="46">
        <v>1714.9704099583787</v>
      </c>
      <c r="J15" s="46">
        <v>5489.8329214910655</v>
      </c>
      <c r="K15" s="46">
        <v>2646.587623954787</v>
      </c>
      <c r="L15" s="46">
        <v>2399.6728566456377</v>
      </c>
      <c r="M15" s="46">
        <v>453.41048516706951</v>
      </c>
      <c r="N15" s="46">
        <v>4585.662619325376</v>
      </c>
      <c r="O15" s="46">
        <v>2007.4007782251022</v>
      </c>
      <c r="P15" s="46">
        <v>950.45330643330249</v>
      </c>
      <c r="Q15" s="47">
        <v>1570.0364102032977</v>
      </c>
      <c r="R15" s="47">
        <v>0</v>
      </c>
      <c r="S15" s="47">
        <v>73.289573665182871</v>
      </c>
      <c r="T15" s="47">
        <v>4072.6307240641954</v>
      </c>
      <c r="U15" s="47">
        <v>5.1274777730822097E-4</v>
      </c>
      <c r="V15" s="48">
        <v>1232.2600711522966</v>
      </c>
      <c r="W15" s="37"/>
      <c r="X15" s="38"/>
    </row>
    <row r="16" spans="1:24" ht="12.75" customHeight="1">
      <c r="A16" s="32" t="s">
        <v>33</v>
      </c>
      <c r="B16" s="35">
        <v>11</v>
      </c>
      <c r="C16" s="36" t="s">
        <v>31</v>
      </c>
      <c r="D16" s="45" t="str">
        <f t="shared" si="1"/>
        <v>Oferta intermedia_11_Servicios personales</v>
      </c>
      <c r="E16" s="46">
        <v>26.146010446501101</v>
      </c>
      <c r="F16" s="46">
        <v>71.001522643679934</v>
      </c>
      <c r="G16" s="46">
        <v>104.66133938950553</v>
      </c>
      <c r="H16" s="46">
        <v>18.74537114568566</v>
      </c>
      <c r="I16" s="46">
        <v>86.166105260201789</v>
      </c>
      <c r="J16" s="46">
        <v>172.29881171122656</v>
      </c>
      <c r="K16" s="46">
        <v>243.82967031442757</v>
      </c>
      <c r="L16" s="46">
        <v>75.432657765664459</v>
      </c>
      <c r="M16" s="46">
        <v>10.201213527495979</v>
      </c>
      <c r="N16" s="46">
        <v>92.444838416256331</v>
      </c>
      <c r="O16" s="46">
        <v>2107.4689255578878</v>
      </c>
      <c r="P16" s="46">
        <v>59.650812061650051</v>
      </c>
      <c r="Q16" s="47">
        <v>18747.743045551404</v>
      </c>
      <c r="R16" s="47">
        <v>1392.2380252579896</v>
      </c>
      <c r="S16" s="47">
        <v>21792.013073454033</v>
      </c>
      <c r="T16" s="47">
        <v>642.2393858889194</v>
      </c>
      <c r="U16" s="47">
        <v>-8.2204399908404561E-3</v>
      </c>
      <c r="V16" s="48">
        <v>47.160185488993221</v>
      </c>
      <c r="W16" s="37"/>
      <c r="X16" s="38"/>
    </row>
    <row r="17" spans="1:24" ht="12.75" customHeight="1">
      <c r="A17" s="32" t="s">
        <v>33</v>
      </c>
      <c r="B17" s="35">
        <v>12</v>
      </c>
      <c r="C17" s="36" t="s">
        <v>21</v>
      </c>
      <c r="D17" s="49" t="str">
        <f t="shared" si="1"/>
        <v>Oferta intermedia_12_Administración pública</v>
      </c>
      <c r="E17" s="50">
        <v>45.019161136860212</v>
      </c>
      <c r="F17" s="50">
        <v>105.95826284156541</v>
      </c>
      <c r="G17" s="50">
        <v>162.0471055939139</v>
      </c>
      <c r="H17" s="50">
        <v>22.240215143348898</v>
      </c>
      <c r="I17" s="50">
        <v>24.677827243492303</v>
      </c>
      <c r="J17" s="50">
        <v>126.68165372499297</v>
      </c>
      <c r="K17" s="50">
        <v>161.78894070707526</v>
      </c>
      <c r="L17" s="50">
        <v>15.357297307656054</v>
      </c>
      <c r="M17" s="50">
        <v>5.399949221798507</v>
      </c>
      <c r="N17" s="50">
        <v>24.258369001657989</v>
      </c>
      <c r="O17" s="50">
        <v>36.656948973033373</v>
      </c>
      <c r="P17" s="50">
        <v>59.206027614482906</v>
      </c>
      <c r="Q17" s="51">
        <v>298.66271651688129</v>
      </c>
      <c r="R17" s="51">
        <v>3.5741953963919346E-32</v>
      </c>
      <c r="S17" s="51">
        <v>15301.742139226442</v>
      </c>
      <c r="T17" s="51">
        <v>57.798044834622026</v>
      </c>
      <c r="U17" s="51">
        <v>-0.56305630084890801</v>
      </c>
      <c r="V17" s="52">
        <v>48.890801325195177</v>
      </c>
      <c r="W17" s="37"/>
      <c r="X17" s="38"/>
    </row>
    <row r="18" spans="1:24">
      <c r="C18" s="40"/>
    </row>
    <row r="19" spans="1:24">
      <c r="C19" s="40"/>
    </row>
  </sheetData>
  <dataConsolidate topLabels="1" link="1">
    <dataRefs count="1">
      <dataRef ref="D5:V17" sheet="Preparado"/>
    </dataRefs>
  </dataConsolid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8684-3E33-4CBD-A441-742A035A2234}">
  <dimension ref="A1:K219"/>
  <sheetViews>
    <sheetView workbookViewId="0">
      <selection activeCell="D5" sqref="D5"/>
    </sheetView>
  </sheetViews>
  <sheetFormatPr baseColWidth="10" defaultRowHeight="14.25"/>
  <cols>
    <col min="1" max="1" width="61.06640625" bestFit="1" customWidth="1"/>
    <col min="2" max="2" width="63.59765625" bestFit="1" customWidth="1"/>
    <col min="3" max="3" width="12.33203125" bestFit="1" customWidth="1"/>
    <col min="4" max="4" width="14.86328125" bestFit="1" customWidth="1"/>
    <col min="5" max="5" width="15.1328125" bestFit="1" customWidth="1"/>
    <col min="6" max="6" width="43.86328125" bestFit="1" customWidth="1"/>
    <col min="7" max="7" width="19.265625" bestFit="1" customWidth="1"/>
    <col min="8" max="8" width="25" bestFit="1" customWidth="1"/>
    <col min="9" max="9" width="19.6640625" bestFit="1" customWidth="1"/>
    <col min="10" max="10" width="43.86328125" bestFit="1" customWidth="1"/>
    <col min="11" max="11" width="19.6640625" bestFit="1" customWidth="1"/>
  </cols>
  <sheetData>
    <row r="1" spans="1:11">
      <c r="A1" s="53" t="s">
        <v>69</v>
      </c>
    </row>
    <row r="3" spans="1:11">
      <c r="A3" s="57" t="s">
        <v>66</v>
      </c>
      <c r="B3" s="58" t="s">
        <v>67</v>
      </c>
      <c r="C3" s="58" t="s">
        <v>68</v>
      </c>
      <c r="D3" s="58" t="s">
        <v>70</v>
      </c>
      <c r="E3" s="58" t="s">
        <v>74</v>
      </c>
      <c r="F3" s="58" t="s">
        <v>75</v>
      </c>
      <c r="G3" s="58" t="s">
        <v>79</v>
      </c>
      <c r="H3" s="58" t="s">
        <v>71</v>
      </c>
      <c r="I3" s="58" t="s">
        <v>72</v>
      </c>
      <c r="J3" s="58" t="s">
        <v>73</v>
      </c>
      <c r="K3" s="59" t="s">
        <v>80</v>
      </c>
    </row>
    <row r="4" spans="1:11">
      <c r="A4" s="60" t="s">
        <v>54</v>
      </c>
      <c r="B4" s="61" t="s">
        <v>36</v>
      </c>
      <c r="C4" s="61">
        <v>4115.25324179359</v>
      </c>
      <c r="D4" s="61" t="s">
        <v>33</v>
      </c>
      <c r="E4" s="61">
        <v>1</v>
      </c>
      <c r="F4" s="61" t="s">
        <v>22</v>
      </c>
      <c r="G4" s="61" t="str">
        <f>VLOOKUP(E4,Bioeconomía!$A$1:$C$13,3,FALSE)</f>
        <v>Bioeconomía</v>
      </c>
      <c r="H4" s="61" t="s">
        <v>34</v>
      </c>
      <c r="I4" s="61">
        <v>1</v>
      </c>
      <c r="J4" s="61" t="s">
        <v>22</v>
      </c>
      <c r="K4" s="62" t="str">
        <f>VLOOKUP(I4,Bioeconomía!$A$1:$C$13,3,FALSE)</f>
        <v>Bioeconomía</v>
      </c>
    </row>
    <row r="5" spans="1:11">
      <c r="A5" s="63" t="s">
        <v>54</v>
      </c>
      <c r="B5" s="64" t="s">
        <v>37</v>
      </c>
      <c r="C5" s="64">
        <v>0.64223706650561818</v>
      </c>
      <c r="D5" s="64" t="s">
        <v>33</v>
      </c>
      <c r="E5" s="64">
        <v>1</v>
      </c>
      <c r="F5" s="64" t="s">
        <v>22</v>
      </c>
      <c r="G5" s="61" t="str">
        <f>VLOOKUP(E5,Bioeconomía!$A$1:$C$13,3,FALSE)</f>
        <v>Bioeconomía</v>
      </c>
      <c r="H5" s="64" t="s">
        <v>34</v>
      </c>
      <c r="I5" s="64">
        <v>2</v>
      </c>
      <c r="J5" s="64" t="s">
        <v>23</v>
      </c>
      <c r="K5" s="62" t="str">
        <f>VLOOKUP(I5,Bioeconomía!$A$1:$C$13,3,FALSE)</f>
        <v>No Bioeconomía</v>
      </c>
    </row>
    <row r="6" spans="1:11">
      <c r="A6" s="60" t="s">
        <v>54</v>
      </c>
      <c r="B6" s="61" t="s">
        <v>38</v>
      </c>
      <c r="C6" s="61">
        <v>11866.038642245503</v>
      </c>
      <c r="D6" s="61" t="s">
        <v>33</v>
      </c>
      <c r="E6" s="61">
        <v>1</v>
      </c>
      <c r="F6" s="61" t="s">
        <v>22</v>
      </c>
      <c r="G6" s="61" t="str">
        <f>VLOOKUP(E6,Bioeconomía!$A$1:$C$13,3,FALSE)</f>
        <v>Bioeconomía</v>
      </c>
      <c r="H6" s="61" t="s">
        <v>34</v>
      </c>
      <c r="I6" s="61">
        <v>3</v>
      </c>
      <c r="J6" s="61" t="s">
        <v>24</v>
      </c>
      <c r="K6" s="62" t="str">
        <f>VLOOKUP(I6,Bioeconomía!$A$1:$C$13,3,FALSE)</f>
        <v>No Bioeconomía</v>
      </c>
    </row>
    <row r="7" spans="1:11">
      <c r="A7" s="63" t="s">
        <v>54</v>
      </c>
      <c r="B7" s="64" t="s">
        <v>39</v>
      </c>
      <c r="C7" s="64">
        <v>41.408529901637003</v>
      </c>
      <c r="D7" s="64" t="s">
        <v>33</v>
      </c>
      <c r="E7" s="64">
        <v>1</v>
      </c>
      <c r="F7" s="64" t="s">
        <v>22</v>
      </c>
      <c r="G7" s="61" t="str">
        <f>VLOOKUP(E7,Bioeconomía!$A$1:$C$13,3,FALSE)</f>
        <v>Bioeconomía</v>
      </c>
      <c r="H7" s="64" t="s">
        <v>34</v>
      </c>
      <c r="I7" s="64">
        <v>4</v>
      </c>
      <c r="J7" s="64" t="s">
        <v>25</v>
      </c>
      <c r="K7" s="62" t="str">
        <f>VLOOKUP(I7,Bioeconomía!$A$1:$C$13,3,FALSE)</f>
        <v>No Bioeconomía</v>
      </c>
    </row>
    <row r="8" spans="1:11">
      <c r="A8" s="60" t="s">
        <v>54</v>
      </c>
      <c r="B8" s="61" t="s">
        <v>40</v>
      </c>
      <c r="C8" s="61">
        <v>13.540523211729319</v>
      </c>
      <c r="D8" s="61" t="s">
        <v>33</v>
      </c>
      <c r="E8" s="61">
        <v>1</v>
      </c>
      <c r="F8" s="61" t="s">
        <v>22</v>
      </c>
      <c r="G8" s="61" t="str">
        <f>VLOOKUP(E8,Bioeconomía!$A$1:$C$13,3,FALSE)</f>
        <v>Bioeconomía</v>
      </c>
      <c r="H8" s="61" t="s">
        <v>34</v>
      </c>
      <c r="I8" s="61">
        <v>5</v>
      </c>
      <c r="J8" s="61" t="s">
        <v>26</v>
      </c>
      <c r="K8" s="62" t="str">
        <f>VLOOKUP(I8,Bioeconomía!$A$1:$C$13,3,FALSE)</f>
        <v>No Bioeconomía</v>
      </c>
    </row>
    <row r="9" spans="1:11">
      <c r="A9" s="63" t="s">
        <v>54</v>
      </c>
      <c r="B9" s="64" t="s">
        <v>41</v>
      </c>
      <c r="C9" s="64">
        <v>323.50973122279078</v>
      </c>
      <c r="D9" s="64" t="s">
        <v>33</v>
      </c>
      <c r="E9" s="64">
        <v>1</v>
      </c>
      <c r="F9" s="64" t="s">
        <v>22</v>
      </c>
      <c r="G9" s="61" t="str">
        <f>VLOOKUP(E9,Bioeconomía!$A$1:$C$13,3,FALSE)</f>
        <v>Bioeconomía</v>
      </c>
      <c r="H9" s="64" t="s">
        <v>34</v>
      </c>
      <c r="I9" s="64">
        <v>6</v>
      </c>
      <c r="J9" s="64" t="s">
        <v>27</v>
      </c>
      <c r="K9" s="62" t="str">
        <f>VLOOKUP(I9,Bioeconomía!$A$1:$C$13,3,FALSE)</f>
        <v>No Bioeconomía</v>
      </c>
    </row>
    <row r="10" spans="1:11">
      <c r="A10" s="60" t="s">
        <v>54</v>
      </c>
      <c r="B10" s="61" t="s">
        <v>42</v>
      </c>
      <c r="C10" s="61">
        <v>3.7189800027750808</v>
      </c>
      <c r="D10" s="61" t="s">
        <v>33</v>
      </c>
      <c r="E10" s="61">
        <v>1</v>
      </c>
      <c r="F10" s="61" t="s">
        <v>22</v>
      </c>
      <c r="G10" s="61" t="str">
        <f>VLOOKUP(E10,Bioeconomía!$A$1:$C$13,3,FALSE)</f>
        <v>Bioeconomía</v>
      </c>
      <c r="H10" s="61" t="s">
        <v>34</v>
      </c>
      <c r="I10" s="61">
        <v>7</v>
      </c>
      <c r="J10" s="61" t="s">
        <v>28</v>
      </c>
      <c r="K10" s="62" t="str">
        <f>VLOOKUP(I10,Bioeconomía!$A$1:$C$13,3,FALSE)</f>
        <v>No Bioeconomía</v>
      </c>
    </row>
    <row r="11" spans="1:11">
      <c r="A11" s="63" t="s">
        <v>54</v>
      </c>
      <c r="B11" s="64" t="s">
        <v>43</v>
      </c>
      <c r="C11" s="64">
        <v>1.1738699574293463</v>
      </c>
      <c r="D11" s="64" t="s">
        <v>33</v>
      </c>
      <c r="E11" s="64">
        <v>1</v>
      </c>
      <c r="F11" s="64" t="s">
        <v>22</v>
      </c>
      <c r="G11" s="61" t="str">
        <f>VLOOKUP(E11,Bioeconomía!$A$1:$C$13,3,FALSE)</f>
        <v>Bioeconomía</v>
      </c>
      <c r="H11" s="64" t="s">
        <v>34</v>
      </c>
      <c r="I11" s="64">
        <v>8</v>
      </c>
      <c r="J11" s="64" t="s">
        <v>20</v>
      </c>
      <c r="K11" s="62" t="str">
        <f>VLOOKUP(I11,Bioeconomía!$A$1:$C$13,3,FALSE)</f>
        <v>No Bioeconomía</v>
      </c>
    </row>
    <row r="12" spans="1:11">
      <c r="A12" s="60" t="s">
        <v>54</v>
      </c>
      <c r="B12" s="61" t="s">
        <v>44</v>
      </c>
      <c r="C12" s="61">
        <v>4.6620560822918836E-2</v>
      </c>
      <c r="D12" s="61" t="s">
        <v>33</v>
      </c>
      <c r="E12" s="61">
        <v>1</v>
      </c>
      <c r="F12" s="61" t="s">
        <v>22</v>
      </c>
      <c r="G12" s="61" t="str">
        <f>VLOOKUP(E12,Bioeconomía!$A$1:$C$13,3,FALSE)</f>
        <v>Bioeconomía</v>
      </c>
      <c r="H12" s="61" t="s">
        <v>34</v>
      </c>
      <c r="I12" s="61">
        <v>9</v>
      </c>
      <c r="J12" s="61" t="s">
        <v>29</v>
      </c>
      <c r="K12" s="62" t="str">
        <f>VLOOKUP(I12,Bioeconomía!$A$1:$C$13,3,FALSE)</f>
        <v>No Bioeconomía</v>
      </c>
    </row>
    <row r="13" spans="1:11">
      <c r="A13" s="63" t="s">
        <v>54</v>
      </c>
      <c r="B13" s="64" t="s">
        <v>45</v>
      </c>
      <c r="C13" s="64">
        <v>6.0921412337751075</v>
      </c>
      <c r="D13" s="64" t="s">
        <v>33</v>
      </c>
      <c r="E13" s="64">
        <v>1</v>
      </c>
      <c r="F13" s="64" t="s">
        <v>22</v>
      </c>
      <c r="G13" s="61" t="str">
        <f>VLOOKUP(E13,Bioeconomía!$A$1:$C$13,3,FALSE)</f>
        <v>Bioeconomía</v>
      </c>
      <c r="H13" s="64" t="s">
        <v>34</v>
      </c>
      <c r="I13" s="64">
        <v>10</v>
      </c>
      <c r="J13" s="64" t="s">
        <v>30</v>
      </c>
      <c r="K13" s="62" t="str">
        <f>VLOOKUP(I13,Bioeconomía!$A$1:$C$13,3,FALSE)</f>
        <v>Bioeconomía extendida</v>
      </c>
    </row>
    <row r="14" spans="1:11">
      <c r="A14" s="60" t="s">
        <v>54</v>
      </c>
      <c r="B14" s="61" t="s">
        <v>46</v>
      </c>
      <c r="C14" s="61">
        <v>59.351152722115152</v>
      </c>
      <c r="D14" s="61" t="s">
        <v>33</v>
      </c>
      <c r="E14" s="61">
        <v>1</v>
      </c>
      <c r="F14" s="61" t="s">
        <v>22</v>
      </c>
      <c r="G14" s="61" t="str">
        <f>VLOOKUP(E14,Bioeconomía!$A$1:$C$13,3,FALSE)</f>
        <v>Bioeconomía</v>
      </c>
      <c r="H14" s="61" t="s">
        <v>34</v>
      </c>
      <c r="I14" s="61">
        <v>11</v>
      </c>
      <c r="J14" s="61" t="s">
        <v>31</v>
      </c>
      <c r="K14" s="62" t="str">
        <f>VLOOKUP(I14,Bioeconomía!$A$1:$C$13,3,FALSE)</f>
        <v>No Bioeconomía</v>
      </c>
    </row>
    <row r="15" spans="1:11">
      <c r="A15" s="63" t="s">
        <v>54</v>
      </c>
      <c r="B15" s="64" t="s">
        <v>47</v>
      </c>
      <c r="C15" s="64">
        <v>62.713022185845844</v>
      </c>
      <c r="D15" s="64" t="s">
        <v>33</v>
      </c>
      <c r="E15" s="64">
        <v>1</v>
      </c>
      <c r="F15" s="64" t="s">
        <v>22</v>
      </c>
      <c r="G15" s="61" t="str">
        <f>VLOOKUP(E15,Bioeconomía!$A$1:$C$13,3,FALSE)</f>
        <v>Bioeconomía</v>
      </c>
      <c r="H15" s="64" t="s">
        <v>34</v>
      </c>
      <c r="I15" s="64">
        <v>12</v>
      </c>
      <c r="J15" s="64" t="s">
        <v>21</v>
      </c>
      <c r="K15" s="62" t="str">
        <f>VLOOKUP(I15,Bioeconomía!$A$1:$C$13,3,FALSE)</f>
        <v>No Bioeconomía</v>
      </c>
    </row>
    <row r="16" spans="1:11">
      <c r="A16" s="60" t="s">
        <v>54</v>
      </c>
      <c r="B16" s="61" t="s">
        <v>48</v>
      </c>
      <c r="C16" s="61">
        <v>2783.6759149078262</v>
      </c>
      <c r="D16" s="61" t="s">
        <v>33</v>
      </c>
      <c r="E16" s="61">
        <v>1</v>
      </c>
      <c r="F16" s="61" t="s">
        <v>22</v>
      </c>
      <c r="G16" s="61" t="str">
        <f>VLOOKUP(E16,Bioeconomía!$A$1:$C$13,3,FALSE)</f>
        <v>Bioeconomía</v>
      </c>
      <c r="H16" s="61" t="s">
        <v>4</v>
      </c>
      <c r="I16" s="61" t="s">
        <v>35</v>
      </c>
      <c r="J16" s="61" t="s">
        <v>35</v>
      </c>
      <c r="K16" s="62" t="str">
        <f>VLOOKUP(I16,Bioeconomía!$A$1:$C$13,3,FALSE)</f>
        <v>Ninguno</v>
      </c>
    </row>
    <row r="17" spans="1:11">
      <c r="A17" s="63" t="s">
        <v>54</v>
      </c>
      <c r="B17" s="64" t="s">
        <v>49</v>
      </c>
      <c r="C17" s="64">
        <v>0</v>
      </c>
      <c r="D17" s="64" t="s">
        <v>33</v>
      </c>
      <c r="E17" s="64">
        <v>1</v>
      </c>
      <c r="F17" s="64" t="s">
        <v>22</v>
      </c>
      <c r="G17" s="61" t="str">
        <f>VLOOKUP(E17,Bioeconomía!$A$1:$C$13,3,FALSE)</f>
        <v>Bioeconomía</v>
      </c>
      <c r="H17" s="64" t="s">
        <v>5</v>
      </c>
      <c r="I17" s="64" t="s">
        <v>35</v>
      </c>
      <c r="J17" s="64" t="s">
        <v>35</v>
      </c>
      <c r="K17" s="62" t="str">
        <f>VLOOKUP(I17,Bioeconomía!$A$1:$C$13,3,FALSE)</f>
        <v>Ninguno</v>
      </c>
    </row>
    <row r="18" spans="1:11">
      <c r="A18" s="60" t="s">
        <v>54</v>
      </c>
      <c r="B18" s="61" t="s">
        <v>50</v>
      </c>
      <c r="C18" s="61">
        <v>2.668751046842022E-2</v>
      </c>
      <c r="D18" s="61" t="s">
        <v>33</v>
      </c>
      <c r="E18" s="61">
        <v>1</v>
      </c>
      <c r="F18" s="61" t="s">
        <v>22</v>
      </c>
      <c r="G18" s="61" t="str">
        <f>VLOOKUP(E18,Bioeconomía!$A$1:$C$13,3,FALSE)</f>
        <v>Bioeconomía</v>
      </c>
      <c r="H18" s="61" t="s">
        <v>6</v>
      </c>
      <c r="I18" s="61" t="s">
        <v>35</v>
      </c>
      <c r="J18" s="61" t="s">
        <v>35</v>
      </c>
      <c r="K18" s="62" t="str">
        <f>VLOOKUP(I18,Bioeconomía!$A$1:$C$13,3,FALSE)</f>
        <v>Ninguno</v>
      </c>
    </row>
    <row r="19" spans="1:11">
      <c r="A19" s="63" t="s">
        <v>54</v>
      </c>
      <c r="B19" s="64" t="s">
        <v>51</v>
      </c>
      <c r="C19" s="64">
        <v>790.68687043852901</v>
      </c>
      <c r="D19" s="64" t="s">
        <v>33</v>
      </c>
      <c r="E19" s="64">
        <v>1</v>
      </c>
      <c r="F19" s="64" t="s">
        <v>22</v>
      </c>
      <c r="G19" s="61" t="str">
        <f>VLOOKUP(E19,Bioeconomía!$A$1:$C$13,3,FALSE)</f>
        <v>Bioeconomía</v>
      </c>
      <c r="H19" s="64" t="s">
        <v>7</v>
      </c>
      <c r="I19" s="64" t="s">
        <v>35</v>
      </c>
      <c r="J19" s="64" t="s">
        <v>35</v>
      </c>
      <c r="K19" s="62" t="str">
        <f>VLOOKUP(I19,Bioeconomía!$A$1:$C$13,3,FALSE)</f>
        <v>Ninguno</v>
      </c>
    </row>
    <row r="20" spans="1:11">
      <c r="A20" s="60" t="s">
        <v>54</v>
      </c>
      <c r="B20" s="61" t="s">
        <v>52</v>
      </c>
      <c r="C20" s="61">
        <v>-133.35791971044395</v>
      </c>
      <c r="D20" s="61" t="s">
        <v>33</v>
      </c>
      <c r="E20" s="61">
        <v>1</v>
      </c>
      <c r="F20" s="61" t="s">
        <v>22</v>
      </c>
      <c r="G20" s="61" t="str">
        <f>VLOOKUP(E20,Bioeconomía!$A$1:$C$13,3,FALSE)</f>
        <v>Bioeconomía</v>
      </c>
      <c r="H20" s="61" t="s">
        <v>8</v>
      </c>
      <c r="I20" s="61" t="s">
        <v>35</v>
      </c>
      <c r="J20" s="61" t="s">
        <v>35</v>
      </c>
      <c r="K20" s="62" t="str">
        <f>VLOOKUP(I20,Bioeconomía!$A$1:$C$13,3,FALSE)</f>
        <v>Ninguno</v>
      </c>
    </row>
    <row r="21" spans="1:11">
      <c r="A21" s="63" t="s">
        <v>54</v>
      </c>
      <c r="B21" s="64" t="s">
        <v>53</v>
      </c>
      <c r="C21" s="64">
        <v>3460.4746110713118</v>
      </c>
      <c r="D21" s="64" t="s">
        <v>33</v>
      </c>
      <c r="E21" s="64">
        <v>1</v>
      </c>
      <c r="F21" s="64" t="s">
        <v>22</v>
      </c>
      <c r="G21" s="61" t="str">
        <f>VLOOKUP(E21,Bioeconomía!$A$1:$C$13,3,FALSE)</f>
        <v>Bioeconomía</v>
      </c>
      <c r="H21" s="64" t="s">
        <v>9</v>
      </c>
      <c r="I21" s="64" t="s">
        <v>35</v>
      </c>
      <c r="J21" s="64" t="s">
        <v>35</v>
      </c>
      <c r="K21" s="62" t="str">
        <f>VLOOKUP(I21,Bioeconomía!$A$1:$C$13,3,FALSE)</f>
        <v>Ninguno</v>
      </c>
    </row>
    <row r="22" spans="1:11">
      <c r="A22" s="60" t="s">
        <v>55</v>
      </c>
      <c r="B22" s="61" t="s">
        <v>36</v>
      </c>
      <c r="C22" s="61">
        <v>17.284374579552285</v>
      </c>
      <c r="D22" s="61" t="s">
        <v>33</v>
      </c>
      <c r="E22" s="61">
        <v>2</v>
      </c>
      <c r="F22" s="61" t="s">
        <v>23</v>
      </c>
      <c r="G22" s="61" t="str">
        <f>VLOOKUP(E22,Bioeconomía!$A$1:$C$13,3,FALSE)</f>
        <v>No Bioeconomía</v>
      </c>
      <c r="H22" s="61" t="s">
        <v>34</v>
      </c>
      <c r="I22" s="61">
        <v>1</v>
      </c>
      <c r="J22" s="61" t="s">
        <v>22</v>
      </c>
      <c r="K22" s="62" t="str">
        <f>VLOOKUP(I22,Bioeconomía!$A$1:$C$13,3,FALSE)</f>
        <v>Bioeconomía</v>
      </c>
    </row>
    <row r="23" spans="1:11">
      <c r="A23" s="63" t="s">
        <v>55</v>
      </c>
      <c r="B23" s="64" t="s">
        <v>37</v>
      </c>
      <c r="C23" s="64">
        <v>5176.8488401808499</v>
      </c>
      <c r="D23" s="64" t="s">
        <v>33</v>
      </c>
      <c r="E23" s="64">
        <v>2</v>
      </c>
      <c r="F23" s="64" t="s">
        <v>23</v>
      </c>
      <c r="G23" s="61" t="str">
        <f>VLOOKUP(E23,Bioeconomía!$A$1:$C$13,3,FALSE)</f>
        <v>No Bioeconomía</v>
      </c>
      <c r="H23" s="64" t="s">
        <v>34</v>
      </c>
      <c r="I23" s="64">
        <v>2</v>
      </c>
      <c r="J23" s="64" t="s">
        <v>23</v>
      </c>
      <c r="K23" s="62" t="str">
        <f>VLOOKUP(I23,Bioeconomía!$A$1:$C$13,3,FALSE)</f>
        <v>No Bioeconomía</v>
      </c>
    </row>
    <row r="24" spans="1:11">
      <c r="A24" s="60" t="s">
        <v>55</v>
      </c>
      <c r="B24" s="61" t="s">
        <v>38</v>
      </c>
      <c r="C24" s="61">
        <v>3249.0835489237825</v>
      </c>
      <c r="D24" s="61" t="s">
        <v>33</v>
      </c>
      <c r="E24" s="61">
        <v>2</v>
      </c>
      <c r="F24" s="61" t="s">
        <v>23</v>
      </c>
      <c r="G24" s="61" t="str">
        <f>VLOOKUP(E24,Bioeconomía!$A$1:$C$13,3,FALSE)</f>
        <v>No Bioeconomía</v>
      </c>
      <c r="H24" s="61" t="s">
        <v>34</v>
      </c>
      <c r="I24" s="61">
        <v>3</v>
      </c>
      <c r="J24" s="61" t="s">
        <v>24</v>
      </c>
      <c r="K24" s="62" t="str">
        <f>VLOOKUP(I24,Bioeconomía!$A$1:$C$13,3,FALSE)</f>
        <v>No Bioeconomía</v>
      </c>
    </row>
    <row r="25" spans="1:11">
      <c r="A25" s="63" t="s">
        <v>55</v>
      </c>
      <c r="B25" s="64" t="s">
        <v>39</v>
      </c>
      <c r="C25" s="64">
        <v>69.390608604192025</v>
      </c>
      <c r="D25" s="64" t="s">
        <v>33</v>
      </c>
      <c r="E25" s="64">
        <v>2</v>
      </c>
      <c r="F25" s="64" t="s">
        <v>23</v>
      </c>
      <c r="G25" s="61" t="str">
        <f>VLOOKUP(E25,Bioeconomía!$A$1:$C$13,3,FALSE)</f>
        <v>No Bioeconomía</v>
      </c>
      <c r="H25" s="64" t="s">
        <v>34</v>
      </c>
      <c r="I25" s="64">
        <v>4</v>
      </c>
      <c r="J25" s="64" t="s">
        <v>25</v>
      </c>
      <c r="K25" s="62" t="str">
        <f>VLOOKUP(I25,Bioeconomía!$A$1:$C$13,3,FALSE)</f>
        <v>No Bioeconomía</v>
      </c>
    </row>
    <row r="26" spans="1:11">
      <c r="A26" s="60" t="s">
        <v>55</v>
      </c>
      <c r="B26" s="61" t="s">
        <v>40</v>
      </c>
      <c r="C26" s="61">
        <v>194.00930683931554</v>
      </c>
      <c r="D26" s="61" t="s">
        <v>33</v>
      </c>
      <c r="E26" s="61">
        <v>2</v>
      </c>
      <c r="F26" s="61" t="s">
        <v>23</v>
      </c>
      <c r="G26" s="61" t="str">
        <f>VLOOKUP(E26,Bioeconomía!$A$1:$C$13,3,FALSE)</f>
        <v>No Bioeconomía</v>
      </c>
      <c r="H26" s="61" t="s">
        <v>34</v>
      </c>
      <c r="I26" s="61">
        <v>5</v>
      </c>
      <c r="J26" s="61" t="s">
        <v>26</v>
      </c>
      <c r="K26" s="62" t="str">
        <f>VLOOKUP(I26,Bioeconomía!$A$1:$C$13,3,FALSE)</f>
        <v>No Bioeconomía</v>
      </c>
    </row>
    <row r="27" spans="1:11">
      <c r="A27" s="63" t="s">
        <v>55</v>
      </c>
      <c r="B27" s="64" t="s">
        <v>41</v>
      </c>
      <c r="C27" s="64">
        <v>47.012198735913366</v>
      </c>
      <c r="D27" s="64" t="s">
        <v>33</v>
      </c>
      <c r="E27" s="64">
        <v>2</v>
      </c>
      <c r="F27" s="64" t="s">
        <v>23</v>
      </c>
      <c r="G27" s="61" t="str">
        <f>VLOOKUP(E27,Bioeconomía!$A$1:$C$13,3,FALSE)</f>
        <v>No Bioeconomía</v>
      </c>
      <c r="H27" s="64" t="s">
        <v>34</v>
      </c>
      <c r="I27" s="64">
        <v>6</v>
      </c>
      <c r="J27" s="64" t="s">
        <v>27</v>
      </c>
      <c r="K27" s="62" t="str">
        <f>VLOOKUP(I27,Bioeconomía!$A$1:$C$13,3,FALSE)</f>
        <v>No Bioeconomía</v>
      </c>
    </row>
    <row r="28" spans="1:11">
      <c r="A28" s="60" t="s">
        <v>55</v>
      </c>
      <c r="B28" s="61" t="s">
        <v>42</v>
      </c>
      <c r="C28" s="61">
        <v>26.834354104437423</v>
      </c>
      <c r="D28" s="61" t="s">
        <v>33</v>
      </c>
      <c r="E28" s="61">
        <v>2</v>
      </c>
      <c r="F28" s="61" t="s">
        <v>23</v>
      </c>
      <c r="G28" s="61" t="str">
        <f>VLOOKUP(E28,Bioeconomía!$A$1:$C$13,3,FALSE)</f>
        <v>No Bioeconomía</v>
      </c>
      <c r="H28" s="61" t="s">
        <v>34</v>
      </c>
      <c r="I28" s="61">
        <v>7</v>
      </c>
      <c r="J28" s="61" t="s">
        <v>28</v>
      </c>
      <c r="K28" s="62" t="str">
        <f>VLOOKUP(I28,Bioeconomía!$A$1:$C$13,3,FALSE)</f>
        <v>No Bioeconomía</v>
      </c>
    </row>
    <row r="29" spans="1:11">
      <c r="A29" s="63" t="s">
        <v>55</v>
      </c>
      <c r="B29" s="64" t="s">
        <v>43</v>
      </c>
      <c r="C29" s="64">
        <v>26.634541079722645</v>
      </c>
      <c r="D29" s="64" t="s">
        <v>33</v>
      </c>
      <c r="E29" s="64">
        <v>2</v>
      </c>
      <c r="F29" s="64" t="s">
        <v>23</v>
      </c>
      <c r="G29" s="61" t="str">
        <f>VLOOKUP(E29,Bioeconomía!$A$1:$C$13,3,FALSE)</f>
        <v>No Bioeconomía</v>
      </c>
      <c r="H29" s="64" t="s">
        <v>34</v>
      </c>
      <c r="I29" s="64">
        <v>8</v>
      </c>
      <c r="J29" s="64" t="s">
        <v>20</v>
      </c>
      <c r="K29" s="62" t="str">
        <f>VLOOKUP(I29,Bioeconomía!$A$1:$C$13,3,FALSE)</f>
        <v>No Bioeconomía</v>
      </c>
    </row>
    <row r="30" spans="1:11">
      <c r="A30" s="60" t="s">
        <v>55</v>
      </c>
      <c r="B30" s="61" t="s">
        <v>44</v>
      </c>
      <c r="C30" s="61">
        <v>5.9874064065828323</v>
      </c>
      <c r="D30" s="61" t="s">
        <v>33</v>
      </c>
      <c r="E30" s="61">
        <v>2</v>
      </c>
      <c r="F30" s="61" t="s">
        <v>23</v>
      </c>
      <c r="G30" s="61" t="str">
        <f>VLOOKUP(E30,Bioeconomía!$A$1:$C$13,3,FALSE)</f>
        <v>No Bioeconomía</v>
      </c>
      <c r="H30" s="61" t="s">
        <v>34</v>
      </c>
      <c r="I30" s="61">
        <v>9</v>
      </c>
      <c r="J30" s="61" t="s">
        <v>29</v>
      </c>
      <c r="K30" s="62" t="str">
        <f>VLOOKUP(I30,Bioeconomía!$A$1:$C$13,3,FALSE)</f>
        <v>No Bioeconomía</v>
      </c>
    </row>
    <row r="31" spans="1:11">
      <c r="A31" s="63" t="s">
        <v>55</v>
      </c>
      <c r="B31" s="64" t="s">
        <v>45</v>
      </c>
      <c r="C31" s="64">
        <v>48.327516181388418</v>
      </c>
      <c r="D31" s="64" t="s">
        <v>33</v>
      </c>
      <c r="E31" s="64">
        <v>2</v>
      </c>
      <c r="F31" s="64" t="s">
        <v>23</v>
      </c>
      <c r="G31" s="61" t="str">
        <f>VLOOKUP(E31,Bioeconomía!$A$1:$C$13,3,FALSE)</f>
        <v>No Bioeconomía</v>
      </c>
      <c r="H31" s="64" t="s">
        <v>34</v>
      </c>
      <c r="I31" s="64">
        <v>10</v>
      </c>
      <c r="J31" s="64" t="s">
        <v>30</v>
      </c>
      <c r="K31" s="62" t="str">
        <f>VLOOKUP(I31,Bioeconomía!$A$1:$C$13,3,FALSE)</f>
        <v>Bioeconomía extendida</v>
      </c>
    </row>
    <row r="32" spans="1:11">
      <c r="A32" s="60" t="s">
        <v>55</v>
      </c>
      <c r="B32" s="61" t="s">
        <v>46</v>
      </c>
      <c r="C32" s="61">
        <v>28.725164915130467</v>
      </c>
      <c r="D32" s="61" t="s">
        <v>33</v>
      </c>
      <c r="E32" s="61">
        <v>2</v>
      </c>
      <c r="F32" s="61" t="s">
        <v>23</v>
      </c>
      <c r="G32" s="61" t="str">
        <f>VLOOKUP(E32,Bioeconomía!$A$1:$C$13,3,FALSE)</f>
        <v>No Bioeconomía</v>
      </c>
      <c r="H32" s="61" t="s">
        <v>34</v>
      </c>
      <c r="I32" s="61">
        <v>11</v>
      </c>
      <c r="J32" s="61" t="s">
        <v>31</v>
      </c>
      <c r="K32" s="62" t="str">
        <f>VLOOKUP(I32,Bioeconomía!$A$1:$C$13,3,FALSE)</f>
        <v>No Bioeconomía</v>
      </c>
    </row>
    <row r="33" spans="1:11">
      <c r="A33" s="63" t="s">
        <v>55</v>
      </c>
      <c r="B33" s="64" t="s">
        <v>47</v>
      </c>
      <c r="C33" s="64">
        <v>9.6188118745458535</v>
      </c>
      <c r="D33" s="64" t="s">
        <v>33</v>
      </c>
      <c r="E33" s="64">
        <v>2</v>
      </c>
      <c r="F33" s="64" t="s">
        <v>23</v>
      </c>
      <c r="G33" s="61" t="str">
        <f>VLOOKUP(E33,Bioeconomía!$A$1:$C$13,3,FALSE)</f>
        <v>No Bioeconomía</v>
      </c>
      <c r="H33" s="64" t="s">
        <v>34</v>
      </c>
      <c r="I33" s="64">
        <v>12</v>
      </c>
      <c r="J33" s="64" t="s">
        <v>21</v>
      </c>
      <c r="K33" s="62" t="str">
        <f>VLOOKUP(I33,Bioeconomía!$A$1:$C$13,3,FALSE)</f>
        <v>No Bioeconomía</v>
      </c>
    </row>
    <row r="34" spans="1:11">
      <c r="A34" s="60" t="s">
        <v>55</v>
      </c>
      <c r="B34" s="61" t="s">
        <v>48</v>
      </c>
      <c r="C34" s="61">
        <v>46.319552771228189</v>
      </c>
      <c r="D34" s="61" t="s">
        <v>33</v>
      </c>
      <c r="E34" s="61">
        <v>2</v>
      </c>
      <c r="F34" s="61" t="s">
        <v>23</v>
      </c>
      <c r="G34" s="61" t="str">
        <f>VLOOKUP(E34,Bioeconomía!$A$1:$C$13,3,FALSE)</f>
        <v>No Bioeconomía</v>
      </c>
      <c r="H34" s="61" t="s">
        <v>4</v>
      </c>
      <c r="I34" s="61" t="s">
        <v>35</v>
      </c>
      <c r="J34" s="61" t="s">
        <v>35</v>
      </c>
      <c r="K34" s="62" t="str">
        <f>VLOOKUP(I34,Bioeconomía!$A$1:$C$13,3,FALSE)</f>
        <v>Ninguno</v>
      </c>
    </row>
    <row r="35" spans="1:11">
      <c r="A35" s="63" t="s">
        <v>55</v>
      </c>
      <c r="B35" s="64" t="s">
        <v>49</v>
      </c>
      <c r="C35" s="64">
        <v>0</v>
      </c>
      <c r="D35" s="64" t="s">
        <v>33</v>
      </c>
      <c r="E35" s="64">
        <v>2</v>
      </c>
      <c r="F35" s="64" t="s">
        <v>23</v>
      </c>
      <c r="G35" s="61" t="str">
        <f>VLOOKUP(E35,Bioeconomía!$A$1:$C$13,3,FALSE)</f>
        <v>No Bioeconomía</v>
      </c>
      <c r="H35" s="64" t="s">
        <v>5</v>
      </c>
      <c r="I35" s="64" t="s">
        <v>35</v>
      </c>
      <c r="J35" s="64" t="s">
        <v>35</v>
      </c>
      <c r="K35" s="62" t="str">
        <f>VLOOKUP(I35,Bioeconomía!$A$1:$C$13,3,FALSE)</f>
        <v>Ninguno</v>
      </c>
    </row>
    <row r="36" spans="1:11">
      <c r="A36" s="60" t="s">
        <v>55</v>
      </c>
      <c r="B36" s="61" t="s">
        <v>50</v>
      </c>
      <c r="C36" s="61">
        <v>2.722812321192706</v>
      </c>
      <c r="D36" s="61" t="s">
        <v>33</v>
      </c>
      <c r="E36" s="61">
        <v>2</v>
      </c>
      <c r="F36" s="61" t="s">
        <v>23</v>
      </c>
      <c r="G36" s="61" t="str">
        <f>VLOOKUP(E36,Bioeconomía!$A$1:$C$13,3,FALSE)</f>
        <v>No Bioeconomía</v>
      </c>
      <c r="H36" s="61" t="s">
        <v>6</v>
      </c>
      <c r="I36" s="61" t="s">
        <v>35</v>
      </c>
      <c r="J36" s="61" t="s">
        <v>35</v>
      </c>
      <c r="K36" s="62" t="str">
        <f>VLOOKUP(I36,Bioeconomía!$A$1:$C$13,3,FALSE)</f>
        <v>Ninguno</v>
      </c>
    </row>
    <row r="37" spans="1:11">
      <c r="A37" s="63" t="s">
        <v>55</v>
      </c>
      <c r="B37" s="64" t="s">
        <v>51</v>
      </c>
      <c r="C37" s="64">
        <v>704.96650590998138</v>
      </c>
      <c r="D37" s="64" t="s">
        <v>33</v>
      </c>
      <c r="E37" s="64">
        <v>2</v>
      </c>
      <c r="F37" s="64" t="s">
        <v>23</v>
      </c>
      <c r="G37" s="61" t="str">
        <f>VLOOKUP(E37,Bioeconomía!$A$1:$C$13,3,FALSE)</f>
        <v>No Bioeconomía</v>
      </c>
      <c r="H37" s="64" t="s">
        <v>7</v>
      </c>
      <c r="I37" s="64" t="s">
        <v>35</v>
      </c>
      <c r="J37" s="64" t="s">
        <v>35</v>
      </c>
      <c r="K37" s="62" t="str">
        <f>VLOOKUP(I37,Bioeconomía!$A$1:$C$13,3,FALSE)</f>
        <v>Ninguno</v>
      </c>
    </row>
    <row r="38" spans="1:11">
      <c r="A38" s="60" t="s">
        <v>55</v>
      </c>
      <c r="B38" s="61" t="s">
        <v>52</v>
      </c>
      <c r="C38" s="61">
        <v>-315.1916644546144</v>
      </c>
      <c r="D38" s="61" t="s">
        <v>33</v>
      </c>
      <c r="E38" s="61">
        <v>2</v>
      </c>
      <c r="F38" s="61" t="s">
        <v>23</v>
      </c>
      <c r="G38" s="61" t="str">
        <f>VLOOKUP(E38,Bioeconomía!$A$1:$C$13,3,FALSE)</f>
        <v>No Bioeconomía</v>
      </c>
      <c r="H38" s="61" t="s">
        <v>8</v>
      </c>
      <c r="I38" s="61" t="s">
        <v>35</v>
      </c>
      <c r="J38" s="61" t="s">
        <v>35</v>
      </c>
      <c r="K38" s="62" t="str">
        <f>VLOOKUP(I38,Bioeconomía!$A$1:$C$13,3,FALSE)</f>
        <v>Ninguno</v>
      </c>
    </row>
    <row r="39" spans="1:11">
      <c r="A39" s="63" t="s">
        <v>55</v>
      </c>
      <c r="B39" s="64" t="s">
        <v>53</v>
      </c>
      <c r="C39" s="64">
        <v>50201.314984253913</v>
      </c>
      <c r="D39" s="64" t="s">
        <v>33</v>
      </c>
      <c r="E39" s="64">
        <v>2</v>
      </c>
      <c r="F39" s="64" t="s">
        <v>23</v>
      </c>
      <c r="G39" s="61" t="str">
        <f>VLOOKUP(E39,Bioeconomía!$A$1:$C$13,3,FALSE)</f>
        <v>No Bioeconomía</v>
      </c>
      <c r="H39" s="64" t="s">
        <v>9</v>
      </c>
      <c r="I39" s="64" t="s">
        <v>35</v>
      </c>
      <c r="J39" s="64" t="s">
        <v>35</v>
      </c>
      <c r="K39" s="62" t="str">
        <f>VLOOKUP(I39,Bioeconomía!$A$1:$C$13,3,FALSE)</f>
        <v>Ninguno</v>
      </c>
    </row>
    <row r="40" spans="1:11">
      <c r="A40" s="60" t="s">
        <v>56</v>
      </c>
      <c r="B40" s="61" t="s">
        <v>36</v>
      </c>
      <c r="C40" s="61">
        <v>4649.3295943695384</v>
      </c>
      <c r="D40" s="61" t="s">
        <v>33</v>
      </c>
      <c r="E40" s="61">
        <v>3</v>
      </c>
      <c r="F40" s="61" t="s">
        <v>24</v>
      </c>
      <c r="G40" s="61" t="str">
        <f>VLOOKUP(E40,Bioeconomía!$A$1:$C$13,3,FALSE)</f>
        <v>No Bioeconomía</v>
      </c>
      <c r="H40" s="61" t="s">
        <v>34</v>
      </c>
      <c r="I40" s="61">
        <v>1</v>
      </c>
      <c r="J40" s="61" t="s">
        <v>22</v>
      </c>
      <c r="K40" s="62" t="str">
        <f>VLOOKUP(I40,Bioeconomía!$A$1:$C$13,3,FALSE)</f>
        <v>Bioeconomía</v>
      </c>
    </row>
    <row r="41" spans="1:11">
      <c r="A41" s="63" t="s">
        <v>56</v>
      </c>
      <c r="B41" s="64" t="s">
        <v>37</v>
      </c>
      <c r="C41" s="64">
        <v>3599.6667329405113</v>
      </c>
      <c r="D41" s="64" t="s">
        <v>33</v>
      </c>
      <c r="E41" s="64">
        <v>3</v>
      </c>
      <c r="F41" s="64" t="s">
        <v>24</v>
      </c>
      <c r="G41" s="61" t="str">
        <f>VLOOKUP(E41,Bioeconomía!$A$1:$C$13,3,FALSE)</f>
        <v>No Bioeconomía</v>
      </c>
      <c r="H41" s="64" t="s">
        <v>34</v>
      </c>
      <c r="I41" s="64">
        <v>2</v>
      </c>
      <c r="J41" s="64" t="s">
        <v>23</v>
      </c>
      <c r="K41" s="62" t="str">
        <f>VLOOKUP(I41,Bioeconomía!$A$1:$C$13,3,FALSE)</f>
        <v>No Bioeconomía</v>
      </c>
    </row>
    <row r="42" spans="1:11">
      <c r="A42" s="60" t="s">
        <v>56</v>
      </c>
      <c r="B42" s="61" t="s">
        <v>38</v>
      </c>
      <c r="C42" s="61">
        <v>12335.8393584939</v>
      </c>
      <c r="D42" s="61" t="s">
        <v>33</v>
      </c>
      <c r="E42" s="61">
        <v>3</v>
      </c>
      <c r="F42" s="61" t="s">
        <v>24</v>
      </c>
      <c r="G42" s="61" t="str">
        <f>VLOOKUP(E42,Bioeconomía!$A$1:$C$13,3,FALSE)</f>
        <v>No Bioeconomía</v>
      </c>
      <c r="H42" s="61" t="s">
        <v>34</v>
      </c>
      <c r="I42" s="61">
        <v>3</v>
      </c>
      <c r="J42" s="61" t="s">
        <v>24</v>
      </c>
      <c r="K42" s="62" t="str">
        <f>VLOOKUP(I42,Bioeconomía!$A$1:$C$13,3,FALSE)</f>
        <v>No Bioeconomía</v>
      </c>
    </row>
    <row r="43" spans="1:11">
      <c r="A43" s="63" t="s">
        <v>56</v>
      </c>
      <c r="B43" s="64" t="s">
        <v>39</v>
      </c>
      <c r="C43" s="64">
        <v>629.30829100869278</v>
      </c>
      <c r="D43" s="64" t="s">
        <v>33</v>
      </c>
      <c r="E43" s="64">
        <v>3</v>
      </c>
      <c r="F43" s="64" t="s">
        <v>24</v>
      </c>
      <c r="G43" s="61" t="str">
        <f>VLOOKUP(E43,Bioeconomía!$A$1:$C$13,3,FALSE)</f>
        <v>No Bioeconomía</v>
      </c>
      <c r="H43" s="64" t="s">
        <v>34</v>
      </c>
      <c r="I43" s="64">
        <v>4</v>
      </c>
      <c r="J43" s="64" t="s">
        <v>25</v>
      </c>
      <c r="K43" s="62" t="str">
        <f>VLOOKUP(I43,Bioeconomía!$A$1:$C$13,3,FALSE)</f>
        <v>No Bioeconomía</v>
      </c>
    </row>
    <row r="44" spans="1:11">
      <c r="A44" s="60" t="s">
        <v>56</v>
      </c>
      <c r="B44" s="61" t="s">
        <v>40</v>
      </c>
      <c r="C44" s="61">
        <v>6599.0788607576997</v>
      </c>
      <c r="D44" s="61" t="s">
        <v>33</v>
      </c>
      <c r="E44" s="61">
        <v>3</v>
      </c>
      <c r="F44" s="61" t="s">
        <v>24</v>
      </c>
      <c r="G44" s="61" t="str">
        <f>VLOOKUP(E44,Bioeconomía!$A$1:$C$13,3,FALSE)</f>
        <v>No Bioeconomía</v>
      </c>
      <c r="H44" s="61" t="s">
        <v>34</v>
      </c>
      <c r="I44" s="61">
        <v>5</v>
      </c>
      <c r="J44" s="61" t="s">
        <v>26</v>
      </c>
      <c r="K44" s="62" t="str">
        <f>VLOOKUP(I44,Bioeconomía!$A$1:$C$13,3,FALSE)</f>
        <v>No Bioeconomía</v>
      </c>
    </row>
    <row r="45" spans="1:11">
      <c r="A45" s="63" t="s">
        <v>56</v>
      </c>
      <c r="B45" s="64" t="s">
        <v>41</v>
      </c>
      <c r="C45" s="64">
        <v>4798.4363534631539</v>
      </c>
      <c r="D45" s="64" t="s">
        <v>33</v>
      </c>
      <c r="E45" s="64">
        <v>3</v>
      </c>
      <c r="F45" s="64" t="s">
        <v>24</v>
      </c>
      <c r="G45" s="61" t="str">
        <f>VLOOKUP(E45,Bioeconomía!$A$1:$C$13,3,FALSE)</f>
        <v>No Bioeconomía</v>
      </c>
      <c r="H45" s="64" t="s">
        <v>34</v>
      </c>
      <c r="I45" s="64">
        <v>6</v>
      </c>
      <c r="J45" s="64" t="s">
        <v>27</v>
      </c>
      <c r="K45" s="62" t="str">
        <f>VLOOKUP(I45,Bioeconomía!$A$1:$C$13,3,FALSE)</f>
        <v>No Bioeconomía</v>
      </c>
    </row>
    <row r="46" spans="1:11">
      <c r="A46" s="60" t="s">
        <v>56</v>
      </c>
      <c r="B46" s="61" t="s">
        <v>42</v>
      </c>
      <c r="C46" s="61">
        <v>2849.6015364058621</v>
      </c>
      <c r="D46" s="61" t="s">
        <v>33</v>
      </c>
      <c r="E46" s="61">
        <v>3</v>
      </c>
      <c r="F46" s="61" t="s">
        <v>24</v>
      </c>
      <c r="G46" s="61" t="str">
        <f>VLOOKUP(E46,Bioeconomía!$A$1:$C$13,3,FALSE)</f>
        <v>No Bioeconomía</v>
      </c>
      <c r="H46" s="61" t="s">
        <v>34</v>
      </c>
      <c r="I46" s="61">
        <v>7</v>
      </c>
      <c r="J46" s="61" t="s">
        <v>28</v>
      </c>
      <c r="K46" s="62" t="str">
        <f>VLOOKUP(I46,Bioeconomía!$A$1:$C$13,3,FALSE)</f>
        <v>No Bioeconomía</v>
      </c>
    </row>
    <row r="47" spans="1:11">
      <c r="A47" s="63" t="s">
        <v>56</v>
      </c>
      <c r="B47" s="64" t="s">
        <v>43</v>
      </c>
      <c r="C47" s="64">
        <v>175.11488424190145</v>
      </c>
      <c r="D47" s="64" t="s">
        <v>33</v>
      </c>
      <c r="E47" s="64">
        <v>3</v>
      </c>
      <c r="F47" s="64" t="s">
        <v>24</v>
      </c>
      <c r="G47" s="61" t="str">
        <f>VLOOKUP(E47,Bioeconomía!$A$1:$C$13,3,FALSE)</f>
        <v>No Bioeconomía</v>
      </c>
      <c r="H47" s="64" t="s">
        <v>34</v>
      </c>
      <c r="I47" s="64">
        <v>8</v>
      </c>
      <c r="J47" s="64" t="s">
        <v>20</v>
      </c>
      <c r="K47" s="62" t="str">
        <f>VLOOKUP(I47,Bioeconomía!$A$1:$C$13,3,FALSE)</f>
        <v>No Bioeconomía</v>
      </c>
    </row>
    <row r="48" spans="1:11">
      <c r="A48" s="60" t="s">
        <v>56</v>
      </c>
      <c r="B48" s="61" t="s">
        <v>44</v>
      </c>
      <c r="C48" s="61">
        <v>62.12138377444434</v>
      </c>
      <c r="D48" s="61" t="s">
        <v>33</v>
      </c>
      <c r="E48" s="61">
        <v>3</v>
      </c>
      <c r="F48" s="61" t="s">
        <v>24</v>
      </c>
      <c r="G48" s="61" t="str">
        <f>VLOOKUP(E48,Bioeconomía!$A$1:$C$13,3,FALSE)</f>
        <v>No Bioeconomía</v>
      </c>
      <c r="H48" s="61" t="s">
        <v>34</v>
      </c>
      <c r="I48" s="61">
        <v>9</v>
      </c>
      <c r="J48" s="61" t="s">
        <v>29</v>
      </c>
      <c r="K48" s="62" t="str">
        <f>VLOOKUP(I48,Bioeconomía!$A$1:$C$13,3,FALSE)</f>
        <v>No Bioeconomía</v>
      </c>
    </row>
    <row r="49" spans="1:11">
      <c r="A49" s="63" t="s">
        <v>56</v>
      </c>
      <c r="B49" s="64" t="s">
        <v>45</v>
      </c>
      <c r="C49" s="64">
        <v>724.34215505105772</v>
      </c>
      <c r="D49" s="64" t="s">
        <v>33</v>
      </c>
      <c r="E49" s="64">
        <v>3</v>
      </c>
      <c r="F49" s="64" t="s">
        <v>24</v>
      </c>
      <c r="G49" s="61" t="str">
        <f>VLOOKUP(E49,Bioeconomía!$A$1:$C$13,3,FALSE)</f>
        <v>No Bioeconomía</v>
      </c>
      <c r="H49" s="64" t="s">
        <v>34</v>
      </c>
      <c r="I49" s="64">
        <v>10</v>
      </c>
      <c r="J49" s="64" t="s">
        <v>30</v>
      </c>
      <c r="K49" s="62" t="str">
        <f>VLOOKUP(I49,Bioeconomía!$A$1:$C$13,3,FALSE)</f>
        <v>Bioeconomía extendida</v>
      </c>
    </row>
    <row r="50" spans="1:11">
      <c r="A50" s="60" t="s">
        <v>56</v>
      </c>
      <c r="B50" s="61" t="s">
        <v>46</v>
      </c>
      <c r="C50" s="61">
        <v>2143.2518453646339</v>
      </c>
      <c r="D50" s="61" t="s">
        <v>33</v>
      </c>
      <c r="E50" s="61">
        <v>3</v>
      </c>
      <c r="F50" s="61" t="s">
        <v>24</v>
      </c>
      <c r="G50" s="61" t="str">
        <f>VLOOKUP(E50,Bioeconomía!$A$1:$C$13,3,FALSE)</f>
        <v>No Bioeconomía</v>
      </c>
      <c r="H50" s="61" t="s">
        <v>34</v>
      </c>
      <c r="I50" s="61">
        <v>11</v>
      </c>
      <c r="J50" s="61" t="s">
        <v>31</v>
      </c>
      <c r="K50" s="62" t="str">
        <f>VLOOKUP(I50,Bioeconomía!$A$1:$C$13,3,FALSE)</f>
        <v>No Bioeconomía</v>
      </c>
    </row>
    <row r="51" spans="1:11">
      <c r="A51" s="63" t="s">
        <v>56</v>
      </c>
      <c r="B51" s="64" t="s">
        <v>47</v>
      </c>
      <c r="C51" s="64">
        <v>363.03962712610962</v>
      </c>
      <c r="D51" s="64" t="s">
        <v>33</v>
      </c>
      <c r="E51" s="64">
        <v>3</v>
      </c>
      <c r="F51" s="64" t="s">
        <v>24</v>
      </c>
      <c r="G51" s="61" t="str">
        <f>VLOOKUP(E51,Bioeconomía!$A$1:$C$13,3,FALSE)</f>
        <v>No Bioeconomía</v>
      </c>
      <c r="H51" s="64" t="s">
        <v>34</v>
      </c>
      <c r="I51" s="64">
        <v>12</v>
      </c>
      <c r="J51" s="64" t="s">
        <v>21</v>
      </c>
      <c r="K51" s="62" t="str">
        <f>VLOOKUP(I51,Bioeconomía!$A$1:$C$13,3,FALSE)</f>
        <v>No Bioeconomía</v>
      </c>
    </row>
    <row r="52" spans="1:11">
      <c r="A52" s="60" t="s">
        <v>56</v>
      </c>
      <c r="B52" s="61" t="s">
        <v>48</v>
      </c>
      <c r="C52" s="61">
        <v>22272.496082856436</v>
      </c>
      <c r="D52" s="61" t="s">
        <v>33</v>
      </c>
      <c r="E52" s="61">
        <v>3</v>
      </c>
      <c r="F52" s="61" t="s">
        <v>24</v>
      </c>
      <c r="G52" s="61" t="str">
        <f>VLOOKUP(E52,Bioeconomía!$A$1:$C$13,3,FALSE)</f>
        <v>No Bioeconomía</v>
      </c>
      <c r="H52" s="61" t="s">
        <v>4</v>
      </c>
      <c r="I52" s="61" t="s">
        <v>35</v>
      </c>
      <c r="J52" s="61" t="s">
        <v>35</v>
      </c>
      <c r="K52" s="62" t="str">
        <f>VLOOKUP(I52,Bioeconomía!$A$1:$C$13,3,FALSE)</f>
        <v>Ninguno</v>
      </c>
    </row>
    <row r="53" spans="1:11">
      <c r="A53" s="63" t="s">
        <v>56</v>
      </c>
      <c r="B53" s="64" t="s">
        <v>49</v>
      </c>
      <c r="C53" s="64">
        <v>0</v>
      </c>
      <c r="D53" s="64" t="s">
        <v>33</v>
      </c>
      <c r="E53" s="64">
        <v>3</v>
      </c>
      <c r="F53" s="64" t="s">
        <v>24</v>
      </c>
      <c r="G53" s="61" t="str">
        <f>VLOOKUP(E53,Bioeconomía!$A$1:$C$13,3,FALSE)</f>
        <v>No Bioeconomía</v>
      </c>
      <c r="H53" s="64" t="s">
        <v>5</v>
      </c>
      <c r="I53" s="64" t="s">
        <v>35</v>
      </c>
      <c r="J53" s="64" t="s">
        <v>35</v>
      </c>
      <c r="K53" s="62" t="str">
        <f>VLOOKUP(I53,Bioeconomía!$A$1:$C$13,3,FALSE)</f>
        <v>Ninguno</v>
      </c>
    </row>
    <row r="54" spans="1:11">
      <c r="A54" s="60" t="s">
        <v>56</v>
      </c>
      <c r="B54" s="61" t="s">
        <v>50</v>
      </c>
      <c r="C54" s="61">
        <v>86.443491400629199</v>
      </c>
      <c r="D54" s="61" t="s">
        <v>33</v>
      </c>
      <c r="E54" s="61">
        <v>3</v>
      </c>
      <c r="F54" s="61" t="s">
        <v>24</v>
      </c>
      <c r="G54" s="61" t="str">
        <f>VLOOKUP(E54,Bioeconomía!$A$1:$C$13,3,FALSE)</f>
        <v>No Bioeconomía</v>
      </c>
      <c r="H54" s="61" t="s">
        <v>6</v>
      </c>
      <c r="I54" s="61" t="s">
        <v>35</v>
      </c>
      <c r="J54" s="61" t="s">
        <v>35</v>
      </c>
      <c r="K54" s="62" t="str">
        <f>VLOOKUP(I54,Bioeconomía!$A$1:$C$13,3,FALSE)</f>
        <v>Ninguno</v>
      </c>
    </row>
    <row r="55" spans="1:11">
      <c r="A55" s="63" t="s">
        <v>56</v>
      </c>
      <c r="B55" s="64" t="s">
        <v>51</v>
      </c>
      <c r="C55" s="64">
        <v>4045.856643177457</v>
      </c>
      <c r="D55" s="64" t="s">
        <v>33</v>
      </c>
      <c r="E55" s="64">
        <v>3</v>
      </c>
      <c r="F55" s="64" t="s">
        <v>24</v>
      </c>
      <c r="G55" s="61" t="str">
        <f>VLOOKUP(E55,Bioeconomía!$A$1:$C$13,3,FALSE)</f>
        <v>No Bioeconomía</v>
      </c>
      <c r="H55" s="64" t="s">
        <v>7</v>
      </c>
      <c r="I55" s="64" t="s">
        <v>35</v>
      </c>
      <c r="J55" s="64" t="s">
        <v>35</v>
      </c>
      <c r="K55" s="62" t="str">
        <f>VLOOKUP(I55,Bioeconomía!$A$1:$C$13,3,FALSE)</f>
        <v>Ninguno</v>
      </c>
    </row>
    <row r="56" spans="1:11">
      <c r="A56" s="60" t="s">
        <v>56</v>
      </c>
      <c r="B56" s="61" t="s">
        <v>52</v>
      </c>
      <c r="C56" s="61">
        <v>-300.63449098921058</v>
      </c>
      <c r="D56" s="61" t="s">
        <v>33</v>
      </c>
      <c r="E56" s="61">
        <v>3</v>
      </c>
      <c r="F56" s="61" t="s">
        <v>24</v>
      </c>
      <c r="G56" s="61" t="str">
        <f>VLOOKUP(E56,Bioeconomía!$A$1:$C$13,3,FALSE)</f>
        <v>No Bioeconomía</v>
      </c>
      <c r="H56" s="61" t="s">
        <v>8</v>
      </c>
      <c r="I56" s="61" t="s">
        <v>35</v>
      </c>
      <c r="J56" s="61" t="s">
        <v>35</v>
      </c>
      <c r="K56" s="62" t="str">
        <f>VLOOKUP(I56,Bioeconomía!$A$1:$C$13,3,FALSE)</f>
        <v>Ninguno</v>
      </c>
    </row>
    <row r="57" spans="1:11">
      <c r="A57" s="63" t="s">
        <v>56</v>
      </c>
      <c r="B57" s="64" t="s">
        <v>53</v>
      </c>
      <c r="C57" s="64">
        <v>27660.472046589188</v>
      </c>
      <c r="D57" s="64" t="s">
        <v>33</v>
      </c>
      <c r="E57" s="64">
        <v>3</v>
      </c>
      <c r="F57" s="64" t="s">
        <v>24</v>
      </c>
      <c r="G57" s="61" t="str">
        <f>VLOOKUP(E57,Bioeconomía!$A$1:$C$13,3,FALSE)</f>
        <v>No Bioeconomía</v>
      </c>
      <c r="H57" s="64" t="s">
        <v>9</v>
      </c>
      <c r="I57" s="64" t="s">
        <v>35</v>
      </c>
      <c r="J57" s="64" t="s">
        <v>35</v>
      </c>
      <c r="K57" s="62" t="str">
        <f>VLOOKUP(I57,Bioeconomía!$A$1:$C$13,3,FALSE)</f>
        <v>Ninguno</v>
      </c>
    </row>
    <row r="58" spans="1:11">
      <c r="A58" s="60" t="s">
        <v>57</v>
      </c>
      <c r="B58" s="61" t="s">
        <v>36</v>
      </c>
      <c r="C58" s="61">
        <v>245.3914624015523</v>
      </c>
      <c r="D58" s="61" t="s">
        <v>33</v>
      </c>
      <c r="E58" s="61">
        <v>4</v>
      </c>
      <c r="F58" s="61" t="s">
        <v>25</v>
      </c>
      <c r="G58" s="61" t="str">
        <f>VLOOKUP(E58,Bioeconomía!$A$1:$C$13,3,FALSE)</f>
        <v>No Bioeconomía</v>
      </c>
      <c r="H58" s="61" t="s">
        <v>34</v>
      </c>
      <c r="I58" s="61">
        <v>1</v>
      </c>
      <c r="J58" s="61" t="s">
        <v>22</v>
      </c>
      <c r="K58" s="62" t="str">
        <f>VLOOKUP(I58,Bioeconomía!$A$1:$C$13,3,FALSE)</f>
        <v>Bioeconomía</v>
      </c>
    </row>
    <row r="59" spans="1:11">
      <c r="A59" s="63" t="s">
        <v>57</v>
      </c>
      <c r="B59" s="64" t="s">
        <v>37</v>
      </c>
      <c r="C59" s="64">
        <v>3380.9071105102366</v>
      </c>
      <c r="D59" s="64" t="s">
        <v>33</v>
      </c>
      <c r="E59" s="64">
        <v>4</v>
      </c>
      <c r="F59" s="64" t="s">
        <v>25</v>
      </c>
      <c r="G59" s="61" t="str">
        <f>VLOOKUP(E59,Bioeconomía!$A$1:$C$13,3,FALSE)</f>
        <v>No Bioeconomía</v>
      </c>
      <c r="H59" s="64" t="s">
        <v>34</v>
      </c>
      <c r="I59" s="64">
        <v>2</v>
      </c>
      <c r="J59" s="64" t="s">
        <v>23</v>
      </c>
      <c r="K59" s="62" t="str">
        <f>VLOOKUP(I59,Bioeconomía!$A$1:$C$13,3,FALSE)</f>
        <v>No Bioeconomía</v>
      </c>
    </row>
    <row r="60" spans="1:11">
      <c r="A60" s="60" t="s">
        <v>57</v>
      </c>
      <c r="B60" s="61" t="s">
        <v>38</v>
      </c>
      <c r="C60" s="61">
        <v>2940.4898871786891</v>
      </c>
      <c r="D60" s="61" t="s">
        <v>33</v>
      </c>
      <c r="E60" s="61">
        <v>4</v>
      </c>
      <c r="F60" s="61" t="s">
        <v>25</v>
      </c>
      <c r="G60" s="61" t="str">
        <f>VLOOKUP(E60,Bioeconomía!$A$1:$C$13,3,FALSE)</f>
        <v>No Bioeconomía</v>
      </c>
      <c r="H60" s="61" t="s">
        <v>34</v>
      </c>
      <c r="I60" s="61">
        <v>3</v>
      </c>
      <c r="J60" s="61" t="s">
        <v>24</v>
      </c>
      <c r="K60" s="62" t="str">
        <f>VLOOKUP(I60,Bioeconomía!$A$1:$C$13,3,FALSE)</f>
        <v>No Bioeconomía</v>
      </c>
    </row>
    <row r="61" spans="1:11">
      <c r="A61" s="63" t="s">
        <v>57</v>
      </c>
      <c r="B61" s="64" t="s">
        <v>39</v>
      </c>
      <c r="C61" s="64">
        <v>2005.3179010334675</v>
      </c>
      <c r="D61" s="64" t="s">
        <v>33</v>
      </c>
      <c r="E61" s="64">
        <v>4</v>
      </c>
      <c r="F61" s="64" t="s">
        <v>25</v>
      </c>
      <c r="G61" s="61" t="str">
        <f>VLOOKUP(E61,Bioeconomía!$A$1:$C$13,3,FALSE)</f>
        <v>No Bioeconomía</v>
      </c>
      <c r="H61" s="64" t="s">
        <v>34</v>
      </c>
      <c r="I61" s="64">
        <v>4</v>
      </c>
      <c r="J61" s="64" t="s">
        <v>25</v>
      </c>
      <c r="K61" s="62" t="str">
        <f>VLOOKUP(I61,Bioeconomía!$A$1:$C$13,3,FALSE)</f>
        <v>No Bioeconomía</v>
      </c>
    </row>
    <row r="62" spans="1:11">
      <c r="A62" s="60" t="s">
        <v>57</v>
      </c>
      <c r="B62" s="61" t="s">
        <v>40</v>
      </c>
      <c r="C62" s="61">
        <v>268.21388592482629</v>
      </c>
      <c r="D62" s="61" t="s">
        <v>33</v>
      </c>
      <c r="E62" s="61">
        <v>4</v>
      </c>
      <c r="F62" s="61" t="s">
        <v>25</v>
      </c>
      <c r="G62" s="61" t="str">
        <f>VLOOKUP(E62,Bioeconomía!$A$1:$C$13,3,FALSE)</f>
        <v>No Bioeconomía</v>
      </c>
      <c r="H62" s="61" t="s">
        <v>34</v>
      </c>
      <c r="I62" s="61">
        <v>5</v>
      </c>
      <c r="J62" s="61" t="s">
        <v>26</v>
      </c>
      <c r="K62" s="62" t="str">
        <f>VLOOKUP(I62,Bioeconomía!$A$1:$C$13,3,FALSE)</f>
        <v>No Bioeconomía</v>
      </c>
    </row>
    <row r="63" spans="1:11">
      <c r="A63" s="63" t="s">
        <v>57</v>
      </c>
      <c r="B63" s="64" t="s">
        <v>41</v>
      </c>
      <c r="C63" s="64">
        <v>987.68203986104686</v>
      </c>
      <c r="D63" s="64" t="s">
        <v>33</v>
      </c>
      <c r="E63" s="64">
        <v>4</v>
      </c>
      <c r="F63" s="64" t="s">
        <v>25</v>
      </c>
      <c r="G63" s="61" t="str">
        <f>VLOOKUP(E63,Bioeconomía!$A$1:$C$13,3,FALSE)</f>
        <v>No Bioeconomía</v>
      </c>
      <c r="H63" s="64" t="s">
        <v>34</v>
      </c>
      <c r="I63" s="64">
        <v>6</v>
      </c>
      <c r="J63" s="64" t="s">
        <v>27</v>
      </c>
      <c r="K63" s="62" t="str">
        <f>VLOOKUP(I63,Bioeconomía!$A$1:$C$13,3,FALSE)</f>
        <v>No Bioeconomía</v>
      </c>
    </row>
    <row r="64" spans="1:11">
      <c r="A64" s="60" t="s">
        <v>57</v>
      </c>
      <c r="B64" s="61" t="s">
        <v>42</v>
      </c>
      <c r="C64" s="61">
        <v>498.25204850715994</v>
      </c>
      <c r="D64" s="61" t="s">
        <v>33</v>
      </c>
      <c r="E64" s="61">
        <v>4</v>
      </c>
      <c r="F64" s="61" t="s">
        <v>25</v>
      </c>
      <c r="G64" s="61" t="str">
        <f>VLOOKUP(E64,Bioeconomía!$A$1:$C$13,3,FALSE)</f>
        <v>No Bioeconomía</v>
      </c>
      <c r="H64" s="61" t="s">
        <v>34</v>
      </c>
      <c r="I64" s="61">
        <v>7</v>
      </c>
      <c r="J64" s="61" t="s">
        <v>28</v>
      </c>
      <c r="K64" s="62" t="str">
        <f>VLOOKUP(I64,Bioeconomía!$A$1:$C$13,3,FALSE)</f>
        <v>No Bioeconomía</v>
      </c>
    </row>
    <row r="65" spans="1:11">
      <c r="A65" s="63" t="s">
        <v>57</v>
      </c>
      <c r="B65" s="64" t="s">
        <v>43</v>
      </c>
      <c r="C65" s="64">
        <v>134.92253182901922</v>
      </c>
      <c r="D65" s="64" t="s">
        <v>33</v>
      </c>
      <c r="E65" s="64">
        <v>4</v>
      </c>
      <c r="F65" s="64" t="s">
        <v>25</v>
      </c>
      <c r="G65" s="61" t="str">
        <f>VLOOKUP(E65,Bioeconomía!$A$1:$C$13,3,FALSE)</f>
        <v>No Bioeconomía</v>
      </c>
      <c r="H65" s="64" t="s">
        <v>34</v>
      </c>
      <c r="I65" s="64">
        <v>8</v>
      </c>
      <c r="J65" s="64" t="s">
        <v>20</v>
      </c>
      <c r="K65" s="62" t="str">
        <f>VLOOKUP(I65,Bioeconomía!$A$1:$C$13,3,FALSE)</f>
        <v>No Bioeconomía</v>
      </c>
    </row>
    <row r="66" spans="1:11">
      <c r="A66" s="60" t="s">
        <v>57</v>
      </c>
      <c r="B66" s="61" t="s">
        <v>44</v>
      </c>
      <c r="C66" s="61">
        <v>217.21723463459776</v>
      </c>
      <c r="D66" s="61" t="s">
        <v>33</v>
      </c>
      <c r="E66" s="61">
        <v>4</v>
      </c>
      <c r="F66" s="61" t="s">
        <v>25</v>
      </c>
      <c r="G66" s="61" t="str">
        <f>VLOOKUP(E66,Bioeconomía!$A$1:$C$13,3,FALSE)</f>
        <v>No Bioeconomía</v>
      </c>
      <c r="H66" s="61" t="s">
        <v>34</v>
      </c>
      <c r="I66" s="61">
        <v>9</v>
      </c>
      <c r="J66" s="61" t="s">
        <v>29</v>
      </c>
      <c r="K66" s="62" t="str">
        <f>VLOOKUP(I66,Bioeconomía!$A$1:$C$13,3,FALSE)</f>
        <v>No Bioeconomía</v>
      </c>
    </row>
    <row r="67" spans="1:11">
      <c r="A67" s="63" t="s">
        <v>57</v>
      </c>
      <c r="B67" s="64" t="s">
        <v>45</v>
      </c>
      <c r="C67" s="64">
        <v>231.67899014736994</v>
      </c>
      <c r="D67" s="64" t="s">
        <v>33</v>
      </c>
      <c r="E67" s="64">
        <v>4</v>
      </c>
      <c r="F67" s="64" t="s">
        <v>25</v>
      </c>
      <c r="G67" s="61" t="str">
        <f>VLOOKUP(E67,Bioeconomía!$A$1:$C$13,3,FALSE)</f>
        <v>No Bioeconomía</v>
      </c>
      <c r="H67" s="64" t="s">
        <v>34</v>
      </c>
      <c r="I67" s="64">
        <v>10</v>
      </c>
      <c r="J67" s="64" t="s">
        <v>30</v>
      </c>
      <c r="K67" s="62" t="str">
        <f>VLOOKUP(I67,Bioeconomía!$A$1:$C$13,3,FALSE)</f>
        <v>Bioeconomía extendida</v>
      </c>
    </row>
    <row r="68" spans="1:11">
      <c r="A68" s="60" t="s">
        <v>57</v>
      </c>
      <c r="B68" s="61" t="s">
        <v>46</v>
      </c>
      <c r="C68" s="61">
        <v>487.05717689247598</v>
      </c>
      <c r="D68" s="61" t="s">
        <v>33</v>
      </c>
      <c r="E68" s="61">
        <v>4</v>
      </c>
      <c r="F68" s="61" t="s">
        <v>25</v>
      </c>
      <c r="G68" s="61" t="str">
        <f>VLOOKUP(E68,Bioeconomía!$A$1:$C$13,3,FALSE)</f>
        <v>No Bioeconomía</v>
      </c>
      <c r="H68" s="61" t="s">
        <v>34</v>
      </c>
      <c r="I68" s="61">
        <v>11</v>
      </c>
      <c r="J68" s="61" t="s">
        <v>31</v>
      </c>
      <c r="K68" s="62" t="str">
        <f>VLOOKUP(I68,Bioeconomía!$A$1:$C$13,3,FALSE)</f>
        <v>No Bioeconomía</v>
      </c>
    </row>
    <row r="69" spans="1:11">
      <c r="A69" s="63" t="s">
        <v>57</v>
      </c>
      <c r="B69" s="64" t="s">
        <v>47</v>
      </c>
      <c r="C69" s="64">
        <v>578.822278306935</v>
      </c>
      <c r="D69" s="64" t="s">
        <v>33</v>
      </c>
      <c r="E69" s="64">
        <v>4</v>
      </c>
      <c r="F69" s="64" t="s">
        <v>25</v>
      </c>
      <c r="G69" s="61" t="str">
        <f>VLOOKUP(E69,Bioeconomía!$A$1:$C$13,3,FALSE)</f>
        <v>No Bioeconomía</v>
      </c>
      <c r="H69" s="64" t="s">
        <v>34</v>
      </c>
      <c r="I69" s="64">
        <v>12</v>
      </c>
      <c r="J69" s="64" t="s">
        <v>21</v>
      </c>
      <c r="K69" s="62" t="str">
        <f>VLOOKUP(I69,Bioeconomía!$A$1:$C$13,3,FALSE)</f>
        <v>No Bioeconomía</v>
      </c>
    </row>
    <row r="70" spans="1:11">
      <c r="A70" s="60" t="s">
        <v>57</v>
      </c>
      <c r="B70" s="61" t="s">
        <v>48</v>
      </c>
      <c r="C70" s="61">
        <v>3763.8962261861479</v>
      </c>
      <c r="D70" s="61" t="s">
        <v>33</v>
      </c>
      <c r="E70" s="61">
        <v>4</v>
      </c>
      <c r="F70" s="61" t="s">
        <v>25</v>
      </c>
      <c r="G70" s="61" t="str">
        <f>VLOOKUP(E70,Bioeconomía!$A$1:$C$13,3,FALSE)</f>
        <v>No Bioeconomía</v>
      </c>
      <c r="H70" s="61" t="s">
        <v>4</v>
      </c>
      <c r="I70" s="61" t="s">
        <v>35</v>
      </c>
      <c r="J70" s="61" t="s">
        <v>35</v>
      </c>
      <c r="K70" s="62" t="str">
        <f>VLOOKUP(I70,Bioeconomía!$A$1:$C$13,3,FALSE)</f>
        <v>Ninguno</v>
      </c>
    </row>
    <row r="71" spans="1:11">
      <c r="A71" s="63" t="s">
        <v>57</v>
      </c>
      <c r="B71" s="64" t="s">
        <v>49</v>
      </c>
      <c r="C71" s="64">
        <v>0</v>
      </c>
      <c r="D71" s="64" t="s">
        <v>33</v>
      </c>
      <c r="E71" s="64">
        <v>4</v>
      </c>
      <c r="F71" s="64" t="s">
        <v>25</v>
      </c>
      <c r="G71" s="61" t="str">
        <f>VLOOKUP(E71,Bioeconomía!$A$1:$C$13,3,FALSE)</f>
        <v>No Bioeconomía</v>
      </c>
      <c r="H71" s="64" t="s">
        <v>5</v>
      </c>
      <c r="I71" s="64" t="s">
        <v>35</v>
      </c>
      <c r="J71" s="64" t="s">
        <v>35</v>
      </c>
      <c r="K71" s="62" t="str">
        <f>VLOOKUP(I71,Bioeconomía!$A$1:$C$13,3,FALSE)</f>
        <v>Ninguno</v>
      </c>
    </row>
    <row r="72" spans="1:11">
      <c r="A72" s="60" t="s">
        <v>57</v>
      </c>
      <c r="B72" s="61" t="s">
        <v>50</v>
      </c>
      <c r="C72" s="61">
        <v>83.189665272501514</v>
      </c>
      <c r="D72" s="61" t="s">
        <v>33</v>
      </c>
      <c r="E72" s="61">
        <v>4</v>
      </c>
      <c r="F72" s="61" t="s">
        <v>25</v>
      </c>
      <c r="G72" s="61" t="str">
        <f>VLOOKUP(E72,Bioeconomía!$A$1:$C$13,3,FALSE)</f>
        <v>No Bioeconomía</v>
      </c>
      <c r="H72" s="61" t="s">
        <v>6</v>
      </c>
      <c r="I72" s="61" t="s">
        <v>35</v>
      </c>
      <c r="J72" s="61" t="s">
        <v>35</v>
      </c>
      <c r="K72" s="62" t="str">
        <f>VLOOKUP(I72,Bioeconomía!$A$1:$C$13,3,FALSE)</f>
        <v>Ninguno</v>
      </c>
    </row>
    <row r="73" spans="1:11">
      <c r="A73" s="63" t="s">
        <v>57</v>
      </c>
      <c r="B73" s="64" t="s">
        <v>51</v>
      </c>
      <c r="C73" s="64">
        <v>55.968353856951722</v>
      </c>
      <c r="D73" s="64" t="s">
        <v>33</v>
      </c>
      <c r="E73" s="64">
        <v>4</v>
      </c>
      <c r="F73" s="64" t="s">
        <v>25</v>
      </c>
      <c r="G73" s="61" t="str">
        <f>VLOOKUP(E73,Bioeconomía!$A$1:$C$13,3,FALSE)</f>
        <v>No Bioeconomía</v>
      </c>
      <c r="H73" s="64" t="s">
        <v>7</v>
      </c>
      <c r="I73" s="64" t="s">
        <v>35</v>
      </c>
      <c r="J73" s="64" t="s">
        <v>35</v>
      </c>
      <c r="K73" s="62" t="str">
        <f>VLOOKUP(I73,Bioeconomía!$A$1:$C$13,3,FALSE)</f>
        <v>Ninguno</v>
      </c>
    </row>
    <row r="74" spans="1:11">
      <c r="A74" s="60" t="s">
        <v>57</v>
      </c>
      <c r="B74" s="61" t="s">
        <v>52</v>
      </c>
      <c r="C74" s="61">
        <v>0.45411780960103626</v>
      </c>
      <c r="D74" s="61" t="s">
        <v>33</v>
      </c>
      <c r="E74" s="61">
        <v>4</v>
      </c>
      <c r="F74" s="61" t="s">
        <v>25</v>
      </c>
      <c r="G74" s="61" t="str">
        <f>VLOOKUP(E74,Bioeconomía!$A$1:$C$13,3,FALSE)</f>
        <v>No Bioeconomía</v>
      </c>
      <c r="H74" s="61" t="s">
        <v>8</v>
      </c>
      <c r="I74" s="61" t="s">
        <v>35</v>
      </c>
      <c r="J74" s="61" t="s">
        <v>35</v>
      </c>
      <c r="K74" s="62" t="str">
        <f>VLOOKUP(I74,Bioeconomía!$A$1:$C$13,3,FALSE)</f>
        <v>Ninguno</v>
      </c>
    </row>
    <row r="75" spans="1:11">
      <c r="A75" s="63" t="s">
        <v>57</v>
      </c>
      <c r="B75" s="64" t="s">
        <v>53</v>
      </c>
      <c r="C75" s="64">
        <v>81.481389629637704</v>
      </c>
      <c r="D75" s="64" t="s">
        <v>33</v>
      </c>
      <c r="E75" s="64">
        <v>4</v>
      </c>
      <c r="F75" s="64" t="s">
        <v>25</v>
      </c>
      <c r="G75" s="61" t="str">
        <f>VLOOKUP(E75,Bioeconomía!$A$1:$C$13,3,FALSE)</f>
        <v>No Bioeconomía</v>
      </c>
      <c r="H75" s="64" t="s">
        <v>9</v>
      </c>
      <c r="I75" s="64" t="s">
        <v>35</v>
      </c>
      <c r="J75" s="64" t="s">
        <v>35</v>
      </c>
      <c r="K75" s="62" t="str">
        <f>VLOOKUP(I75,Bioeconomía!$A$1:$C$13,3,FALSE)</f>
        <v>Ninguno</v>
      </c>
    </row>
    <row r="76" spans="1:11">
      <c r="A76" s="60" t="s">
        <v>58</v>
      </c>
      <c r="B76" s="61" t="s">
        <v>36</v>
      </c>
      <c r="C76" s="61">
        <v>1.0332716340274708</v>
      </c>
      <c r="D76" s="61" t="s">
        <v>33</v>
      </c>
      <c r="E76" s="61">
        <v>5</v>
      </c>
      <c r="F76" s="61" t="s">
        <v>26</v>
      </c>
      <c r="G76" s="61" t="str">
        <f>VLOOKUP(E76,Bioeconomía!$A$1:$C$13,3,FALSE)</f>
        <v>No Bioeconomía</v>
      </c>
      <c r="H76" s="61" t="s">
        <v>34</v>
      </c>
      <c r="I76" s="61">
        <v>1</v>
      </c>
      <c r="J76" s="61" t="s">
        <v>22</v>
      </c>
      <c r="K76" s="62" t="str">
        <f>VLOOKUP(I76,Bioeconomía!$A$1:$C$13,3,FALSE)</f>
        <v>Bioeconomía</v>
      </c>
    </row>
    <row r="77" spans="1:11">
      <c r="A77" s="63" t="s">
        <v>58</v>
      </c>
      <c r="B77" s="64" t="s">
        <v>37</v>
      </c>
      <c r="C77" s="64">
        <v>3.0356265766134927</v>
      </c>
      <c r="D77" s="64" t="s">
        <v>33</v>
      </c>
      <c r="E77" s="64">
        <v>5</v>
      </c>
      <c r="F77" s="64" t="s">
        <v>26</v>
      </c>
      <c r="G77" s="61" t="str">
        <f>VLOOKUP(E77,Bioeconomía!$A$1:$C$13,3,FALSE)</f>
        <v>No Bioeconomía</v>
      </c>
      <c r="H77" s="64" t="s">
        <v>34</v>
      </c>
      <c r="I77" s="64">
        <v>2</v>
      </c>
      <c r="J77" s="64" t="s">
        <v>23</v>
      </c>
      <c r="K77" s="62" t="str">
        <f>VLOOKUP(I77,Bioeconomía!$A$1:$C$13,3,FALSE)</f>
        <v>No Bioeconomía</v>
      </c>
    </row>
    <row r="78" spans="1:11">
      <c r="A78" s="60" t="s">
        <v>58</v>
      </c>
      <c r="B78" s="61" t="s">
        <v>38</v>
      </c>
      <c r="C78" s="61">
        <v>10.808026343273349</v>
      </c>
      <c r="D78" s="61" t="s">
        <v>33</v>
      </c>
      <c r="E78" s="61">
        <v>5</v>
      </c>
      <c r="F78" s="61" t="s">
        <v>26</v>
      </c>
      <c r="G78" s="61" t="str">
        <f>VLOOKUP(E78,Bioeconomía!$A$1:$C$13,3,FALSE)</f>
        <v>No Bioeconomía</v>
      </c>
      <c r="H78" s="61" t="s">
        <v>34</v>
      </c>
      <c r="I78" s="61">
        <v>3</v>
      </c>
      <c r="J78" s="61" t="s">
        <v>24</v>
      </c>
      <c r="K78" s="62" t="str">
        <f>VLOOKUP(I78,Bioeconomía!$A$1:$C$13,3,FALSE)</f>
        <v>No Bioeconomía</v>
      </c>
    </row>
    <row r="79" spans="1:11">
      <c r="A79" s="63" t="s">
        <v>58</v>
      </c>
      <c r="B79" s="64" t="s">
        <v>39</v>
      </c>
      <c r="C79" s="64">
        <v>1.6691959202417861</v>
      </c>
      <c r="D79" s="64" t="s">
        <v>33</v>
      </c>
      <c r="E79" s="64">
        <v>5</v>
      </c>
      <c r="F79" s="64" t="s">
        <v>26</v>
      </c>
      <c r="G79" s="61" t="str">
        <f>VLOOKUP(E79,Bioeconomía!$A$1:$C$13,3,FALSE)</f>
        <v>No Bioeconomía</v>
      </c>
      <c r="H79" s="64" t="s">
        <v>34</v>
      </c>
      <c r="I79" s="64">
        <v>4</v>
      </c>
      <c r="J79" s="64" t="s">
        <v>25</v>
      </c>
      <c r="K79" s="62" t="str">
        <f>VLOOKUP(I79,Bioeconomía!$A$1:$C$13,3,FALSE)</f>
        <v>No Bioeconomía</v>
      </c>
    </row>
    <row r="80" spans="1:11">
      <c r="A80" s="60" t="s">
        <v>58</v>
      </c>
      <c r="B80" s="61" t="s">
        <v>40</v>
      </c>
      <c r="C80" s="61">
        <v>5292.5470910371168</v>
      </c>
      <c r="D80" s="61" t="s">
        <v>33</v>
      </c>
      <c r="E80" s="61">
        <v>5</v>
      </c>
      <c r="F80" s="61" t="s">
        <v>26</v>
      </c>
      <c r="G80" s="61" t="str">
        <f>VLOOKUP(E80,Bioeconomía!$A$1:$C$13,3,FALSE)</f>
        <v>No Bioeconomía</v>
      </c>
      <c r="H80" s="61" t="s">
        <v>34</v>
      </c>
      <c r="I80" s="61">
        <v>5</v>
      </c>
      <c r="J80" s="61" t="s">
        <v>26</v>
      </c>
      <c r="K80" s="62" t="str">
        <f>VLOOKUP(I80,Bioeconomía!$A$1:$C$13,3,FALSE)</f>
        <v>No Bioeconomía</v>
      </c>
    </row>
    <row r="81" spans="1:11">
      <c r="A81" s="63" t="s">
        <v>58</v>
      </c>
      <c r="B81" s="64" t="s">
        <v>41</v>
      </c>
      <c r="C81" s="64">
        <v>59.406447949104333</v>
      </c>
      <c r="D81" s="64" t="s">
        <v>33</v>
      </c>
      <c r="E81" s="64">
        <v>5</v>
      </c>
      <c r="F81" s="64" t="s">
        <v>26</v>
      </c>
      <c r="G81" s="61" t="str">
        <f>VLOOKUP(E81,Bioeconomía!$A$1:$C$13,3,FALSE)</f>
        <v>No Bioeconomía</v>
      </c>
      <c r="H81" s="64" t="s">
        <v>34</v>
      </c>
      <c r="I81" s="64">
        <v>6</v>
      </c>
      <c r="J81" s="64" t="s">
        <v>27</v>
      </c>
      <c r="K81" s="62" t="str">
        <f>VLOOKUP(I81,Bioeconomía!$A$1:$C$13,3,FALSE)</f>
        <v>No Bioeconomía</v>
      </c>
    </row>
    <row r="82" spans="1:11">
      <c r="A82" s="60" t="s">
        <v>58</v>
      </c>
      <c r="B82" s="61" t="s">
        <v>42</v>
      </c>
      <c r="C82" s="61">
        <v>30.30313659084123</v>
      </c>
      <c r="D82" s="61" t="s">
        <v>33</v>
      </c>
      <c r="E82" s="61">
        <v>5</v>
      </c>
      <c r="F82" s="61" t="s">
        <v>26</v>
      </c>
      <c r="G82" s="61" t="str">
        <f>VLOOKUP(E82,Bioeconomía!$A$1:$C$13,3,FALSE)</f>
        <v>No Bioeconomía</v>
      </c>
      <c r="H82" s="61" t="s">
        <v>34</v>
      </c>
      <c r="I82" s="61">
        <v>7</v>
      </c>
      <c r="J82" s="61" t="s">
        <v>28</v>
      </c>
      <c r="K82" s="62" t="str">
        <f>VLOOKUP(I82,Bioeconomía!$A$1:$C$13,3,FALSE)</f>
        <v>No Bioeconomía</v>
      </c>
    </row>
    <row r="83" spans="1:11">
      <c r="A83" s="63" t="s">
        <v>58</v>
      </c>
      <c r="B83" s="64" t="s">
        <v>43</v>
      </c>
      <c r="C83" s="64">
        <v>15.079325402288482</v>
      </c>
      <c r="D83" s="64" t="s">
        <v>33</v>
      </c>
      <c r="E83" s="64">
        <v>5</v>
      </c>
      <c r="F83" s="64" t="s">
        <v>26</v>
      </c>
      <c r="G83" s="61" t="str">
        <f>VLOOKUP(E83,Bioeconomía!$A$1:$C$13,3,FALSE)</f>
        <v>No Bioeconomía</v>
      </c>
      <c r="H83" s="64" t="s">
        <v>34</v>
      </c>
      <c r="I83" s="64">
        <v>8</v>
      </c>
      <c r="J83" s="64" t="s">
        <v>20</v>
      </c>
      <c r="K83" s="62" t="str">
        <f>VLOOKUP(I83,Bioeconomía!$A$1:$C$13,3,FALSE)</f>
        <v>No Bioeconomía</v>
      </c>
    </row>
    <row r="84" spans="1:11">
      <c r="A84" s="60" t="s">
        <v>58</v>
      </c>
      <c r="B84" s="61" t="s">
        <v>44</v>
      </c>
      <c r="C84" s="61">
        <v>2916.6355399187187</v>
      </c>
      <c r="D84" s="61" t="s">
        <v>33</v>
      </c>
      <c r="E84" s="61">
        <v>5</v>
      </c>
      <c r="F84" s="61" t="s">
        <v>26</v>
      </c>
      <c r="G84" s="61" t="str">
        <f>VLOOKUP(E84,Bioeconomía!$A$1:$C$13,3,FALSE)</f>
        <v>No Bioeconomía</v>
      </c>
      <c r="H84" s="61" t="s">
        <v>34</v>
      </c>
      <c r="I84" s="61">
        <v>9</v>
      </c>
      <c r="J84" s="61" t="s">
        <v>29</v>
      </c>
      <c r="K84" s="62" t="str">
        <f>VLOOKUP(I84,Bioeconomía!$A$1:$C$13,3,FALSE)</f>
        <v>No Bioeconomía</v>
      </c>
    </row>
    <row r="85" spans="1:11">
      <c r="A85" s="63" t="s">
        <v>58</v>
      </c>
      <c r="B85" s="64" t="s">
        <v>45</v>
      </c>
      <c r="C85" s="64">
        <v>17.996332768911621</v>
      </c>
      <c r="D85" s="64" t="s">
        <v>33</v>
      </c>
      <c r="E85" s="64">
        <v>5</v>
      </c>
      <c r="F85" s="64" t="s">
        <v>26</v>
      </c>
      <c r="G85" s="61" t="str">
        <f>VLOOKUP(E85,Bioeconomía!$A$1:$C$13,3,FALSE)</f>
        <v>No Bioeconomía</v>
      </c>
      <c r="H85" s="64" t="s">
        <v>34</v>
      </c>
      <c r="I85" s="64">
        <v>10</v>
      </c>
      <c r="J85" s="64" t="s">
        <v>30</v>
      </c>
      <c r="K85" s="62" t="str">
        <f>VLOOKUP(I85,Bioeconomía!$A$1:$C$13,3,FALSE)</f>
        <v>Bioeconomía extendida</v>
      </c>
    </row>
    <row r="86" spans="1:11">
      <c r="A86" s="60" t="s">
        <v>58</v>
      </c>
      <c r="B86" s="61" t="s">
        <v>46</v>
      </c>
      <c r="C86" s="61">
        <v>20.730084837589924</v>
      </c>
      <c r="D86" s="61" t="s">
        <v>33</v>
      </c>
      <c r="E86" s="61">
        <v>5</v>
      </c>
      <c r="F86" s="61" t="s">
        <v>26</v>
      </c>
      <c r="G86" s="61" t="str">
        <f>VLOOKUP(E86,Bioeconomía!$A$1:$C$13,3,FALSE)</f>
        <v>No Bioeconomía</v>
      </c>
      <c r="H86" s="61" t="s">
        <v>34</v>
      </c>
      <c r="I86" s="61">
        <v>11</v>
      </c>
      <c r="J86" s="61" t="s">
        <v>31</v>
      </c>
      <c r="K86" s="62" t="str">
        <f>VLOOKUP(I86,Bioeconomía!$A$1:$C$13,3,FALSE)</f>
        <v>No Bioeconomía</v>
      </c>
    </row>
    <row r="87" spans="1:11">
      <c r="A87" s="63" t="s">
        <v>58</v>
      </c>
      <c r="B87" s="64" t="s">
        <v>47</v>
      </c>
      <c r="C87" s="64">
        <v>5.9405624169232105</v>
      </c>
      <c r="D87" s="64" t="s">
        <v>33</v>
      </c>
      <c r="E87" s="64">
        <v>5</v>
      </c>
      <c r="F87" s="64" t="s">
        <v>26</v>
      </c>
      <c r="G87" s="61" t="str">
        <f>VLOOKUP(E87,Bioeconomía!$A$1:$C$13,3,FALSE)</f>
        <v>No Bioeconomía</v>
      </c>
      <c r="H87" s="64" t="s">
        <v>34</v>
      </c>
      <c r="I87" s="64">
        <v>12</v>
      </c>
      <c r="J87" s="64" t="s">
        <v>21</v>
      </c>
      <c r="K87" s="62" t="str">
        <f>VLOOKUP(I87,Bioeconomía!$A$1:$C$13,3,FALSE)</f>
        <v>No Bioeconomía</v>
      </c>
    </row>
    <row r="88" spans="1:11">
      <c r="A88" s="60" t="s">
        <v>58</v>
      </c>
      <c r="B88" s="61" t="s">
        <v>48</v>
      </c>
      <c r="C88" s="61">
        <v>11.8029683309727</v>
      </c>
      <c r="D88" s="61" t="s">
        <v>33</v>
      </c>
      <c r="E88" s="61">
        <v>5</v>
      </c>
      <c r="F88" s="61" t="s">
        <v>26</v>
      </c>
      <c r="G88" s="61" t="str">
        <f>VLOOKUP(E88,Bioeconomía!$A$1:$C$13,3,FALSE)</f>
        <v>No Bioeconomía</v>
      </c>
      <c r="H88" s="61" t="s">
        <v>4</v>
      </c>
      <c r="I88" s="61" t="s">
        <v>35</v>
      </c>
      <c r="J88" s="61" t="s">
        <v>35</v>
      </c>
      <c r="K88" s="62" t="str">
        <f>VLOOKUP(I88,Bioeconomía!$A$1:$C$13,3,FALSE)</f>
        <v>Ninguno</v>
      </c>
    </row>
    <row r="89" spans="1:11">
      <c r="A89" s="63" t="s">
        <v>58</v>
      </c>
      <c r="B89" s="64" t="s">
        <v>49</v>
      </c>
      <c r="C89" s="64">
        <v>0</v>
      </c>
      <c r="D89" s="64" t="s">
        <v>33</v>
      </c>
      <c r="E89" s="64">
        <v>5</v>
      </c>
      <c r="F89" s="64" t="s">
        <v>26</v>
      </c>
      <c r="G89" s="61" t="str">
        <f>VLOOKUP(E89,Bioeconomía!$A$1:$C$13,3,FALSE)</f>
        <v>No Bioeconomía</v>
      </c>
      <c r="H89" s="64" t="s">
        <v>5</v>
      </c>
      <c r="I89" s="64" t="s">
        <v>35</v>
      </c>
      <c r="J89" s="64" t="s">
        <v>35</v>
      </c>
      <c r="K89" s="62" t="str">
        <f>VLOOKUP(I89,Bioeconomía!$A$1:$C$13,3,FALSE)</f>
        <v>Ninguno</v>
      </c>
    </row>
    <row r="90" spans="1:11">
      <c r="A90" s="60" t="s">
        <v>58</v>
      </c>
      <c r="B90" s="61" t="s">
        <v>50</v>
      </c>
      <c r="C90" s="61">
        <v>0.12944474112889989</v>
      </c>
      <c r="D90" s="61" t="s">
        <v>33</v>
      </c>
      <c r="E90" s="61">
        <v>5</v>
      </c>
      <c r="F90" s="61" t="s">
        <v>26</v>
      </c>
      <c r="G90" s="61" t="str">
        <f>VLOOKUP(E90,Bioeconomía!$A$1:$C$13,3,FALSE)</f>
        <v>No Bioeconomía</v>
      </c>
      <c r="H90" s="61" t="s">
        <v>6</v>
      </c>
      <c r="I90" s="61" t="s">
        <v>35</v>
      </c>
      <c r="J90" s="61" t="s">
        <v>35</v>
      </c>
      <c r="K90" s="62" t="str">
        <f>VLOOKUP(I90,Bioeconomía!$A$1:$C$13,3,FALSE)</f>
        <v>Ninguno</v>
      </c>
    </row>
    <row r="91" spans="1:11">
      <c r="A91" s="63" t="s">
        <v>58</v>
      </c>
      <c r="B91" s="64" t="s">
        <v>51</v>
      </c>
      <c r="C91" s="64">
        <v>28753.102909771198</v>
      </c>
      <c r="D91" s="64" t="s">
        <v>33</v>
      </c>
      <c r="E91" s="64">
        <v>5</v>
      </c>
      <c r="F91" s="64" t="s">
        <v>26</v>
      </c>
      <c r="G91" s="61" t="str">
        <f>VLOOKUP(E91,Bioeconomía!$A$1:$C$13,3,FALSE)</f>
        <v>No Bioeconomía</v>
      </c>
      <c r="H91" s="64" t="s">
        <v>7</v>
      </c>
      <c r="I91" s="64" t="s">
        <v>35</v>
      </c>
      <c r="J91" s="64" t="s">
        <v>35</v>
      </c>
      <c r="K91" s="62" t="str">
        <f>VLOOKUP(I91,Bioeconomía!$A$1:$C$13,3,FALSE)</f>
        <v>Ninguno</v>
      </c>
    </row>
    <row r="92" spans="1:11">
      <c r="A92" s="60" t="s">
        <v>58</v>
      </c>
      <c r="B92" s="61" t="s">
        <v>52</v>
      </c>
      <c r="C92" s="61">
        <v>0</v>
      </c>
      <c r="D92" s="61" t="s">
        <v>33</v>
      </c>
      <c r="E92" s="61">
        <v>5</v>
      </c>
      <c r="F92" s="61" t="s">
        <v>26</v>
      </c>
      <c r="G92" s="61" t="str">
        <f>VLOOKUP(E92,Bioeconomía!$A$1:$C$13,3,FALSE)</f>
        <v>No Bioeconomía</v>
      </c>
      <c r="H92" s="61" t="s">
        <v>8</v>
      </c>
      <c r="I92" s="61" t="s">
        <v>35</v>
      </c>
      <c r="J92" s="61" t="s">
        <v>35</v>
      </c>
      <c r="K92" s="62" t="str">
        <f>VLOOKUP(I92,Bioeconomía!$A$1:$C$13,3,FALSE)</f>
        <v>Ninguno</v>
      </c>
    </row>
    <row r="93" spans="1:11">
      <c r="A93" s="63" t="s">
        <v>58</v>
      </c>
      <c r="B93" s="64" t="s">
        <v>53</v>
      </c>
      <c r="C93" s="64">
        <v>5.6507347800817076</v>
      </c>
      <c r="D93" s="64" t="s">
        <v>33</v>
      </c>
      <c r="E93" s="64">
        <v>5</v>
      </c>
      <c r="F93" s="64" t="s">
        <v>26</v>
      </c>
      <c r="G93" s="61" t="str">
        <f>VLOOKUP(E93,Bioeconomía!$A$1:$C$13,3,FALSE)</f>
        <v>No Bioeconomía</v>
      </c>
      <c r="H93" s="64" t="s">
        <v>9</v>
      </c>
      <c r="I93" s="64" t="s">
        <v>35</v>
      </c>
      <c r="J93" s="64" t="s">
        <v>35</v>
      </c>
      <c r="K93" s="62" t="str">
        <f>VLOOKUP(I93,Bioeconomía!$A$1:$C$13,3,FALSE)</f>
        <v>Ninguno</v>
      </c>
    </row>
    <row r="94" spans="1:11">
      <c r="A94" s="60" t="s">
        <v>59</v>
      </c>
      <c r="B94" s="61" t="s">
        <v>36</v>
      </c>
      <c r="C94" s="61">
        <v>966.82833786755134</v>
      </c>
      <c r="D94" s="61" t="s">
        <v>33</v>
      </c>
      <c r="E94" s="61">
        <v>6</v>
      </c>
      <c r="F94" s="61" t="s">
        <v>27</v>
      </c>
      <c r="G94" s="61" t="str">
        <f>VLOOKUP(E94,Bioeconomía!$A$1:$C$13,3,FALSE)</f>
        <v>No Bioeconomía</v>
      </c>
      <c r="H94" s="61" t="s">
        <v>34</v>
      </c>
      <c r="I94" s="61">
        <v>1</v>
      </c>
      <c r="J94" s="61" t="s">
        <v>22</v>
      </c>
      <c r="K94" s="62" t="str">
        <f>VLOOKUP(I94,Bioeconomía!$A$1:$C$13,3,FALSE)</f>
        <v>Bioeconomía</v>
      </c>
    </row>
    <row r="95" spans="1:11">
      <c r="A95" s="63" t="s">
        <v>59</v>
      </c>
      <c r="B95" s="64" t="s">
        <v>37</v>
      </c>
      <c r="C95" s="64">
        <v>1770.7817322909834</v>
      </c>
      <c r="D95" s="64" t="s">
        <v>33</v>
      </c>
      <c r="E95" s="64">
        <v>6</v>
      </c>
      <c r="F95" s="64" t="s">
        <v>27</v>
      </c>
      <c r="G95" s="61" t="str">
        <f>VLOOKUP(E95,Bioeconomía!$A$1:$C$13,3,FALSE)</f>
        <v>No Bioeconomía</v>
      </c>
      <c r="H95" s="64" t="s">
        <v>34</v>
      </c>
      <c r="I95" s="64">
        <v>2</v>
      </c>
      <c r="J95" s="64" t="s">
        <v>23</v>
      </c>
      <c r="K95" s="62" t="str">
        <f>VLOOKUP(I95,Bioeconomía!$A$1:$C$13,3,FALSE)</f>
        <v>No Bioeconomía</v>
      </c>
    </row>
    <row r="96" spans="1:11">
      <c r="A96" s="60" t="s">
        <v>59</v>
      </c>
      <c r="B96" s="61" t="s">
        <v>38</v>
      </c>
      <c r="C96" s="61">
        <v>4469.314197541139</v>
      </c>
      <c r="D96" s="61" t="s">
        <v>33</v>
      </c>
      <c r="E96" s="61">
        <v>6</v>
      </c>
      <c r="F96" s="61" t="s">
        <v>27</v>
      </c>
      <c r="G96" s="61" t="str">
        <f>VLOOKUP(E96,Bioeconomía!$A$1:$C$13,3,FALSE)</f>
        <v>No Bioeconomía</v>
      </c>
      <c r="H96" s="61" t="s">
        <v>34</v>
      </c>
      <c r="I96" s="61">
        <v>3</v>
      </c>
      <c r="J96" s="61" t="s">
        <v>24</v>
      </c>
      <c r="K96" s="62" t="str">
        <f>VLOOKUP(I96,Bioeconomía!$A$1:$C$13,3,FALSE)</f>
        <v>No Bioeconomía</v>
      </c>
    </row>
    <row r="97" spans="1:11">
      <c r="A97" s="63" t="s">
        <v>59</v>
      </c>
      <c r="B97" s="64" t="s">
        <v>39</v>
      </c>
      <c r="C97" s="64">
        <v>315.0718035047139</v>
      </c>
      <c r="D97" s="64" t="s">
        <v>33</v>
      </c>
      <c r="E97" s="64">
        <v>6</v>
      </c>
      <c r="F97" s="64" t="s">
        <v>27</v>
      </c>
      <c r="G97" s="61" t="str">
        <f>VLOOKUP(E97,Bioeconomía!$A$1:$C$13,3,FALSE)</f>
        <v>No Bioeconomía</v>
      </c>
      <c r="H97" s="64" t="s">
        <v>34</v>
      </c>
      <c r="I97" s="64">
        <v>4</v>
      </c>
      <c r="J97" s="64" t="s">
        <v>25</v>
      </c>
      <c r="K97" s="62" t="str">
        <f>VLOOKUP(I97,Bioeconomía!$A$1:$C$13,3,FALSE)</f>
        <v>No Bioeconomía</v>
      </c>
    </row>
    <row r="98" spans="1:11">
      <c r="A98" s="60" t="s">
        <v>59</v>
      </c>
      <c r="B98" s="61" t="s">
        <v>40</v>
      </c>
      <c r="C98" s="61">
        <v>2349.1399443389273</v>
      </c>
      <c r="D98" s="61" t="s">
        <v>33</v>
      </c>
      <c r="E98" s="61">
        <v>6</v>
      </c>
      <c r="F98" s="61" t="s">
        <v>27</v>
      </c>
      <c r="G98" s="61" t="str">
        <f>VLOOKUP(E98,Bioeconomía!$A$1:$C$13,3,FALSE)</f>
        <v>No Bioeconomía</v>
      </c>
      <c r="H98" s="61" t="s">
        <v>34</v>
      </c>
      <c r="I98" s="61">
        <v>5</v>
      </c>
      <c r="J98" s="61" t="s">
        <v>26</v>
      </c>
      <c r="K98" s="62" t="str">
        <f>VLOOKUP(I98,Bioeconomía!$A$1:$C$13,3,FALSE)</f>
        <v>No Bioeconomía</v>
      </c>
    </row>
    <row r="99" spans="1:11">
      <c r="A99" s="63" t="s">
        <v>59</v>
      </c>
      <c r="B99" s="64" t="s">
        <v>41</v>
      </c>
      <c r="C99" s="64">
        <v>4647.6657757804314</v>
      </c>
      <c r="D99" s="64" t="s">
        <v>33</v>
      </c>
      <c r="E99" s="64">
        <v>6</v>
      </c>
      <c r="F99" s="64" t="s">
        <v>27</v>
      </c>
      <c r="G99" s="61" t="str">
        <f>VLOOKUP(E99,Bioeconomía!$A$1:$C$13,3,FALSE)</f>
        <v>No Bioeconomía</v>
      </c>
      <c r="H99" s="64" t="s">
        <v>34</v>
      </c>
      <c r="I99" s="64">
        <v>6</v>
      </c>
      <c r="J99" s="64" t="s">
        <v>27</v>
      </c>
      <c r="K99" s="62" t="str">
        <f>VLOOKUP(I99,Bioeconomía!$A$1:$C$13,3,FALSE)</f>
        <v>No Bioeconomía</v>
      </c>
    </row>
    <row r="100" spans="1:11">
      <c r="A100" s="60" t="s">
        <v>59</v>
      </c>
      <c r="B100" s="61" t="s">
        <v>42</v>
      </c>
      <c r="C100" s="61">
        <v>2529.3725339900752</v>
      </c>
      <c r="D100" s="61" t="s">
        <v>33</v>
      </c>
      <c r="E100" s="61">
        <v>6</v>
      </c>
      <c r="F100" s="61" t="s">
        <v>27</v>
      </c>
      <c r="G100" s="61" t="str">
        <f>VLOOKUP(E100,Bioeconomía!$A$1:$C$13,3,FALSE)</f>
        <v>No Bioeconomía</v>
      </c>
      <c r="H100" s="61" t="s">
        <v>34</v>
      </c>
      <c r="I100" s="61">
        <v>7</v>
      </c>
      <c r="J100" s="61" t="s">
        <v>28</v>
      </c>
      <c r="K100" s="62" t="str">
        <f>VLOOKUP(I100,Bioeconomía!$A$1:$C$13,3,FALSE)</f>
        <v>No Bioeconomía</v>
      </c>
    </row>
    <row r="101" spans="1:11">
      <c r="A101" s="63" t="s">
        <v>59</v>
      </c>
      <c r="B101" s="64" t="s">
        <v>43</v>
      </c>
      <c r="C101" s="64">
        <v>350.69454613681694</v>
      </c>
      <c r="D101" s="64" t="s">
        <v>33</v>
      </c>
      <c r="E101" s="64">
        <v>6</v>
      </c>
      <c r="F101" s="64" t="s">
        <v>27</v>
      </c>
      <c r="G101" s="61" t="str">
        <f>VLOOKUP(E101,Bioeconomía!$A$1:$C$13,3,FALSE)</f>
        <v>No Bioeconomía</v>
      </c>
      <c r="H101" s="64" t="s">
        <v>34</v>
      </c>
      <c r="I101" s="64">
        <v>8</v>
      </c>
      <c r="J101" s="64" t="s">
        <v>20</v>
      </c>
      <c r="K101" s="62" t="str">
        <f>VLOOKUP(I101,Bioeconomía!$A$1:$C$13,3,FALSE)</f>
        <v>No Bioeconomía</v>
      </c>
    </row>
    <row r="102" spans="1:11">
      <c r="A102" s="60" t="s">
        <v>59</v>
      </c>
      <c r="B102" s="61" t="s">
        <v>44</v>
      </c>
      <c r="C102" s="61">
        <v>60.12173835484959</v>
      </c>
      <c r="D102" s="61" t="s">
        <v>33</v>
      </c>
      <c r="E102" s="61">
        <v>6</v>
      </c>
      <c r="F102" s="61" t="s">
        <v>27</v>
      </c>
      <c r="G102" s="61" t="str">
        <f>VLOOKUP(E102,Bioeconomía!$A$1:$C$13,3,FALSE)</f>
        <v>No Bioeconomía</v>
      </c>
      <c r="H102" s="61" t="s">
        <v>34</v>
      </c>
      <c r="I102" s="61">
        <v>9</v>
      </c>
      <c r="J102" s="61" t="s">
        <v>29</v>
      </c>
      <c r="K102" s="62" t="str">
        <f>VLOOKUP(I102,Bioeconomía!$A$1:$C$13,3,FALSE)</f>
        <v>No Bioeconomía</v>
      </c>
    </row>
    <row r="103" spans="1:11">
      <c r="A103" s="63" t="s">
        <v>59</v>
      </c>
      <c r="B103" s="64" t="s">
        <v>45</v>
      </c>
      <c r="C103" s="64">
        <v>1133.367122027342</v>
      </c>
      <c r="D103" s="64" t="s">
        <v>33</v>
      </c>
      <c r="E103" s="64">
        <v>6</v>
      </c>
      <c r="F103" s="64" t="s">
        <v>27</v>
      </c>
      <c r="G103" s="61" t="str">
        <f>VLOOKUP(E103,Bioeconomía!$A$1:$C$13,3,FALSE)</f>
        <v>No Bioeconomía</v>
      </c>
      <c r="H103" s="64" t="s">
        <v>34</v>
      </c>
      <c r="I103" s="64">
        <v>10</v>
      </c>
      <c r="J103" s="64" t="s">
        <v>30</v>
      </c>
      <c r="K103" s="62" t="str">
        <f>VLOOKUP(I103,Bioeconomía!$A$1:$C$13,3,FALSE)</f>
        <v>Bioeconomía extendida</v>
      </c>
    </row>
    <row r="104" spans="1:11">
      <c r="A104" s="60" t="s">
        <v>59</v>
      </c>
      <c r="B104" s="61" t="s">
        <v>46</v>
      </c>
      <c r="C104" s="61">
        <v>1800.0868346419295</v>
      </c>
      <c r="D104" s="61" t="s">
        <v>33</v>
      </c>
      <c r="E104" s="61">
        <v>6</v>
      </c>
      <c r="F104" s="61" t="s">
        <v>27</v>
      </c>
      <c r="G104" s="61" t="str">
        <f>VLOOKUP(E104,Bioeconomía!$A$1:$C$13,3,FALSE)</f>
        <v>No Bioeconomía</v>
      </c>
      <c r="H104" s="61" t="s">
        <v>34</v>
      </c>
      <c r="I104" s="61">
        <v>11</v>
      </c>
      <c r="J104" s="61" t="s">
        <v>31</v>
      </c>
      <c r="K104" s="62" t="str">
        <f>VLOOKUP(I104,Bioeconomía!$A$1:$C$13,3,FALSE)</f>
        <v>No Bioeconomía</v>
      </c>
    </row>
    <row r="105" spans="1:11">
      <c r="A105" s="63" t="s">
        <v>59</v>
      </c>
      <c r="B105" s="64" t="s">
        <v>47</v>
      </c>
      <c r="C105" s="64">
        <v>305.19939715018097</v>
      </c>
      <c r="D105" s="64" t="s">
        <v>33</v>
      </c>
      <c r="E105" s="64">
        <v>6</v>
      </c>
      <c r="F105" s="64" t="s">
        <v>27</v>
      </c>
      <c r="G105" s="61" t="str">
        <f>VLOOKUP(E105,Bioeconomía!$A$1:$C$13,3,FALSE)</f>
        <v>No Bioeconomía</v>
      </c>
      <c r="H105" s="64" t="s">
        <v>34</v>
      </c>
      <c r="I105" s="64">
        <v>12</v>
      </c>
      <c r="J105" s="64" t="s">
        <v>21</v>
      </c>
      <c r="K105" s="62" t="str">
        <f>VLOOKUP(I105,Bioeconomía!$A$1:$C$13,3,FALSE)</f>
        <v>No Bioeconomía</v>
      </c>
    </row>
    <row r="106" spans="1:11">
      <c r="A106" s="60" t="s">
        <v>59</v>
      </c>
      <c r="B106" s="61" t="s">
        <v>48</v>
      </c>
      <c r="C106" s="61">
        <v>30901.887330008965</v>
      </c>
      <c r="D106" s="61" t="s">
        <v>33</v>
      </c>
      <c r="E106" s="61">
        <v>6</v>
      </c>
      <c r="F106" s="61" t="s">
        <v>27</v>
      </c>
      <c r="G106" s="61" t="str">
        <f>VLOOKUP(E106,Bioeconomía!$A$1:$C$13,3,FALSE)</f>
        <v>No Bioeconomía</v>
      </c>
      <c r="H106" s="61" t="s">
        <v>4</v>
      </c>
      <c r="I106" s="61" t="s">
        <v>35</v>
      </c>
      <c r="J106" s="61" t="s">
        <v>35</v>
      </c>
      <c r="K106" s="62" t="str">
        <f>VLOOKUP(I106,Bioeconomía!$A$1:$C$13,3,FALSE)</f>
        <v>Ninguno</v>
      </c>
    </row>
    <row r="107" spans="1:11">
      <c r="A107" s="63" t="s">
        <v>59</v>
      </c>
      <c r="B107" s="64" t="s">
        <v>49</v>
      </c>
      <c r="C107" s="64">
        <v>0</v>
      </c>
      <c r="D107" s="64" t="s">
        <v>33</v>
      </c>
      <c r="E107" s="64">
        <v>6</v>
      </c>
      <c r="F107" s="64" t="s">
        <v>27</v>
      </c>
      <c r="G107" s="61" t="str">
        <f>VLOOKUP(E107,Bioeconomía!$A$1:$C$13,3,FALSE)</f>
        <v>No Bioeconomía</v>
      </c>
      <c r="H107" s="64" t="s">
        <v>5</v>
      </c>
      <c r="I107" s="64" t="s">
        <v>35</v>
      </c>
      <c r="J107" s="64" t="s">
        <v>35</v>
      </c>
      <c r="K107" s="62" t="str">
        <f>VLOOKUP(I107,Bioeconomía!$A$1:$C$13,3,FALSE)</f>
        <v>Ninguno</v>
      </c>
    </row>
    <row r="108" spans="1:11">
      <c r="A108" s="60" t="s">
        <v>59</v>
      </c>
      <c r="B108" s="61" t="s">
        <v>50</v>
      </c>
      <c r="C108" s="61">
        <v>715.54930083129898</v>
      </c>
      <c r="D108" s="61" t="s">
        <v>33</v>
      </c>
      <c r="E108" s="61">
        <v>6</v>
      </c>
      <c r="F108" s="61" t="s">
        <v>27</v>
      </c>
      <c r="G108" s="61" t="str">
        <f>VLOOKUP(E108,Bioeconomía!$A$1:$C$13,3,FALSE)</f>
        <v>No Bioeconomía</v>
      </c>
      <c r="H108" s="61" t="s">
        <v>6</v>
      </c>
      <c r="I108" s="61" t="s">
        <v>35</v>
      </c>
      <c r="J108" s="61" t="s">
        <v>35</v>
      </c>
      <c r="K108" s="62" t="str">
        <f>VLOOKUP(I108,Bioeconomía!$A$1:$C$13,3,FALSE)</f>
        <v>Ninguno</v>
      </c>
    </row>
    <row r="109" spans="1:11">
      <c r="A109" s="63" t="s">
        <v>59</v>
      </c>
      <c r="B109" s="64" t="s">
        <v>51</v>
      </c>
      <c r="C109" s="64">
        <v>6164.3481824745741</v>
      </c>
      <c r="D109" s="64" t="s">
        <v>33</v>
      </c>
      <c r="E109" s="64">
        <v>6</v>
      </c>
      <c r="F109" s="64" t="s">
        <v>27</v>
      </c>
      <c r="G109" s="61" t="str">
        <f>VLOOKUP(E109,Bioeconomía!$A$1:$C$13,3,FALSE)</f>
        <v>No Bioeconomía</v>
      </c>
      <c r="H109" s="64" t="s">
        <v>7</v>
      </c>
      <c r="I109" s="64" t="s">
        <v>35</v>
      </c>
      <c r="J109" s="64" t="s">
        <v>35</v>
      </c>
      <c r="K109" s="62" t="str">
        <f>VLOOKUP(I109,Bioeconomía!$A$1:$C$13,3,FALSE)</f>
        <v>Ninguno</v>
      </c>
    </row>
    <row r="110" spans="1:11">
      <c r="A110" s="60" t="s">
        <v>59</v>
      </c>
      <c r="B110" s="61" t="s">
        <v>52</v>
      </c>
      <c r="C110" s="61">
        <v>-2.5610536651533788</v>
      </c>
      <c r="D110" s="61" t="s">
        <v>33</v>
      </c>
      <c r="E110" s="61">
        <v>6</v>
      </c>
      <c r="F110" s="61" t="s">
        <v>27</v>
      </c>
      <c r="G110" s="61" t="str">
        <f>VLOOKUP(E110,Bioeconomía!$A$1:$C$13,3,FALSE)</f>
        <v>No Bioeconomía</v>
      </c>
      <c r="H110" s="61" t="s">
        <v>8</v>
      </c>
      <c r="I110" s="61" t="s">
        <v>35</v>
      </c>
      <c r="J110" s="61" t="s">
        <v>35</v>
      </c>
      <c r="K110" s="62" t="str">
        <f>VLOOKUP(I110,Bioeconomía!$A$1:$C$13,3,FALSE)</f>
        <v>Ninguno</v>
      </c>
    </row>
    <row r="111" spans="1:11">
      <c r="A111" s="63" t="s">
        <v>59</v>
      </c>
      <c r="B111" s="64" t="s">
        <v>53</v>
      </c>
      <c r="C111" s="64">
        <v>3003.0162638239958</v>
      </c>
      <c r="D111" s="64" t="s">
        <v>33</v>
      </c>
      <c r="E111" s="64">
        <v>6</v>
      </c>
      <c r="F111" s="64" t="s">
        <v>27</v>
      </c>
      <c r="G111" s="61" t="str">
        <f>VLOOKUP(E111,Bioeconomía!$A$1:$C$13,3,FALSE)</f>
        <v>No Bioeconomía</v>
      </c>
      <c r="H111" s="64" t="s">
        <v>9</v>
      </c>
      <c r="I111" s="64" t="s">
        <v>35</v>
      </c>
      <c r="J111" s="64" t="s">
        <v>35</v>
      </c>
      <c r="K111" s="62" t="str">
        <f>VLOOKUP(I111,Bioeconomía!$A$1:$C$13,3,FALSE)</f>
        <v>Ninguno</v>
      </c>
    </row>
    <row r="112" spans="1:11">
      <c r="A112" s="60" t="s">
        <v>60</v>
      </c>
      <c r="B112" s="61" t="s">
        <v>36</v>
      </c>
      <c r="C112" s="61">
        <v>1062.4133737383852</v>
      </c>
      <c r="D112" s="61" t="s">
        <v>33</v>
      </c>
      <c r="E112" s="61">
        <v>7</v>
      </c>
      <c r="F112" s="61" t="s">
        <v>28</v>
      </c>
      <c r="G112" s="61" t="str">
        <f>VLOOKUP(E112,Bioeconomía!$A$1:$C$13,3,FALSE)</f>
        <v>No Bioeconomía</v>
      </c>
      <c r="H112" s="61" t="s">
        <v>34</v>
      </c>
      <c r="I112" s="61">
        <v>1</v>
      </c>
      <c r="J112" s="61" t="s">
        <v>22</v>
      </c>
      <c r="K112" s="62" t="str">
        <f>VLOOKUP(I112,Bioeconomía!$A$1:$C$13,3,FALSE)</f>
        <v>Bioeconomía</v>
      </c>
    </row>
    <row r="113" spans="1:11">
      <c r="A113" s="63" t="s">
        <v>60</v>
      </c>
      <c r="B113" s="64" t="s">
        <v>37</v>
      </c>
      <c r="C113" s="64">
        <v>1833.5671296604153</v>
      </c>
      <c r="D113" s="64" t="s">
        <v>33</v>
      </c>
      <c r="E113" s="64">
        <v>7</v>
      </c>
      <c r="F113" s="64" t="s">
        <v>28</v>
      </c>
      <c r="G113" s="61" t="str">
        <f>VLOOKUP(E113,Bioeconomía!$A$1:$C$13,3,FALSE)</f>
        <v>No Bioeconomía</v>
      </c>
      <c r="H113" s="64" t="s">
        <v>34</v>
      </c>
      <c r="I113" s="64">
        <v>2</v>
      </c>
      <c r="J113" s="64" t="s">
        <v>23</v>
      </c>
      <c r="K113" s="62" t="str">
        <f>VLOOKUP(I113,Bioeconomía!$A$1:$C$13,3,FALSE)</f>
        <v>No Bioeconomía</v>
      </c>
    </row>
    <row r="114" spans="1:11">
      <c r="A114" s="60" t="s">
        <v>60</v>
      </c>
      <c r="B114" s="61" t="s">
        <v>38</v>
      </c>
      <c r="C114" s="61">
        <v>4744.7545438125126</v>
      </c>
      <c r="D114" s="61" t="s">
        <v>33</v>
      </c>
      <c r="E114" s="61">
        <v>7</v>
      </c>
      <c r="F114" s="61" t="s">
        <v>28</v>
      </c>
      <c r="G114" s="61" t="str">
        <f>VLOOKUP(E114,Bioeconomía!$A$1:$C$13,3,FALSE)</f>
        <v>No Bioeconomía</v>
      </c>
      <c r="H114" s="61" t="s">
        <v>34</v>
      </c>
      <c r="I114" s="61">
        <v>3</v>
      </c>
      <c r="J114" s="61" t="s">
        <v>24</v>
      </c>
      <c r="K114" s="62" t="str">
        <f>VLOOKUP(I114,Bioeconomía!$A$1:$C$13,3,FALSE)</f>
        <v>No Bioeconomía</v>
      </c>
    </row>
    <row r="115" spans="1:11">
      <c r="A115" s="63" t="s">
        <v>60</v>
      </c>
      <c r="B115" s="64" t="s">
        <v>39</v>
      </c>
      <c r="C115" s="64">
        <v>530.47941388537822</v>
      </c>
      <c r="D115" s="64" t="s">
        <v>33</v>
      </c>
      <c r="E115" s="64">
        <v>7</v>
      </c>
      <c r="F115" s="64" t="s">
        <v>28</v>
      </c>
      <c r="G115" s="61" t="str">
        <f>VLOOKUP(E115,Bioeconomía!$A$1:$C$13,3,FALSE)</f>
        <v>No Bioeconomía</v>
      </c>
      <c r="H115" s="64" t="s">
        <v>34</v>
      </c>
      <c r="I115" s="64">
        <v>4</v>
      </c>
      <c r="J115" s="64" t="s">
        <v>25</v>
      </c>
      <c r="K115" s="62" t="str">
        <f>VLOOKUP(I115,Bioeconomía!$A$1:$C$13,3,FALSE)</f>
        <v>No Bioeconomía</v>
      </c>
    </row>
    <row r="116" spans="1:11">
      <c r="A116" s="60" t="s">
        <v>60</v>
      </c>
      <c r="B116" s="61" t="s">
        <v>40</v>
      </c>
      <c r="C116" s="61">
        <v>1031.9693618789372</v>
      </c>
      <c r="D116" s="61" t="s">
        <v>33</v>
      </c>
      <c r="E116" s="61">
        <v>7</v>
      </c>
      <c r="F116" s="61" t="s">
        <v>28</v>
      </c>
      <c r="G116" s="61" t="str">
        <f>VLOOKUP(E116,Bioeconomía!$A$1:$C$13,3,FALSE)</f>
        <v>No Bioeconomía</v>
      </c>
      <c r="H116" s="61" t="s">
        <v>34</v>
      </c>
      <c r="I116" s="61">
        <v>5</v>
      </c>
      <c r="J116" s="61" t="s">
        <v>26</v>
      </c>
      <c r="K116" s="62" t="str">
        <f>VLOOKUP(I116,Bioeconomía!$A$1:$C$13,3,FALSE)</f>
        <v>No Bioeconomía</v>
      </c>
    </row>
    <row r="117" spans="1:11">
      <c r="A117" s="63" t="s">
        <v>60</v>
      </c>
      <c r="B117" s="64" t="s">
        <v>41</v>
      </c>
      <c r="C117" s="64">
        <v>7309.3569906340563</v>
      </c>
      <c r="D117" s="64" t="s">
        <v>33</v>
      </c>
      <c r="E117" s="64">
        <v>7</v>
      </c>
      <c r="F117" s="64" t="s">
        <v>28</v>
      </c>
      <c r="G117" s="61" t="str">
        <f>VLOOKUP(E117,Bioeconomía!$A$1:$C$13,3,FALSE)</f>
        <v>No Bioeconomía</v>
      </c>
      <c r="H117" s="64" t="s">
        <v>34</v>
      </c>
      <c r="I117" s="64">
        <v>6</v>
      </c>
      <c r="J117" s="64" t="s">
        <v>27</v>
      </c>
      <c r="K117" s="62" t="str">
        <f>VLOOKUP(I117,Bioeconomía!$A$1:$C$13,3,FALSE)</f>
        <v>No Bioeconomía</v>
      </c>
    </row>
    <row r="118" spans="1:11">
      <c r="A118" s="60" t="s">
        <v>60</v>
      </c>
      <c r="B118" s="61" t="s">
        <v>42</v>
      </c>
      <c r="C118" s="61">
        <v>8000.1396888266036</v>
      </c>
      <c r="D118" s="61" t="s">
        <v>33</v>
      </c>
      <c r="E118" s="61">
        <v>7</v>
      </c>
      <c r="F118" s="61" t="s">
        <v>28</v>
      </c>
      <c r="G118" s="61" t="str">
        <f>VLOOKUP(E118,Bioeconomía!$A$1:$C$13,3,FALSE)</f>
        <v>No Bioeconomía</v>
      </c>
      <c r="H118" s="61" t="s">
        <v>34</v>
      </c>
      <c r="I118" s="61">
        <v>7</v>
      </c>
      <c r="J118" s="61" t="s">
        <v>28</v>
      </c>
      <c r="K118" s="62" t="str">
        <f>VLOOKUP(I118,Bioeconomía!$A$1:$C$13,3,FALSE)</f>
        <v>No Bioeconomía</v>
      </c>
    </row>
    <row r="119" spans="1:11">
      <c r="A119" s="63" t="s">
        <v>60</v>
      </c>
      <c r="B119" s="64" t="s">
        <v>43</v>
      </c>
      <c r="C119" s="64">
        <v>904.07699024263366</v>
      </c>
      <c r="D119" s="64" t="s">
        <v>33</v>
      </c>
      <c r="E119" s="64">
        <v>7</v>
      </c>
      <c r="F119" s="64" t="s">
        <v>28</v>
      </c>
      <c r="G119" s="61" t="str">
        <f>VLOOKUP(E119,Bioeconomía!$A$1:$C$13,3,FALSE)</f>
        <v>No Bioeconomía</v>
      </c>
      <c r="H119" s="64" t="s">
        <v>34</v>
      </c>
      <c r="I119" s="64">
        <v>8</v>
      </c>
      <c r="J119" s="64" t="s">
        <v>20</v>
      </c>
      <c r="K119" s="62" t="str">
        <f>VLOOKUP(I119,Bioeconomía!$A$1:$C$13,3,FALSE)</f>
        <v>No Bioeconomía</v>
      </c>
    </row>
    <row r="120" spans="1:11">
      <c r="A120" s="60" t="s">
        <v>60</v>
      </c>
      <c r="B120" s="61" t="s">
        <v>44</v>
      </c>
      <c r="C120" s="61">
        <v>77.339440803232648</v>
      </c>
      <c r="D120" s="61" t="s">
        <v>33</v>
      </c>
      <c r="E120" s="61">
        <v>7</v>
      </c>
      <c r="F120" s="61" t="s">
        <v>28</v>
      </c>
      <c r="G120" s="61" t="str">
        <f>VLOOKUP(E120,Bioeconomía!$A$1:$C$13,3,FALSE)</f>
        <v>No Bioeconomía</v>
      </c>
      <c r="H120" s="61" t="s">
        <v>34</v>
      </c>
      <c r="I120" s="61">
        <v>9</v>
      </c>
      <c r="J120" s="61" t="s">
        <v>29</v>
      </c>
      <c r="K120" s="62" t="str">
        <f>VLOOKUP(I120,Bioeconomía!$A$1:$C$13,3,FALSE)</f>
        <v>No Bioeconomía</v>
      </c>
    </row>
    <row r="121" spans="1:11">
      <c r="A121" s="63" t="s">
        <v>60</v>
      </c>
      <c r="B121" s="64" t="s">
        <v>45</v>
      </c>
      <c r="C121" s="64">
        <v>1471.0034731919143</v>
      </c>
      <c r="D121" s="64" t="s">
        <v>33</v>
      </c>
      <c r="E121" s="64">
        <v>7</v>
      </c>
      <c r="F121" s="64" t="s">
        <v>28</v>
      </c>
      <c r="G121" s="61" t="str">
        <f>VLOOKUP(E121,Bioeconomía!$A$1:$C$13,3,FALSE)</f>
        <v>No Bioeconomía</v>
      </c>
      <c r="H121" s="64" t="s">
        <v>34</v>
      </c>
      <c r="I121" s="64">
        <v>10</v>
      </c>
      <c r="J121" s="64" t="s">
        <v>30</v>
      </c>
      <c r="K121" s="62" t="str">
        <f>VLOOKUP(I121,Bioeconomía!$A$1:$C$13,3,FALSE)</f>
        <v>Bioeconomía extendida</v>
      </c>
    </row>
    <row r="122" spans="1:11">
      <c r="A122" s="60" t="s">
        <v>60</v>
      </c>
      <c r="B122" s="61" t="s">
        <v>46</v>
      </c>
      <c r="C122" s="61">
        <v>863.62840417232007</v>
      </c>
      <c r="D122" s="61" t="s">
        <v>33</v>
      </c>
      <c r="E122" s="61">
        <v>7</v>
      </c>
      <c r="F122" s="61" t="s">
        <v>28</v>
      </c>
      <c r="G122" s="61" t="str">
        <f>VLOOKUP(E122,Bioeconomía!$A$1:$C$13,3,FALSE)</f>
        <v>No Bioeconomía</v>
      </c>
      <c r="H122" s="61" t="s">
        <v>34</v>
      </c>
      <c r="I122" s="61">
        <v>11</v>
      </c>
      <c r="J122" s="61" t="s">
        <v>31</v>
      </c>
      <c r="K122" s="62" t="str">
        <f>VLOOKUP(I122,Bioeconomía!$A$1:$C$13,3,FALSE)</f>
        <v>No Bioeconomía</v>
      </c>
    </row>
    <row r="123" spans="1:11">
      <c r="A123" s="63" t="s">
        <v>60</v>
      </c>
      <c r="B123" s="64" t="s">
        <v>47</v>
      </c>
      <c r="C123" s="64">
        <v>594.23803054473694</v>
      </c>
      <c r="D123" s="64" t="s">
        <v>33</v>
      </c>
      <c r="E123" s="64">
        <v>7</v>
      </c>
      <c r="F123" s="64" t="s">
        <v>28</v>
      </c>
      <c r="G123" s="61" t="str">
        <f>VLOOKUP(E123,Bioeconomía!$A$1:$C$13,3,FALSE)</f>
        <v>No Bioeconomía</v>
      </c>
      <c r="H123" s="64" t="s">
        <v>34</v>
      </c>
      <c r="I123" s="64">
        <v>12</v>
      </c>
      <c r="J123" s="64" t="s">
        <v>21</v>
      </c>
      <c r="K123" s="62" t="str">
        <f>VLOOKUP(I123,Bioeconomía!$A$1:$C$13,3,FALSE)</f>
        <v>No Bioeconomía</v>
      </c>
    </row>
    <row r="124" spans="1:11">
      <c r="A124" s="60" t="s">
        <v>60</v>
      </c>
      <c r="B124" s="61" t="s">
        <v>48</v>
      </c>
      <c r="C124" s="61">
        <v>11716.771316548366</v>
      </c>
      <c r="D124" s="61" t="s">
        <v>33</v>
      </c>
      <c r="E124" s="61">
        <v>7</v>
      </c>
      <c r="F124" s="61" t="s">
        <v>28</v>
      </c>
      <c r="G124" s="61" t="str">
        <f>VLOOKUP(E124,Bioeconomía!$A$1:$C$13,3,FALSE)</f>
        <v>No Bioeconomía</v>
      </c>
      <c r="H124" s="61" t="s">
        <v>4</v>
      </c>
      <c r="I124" s="61" t="s">
        <v>35</v>
      </c>
      <c r="J124" s="61" t="s">
        <v>35</v>
      </c>
      <c r="K124" s="62" t="str">
        <f>VLOOKUP(I124,Bioeconomía!$A$1:$C$13,3,FALSE)</f>
        <v>Ninguno</v>
      </c>
    </row>
    <row r="125" spans="1:11">
      <c r="A125" s="63" t="s">
        <v>60</v>
      </c>
      <c r="B125" s="64" t="s">
        <v>49</v>
      </c>
      <c r="C125" s="64">
        <v>0</v>
      </c>
      <c r="D125" s="64" t="s">
        <v>33</v>
      </c>
      <c r="E125" s="64">
        <v>7</v>
      </c>
      <c r="F125" s="64" t="s">
        <v>28</v>
      </c>
      <c r="G125" s="61" t="str">
        <f>VLOOKUP(E125,Bioeconomía!$A$1:$C$13,3,FALSE)</f>
        <v>No Bioeconomía</v>
      </c>
      <c r="H125" s="64" t="s">
        <v>5</v>
      </c>
      <c r="I125" s="64" t="s">
        <v>35</v>
      </c>
      <c r="J125" s="64" t="s">
        <v>35</v>
      </c>
      <c r="K125" s="62" t="str">
        <f>VLOOKUP(I125,Bioeconomía!$A$1:$C$13,3,FALSE)</f>
        <v>Ninguno</v>
      </c>
    </row>
    <row r="126" spans="1:11">
      <c r="A126" s="60" t="s">
        <v>60</v>
      </c>
      <c r="B126" s="61" t="s">
        <v>50</v>
      </c>
      <c r="C126" s="61">
        <v>10.022818548600483</v>
      </c>
      <c r="D126" s="61" t="s">
        <v>33</v>
      </c>
      <c r="E126" s="61">
        <v>7</v>
      </c>
      <c r="F126" s="61" t="s">
        <v>28</v>
      </c>
      <c r="G126" s="61" t="str">
        <f>VLOOKUP(E126,Bioeconomía!$A$1:$C$13,3,FALSE)</f>
        <v>No Bioeconomía</v>
      </c>
      <c r="H126" s="61" t="s">
        <v>6</v>
      </c>
      <c r="I126" s="61" t="s">
        <v>35</v>
      </c>
      <c r="J126" s="61" t="s">
        <v>35</v>
      </c>
      <c r="K126" s="62" t="str">
        <f>VLOOKUP(I126,Bioeconomía!$A$1:$C$13,3,FALSE)</f>
        <v>Ninguno</v>
      </c>
    </row>
    <row r="127" spans="1:11">
      <c r="A127" s="63" t="s">
        <v>60</v>
      </c>
      <c r="B127" s="64" t="s">
        <v>51</v>
      </c>
      <c r="C127" s="64">
        <v>2908.8034916749398</v>
      </c>
      <c r="D127" s="64" t="s">
        <v>33</v>
      </c>
      <c r="E127" s="64">
        <v>7</v>
      </c>
      <c r="F127" s="64" t="s">
        <v>28</v>
      </c>
      <c r="G127" s="61" t="str">
        <f>VLOOKUP(E127,Bioeconomía!$A$1:$C$13,3,FALSE)</f>
        <v>No Bioeconomía</v>
      </c>
      <c r="H127" s="64" t="s">
        <v>7</v>
      </c>
      <c r="I127" s="64" t="s">
        <v>35</v>
      </c>
      <c r="J127" s="64" t="s">
        <v>35</v>
      </c>
      <c r="K127" s="62" t="str">
        <f>VLOOKUP(I127,Bioeconomía!$A$1:$C$13,3,FALSE)</f>
        <v>Ninguno</v>
      </c>
    </row>
    <row r="128" spans="1:11">
      <c r="A128" s="60" t="s">
        <v>60</v>
      </c>
      <c r="B128" s="61" t="s">
        <v>52</v>
      </c>
      <c r="C128" s="61">
        <v>0</v>
      </c>
      <c r="D128" s="61" t="s">
        <v>33</v>
      </c>
      <c r="E128" s="61">
        <v>7</v>
      </c>
      <c r="F128" s="61" t="s">
        <v>28</v>
      </c>
      <c r="G128" s="61" t="str">
        <f>VLOOKUP(E128,Bioeconomía!$A$1:$C$13,3,FALSE)</f>
        <v>No Bioeconomía</v>
      </c>
      <c r="H128" s="61" t="s">
        <v>8</v>
      </c>
      <c r="I128" s="61" t="s">
        <v>35</v>
      </c>
      <c r="J128" s="61" t="s">
        <v>35</v>
      </c>
      <c r="K128" s="62" t="str">
        <f>VLOOKUP(I128,Bioeconomía!$A$1:$C$13,3,FALSE)</f>
        <v>Ninguno</v>
      </c>
    </row>
    <row r="129" spans="1:11">
      <c r="A129" s="63" t="s">
        <v>60</v>
      </c>
      <c r="B129" s="64" t="s">
        <v>53</v>
      </c>
      <c r="C129" s="64">
        <v>4108.0305736087175</v>
      </c>
      <c r="D129" s="64" t="s">
        <v>33</v>
      </c>
      <c r="E129" s="64">
        <v>7</v>
      </c>
      <c r="F129" s="64" t="s">
        <v>28</v>
      </c>
      <c r="G129" s="61" t="str">
        <f>VLOOKUP(E129,Bioeconomía!$A$1:$C$13,3,FALSE)</f>
        <v>No Bioeconomía</v>
      </c>
      <c r="H129" s="64" t="s">
        <v>9</v>
      </c>
      <c r="I129" s="64" t="s">
        <v>35</v>
      </c>
      <c r="J129" s="64" t="s">
        <v>35</v>
      </c>
      <c r="K129" s="62" t="str">
        <f>VLOOKUP(I129,Bioeconomía!$A$1:$C$13,3,FALSE)</f>
        <v>Ninguno</v>
      </c>
    </row>
    <row r="130" spans="1:11">
      <c r="A130" s="60" t="s">
        <v>61</v>
      </c>
      <c r="B130" s="61" t="s">
        <v>36</v>
      </c>
      <c r="C130" s="61">
        <v>310.09645740051849</v>
      </c>
      <c r="D130" s="61" t="s">
        <v>33</v>
      </c>
      <c r="E130" s="61">
        <v>8</v>
      </c>
      <c r="F130" s="61" t="s">
        <v>20</v>
      </c>
      <c r="G130" s="61" t="str">
        <f>VLOOKUP(E130,Bioeconomía!$A$1:$C$13,3,FALSE)</f>
        <v>No Bioeconomía</v>
      </c>
      <c r="H130" s="61" t="s">
        <v>34</v>
      </c>
      <c r="I130" s="61">
        <v>1</v>
      </c>
      <c r="J130" s="61" t="s">
        <v>22</v>
      </c>
      <c r="K130" s="62" t="str">
        <f>VLOOKUP(I130,Bioeconomía!$A$1:$C$13,3,FALSE)</f>
        <v>Bioeconomía</v>
      </c>
    </row>
    <row r="131" spans="1:11">
      <c r="A131" s="63" t="s">
        <v>61</v>
      </c>
      <c r="B131" s="64" t="s">
        <v>37</v>
      </c>
      <c r="C131" s="64">
        <v>274.66528525786589</v>
      </c>
      <c r="D131" s="64" t="s">
        <v>33</v>
      </c>
      <c r="E131" s="64">
        <v>8</v>
      </c>
      <c r="F131" s="64" t="s">
        <v>20</v>
      </c>
      <c r="G131" s="61" t="str">
        <f>VLOOKUP(E131,Bioeconomía!$A$1:$C$13,3,FALSE)</f>
        <v>No Bioeconomía</v>
      </c>
      <c r="H131" s="64" t="s">
        <v>34</v>
      </c>
      <c r="I131" s="64">
        <v>2</v>
      </c>
      <c r="J131" s="64" t="s">
        <v>23</v>
      </c>
      <c r="K131" s="62" t="str">
        <f>VLOOKUP(I131,Bioeconomía!$A$1:$C$13,3,FALSE)</f>
        <v>No Bioeconomía</v>
      </c>
    </row>
    <row r="132" spans="1:11">
      <c r="A132" s="60" t="s">
        <v>61</v>
      </c>
      <c r="B132" s="61" t="s">
        <v>38</v>
      </c>
      <c r="C132" s="61">
        <v>810.19138986447888</v>
      </c>
      <c r="D132" s="61" t="s">
        <v>33</v>
      </c>
      <c r="E132" s="61">
        <v>8</v>
      </c>
      <c r="F132" s="61" t="s">
        <v>20</v>
      </c>
      <c r="G132" s="61" t="str">
        <f>VLOOKUP(E132,Bioeconomía!$A$1:$C$13,3,FALSE)</f>
        <v>No Bioeconomía</v>
      </c>
      <c r="H132" s="61" t="s">
        <v>34</v>
      </c>
      <c r="I132" s="61">
        <v>3</v>
      </c>
      <c r="J132" s="61" t="s">
        <v>24</v>
      </c>
      <c r="K132" s="62" t="str">
        <f>VLOOKUP(I132,Bioeconomía!$A$1:$C$13,3,FALSE)</f>
        <v>No Bioeconomía</v>
      </c>
    </row>
    <row r="133" spans="1:11">
      <c r="A133" s="63" t="s">
        <v>61</v>
      </c>
      <c r="B133" s="64" t="s">
        <v>39</v>
      </c>
      <c r="C133" s="64">
        <v>363.093240764916</v>
      </c>
      <c r="D133" s="64" t="s">
        <v>33</v>
      </c>
      <c r="E133" s="64">
        <v>8</v>
      </c>
      <c r="F133" s="64" t="s">
        <v>20</v>
      </c>
      <c r="G133" s="61" t="str">
        <f>VLOOKUP(E133,Bioeconomía!$A$1:$C$13,3,FALSE)</f>
        <v>No Bioeconomía</v>
      </c>
      <c r="H133" s="64" t="s">
        <v>34</v>
      </c>
      <c r="I133" s="64">
        <v>4</v>
      </c>
      <c r="J133" s="64" t="s">
        <v>25</v>
      </c>
      <c r="K133" s="62" t="str">
        <f>VLOOKUP(I133,Bioeconomía!$A$1:$C$13,3,FALSE)</f>
        <v>No Bioeconomía</v>
      </c>
    </row>
    <row r="134" spans="1:11">
      <c r="A134" s="60" t="s">
        <v>61</v>
      </c>
      <c r="B134" s="61" t="s">
        <v>40</v>
      </c>
      <c r="C134" s="61">
        <v>584.48260935479061</v>
      </c>
      <c r="D134" s="61" t="s">
        <v>33</v>
      </c>
      <c r="E134" s="61">
        <v>8</v>
      </c>
      <c r="F134" s="61" t="s">
        <v>20</v>
      </c>
      <c r="G134" s="61" t="str">
        <f>VLOOKUP(E134,Bioeconomía!$A$1:$C$13,3,FALSE)</f>
        <v>No Bioeconomía</v>
      </c>
      <c r="H134" s="61" t="s">
        <v>34</v>
      </c>
      <c r="I134" s="61">
        <v>5</v>
      </c>
      <c r="J134" s="61" t="s">
        <v>26</v>
      </c>
      <c r="K134" s="62" t="str">
        <f>VLOOKUP(I134,Bioeconomía!$A$1:$C$13,3,FALSE)</f>
        <v>No Bioeconomía</v>
      </c>
    </row>
    <row r="135" spans="1:11">
      <c r="A135" s="63" t="s">
        <v>61</v>
      </c>
      <c r="B135" s="64" t="s">
        <v>41</v>
      </c>
      <c r="C135" s="64">
        <v>1750.6706525790887</v>
      </c>
      <c r="D135" s="64" t="s">
        <v>33</v>
      </c>
      <c r="E135" s="64">
        <v>8</v>
      </c>
      <c r="F135" s="64" t="s">
        <v>20</v>
      </c>
      <c r="G135" s="61" t="str">
        <f>VLOOKUP(E135,Bioeconomía!$A$1:$C$13,3,FALSE)</f>
        <v>No Bioeconomía</v>
      </c>
      <c r="H135" s="64" t="s">
        <v>34</v>
      </c>
      <c r="I135" s="64">
        <v>6</v>
      </c>
      <c r="J135" s="64" t="s">
        <v>27</v>
      </c>
      <c r="K135" s="62" t="str">
        <f>VLOOKUP(I135,Bioeconomía!$A$1:$C$13,3,FALSE)</f>
        <v>No Bioeconomía</v>
      </c>
    </row>
    <row r="136" spans="1:11">
      <c r="A136" s="60" t="s">
        <v>61</v>
      </c>
      <c r="B136" s="61" t="s">
        <v>42</v>
      </c>
      <c r="C136" s="61">
        <v>635.75459166565099</v>
      </c>
      <c r="D136" s="61" t="s">
        <v>33</v>
      </c>
      <c r="E136" s="61">
        <v>8</v>
      </c>
      <c r="F136" s="61" t="s">
        <v>20</v>
      </c>
      <c r="G136" s="61" t="str">
        <f>VLOOKUP(E136,Bioeconomía!$A$1:$C$13,3,FALSE)</f>
        <v>No Bioeconomía</v>
      </c>
      <c r="H136" s="61" t="s">
        <v>34</v>
      </c>
      <c r="I136" s="61">
        <v>7</v>
      </c>
      <c r="J136" s="61" t="s">
        <v>28</v>
      </c>
      <c r="K136" s="62" t="str">
        <f>VLOOKUP(I136,Bioeconomía!$A$1:$C$13,3,FALSE)</f>
        <v>No Bioeconomía</v>
      </c>
    </row>
    <row r="137" spans="1:11">
      <c r="A137" s="63" t="s">
        <v>61</v>
      </c>
      <c r="B137" s="64" t="s">
        <v>43</v>
      </c>
      <c r="C137" s="64">
        <v>5982.5788079375088</v>
      </c>
      <c r="D137" s="64" t="s">
        <v>33</v>
      </c>
      <c r="E137" s="64">
        <v>8</v>
      </c>
      <c r="F137" s="64" t="s">
        <v>20</v>
      </c>
      <c r="G137" s="61" t="str">
        <f>VLOOKUP(E137,Bioeconomía!$A$1:$C$13,3,FALSE)</f>
        <v>No Bioeconomía</v>
      </c>
      <c r="H137" s="64" t="s">
        <v>34</v>
      </c>
      <c r="I137" s="64">
        <v>8</v>
      </c>
      <c r="J137" s="64" t="s">
        <v>20</v>
      </c>
      <c r="K137" s="62" t="str">
        <f>VLOOKUP(I137,Bioeconomía!$A$1:$C$13,3,FALSE)</f>
        <v>No Bioeconomía</v>
      </c>
    </row>
    <row r="138" spans="1:11">
      <c r="A138" s="60" t="s">
        <v>61</v>
      </c>
      <c r="B138" s="61" t="s">
        <v>44</v>
      </c>
      <c r="C138" s="61">
        <v>617.14534693199323</v>
      </c>
      <c r="D138" s="61" t="s">
        <v>33</v>
      </c>
      <c r="E138" s="61">
        <v>8</v>
      </c>
      <c r="F138" s="61" t="s">
        <v>20</v>
      </c>
      <c r="G138" s="61" t="str">
        <f>VLOOKUP(E138,Bioeconomía!$A$1:$C$13,3,FALSE)</f>
        <v>No Bioeconomía</v>
      </c>
      <c r="H138" s="61" t="s">
        <v>34</v>
      </c>
      <c r="I138" s="61">
        <v>9</v>
      </c>
      <c r="J138" s="61" t="s">
        <v>29</v>
      </c>
      <c r="K138" s="62" t="str">
        <f>VLOOKUP(I138,Bioeconomía!$A$1:$C$13,3,FALSE)</f>
        <v>No Bioeconomía</v>
      </c>
    </row>
    <row r="139" spans="1:11">
      <c r="A139" s="63" t="s">
        <v>61</v>
      </c>
      <c r="B139" s="64" t="s">
        <v>45</v>
      </c>
      <c r="C139" s="64">
        <v>898.43815273963571</v>
      </c>
      <c r="D139" s="64" t="s">
        <v>33</v>
      </c>
      <c r="E139" s="64">
        <v>8</v>
      </c>
      <c r="F139" s="64" t="s">
        <v>20</v>
      </c>
      <c r="G139" s="61" t="str">
        <f>VLOOKUP(E139,Bioeconomía!$A$1:$C$13,3,FALSE)</f>
        <v>No Bioeconomía</v>
      </c>
      <c r="H139" s="64" t="s">
        <v>34</v>
      </c>
      <c r="I139" s="64">
        <v>10</v>
      </c>
      <c r="J139" s="64" t="s">
        <v>30</v>
      </c>
      <c r="K139" s="62" t="str">
        <f>VLOOKUP(I139,Bioeconomía!$A$1:$C$13,3,FALSE)</f>
        <v>Bioeconomía extendida</v>
      </c>
    </row>
    <row r="140" spans="1:11">
      <c r="A140" s="60" t="s">
        <v>61</v>
      </c>
      <c r="B140" s="61" t="s">
        <v>46</v>
      </c>
      <c r="C140" s="61">
        <v>327.8381041152071</v>
      </c>
      <c r="D140" s="61" t="s">
        <v>33</v>
      </c>
      <c r="E140" s="61">
        <v>8</v>
      </c>
      <c r="F140" s="61" t="s">
        <v>20</v>
      </c>
      <c r="G140" s="61" t="str">
        <f>VLOOKUP(E140,Bioeconomía!$A$1:$C$13,3,FALSE)</f>
        <v>No Bioeconomía</v>
      </c>
      <c r="H140" s="61" t="s">
        <v>34</v>
      </c>
      <c r="I140" s="61">
        <v>11</v>
      </c>
      <c r="J140" s="61" t="s">
        <v>31</v>
      </c>
      <c r="K140" s="62" t="str">
        <f>VLOOKUP(I140,Bioeconomía!$A$1:$C$13,3,FALSE)</f>
        <v>No Bioeconomía</v>
      </c>
    </row>
    <row r="141" spans="1:11">
      <c r="A141" s="63" t="s">
        <v>61</v>
      </c>
      <c r="B141" s="64" t="s">
        <v>47</v>
      </c>
      <c r="C141" s="64">
        <v>248.25606623159638</v>
      </c>
      <c r="D141" s="64" t="s">
        <v>33</v>
      </c>
      <c r="E141" s="64">
        <v>8</v>
      </c>
      <c r="F141" s="64" t="s">
        <v>20</v>
      </c>
      <c r="G141" s="61" t="str">
        <f>VLOOKUP(E141,Bioeconomía!$A$1:$C$13,3,FALSE)</f>
        <v>No Bioeconomía</v>
      </c>
      <c r="H141" s="64" t="s">
        <v>34</v>
      </c>
      <c r="I141" s="64">
        <v>12</v>
      </c>
      <c r="J141" s="64" t="s">
        <v>21</v>
      </c>
      <c r="K141" s="62" t="str">
        <f>VLOOKUP(I141,Bioeconomía!$A$1:$C$13,3,FALSE)</f>
        <v>No Bioeconomía</v>
      </c>
    </row>
    <row r="142" spans="1:11">
      <c r="A142" s="60" t="s">
        <v>61</v>
      </c>
      <c r="B142" s="61" t="s">
        <v>48</v>
      </c>
      <c r="C142" s="61">
        <v>7988.7193001477608</v>
      </c>
      <c r="D142" s="61" t="s">
        <v>33</v>
      </c>
      <c r="E142" s="61">
        <v>8</v>
      </c>
      <c r="F142" s="61" t="s">
        <v>20</v>
      </c>
      <c r="G142" s="61" t="str">
        <f>VLOOKUP(E142,Bioeconomía!$A$1:$C$13,3,FALSE)</f>
        <v>No Bioeconomía</v>
      </c>
      <c r="H142" s="61" t="s">
        <v>4</v>
      </c>
      <c r="I142" s="61" t="s">
        <v>35</v>
      </c>
      <c r="J142" s="61" t="s">
        <v>35</v>
      </c>
      <c r="K142" s="62" t="str">
        <f>VLOOKUP(I142,Bioeconomía!$A$1:$C$13,3,FALSE)</f>
        <v>Ninguno</v>
      </c>
    </row>
    <row r="143" spans="1:11">
      <c r="A143" s="63" t="s">
        <v>61</v>
      </c>
      <c r="B143" s="64" t="s">
        <v>49</v>
      </c>
      <c r="C143" s="64">
        <v>0</v>
      </c>
      <c r="D143" s="64" t="s">
        <v>33</v>
      </c>
      <c r="E143" s="64">
        <v>8</v>
      </c>
      <c r="F143" s="64" t="s">
        <v>20</v>
      </c>
      <c r="G143" s="61" t="str">
        <f>VLOOKUP(E143,Bioeconomía!$A$1:$C$13,3,FALSE)</f>
        <v>No Bioeconomía</v>
      </c>
      <c r="H143" s="64" t="s">
        <v>5</v>
      </c>
      <c r="I143" s="64" t="s">
        <v>35</v>
      </c>
      <c r="J143" s="64" t="s">
        <v>35</v>
      </c>
      <c r="K143" s="62" t="str">
        <f>VLOOKUP(I143,Bioeconomía!$A$1:$C$13,3,FALSE)</f>
        <v>Ninguno</v>
      </c>
    </row>
    <row r="144" spans="1:11">
      <c r="A144" s="60" t="s">
        <v>61</v>
      </c>
      <c r="B144" s="61" t="s">
        <v>50</v>
      </c>
      <c r="C144" s="61">
        <v>228.71296489010598</v>
      </c>
      <c r="D144" s="61" t="s">
        <v>33</v>
      </c>
      <c r="E144" s="61">
        <v>8</v>
      </c>
      <c r="F144" s="61" t="s">
        <v>20</v>
      </c>
      <c r="G144" s="61" t="str">
        <f>VLOOKUP(E144,Bioeconomía!$A$1:$C$13,3,FALSE)</f>
        <v>No Bioeconomía</v>
      </c>
      <c r="H144" s="61" t="s">
        <v>6</v>
      </c>
      <c r="I144" s="61" t="s">
        <v>35</v>
      </c>
      <c r="J144" s="61" t="s">
        <v>35</v>
      </c>
      <c r="K144" s="62" t="str">
        <f>VLOOKUP(I144,Bioeconomía!$A$1:$C$13,3,FALSE)</f>
        <v>Ninguno</v>
      </c>
    </row>
    <row r="145" spans="1:11">
      <c r="A145" s="63" t="s">
        <v>61</v>
      </c>
      <c r="B145" s="64" t="s">
        <v>51</v>
      </c>
      <c r="C145" s="64">
        <v>61.206592899449085</v>
      </c>
      <c r="D145" s="64" t="s">
        <v>33</v>
      </c>
      <c r="E145" s="64">
        <v>8</v>
      </c>
      <c r="F145" s="64" t="s">
        <v>20</v>
      </c>
      <c r="G145" s="61" t="str">
        <f>VLOOKUP(E145,Bioeconomía!$A$1:$C$13,3,FALSE)</f>
        <v>No Bioeconomía</v>
      </c>
      <c r="H145" s="64" t="s">
        <v>7</v>
      </c>
      <c r="I145" s="64" t="s">
        <v>35</v>
      </c>
      <c r="J145" s="64" t="s">
        <v>35</v>
      </c>
      <c r="K145" s="62" t="str">
        <f>VLOOKUP(I145,Bioeconomía!$A$1:$C$13,3,FALSE)</f>
        <v>Ninguno</v>
      </c>
    </row>
    <row r="146" spans="1:11">
      <c r="A146" s="60" t="s">
        <v>61</v>
      </c>
      <c r="B146" s="61" t="s">
        <v>52</v>
      </c>
      <c r="C146" s="61">
        <v>0</v>
      </c>
      <c r="D146" s="61" t="s">
        <v>33</v>
      </c>
      <c r="E146" s="61">
        <v>8</v>
      </c>
      <c r="F146" s="61" t="s">
        <v>20</v>
      </c>
      <c r="G146" s="61" t="str">
        <f>VLOOKUP(E146,Bioeconomía!$A$1:$C$13,3,FALSE)</f>
        <v>No Bioeconomía</v>
      </c>
      <c r="H146" s="61" t="s">
        <v>8</v>
      </c>
      <c r="I146" s="61" t="s">
        <v>35</v>
      </c>
      <c r="J146" s="61" t="s">
        <v>35</v>
      </c>
      <c r="K146" s="62" t="str">
        <f>VLOOKUP(I146,Bioeconomía!$A$1:$C$13,3,FALSE)</f>
        <v>Ninguno</v>
      </c>
    </row>
    <row r="147" spans="1:11">
      <c r="A147" s="63" t="s">
        <v>61</v>
      </c>
      <c r="B147" s="64" t="s">
        <v>53</v>
      </c>
      <c r="C147" s="64">
        <v>723.43574874002161</v>
      </c>
      <c r="D147" s="64" t="s">
        <v>33</v>
      </c>
      <c r="E147" s="64">
        <v>8</v>
      </c>
      <c r="F147" s="64" t="s">
        <v>20</v>
      </c>
      <c r="G147" s="61" t="str">
        <f>VLOOKUP(E147,Bioeconomía!$A$1:$C$13,3,FALSE)</f>
        <v>No Bioeconomía</v>
      </c>
      <c r="H147" s="64" t="s">
        <v>9</v>
      </c>
      <c r="I147" s="64" t="s">
        <v>35</v>
      </c>
      <c r="J147" s="64" t="s">
        <v>35</v>
      </c>
      <c r="K147" s="62" t="str">
        <f>VLOOKUP(I147,Bioeconomía!$A$1:$C$13,3,FALSE)</f>
        <v>Ninguno</v>
      </c>
    </row>
    <row r="148" spans="1:11">
      <c r="A148" s="60" t="s">
        <v>62</v>
      </c>
      <c r="B148" s="61" t="s">
        <v>36</v>
      </c>
      <c r="C148" s="61">
        <v>52.019252663173717</v>
      </c>
      <c r="D148" s="61" t="s">
        <v>33</v>
      </c>
      <c r="E148" s="61">
        <v>9</v>
      </c>
      <c r="F148" s="61" t="s">
        <v>29</v>
      </c>
      <c r="G148" s="61" t="str">
        <f>VLOOKUP(E148,Bioeconomía!$A$1:$C$13,3,FALSE)</f>
        <v>No Bioeconomía</v>
      </c>
      <c r="H148" s="61" t="s">
        <v>34</v>
      </c>
      <c r="I148" s="61">
        <v>1</v>
      </c>
      <c r="J148" s="61" t="s">
        <v>22</v>
      </c>
      <c r="K148" s="62" t="str">
        <f>VLOOKUP(I148,Bioeconomía!$A$1:$C$13,3,FALSE)</f>
        <v>Bioeconomía</v>
      </c>
    </row>
    <row r="149" spans="1:11">
      <c r="A149" s="63" t="s">
        <v>62</v>
      </c>
      <c r="B149" s="64" t="s">
        <v>37</v>
      </c>
      <c r="C149" s="64">
        <v>56.805470824236494</v>
      </c>
      <c r="D149" s="64" t="s">
        <v>33</v>
      </c>
      <c r="E149" s="64">
        <v>9</v>
      </c>
      <c r="F149" s="64" t="s">
        <v>29</v>
      </c>
      <c r="G149" s="61" t="str">
        <f>VLOOKUP(E149,Bioeconomía!$A$1:$C$13,3,FALSE)</f>
        <v>No Bioeconomía</v>
      </c>
      <c r="H149" s="64" t="s">
        <v>34</v>
      </c>
      <c r="I149" s="64">
        <v>2</v>
      </c>
      <c r="J149" s="64" t="s">
        <v>23</v>
      </c>
      <c r="K149" s="62" t="str">
        <f>VLOOKUP(I149,Bioeconomía!$A$1:$C$13,3,FALSE)</f>
        <v>No Bioeconomía</v>
      </c>
    </row>
    <row r="150" spans="1:11">
      <c r="A150" s="60" t="s">
        <v>62</v>
      </c>
      <c r="B150" s="61" t="s">
        <v>38</v>
      </c>
      <c r="C150" s="61">
        <v>456.05277774667604</v>
      </c>
      <c r="D150" s="61" t="s">
        <v>33</v>
      </c>
      <c r="E150" s="61">
        <v>9</v>
      </c>
      <c r="F150" s="61" t="s">
        <v>29</v>
      </c>
      <c r="G150" s="61" t="str">
        <f>VLOOKUP(E150,Bioeconomía!$A$1:$C$13,3,FALSE)</f>
        <v>No Bioeconomía</v>
      </c>
      <c r="H150" s="61" t="s">
        <v>34</v>
      </c>
      <c r="I150" s="61">
        <v>3</v>
      </c>
      <c r="J150" s="61" t="s">
        <v>24</v>
      </c>
      <c r="K150" s="62" t="str">
        <f>VLOOKUP(I150,Bioeconomía!$A$1:$C$13,3,FALSE)</f>
        <v>No Bioeconomía</v>
      </c>
    </row>
    <row r="151" spans="1:11">
      <c r="A151" s="63" t="s">
        <v>62</v>
      </c>
      <c r="B151" s="64" t="s">
        <v>39</v>
      </c>
      <c r="C151" s="64">
        <v>48.722291732972622</v>
      </c>
      <c r="D151" s="64" t="s">
        <v>33</v>
      </c>
      <c r="E151" s="64">
        <v>9</v>
      </c>
      <c r="F151" s="64" t="s">
        <v>29</v>
      </c>
      <c r="G151" s="61" t="str">
        <f>VLOOKUP(E151,Bioeconomía!$A$1:$C$13,3,FALSE)</f>
        <v>No Bioeconomía</v>
      </c>
      <c r="H151" s="64" t="s">
        <v>34</v>
      </c>
      <c r="I151" s="64">
        <v>4</v>
      </c>
      <c r="J151" s="64" t="s">
        <v>25</v>
      </c>
      <c r="K151" s="62" t="str">
        <f>VLOOKUP(I151,Bioeconomía!$A$1:$C$13,3,FALSE)</f>
        <v>No Bioeconomía</v>
      </c>
    </row>
    <row r="152" spans="1:11">
      <c r="A152" s="60" t="s">
        <v>62</v>
      </c>
      <c r="B152" s="61" t="s">
        <v>40</v>
      </c>
      <c r="C152" s="61">
        <v>112.41270105040677</v>
      </c>
      <c r="D152" s="61" t="s">
        <v>33</v>
      </c>
      <c r="E152" s="61">
        <v>9</v>
      </c>
      <c r="F152" s="61" t="s">
        <v>29</v>
      </c>
      <c r="G152" s="61" t="str">
        <f>VLOOKUP(E152,Bioeconomía!$A$1:$C$13,3,FALSE)</f>
        <v>No Bioeconomía</v>
      </c>
      <c r="H152" s="61" t="s">
        <v>34</v>
      </c>
      <c r="I152" s="61">
        <v>5</v>
      </c>
      <c r="J152" s="61" t="s">
        <v>26</v>
      </c>
      <c r="K152" s="62" t="str">
        <f>VLOOKUP(I152,Bioeconomía!$A$1:$C$13,3,FALSE)</f>
        <v>No Bioeconomía</v>
      </c>
    </row>
    <row r="153" spans="1:11">
      <c r="A153" s="63" t="s">
        <v>62</v>
      </c>
      <c r="B153" s="64" t="s">
        <v>41</v>
      </c>
      <c r="C153" s="64">
        <v>2527.8830313909971</v>
      </c>
      <c r="D153" s="64" t="s">
        <v>33</v>
      </c>
      <c r="E153" s="64">
        <v>9</v>
      </c>
      <c r="F153" s="64" t="s">
        <v>29</v>
      </c>
      <c r="G153" s="61" t="str">
        <f>VLOOKUP(E153,Bioeconomía!$A$1:$C$13,3,FALSE)</f>
        <v>No Bioeconomía</v>
      </c>
      <c r="H153" s="64" t="s">
        <v>34</v>
      </c>
      <c r="I153" s="64">
        <v>6</v>
      </c>
      <c r="J153" s="64" t="s">
        <v>27</v>
      </c>
      <c r="K153" s="62" t="str">
        <f>VLOOKUP(I153,Bioeconomía!$A$1:$C$13,3,FALSE)</f>
        <v>No Bioeconomía</v>
      </c>
    </row>
    <row r="154" spans="1:11">
      <c r="A154" s="60" t="s">
        <v>62</v>
      </c>
      <c r="B154" s="61" t="s">
        <v>42</v>
      </c>
      <c r="C154" s="61">
        <v>644.81757888727145</v>
      </c>
      <c r="D154" s="61" t="s">
        <v>33</v>
      </c>
      <c r="E154" s="61">
        <v>9</v>
      </c>
      <c r="F154" s="61" t="s">
        <v>29</v>
      </c>
      <c r="G154" s="61" t="str">
        <f>VLOOKUP(E154,Bioeconomía!$A$1:$C$13,3,FALSE)</f>
        <v>No Bioeconomía</v>
      </c>
      <c r="H154" s="61" t="s">
        <v>34</v>
      </c>
      <c r="I154" s="61">
        <v>7</v>
      </c>
      <c r="J154" s="61" t="s">
        <v>28</v>
      </c>
      <c r="K154" s="62" t="str">
        <f>VLOOKUP(I154,Bioeconomía!$A$1:$C$13,3,FALSE)</f>
        <v>No Bioeconomía</v>
      </c>
    </row>
    <row r="155" spans="1:11">
      <c r="A155" s="63" t="s">
        <v>62</v>
      </c>
      <c r="B155" s="64" t="s">
        <v>43</v>
      </c>
      <c r="C155" s="64">
        <v>458.16230248226009</v>
      </c>
      <c r="D155" s="64" t="s">
        <v>33</v>
      </c>
      <c r="E155" s="64">
        <v>9</v>
      </c>
      <c r="F155" s="64" t="s">
        <v>29</v>
      </c>
      <c r="G155" s="61" t="str">
        <f>VLOOKUP(E155,Bioeconomía!$A$1:$C$13,3,FALSE)</f>
        <v>No Bioeconomía</v>
      </c>
      <c r="H155" s="64" t="s">
        <v>34</v>
      </c>
      <c r="I155" s="64">
        <v>8</v>
      </c>
      <c r="J155" s="64" t="s">
        <v>20</v>
      </c>
      <c r="K155" s="62" t="str">
        <f>VLOOKUP(I155,Bioeconomía!$A$1:$C$13,3,FALSE)</f>
        <v>No Bioeconomía</v>
      </c>
    </row>
    <row r="156" spans="1:11">
      <c r="A156" s="60" t="s">
        <v>62</v>
      </c>
      <c r="B156" s="61" t="s">
        <v>44</v>
      </c>
      <c r="C156" s="61">
        <v>332.54365020357113</v>
      </c>
      <c r="D156" s="61" t="s">
        <v>33</v>
      </c>
      <c r="E156" s="61">
        <v>9</v>
      </c>
      <c r="F156" s="61" t="s">
        <v>29</v>
      </c>
      <c r="G156" s="61" t="str">
        <f>VLOOKUP(E156,Bioeconomía!$A$1:$C$13,3,FALSE)</f>
        <v>No Bioeconomía</v>
      </c>
      <c r="H156" s="61" t="s">
        <v>34</v>
      </c>
      <c r="I156" s="61">
        <v>9</v>
      </c>
      <c r="J156" s="61" t="s">
        <v>29</v>
      </c>
      <c r="K156" s="62" t="str">
        <f>VLOOKUP(I156,Bioeconomía!$A$1:$C$13,3,FALSE)</f>
        <v>No Bioeconomía</v>
      </c>
    </row>
    <row r="157" spans="1:11">
      <c r="A157" s="63" t="s">
        <v>62</v>
      </c>
      <c r="B157" s="64" t="s">
        <v>45</v>
      </c>
      <c r="C157" s="64">
        <v>654.14719439340126</v>
      </c>
      <c r="D157" s="64" t="s">
        <v>33</v>
      </c>
      <c r="E157" s="64">
        <v>9</v>
      </c>
      <c r="F157" s="64" t="s">
        <v>29</v>
      </c>
      <c r="G157" s="61" t="str">
        <f>VLOOKUP(E157,Bioeconomía!$A$1:$C$13,3,FALSE)</f>
        <v>No Bioeconomía</v>
      </c>
      <c r="H157" s="64" t="s">
        <v>34</v>
      </c>
      <c r="I157" s="64">
        <v>10</v>
      </c>
      <c r="J157" s="64" t="s">
        <v>30</v>
      </c>
      <c r="K157" s="62" t="str">
        <f>VLOOKUP(I157,Bioeconomía!$A$1:$C$13,3,FALSE)</f>
        <v>Bioeconomía extendida</v>
      </c>
    </row>
    <row r="158" spans="1:11">
      <c r="A158" s="60" t="s">
        <v>62</v>
      </c>
      <c r="B158" s="61" t="s">
        <v>46</v>
      </c>
      <c r="C158" s="61">
        <v>893.16879355697392</v>
      </c>
      <c r="D158" s="61" t="s">
        <v>33</v>
      </c>
      <c r="E158" s="61">
        <v>9</v>
      </c>
      <c r="F158" s="61" t="s">
        <v>29</v>
      </c>
      <c r="G158" s="61" t="str">
        <f>VLOOKUP(E158,Bioeconomía!$A$1:$C$13,3,FALSE)</f>
        <v>No Bioeconomía</v>
      </c>
      <c r="H158" s="61" t="s">
        <v>34</v>
      </c>
      <c r="I158" s="61">
        <v>11</v>
      </c>
      <c r="J158" s="61" t="s">
        <v>31</v>
      </c>
      <c r="K158" s="62" t="str">
        <f>VLOOKUP(I158,Bioeconomía!$A$1:$C$13,3,FALSE)</f>
        <v>No Bioeconomía</v>
      </c>
    </row>
    <row r="159" spans="1:11">
      <c r="A159" s="63" t="s">
        <v>62</v>
      </c>
      <c r="B159" s="64" t="s">
        <v>47</v>
      </c>
      <c r="C159" s="64">
        <v>167.6369254416006</v>
      </c>
      <c r="D159" s="64" t="s">
        <v>33</v>
      </c>
      <c r="E159" s="64">
        <v>9</v>
      </c>
      <c r="F159" s="64" t="s">
        <v>29</v>
      </c>
      <c r="G159" s="61" t="str">
        <f>VLOOKUP(E159,Bioeconomía!$A$1:$C$13,3,FALSE)</f>
        <v>No Bioeconomía</v>
      </c>
      <c r="H159" s="64" t="s">
        <v>34</v>
      </c>
      <c r="I159" s="64">
        <v>12</v>
      </c>
      <c r="J159" s="64" t="s">
        <v>21</v>
      </c>
      <c r="K159" s="62" t="str">
        <f>VLOOKUP(I159,Bioeconomía!$A$1:$C$13,3,FALSE)</f>
        <v>No Bioeconomía</v>
      </c>
    </row>
    <row r="160" spans="1:11">
      <c r="A160" s="60" t="s">
        <v>62</v>
      </c>
      <c r="B160" s="61" t="s">
        <v>48</v>
      </c>
      <c r="C160" s="61">
        <v>19091.525196647348</v>
      </c>
      <c r="D160" s="61" t="s">
        <v>33</v>
      </c>
      <c r="E160" s="61">
        <v>9</v>
      </c>
      <c r="F160" s="61" t="s">
        <v>29</v>
      </c>
      <c r="G160" s="61" t="str">
        <f>VLOOKUP(E160,Bioeconomía!$A$1:$C$13,3,FALSE)</f>
        <v>No Bioeconomía</v>
      </c>
      <c r="H160" s="61" t="s">
        <v>4</v>
      </c>
      <c r="I160" s="61" t="s">
        <v>35</v>
      </c>
      <c r="J160" s="61" t="s">
        <v>35</v>
      </c>
      <c r="K160" s="62" t="str">
        <f>VLOOKUP(I160,Bioeconomía!$A$1:$C$13,3,FALSE)</f>
        <v>Ninguno</v>
      </c>
    </row>
    <row r="161" spans="1:11">
      <c r="A161" s="63" t="s">
        <v>62</v>
      </c>
      <c r="B161" s="64" t="s">
        <v>49</v>
      </c>
      <c r="C161" s="64">
        <v>0</v>
      </c>
      <c r="D161" s="64" t="s">
        <v>33</v>
      </c>
      <c r="E161" s="64">
        <v>9</v>
      </c>
      <c r="F161" s="64" t="s">
        <v>29</v>
      </c>
      <c r="G161" s="61" t="str">
        <f>VLOOKUP(E161,Bioeconomía!$A$1:$C$13,3,FALSE)</f>
        <v>No Bioeconomía</v>
      </c>
      <c r="H161" s="64" t="s">
        <v>5</v>
      </c>
      <c r="I161" s="64" t="s">
        <v>35</v>
      </c>
      <c r="J161" s="64" t="s">
        <v>35</v>
      </c>
      <c r="K161" s="62" t="str">
        <f>VLOOKUP(I161,Bioeconomía!$A$1:$C$13,3,FALSE)</f>
        <v>Ninguno</v>
      </c>
    </row>
    <row r="162" spans="1:11">
      <c r="A162" s="60" t="s">
        <v>62</v>
      </c>
      <c r="B162" s="61" t="s">
        <v>50</v>
      </c>
      <c r="C162" s="61">
        <v>0.13745594412125137</v>
      </c>
      <c r="D162" s="61" t="s">
        <v>33</v>
      </c>
      <c r="E162" s="61">
        <v>9</v>
      </c>
      <c r="F162" s="61" t="s">
        <v>29</v>
      </c>
      <c r="G162" s="61" t="str">
        <f>VLOOKUP(E162,Bioeconomía!$A$1:$C$13,3,FALSE)</f>
        <v>No Bioeconomía</v>
      </c>
      <c r="H162" s="61" t="s">
        <v>6</v>
      </c>
      <c r="I162" s="61" t="s">
        <v>35</v>
      </c>
      <c r="J162" s="61" t="s">
        <v>35</v>
      </c>
      <c r="K162" s="62" t="str">
        <f>VLOOKUP(I162,Bioeconomía!$A$1:$C$13,3,FALSE)</f>
        <v>Ninguno</v>
      </c>
    </row>
    <row r="163" spans="1:11">
      <c r="A163" s="63" t="s">
        <v>62</v>
      </c>
      <c r="B163" s="64" t="s">
        <v>51</v>
      </c>
      <c r="C163" s="64">
        <v>121.53446015282401</v>
      </c>
      <c r="D163" s="64" t="s">
        <v>33</v>
      </c>
      <c r="E163" s="64">
        <v>9</v>
      </c>
      <c r="F163" s="64" t="s">
        <v>29</v>
      </c>
      <c r="G163" s="61" t="str">
        <f>VLOOKUP(E163,Bioeconomía!$A$1:$C$13,3,FALSE)</f>
        <v>No Bioeconomía</v>
      </c>
      <c r="H163" s="64" t="s">
        <v>7</v>
      </c>
      <c r="I163" s="64" t="s">
        <v>35</v>
      </c>
      <c r="J163" s="64" t="s">
        <v>35</v>
      </c>
      <c r="K163" s="62" t="str">
        <f>VLOOKUP(I163,Bioeconomía!$A$1:$C$13,3,FALSE)</f>
        <v>Ninguno</v>
      </c>
    </row>
    <row r="164" spans="1:11">
      <c r="A164" s="60" t="s">
        <v>62</v>
      </c>
      <c r="B164" s="61" t="s">
        <v>52</v>
      </c>
      <c r="C164" s="61">
        <v>0</v>
      </c>
      <c r="D164" s="61" t="s">
        <v>33</v>
      </c>
      <c r="E164" s="61">
        <v>9</v>
      </c>
      <c r="F164" s="61" t="s">
        <v>29</v>
      </c>
      <c r="G164" s="61" t="str">
        <f>VLOOKUP(E164,Bioeconomía!$A$1:$C$13,3,FALSE)</f>
        <v>No Bioeconomía</v>
      </c>
      <c r="H164" s="61" t="s">
        <v>8</v>
      </c>
      <c r="I164" s="61" t="s">
        <v>35</v>
      </c>
      <c r="J164" s="61" t="s">
        <v>35</v>
      </c>
      <c r="K164" s="62" t="str">
        <f>VLOOKUP(I164,Bioeconomía!$A$1:$C$13,3,FALSE)</f>
        <v>Ninguno</v>
      </c>
    </row>
    <row r="165" spans="1:11">
      <c r="A165" s="63" t="s">
        <v>62</v>
      </c>
      <c r="B165" s="64" t="s">
        <v>53</v>
      </c>
      <c r="C165" s="64">
        <v>49.574675015200178</v>
      </c>
      <c r="D165" s="64" t="s">
        <v>33</v>
      </c>
      <c r="E165" s="64">
        <v>9</v>
      </c>
      <c r="F165" s="64" t="s">
        <v>29</v>
      </c>
      <c r="G165" s="61" t="str">
        <f>VLOOKUP(E165,Bioeconomía!$A$1:$C$13,3,FALSE)</f>
        <v>No Bioeconomía</v>
      </c>
      <c r="H165" s="64" t="s">
        <v>9</v>
      </c>
      <c r="I165" s="64" t="s">
        <v>35</v>
      </c>
      <c r="J165" s="64" t="s">
        <v>35</v>
      </c>
      <c r="K165" s="62" t="str">
        <f>VLOOKUP(I165,Bioeconomía!$A$1:$C$13,3,FALSE)</f>
        <v>Ninguno</v>
      </c>
    </row>
    <row r="166" spans="1:11">
      <c r="A166" s="60" t="s">
        <v>63</v>
      </c>
      <c r="B166" s="61" t="s">
        <v>36</v>
      </c>
      <c r="C166" s="61">
        <v>749.34541065891779</v>
      </c>
      <c r="D166" s="61" t="s">
        <v>33</v>
      </c>
      <c r="E166" s="61">
        <v>10</v>
      </c>
      <c r="F166" s="61" t="s">
        <v>30</v>
      </c>
      <c r="G166" s="61" t="str">
        <f>VLOOKUP(E166,Bioeconomía!$A$1:$C$13,3,FALSE)</f>
        <v>Bioeconomía extendida</v>
      </c>
      <c r="H166" s="61" t="s">
        <v>34</v>
      </c>
      <c r="I166" s="61">
        <v>1</v>
      </c>
      <c r="J166" s="61" t="s">
        <v>22</v>
      </c>
      <c r="K166" s="62" t="str">
        <f>VLOOKUP(I166,Bioeconomía!$A$1:$C$13,3,FALSE)</f>
        <v>Bioeconomía</v>
      </c>
    </row>
    <row r="167" spans="1:11">
      <c r="A167" s="63" t="s">
        <v>63</v>
      </c>
      <c r="B167" s="64" t="s">
        <v>37</v>
      </c>
      <c r="C167" s="64">
        <v>4370.2376709270884</v>
      </c>
      <c r="D167" s="64" t="s">
        <v>33</v>
      </c>
      <c r="E167" s="64">
        <v>10</v>
      </c>
      <c r="F167" s="64" t="s">
        <v>30</v>
      </c>
      <c r="G167" s="61" t="str">
        <f>VLOOKUP(E167,Bioeconomía!$A$1:$C$13,3,FALSE)</f>
        <v>Bioeconomía extendida</v>
      </c>
      <c r="H167" s="64" t="s">
        <v>34</v>
      </c>
      <c r="I167" s="64">
        <v>2</v>
      </c>
      <c r="J167" s="64" t="s">
        <v>23</v>
      </c>
      <c r="K167" s="62" t="str">
        <f>VLOOKUP(I167,Bioeconomía!$A$1:$C$13,3,FALSE)</f>
        <v>No Bioeconomía</v>
      </c>
    </row>
    <row r="168" spans="1:11">
      <c r="A168" s="60" t="s">
        <v>63</v>
      </c>
      <c r="B168" s="61" t="s">
        <v>38</v>
      </c>
      <c r="C168" s="61">
        <v>3411.4399274628327</v>
      </c>
      <c r="D168" s="61" t="s">
        <v>33</v>
      </c>
      <c r="E168" s="61">
        <v>10</v>
      </c>
      <c r="F168" s="61" t="s">
        <v>30</v>
      </c>
      <c r="G168" s="61" t="str">
        <f>VLOOKUP(E168,Bioeconomía!$A$1:$C$13,3,FALSE)</f>
        <v>Bioeconomía extendida</v>
      </c>
      <c r="H168" s="61" t="s">
        <v>34</v>
      </c>
      <c r="I168" s="61">
        <v>3</v>
      </c>
      <c r="J168" s="61" t="s">
        <v>24</v>
      </c>
      <c r="K168" s="62" t="str">
        <f>VLOOKUP(I168,Bioeconomía!$A$1:$C$13,3,FALSE)</f>
        <v>No Bioeconomía</v>
      </c>
    </row>
    <row r="169" spans="1:11">
      <c r="A169" s="63" t="s">
        <v>63</v>
      </c>
      <c r="B169" s="64" t="s">
        <v>39</v>
      </c>
      <c r="C169" s="64">
        <v>1061.4773696477309</v>
      </c>
      <c r="D169" s="64" t="s">
        <v>33</v>
      </c>
      <c r="E169" s="64">
        <v>10</v>
      </c>
      <c r="F169" s="64" t="s">
        <v>30</v>
      </c>
      <c r="G169" s="61" t="str">
        <f>VLOOKUP(E169,Bioeconomía!$A$1:$C$13,3,FALSE)</f>
        <v>Bioeconomía extendida</v>
      </c>
      <c r="H169" s="64" t="s">
        <v>34</v>
      </c>
      <c r="I169" s="64">
        <v>4</v>
      </c>
      <c r="J169" s="64" t="s">
        <v>25</v>
      </c>
      <c r="K169" s="62" t="str">
        <f>VLOOKUP(I169,Bioeconomía!$A$1:$C$13,3,FALSE)</f>
        <v>No Bioeconomía</v>
      </c>
    </row>
    <row r="170" spans="1:11">
      <c r="A170" s="60" t="s">
        <v>63</v>
      </c>
      <c r="B170" s="61" t="s">
        <v>40</v>
      </c>
      <c r="C170" s="61">
        <v>1714.9704099583787</v>
      </c>
      <c r="D170" s="61" t="s">
        <v>33</v>
      </c>
      <c r="E170" s="61">
        <v>10</v>
      </c>
      <c r="F170" s="61" t="s">
        <v>30</v>
      </c>
      <c r="G170" s="61" t="str">
        <f>VLOOKUP(E170,Bioeconomía!$A$1:$C$13,3,FALSE)</f>
        <v>Bioeconomía extendida</v>
      </c>
      <c r="H170" s="61" t="s">
        <v>34</v>
      </c>
      <c r="I170" s="61">
        <v>5</v>
      </c>
      <c r="J170" s="61" t="s">
        <v>26</v>
      </c>
      <c r="K170" s="62" t="str">
        <f>VLOOKUP(I170,Bioeconomía!$A$1:$C$13,3,FALSE)</f>
        <v>No Bioeconomía</v>
      </c>
    </row>
    <row r="171" spans="1:11">
      <c r="A171" s="63" t="s">
        <v>63</v>
      </c>
      <c r="B171" s="64" t="s">
        <v>41</v>
      </c>
      <c r="C171" s="64">
        <v>5489.8329214910655</v>
      </c>
      <c r="D171" s="64" t="s">
        <v>33</v>
      </c>
      <c r="E171" s="64">
        <v>10</v>
      </c>
      <c r="F171" s="64" t="s">
        <v>30</v>
      </c>
      <c r="G171" s="61" t="str">
        <f>VLOOKUP(E171,Bioeconomía!$A$1:$C$13,3,FALSE)</f>
        <v>Bioeconomía extendida</v>
      </c>
      <c r="H171" s="64" t="s">
        <v>34</v>
      </c>
      <c r="I171" s="64">
        <v>6</v>
      </c>
      <c r="J171" s="64" t="s">
        <v>27</v>
      </c>
      <c r="K171" s="62" t="str">
        <f>VLOOKUP(I171,Bioeconomía!$A$1:$C$13,3,FALSE)</f>
        <v>No Bioeconomía</v>
      </c>
    </row>
    <row r="172" spans="1:11">
      <c r="A172" s="60" t="s">
        <v>63</v>
      </c>
      <c r="B172" s="61" t="s">
        <v>42</v>
      </c>
      <c r="C172" s="61">
        <v>2646.587623954787</v>
      </c>
      <c r="D172" s="61" t="s">
        <v>33</v>
      </c>
      <c r="E172" s="61">
        <v>10</v>
      </c>
      <c r="F172" s="61" t="s">
        <v>30</v>
      </c>
      <c r="G172" s="61" t="str">
        <f>VLOOKUP(E172,Bioeconomía!$A$1:$C$13,3,FALSE)</f>
        <v>Bioeconomía extendida</v>
      </c>
      <c r="H172" s="61" t="s">
        <v>34</v>
      </c>
      <c r="I172" s="61">
        <v>7</v>
      </c>
      <c r="J172" s="61" t="s">
        <v>28</v>
      </c>
      <c r="K172" s="62" t="str">
        <f>VLOOKUP(I172,Bioeconomía!$A$1:$C$13,3,FALSE)</f>
        <v>No Bioeconomía</v>
      </c>
    </row>
    <row r="173" spans="1:11">
      <c r="A173" s="63" t="s">
        <v>63</v>
      </c>
      <c r="B173" s="64" t="s">
        <v>43</v>
      </c>
      <c r="C173" s="64">
        <v>2399.6728566456377</v>
      </c>
      <c r="D173" s="64" t="s">
        <v>33</v>
      </c>
      <c r="E173" s="64">
        <v>10</v>
      </c>
      <c r="F173" s="64" t="s">
        <v>30</v>
      </c>
      <c r="G173" s="61" t="str">
        <f>VLOOKUP(E173,Bioeconomía!$A$1:$C$13,3,FALSE)</f>
        <v>Bioeconomía extendida</v>
      </c>
      <c r="H173" s="64" t="s">
        <v>34</v>
      </c>
      <c r="I173" s="64">
        <v>8</v>
      </c>
      <c r="J173" s="64" t="s">
        <v>20</v>
      </c>
      <c r="K173" s="62" t="str">
        <f>VLOOKUP(I173,Bioeconomía!$A$1:$C$13,3,FALSE)</f>
        <v>No Bioeconomía</v>
      </c>
    </row>
    <row r="174" spans="1:11">
      <c r="A174" s="60" t="s">
        <v>63</v>
      </c>
      <c r="B174" s="61" t="s">
        <v>44</v>
      </c>
      <c r="C174" s="61">
        <v>453.41048516706951</v>
      </c>
      <c r="D174" s="61" t="s">
        <v>33</v>
      </c>
      <c r="E174" s="61">
        <v>10</v>
      </c>
      <c r="F174" s="61" t="s">
        <v>30</v>
      </c>
      <c r="G174" s="61" t="str">
        <f>VLOOKUP(E174,Bioeconomía!$A$1:$C$13,3,FALSE)</f>
        <v>Bioeconomía extendida</v>
      </c>
      <c r="H174" s="61" t="s">
        <v>34</v>
      </c>
      <c r="I174" s="61">
        <v>9</v>
      </c>
      <c r="J174" s="61" t="s">
        <v>29</v>
      </c>
      <c r="K174" s="62" t="str">
        <f>VLOOKUP(I174,Bioeconomía!$A$1:$C$13,3,FALSE)</f>
        <v>No Bioeconomía</v>
      </c>
    </row>
    <row r="175" spans="1:11">
      <c r="A175" s="63" t="s">
        <v>63</v>
      </c>
      <c r="B175" s="64" t="s">
        <v>45</v>
      </c>
      <c r="C175" s="64">
        <v>4585.662619325376</v>
      </c>
      <c r="D175" s="64" t="s">
        <v>33</v>
      </c>
      <c r="E175" s="64">
        <v>10</v>
      </c>
      <c r="F175" s="64" t="s">
        <v>30</v>
      </c>
      <c r="G175" s="61" t="str">
        <f>VLOOKUP(E175,Bioeconomía!$A$1:$C$13,3,FALSE)</f>
        <v>Bioeconomía extendida</v>
      </c>
      <c r="H175" s="64" t="s">
        <v>34</v>
      </c>
      <c r="I175" s="64">
        <v>10</v>
      </c>
      <c r="J175" s="64" t="s">
        <v>30</v>
      </c>
      <c r="K175" s="62" t="str">
        <f>VLOOKUP(I175,Bioeconomía!$A$1:$C$13,3,FALSE)</f>
        <v>Bioeconomía extendida</v>
      </c>
    </row>
    <row r="176" spans="1:11">
      <c r="A176" s="60" t="s">
        <v>63</v>
      </c>
      <c r="B176" s="61" t="s">
        <v>46</v>
      </c>
      <c r="C176" s="61">
        <v>2007.4007782251022</v>
      </c>
      <c r="D176" s="61" t="s">
        <v>33</v>
      </c>
      <c r="E176" s="61">
        <v>10</v>
      </c>
      <c r="F176" s="61" t="s">
        <v>30</v>
      </c>
      <c r="G176" s="61" t="str">
        <f>VLOOKUP(E176,Bioeconomía!$A$1:$C$13,3,FALSE)</f>
        <v>Bioeconomía extendida</v>
      </c>
      <c r="H176" s="61" t="s">
        <v>34</v>
      </c>
      <c r="I176" s="61">
        <v>11</v>
      </c>
      <c r="J176" s="61" t="s">
        <v>31</v>
      </c>
      <c r="K176" s="62" t="str">
        <f>VLOOKUP(I176,Bioeconomía!$A$1:$C$13,3,FALSE)</f>
        <v>No Bioeconomía</v>
      </c>
    </row>
    <row r="177" spans="1:11">
      <c r="A177" s="63" t="s">
        <v>63</v>
      </c>
      <c r="B177" s="64" t="s">
        <v>47</v>
      </c>
      <c r="C177" s="64">
        <v>950.45330643330249</v>
      </c>
      <c r="D177" s="64" t="s">
        <v>33</v>
      </c>
      <c r="E177" s="64">
        <v>10</v>
      </c>
      <c r="F177" s="64" t="s">
        <v>30</v>
      </c>
      <c r="G177" s="61" t="str">
        <f>VLOOKUP(E177,Bioeconomía!$A$1:$C$13,3,FALSE)</f>
        <v>Bioeconomía extendida</v>
      </c>
      <c r="H177" s="64" t="s">
        <v>34</v>
      </c>
      <c r="I177" s="64">
        <v>12</v>
      </c>
      <c r="J177" s="64" t="s">
        <v>21</v>
      </c>
      <c r="K177" s="62" t="str">
        <f>VLOOKUP(I177,Bioeconomía!$A$1:$C$13,3,FALSE)</f>
        <v>No Bioeconomía</v>
      </c>
    </row>
    <row r="178" spans="1:11">
      <c r="A178" s="60" t="s">
        <v>63</v>
      </c>
      <c r="B178" s="61" t="s">
        <v>48</v>
      </c>
      <c r="C178" s="61">
        <v>1570.0364102032977</v>
      </c>
      <c r="D178" s="61" t="s">
        <v>33</v>
      </c>
      <c r="E178" s="61">
        <v>10</v>
      </c>
      <c r="F178" s="61" t="s">
        <v>30</v>
      </c>
      <c r="G178" s="61" t="str">
        <f>VLOOKUP(E178,Bioeconomía!$A$1:$C$13,3,FALSE)</f>
        <v>Bioeconomía extendida</v>
      </c>
      <c r="H178" s="61" t="s">
        <v>4</v>
      </c>
      <c r="I178" s="61" t="s">
        <v>35</v>
      </c>
      <c r="J178" s="61" t="s">
        <v>35</v>
      </c>
      <c r="K178" s="62" t="str">
        <f>VLOOKUP(I178,Bioeconomía!$A$1:$C$13,3,FALSE)</f>
        <v>Ninguno</v>
      </c>
    </row>
    <row r="179" spans="1:11">
      <c r="A179" s="63" t="s">
        <v>63</v>
      </c>
      <c r="B179" s="64" t="s">
        <v>49</v>
      </c>
      <c r="C179" s="64">
        <v>0</v>
      </c>
      <c r="D179" s="64" t="s">
        <v>33</v>
      </c>
      <c r="E179" s="64">
        <v>10</v>
      </c>
      <c r="F179" s="64" t="s">
        <v>30</v>
      </c>
      <c r="G179" s="61" t="str">
        <f>VLOOKUP(E179,Bioeconomía!$A$1:$C$13,3,FALSE)</f>
        <v>Bioeconomía extendida</v>
      </c>
      <c r="H179" s="64" t="s">
        <v>5</v>
      </c>
      <c r="I179" s="64" t="s">
        <v>35</v>
      </c>
      <c r="J179" s="64" t="s">
        <v>35</v>
      </c>
      <c r="K179" s="62" t="str">
        <f>VLOOKUP(I179,Bioeconomía!$A$1:$C$13,3,FALSE)</f>
        <v>Ninguno</v>
      </c>
    </row>
    <row r="180" spans="1:11">
      <c r="A180" s="60" t="s">
        <v>63</v>
      </c>
      <c r="B180" s="61" t="s">
        <v>50</v>
      </c>
      <c r="C180" s="61">
        <v>73.289573665182871</v>
      </c>
      <c r="D180" s="61" t="s">
        <v>33</v>
      </c>
      <c r="E180" s="61">
        <v>10</v>
      </c>
      <c r="F180" s="61" t="s">
        <v>30</v>
      </c>
      <c r="G180" s="61" t="str">
        <f>VLOOKUP(E180,Bioeconomía!$A$1:$C$13,3,FALSE)</f>
        <v>Bioeconomía extendida</v>
      </c>
      <c r="H180" s="61" t="s">
        <v>6</v>
      </c>
      <c r="I180" s="61" t="s">
        <v>35</v>
      </c>
      <c r="J180" s="61" t="s">
        <v>35</v>
      </c>
      <c r="K180" s="62" t="str">
        <f>VLOOKUP(I180,Bioeconomía!$A$1:$C$13,3,FALSE)</f>
        <v>Ninguno</v>
      </c>
    </row>
    <row r="181" spans="1:11">
      <c r="A181" s="63" t="s">
        <v>63</v>
      </c>
      <c r="B181" s="64" t="s">
        <v>51</v>
      </c>
      <c r="C181" s="64">
        <v>4072.6307240641954</v>
      </c>
      <c r="D181" s="64" t="s">
        <v>33</v>
      </c>
      <c r="E181" s="64">
        <v>10</v>
      </c>
      <c r="F181" s="64" t="s">
        <v>30</v>
      </c>
      <c r="G181" s="61" t="str">
        <f>VLOOKUP(E181,Bioeconomía!$A$1:$C$13,3,FALSE)</f>
        <v>Bioeconomía extendida</v>
      </c>
      <c r="H181" s="64" t="s">
        <v>7</v>
      </c>
      <c r="I181" s="64" t="s">
        <v>35</v>
      </c>
      <c r="J181" s="64" t="s">
        <v>35</v>
      </c>
      <c r="K181" s="62" t="str">
        <f>VLOOKUP(I181,Bioeconomía!$A$1:$C$13,3,FALSE)</f>
        <v>Ninguno</v>
      </c>
    </row>
    <row r="182" spans="1:11">
      <c r="A182" s="60" t="s">
        <v>63</v>
      </c>
      <c r="B182" s="61" t="s">
        <v>52</v>
      </c>
      <c r="C182" s="61">
        <v>5.1274777730822097E-4</v>
      </c>
      <c r="D182" s="61" t="s">
        <v>33</v>
      </c>
      <c r="E182" s="61">
        <v>10</v>
      </c>
      <c r="F182" s="61" t="s">
        <v>30</v>
      </c>
      <c r="G182" s="61" t="str">
        <f>VLOOKUP(E182,Bioeconomía!$A$1:$C$13,3,FALSE)</f>
        <v>Bioeconomía extendida</v>
      </c>
      <c r="H182" s="61" t="s">
        <v>8</v>
      </c>
      <c r="I182" s="61" t="s">
        <v>35</v>
      </c>
      <c r="J182" s="61" t="s">
        <v>35</v>
      </c>
      <c r="K182" s="62" t="str">
        <f>VLOOKUP(I182,Bioeconomía!$A$1:$C$13,3,FALSE)</f>
        <v>Ninguno</v>
      </c>
    </row>
    <row r="183" spans="1:11">
      <c r="A183" s="63" t="s">
        <v>63</v>
      </c>
      <c r="B183" s="64" t="s">
        <v>53</v>
      </c>
      <c r="C183" s="64">
        <v>1232.2600711522966</v>
      </c>
      <c r="D183" s="64" t="s">
        <v>33</v>
      </c>
      <c r="E183" s="64">
        <v>10</v>
      </c>
      <c r="F183" s="64" t="s">
        <v>30</v>
      </c>
      <c r="G183" s="61" t="str">
        <f>VLOOKUP(E183,Bioeconomía!$A$1:$C$13,3,FALSE)</f>
        <v>Bioeconomía extendida</v>
      </c>
      <c r="H183" s="64" t="s">
        <v>9</v>
      </c>
      <c r="I183" s="64" t="s">
        <v>35</v>
      </c>
      <c r="J183" s="64" t="s">
        <v>35</v>
      </c>
      <c r="K183" s="62" t="str">
        <f>VLOOKUP(I183,Bioeconomía!$A$1:$C$13,3,FALSE)</f>
        <v>Ninguno</v>
      </c>
    </row>
    <row r="184" spans="1:11">
      <c r="A184" s="60" t="s">
        <v>64</v>
      </c>
      <c r="B184" s="61" t="s">
        <v>36</v>
      </c>
      <c r="C184" s="61">
        <v>26.146010446501101</v>
      </c>
      <c r="D184" s="61" t="s">
        <v>33</v>
      </c>
      <c r="E184" s="61">
        <v>11</v>
      </c>
      <c r="F184" s="61" t="s">
        <v>31</v>
      </c>
      <c r="G184" s="61" t="str">
        <f>VLOOKUP(E184,Bioeconomía!$A$1:$C$13,3,FALSE)</f>
        <v>No Bioeconomía</v>
      </c>
      <c r="H184" s="61" t="s">
        <v>34</v>
      </c>
      <c r="I184" s="61">
        <v>1</v>
      </c>
      <c r="J184" s="61" t="s">
        <v>22</v>
      </c>
      <c r="K184" s="62" t="str">
        <f>VLOOKUP(I184,Bioeconomía!$A$1:$C$13,3,FALSE)</f>
        <v>Bioeconomía</v>
      </c>
    </row>
    <row r="185" spans="1:11">
      <c r="A185" s="63" t="s">
        <v>64</v>
      </c>
      <c r="B185" s="64" t="s">
        <v>37</v>
      </c>
      <c r="C185" s="64">
        <v>71.001522643679934</v>
      </c>
      <c r="D185" s="64" t="s">
        <v>33</v>
      </c>
      <c r="E185" s="64">
        <v>11</v>
      </c>
      <c r="F185" s="64" t="s">
        <v>31</v>
      </c>
      <c r="G185" s="61" t="str">
        <f>VLOOKUP(E185,Bioeconomía!$A$1:$C$13,3,FALSE)</f>
        <v>No Bioeconomía</v>
      </c>
      <c r="H185" s="64" t="s">
        <v>34</v>
      </c>
      <c r="I185" s="64">
        <v>2</v>
      </c>
      <c r="J185" s="64" t="s">
        <v>23</v>
      </c>
      <c r="K185" s="62" t="str">
        <f>VLOOKUP(I185,Bioeconomía!$A$1:$C$13,3,FALSE)</f>
        <v>No Bioeconomía</v>
      </c>
    </row>
    <row r="186" spans="1:11">
      <c r="A186" s="60" t="s">
        <v>64</v>
      </c>
      <c r="B186" s="61" t="s">
        <v>38</v>
      </c>
      <c r="C186" s="61">
        <v>104.66133938950553</v>
      </c>
      <c r="D186" s="61" t="s">
        <v>33</v>
      </c>
      <c r="E186" s="61">
        <v>11</v>
      </c>
      <c r="F186" s="61" t="s">
        <v>31</v>
      </c>
      <c r="G186" s="61" t="str">
        <f>VLOOKUP(E186,Bioeconomía!$A$1:$C$13,3,FALSE)</f>
        <v>No Bioeconomía</v>
      </c>
      <c r="H186" s="61" t="s">
        <v>34</v>
      </c>
      <c r="I186" s="61">
        <v>3</v>
      </c>
      <c r="J186" s="61" t="s">
        <v>24</v>
      </c>
      <c r="K186" s="62" t="str">
        <f>VLOOKUP(I186,Bioeconomía!$A$1:$C$13,3,FALSE)</f>
        <v>No Bioeconomía</v>
      </c>
    </row>
    <row r="187" spans="1:11">
      <c r="A187" s="63" t="s">
        <v>64</v>
      </c>
      <c r="B187" s="64" t="s">
        <v>39</v>
      </c>
      <c r="C187" s="64">
        <v>18.74537114568566</v>
      </c>
      <c r="D187" s="64" t="s">
        <v>33</v>
      </c>
      <c r="E187" s="64">
        <v>11</v>
      </c>
      <c r="F187" s="64" t="s">
        <v>31</v>
      </c>
      <c r="G187" s="61" t="str">
        <f>VLOOKUP(E187,Bioeconomía!$A$1:$C$13,3,FALSE)</f>
        <v>No Bioeconomía</v>
      </c>
      <c r="H187" s="64" t="s">
        <v>34</v>
      </c>
      <c r="I187" s="64">
        <v>4</v>
      </c>
      <c r="J187" s="64" t="s">
        <v>25</v>
      </c>
      <c r="K187" s="62" t="str">
        <f>VLOOKUP(I187,Bioeconomía!$A$1:$C$13,3,FALSE)</f>
        <v>No Bioeconomía</v>
      </c>
    </row>
    <row r="188" spans="1:11">
      <c r="A188" s="60" t="s">
        <v>64</v>
      </c>
      <c r="B188" s="61" t="s">
        <v>40</v>
      </c>
      <c r="C188" s="61">
        <v>86.166105260201789</v>
      </c>
      <c r="D188" s="61" t="s">
        <v>33</v>
      </c>
      <c r="E188" s="61">
        <v>11</v>
      </c>
      <c r="F188" s="61" t="s">
        <v>31</v>
      </c>
      <c r="G188" s="61" t="str">
        <f>VLOOKUP(E188,Bioeconomía!$A$1:$C$13,3,FALSE)</f>
        <v>No Bioeconomía</v>
      </c>
      <c r="H188" s="61" t="s">
        <v>34</v>
      </c>
      <c r="I188" s="61">
        <v>5</v>
      </c>
      <c r="J188" s="61" t="s">
        <v>26</v>
      </c>
      <c r="K188" s="62" t="str">
        <f>VLOOKUP(I188,Bioeconomía!$A$1:$C$13,3,FALSE)</f>
        <v>No Bioeconomía</v>
      </c>
    </row>
    <row r="189" spans="1:11">
      <c r="A189" s="63" t="s">
        <v>64</v>
      </c>
      <c r="B189" s="64" t="s">
        <v>41</v>
      </c>
      <c r="C189" s="64">
        <v>172.29881171122656</v>
      </c>
      <c r="D189" s="64" t="s">
        <v>33</v>
      </c>
      <c r="E189" s="64">
        <v>11</v>
      </c>
      <c r="F189" s="64" t="s">
        <v>31</v>
      </c>
      <c r="G189" s="61" t="str">
        <f>VLOOKUP(E189,Bioeconomía!$A$1:$C$13,3,FALSE)</f>
        <v>No Bioeconomía</v>
      </c>
      <c r="H189" s="64" t="s">
        <v>34</v>
      </c>
      <c r="I189" s="64">
        <v>6</v>
      </c>
      <c r="J189" s="64" t="s">
        <v>27</v>
      </c>
      <c r="K189" s="62" t="str">
        <f>VLOOKUP(I189,Bioeconomía!$A$1:$C$13,3,FALSE)</f>
        <v>No Bioeconomía</v>
      </c>
    </row>
    <row r="190" spans="1:11">
      <c r="A190" s="60" t="s">
        <v>64</v>
      </c>
      <c r="B190" s="61" t="s">
        <v>42</v>
      </c>
      <c r="C190" s="61">
        <v>243.82967031442757</v>
      </c>
      <c r="D190" s="61" t="s">
        <v>33</v>
      </c>
      <c r="E190" s="61">
        <v>11</v>
      </c>
      <c r="F190" s="61" t="s">
        <v>31</v>
      </c>
      <c r="G190" s="61" t="str">
        <f>VLOOKUP(E190,Bioeconomía!$A$1:$C$13,3,FALSE)</f>
        <v>No Bioeconomía</v>
      </c>
      <c r="H190" s="61" t="s">
        <v>34</v>
      </c>
      <c r="I190" s="61">
        <v>7</v>
      </c>
      <c r="J190" s="61" t="s">
        <v>28</v>
      </c>
      <c r="K190" s="62" t="str">
        <f>VLOOKUP(I190,Bioeconomía!$A$1:$C$13,3,FALSE)</f>
        <v>No Bioeconomía</v>
      </c>
    </row>
    <row r="191" spans="1:11">
      <c r="A191" s="63" t="s">
        <v>64</v>
      </c>
      <c r="B191" s="64" t="s">
        <v>43</v>
      </c>
      <c r="C191" s="64">
        <v>75.432657765664459</v>
      </c>
      <c r="D191" s="64" t="s">
        <v>33</v>
      </c>
      <c r="E191" s="64">
        <v>11</v>
      </c>
      <c r="F191" s="64" t="s">
        <v>31</v>
      </c>
      <c r="G191" s="61" t="str">
        <f>VLOOKUP(E191,Bioeconomía!$A$1:$C$13,3,FALSE)</f>
        <v>No Bioeconomía</v>
      </c>
      <c r="H191" s="64" t="s">
        <v>34</v>
      </c>
      <c r="I191" s="64">
        <v>8</v>
      </c>
      <c r="J191" s="64" t="s">
        <v>20</v>
      </c>
      <c r="K191" s="62" t="str">
        <f>VLOOKUP(I191,Bioeconomía!$A$1:$C$13,3,FALSE)</f>
        <v>No Bioeconomía</v>
      </c>
    </row>
    <row r="192" spans="1:11">
      <c r="A192" s="60" t="s">
        <v>64</v>
      </c>
      <c r="B192" s="61" t="s">
        <v>44</v>
      </c>
      <c r="C192" s="61">
        <v>10.201213527495979</v>
      </c>
      <c r="D192" s="61" t="s">
        <v>33</v>
      </c>
      <c r="E192" s="61">
        <v>11</v>
      </c>
      <c r="F192" s="61" t="s">
        <v>31</v>
      </c>
      <c r="G192" s="61" t="str">
        <f>VLOOKUP(E192,Bioeconomía!$A$1:$C$13,3,FALSE)</f>
        <v>No Bioeconomía</v>
      </c>
      <c r="H192" s="61" t="s">
        <v>34</v>
      </c>
      <c r="I192" s="61">
        <v>9</v>
      </c>
      <c r="J192" s="61" t="s">
        <v>29</v>
      </c>
      <c r="K192" s="62" t="str">
        <f>VLOOKUP(I192,Bioeconomía!$A$1:$C$13,3,FALSE)</f>
        <v>No Bioeconomía</v>
      </c>
    </row>
    <row r="193" spans="1:11">
      <c r="A193" s="63" t="s">
        <v>64</v>
      </c>
      <c r="B193" s="64" t="s">
        <v>45</v>
      </c>
      <c r="C193" s="64">
        <v>92.444838416256331</v>
      </c>
      <c r="D193" s="64" t="s">
        <v>33</v>
      </c>
      <c r="E193" s="64">
        <v>11</v>
      </c>
      <c r="F193" s="64" t="s">
        <v>31</v>
      </c>
      <c r="G193" s="61" t="str">
        <f>VLOOKUP(E193,Bioeconomía!$A$1:$C$13,3,FALSE)</f>
        <v>No Bioeconomía</v>
      </c>
      <c r="H193" s="64" t="s">
        <v>34</v>
      </c>
      <c r="I193" s="64">
        <v>10</v>
      </c>
      <c r="J193" s="64" t="s">
        <v>30</v>
      </c>
      <c r="K193" s="62" t="str">
        <f>VLOOKUP(I193,Bioeconomía!$A$1:$C$13,3,FALSE)</f>
        <v>Bioeconomía extendida</v>
      </c>
    </row>
    <row r="194" spans="1:11">
      <c r="A194" s="60" t="s">
        <v>64</v>
      </c>
      <c r="B194" s="61" t="s">
        <v>46</v>
      </c>
      <c r="C194" s="61">
        <v>2107.4689255578878</v>
      </c>
      <c r="D194" s="61" t="s">
        <v>33</v>
      </c>
      <c r="E194" s="61">
        <v>11</v>
      </c>
      <c r="F194" s="61" t="s">
        <v>31</v>
      </c>
      <c r="G194" s="61" t="str">
        <f>VLOOKUP(E194,Bioeconomía!$A$1:$C$13,3,FALSE)</f>
        <v>No Bioeconomía</v>
      </c>
      <c r="H194" s="61" t="s">
        <v>34</v>
      </c>
      <c r="I194" s="61">
        <v>11</v>
      </c>
      <c r="J194" s="61" t="s">
        <v>31</v>
      </c>
      <c r="K194" s="62" t="str">
        <f>VLOOKUP(I194,Bioeconomía!$A$1:$C$13,3,FALSE)</f>
        <v>No Bioeconomía</v>
      </c>
    </row>
    <row r="195" spans="1:11">
      <c r="A195" s="63" t="s">
        <v>64</v>
      </c>
      <c r="B195" s="64" t="s">
        <v>47</v>
      </c>
      <c r="C195" s="64">
        <v>59.650812061650051</v>
      </c>
      <c r="D195" s="64" t="s">
        <v>33</v>
      </c>
      <c r="E195" s="64">
        <v>11</v>
      </c>
      <c r="F195" s="64" t="s">
        <v>31</v>
      </c>
      <c r="G195" s="61" t="str">
        <f>VLOOKUP(E195,Bioeconomía!$A$1:$C$13,3,FALSE)</f>
        <v>No Bioeconomía</v>
      </c>
      <c r="H195" s="64" t="s">
        <v>34</v>
      </c>
      <c r="I195" s="64">
        <v>12</v>
      </c>
      <c r="J195" s="64" t="s">
        <v>21</v>
      </c>
      <c r="K195" s="62" t="str">
        <f>VLOOKUP(I195,Bioeconomía!$A$1:$C$13,3,FALSE)</f>
        <v>No Bioeconomía</v>
      </c>
    </row>
    <row r="196" spans="1:11">
      <c r="A196" s="60" t="s">
        <v>64</v>
      </c>
      <c r="B196" s="61" t="s">
        <v>48</v>
      </c>
      <c r="C196" s="61">
        <v>18747.743045551404</v>
      </c>
      <c r="D196" s="61" t="s">
        <v>33</v>
      </c>
      <c r="E196" s="61">
        <v>11</v>
      </c>
      <c r="F196" s="61" t="s">
        <v>31</v>
      </c>
      <c r="G196" s="61" t="str">
        <f>VLOOKUP(E196,Bioeconomía!$A$1:$C$13,3,FALSE)</f>
        <v>No Bioeconomía</v>
      </c>
      <c r="H196" s="61" t="s">
        <v>4</v>
      </c>
      <c r="I196" s="61" t="s">
        <v>35</v>
      </c>
      <c r="J196" s="61" t="s">
        <v>35</v>
      </c>
      <c r="K196" s="62" t="str">
        <f>VLOOKUP(I196,Bioeconomía!$A$1:$C$13,3,FALSE)</f>
        <v>Ninguno</v>
      </c>
    </row>
    <row r="197" spans="1:11">
      <c r="A197" s="63" t="s">
        <v>64</v>
      </c>
      <c r="B197" s="64" t="s">
        <v>49</v>
      </c>
      <c r="C197" s="64">
        <v>1392.2380252579896</v>
      </c>
      <c r="D197" s="64" t="s">
        <v>33</v>
      </c>
      <c r="E197" s="64">
        <v>11</v>
      </c>
      <c r="F197" s="64" t="s">
        <v>31</v>
      </c>
      <c r="G197" s="61" t="str">
        <f>VLOOKUP(E197,Bioeconomía!$A$1:$C$13,3,FALSE)</f>
        <v>No Bioeconomía</v>
      </c>
      <c r="H197" s="64" t="s">
        <v>5</v>
      </c>
      <c r="I197" s="64" t="s">
        <v>35</v>
      </c>
      <c r="J197" s="64" t="s">
        <v>35</v>
      </c>
      <c r="K197" s="62" t="str">
        <f>VLOOKUP(I197,Bioeconomía!$A$1:$C$13,3,FALSE)</f>
        <v>Ninguno</v>
      </c>
    </row>
    <row r="198" spans="1:11">
      <c r="A198" s="60" t="s">
        <v>64</v>
      </c>
      <c r="B198" s="61" t="s">
        <v>50</v>
      </c>
      <c r="C198" s="61">
        <v>21792.013073454033</v>
      </c>
      <c r="D198" s="61" t="s">
        <v>33</v>
      </c>
      <c r="E198" s="61">
        <v>11</v>
      </c>
      <c r="F198" s="61" t="s">
        <v>31</v>
      </c>
      <c r="G198" s="61" t="str">
        <f>VLOOKUP(E198,Bioeconomía!$A$1:$C$13,3,FALSE)</f>
        <v>No Bioeconomía</v>
      </c>
      <c r="H198" s="61" t="s">
        <v>6</v>
      </c>
      <c r="I198" s="61" t="s">
        <v>35</v>
      </c>
      <c r="J198" s="61" t="s">
        <v>35</v>
      </c>
      <c r="K198" s="62" t="str">
        <f>VLOOKUP(I198,Bioeconomía!$A$1:$C$13,3,FALSE)</f>
        <v>Ninguno</v>
      </c>
    </row>
    <row r="199" spans="1:11">
      <c r="A199" s="63" t="s">
        <v>64</v>
      </c>
      <c r="B199" s="64" t="s">
        <v>51</v>
      </c>
      <c r="C199" s="64">
        <v>642.2393858889194</v>
      </c>
      <c r="D199" s="64" t="s">
        <v>33</v>
      </c>
      <c r="E199" s="64">
        <v>11</v>
      </c>
      <c r="F199" s="64" t="s">
        <v>31</v>
      </c>
      <c r="G199" s="61" t="str">
        <f>VLOOKUP(E199,Bioeconomía!$A$1:$C$13,3,FALSE)</f>
        <v>No Bioeconomía</v>
      </c>
      <c r="H199" s="64" t="s">
        <v>7</v>
      </c>
      <c r="I199" s="64" t="s">
        <v>35</v>
      </c>
      <c r="J199" s="64" t="s">
        <v>35</v>
      </c>
      <c r="K199" s="62" t="str">
        <f>VLOOKUP(I199,Bioeconomía!$A$1:$C$13,3,FALSE)</f>
        <v>Ninguno</v>
      </c>
    </row>
    <row r="200" spans="1:11">
      <c r="A200" s="60" t="s">
        <v>64</v>
      </c>
      <c r="B200" s="61" t="s">
        <v>52</v>
      </c>
      <c r="C200" s="61">
        <v>-8.2204399908404561E-3</v>
      </c>
      <c r="D200" s="61" t="s">
        <v>33</v>
      </c>
      <c r="E200" s="61">
        <v>11</v>
      </c>
      <c r="F200" s="61" t="s">
        <v>31</v>
      </c>
      <c r="G200" s="61" t="str">
        <f>VLOOKUP(E200,Bioeconomía!$A$1:$C$13,3,FALSE)</f>
        <v>No Bioeconomía</v>
      </c>
      <c r="H200" s="61" t="s">
        <v>8</v>
      </c>
      <c r="I200" s="61" t="s">
        <v>35</v>
      </c>
      <c r="J200" s="61" t="s">
        <v>35</v>
      </c>
      <c r="K200" s="62" t="str">
        <f>VLOOKUP(I200,Bioeconomía!$A$1:$C$13,3,FALSE)</f>
        <v>Ninguno</v>
      </c>
    </row>
    <row r="201" spans="1:11">
      <c r="A201" s="63" t="s">
        <v>64</v>
      </c>
      <c r="B201" s="64" t="s">
        <v>53</v>
      </c>
      <c r="C201" s="64">
        <v>47.160185488993221</v>
      </c>
      <c r="D201" s="64" t="s">
        <v>33</v>
      </c>
      <c r="E201" s="64">
        <v>11</v>
      </c>
      <c r="F201" s="64" t="s">
        <v>31</v>
      </c>
      <c r="G201" s="61" t="str">
        <f>VLOOKUP(E201,Bioeconomía!$A$1:$C$13,3,FALSE)</f>
        <v>No Bioeconomía</v>
      </c>
      <c r="H201" s="64" t="s">
        <v>9</v>
      </c>
      <c r="I201" s="64" t="s">
        <v>35</v>
      </c>
      <c r="J201" s="64" t="s">
        <v>35</v>
      </c>
      <c r="K201" s="62" t="str">
        <f>VLOOKUP(I201,Bioeconomía!$A$1:$C$13,3,FALSE)</f>
        <v>Ninguno</v>
      </c>
    </row>
    <row r="202" spans="1:11">
      <c r="A202" s="60" t="s">
        <v>65</v>
      </c>
      <c r="B202" s="61" t="s">
        <v>36</v>
      </c>
      <c r="C202" s="61">
        <v>45.019161136860212</v>
      </c>
      <c r="D202" s="61" t="s">
        <v>33</v>
      </c>
      <c r="E202" s="61">
        <v>12</v>
      </c>
      <c r="F202" s="61" t="s">
        <v>21</v>
      </c>
      <c r="G202" s="61" t="str">
        <f>VLOOKUP(E202,Bioeconomía!$A$1:$C$13,3,FALSE)</f>
        <v>No Bioeconomía</v>
      </c>
      <c r="H202" s="61" t="s">
        <v>34</v>
      </c>
      <c r="I202" s="61">
        <v>1</v>
      </c>
      <c r="J202" s="61" t="s">
        <v>22</v>
      </c>
      <c r="K202" s="62" t="str">
        <f>VLOOKUP(I202,Bioeconomía!$A$1:$C$13,3,FALSE)</f>
        <v>Bioeconomía</v>
      </c>
    </row>
    <row r="203" spans="1:11">
      <c r="A203" s="63" t="s">
        <v>65</v>
      </c>
      <c r="B203" s="64" t="s">
        <v>37</v>
      </c>
      <c r="C203" s="64">
        <v>105.95826284156541</v>
      </c>
      <c r="D203" s="64" t="s">
        <v>33</v>
      </c>
      <c r="E203" s="64">
        <v>12</v>
      </c>
      <c r="F203" s="64" t="s">
        <v>21</v>
      </c>
      <c r="G203" s="61" t="str">
        <f>VLOOKUP(E203,Bioeconomía!$A$1:$C$13,3,FALSE)</f>
        <v>No Bioeconomía</v>
      </c>
      <c r="H203" s="64" t="s">
        <v>34</v>
      </c>
      <c r="I203" s="64">
        <v>2</v>
      </c>
      <c r="J203" s="64" t="s">
        <v>23</v>
      </c>
      <c r="K203" s="62" t="str">
        <f>VLOOKUP(I203,Bioeconomía!$A$1:$C$13,3,FALSE)</f>
        <v>No Bioeconomía</v>
      </c>
    </row>
    <row r="204" spans="1:11">
      <c r="A204" s="60" t="s">
        <v>65</v>
      </c>
      <c r="B204" s="61" t="s">
        <v>38</v>
      </c>
      <c r="C204" s="61">
        <v>162.0471055939139</v>
      </c>
      <c r="D204" s="61" t="s">
        <v>33</v>
      </c>
      <c r="E204" s="61">
        <v>12</v>
      </c>
      <c r="F204" s="61" t="s">
        <v>21</v>
      </c>
      <c r="G204" s="61" t="str">
        <f>VLOOKUP(E204,Bioeconomía!$A$1:$C$13,3,FALSE)</f>
        <v>No Bioeconomía</v>
      </c>
      <c r="H204" s="61" t="s">
        <v>34</v>
      </c>
      <c r="I204" s="61">
        <v>3</v>
      </c>
      <c r="J204" s="61" t="s">
        <v>24</v>
      </c>
      <c r="K204" s="62" t="str">
        <f>VLOOKUP(I204,Bioeconomía!$A$1:$C$13,3,FALSE)</f>
        <v>No Bioeconomía</v>
      </c>
    </row>
    <row r="205" spans="1:11">
      <c r="A205" s="63" t="s">
        <v>65</v>
      </c>
      <c r="B205" s="64" t="s">
        <v>39</v>
      </c>
      <c r="C205" s="64">
        <v>22.240215143348898</v>
      </c>
      <c r="D205" s="64" t="s">
        <v>33</v>
      </c>
      <c r="E205" s="64">
        <v>12</v>
      </c>
      <c r="F205" s="64" t="s">
        <v>21</v>
      </c>
      <c r="G205" s="61" t="str">
        <f>VLOOKUP(E205,Bioeconomía!$A$1:$C$13,3,FALSE)</f>
        <v>No Bioeconomía</v>
      </c>
      <c r="H205" s="64" t="s">
        <v>34</v>
      </c>
      <c r="I205" s="64">
        <v>4</v>
      </c>
      <c r="J205" s="64" t="s">
        <v>25</v>
      </c>
      <c r="K205" s="62" t="str">
        <f>VLOOKUP(I205,Bioeconomía!$A$1:$C$13,3,FALSE)</f>
        <v>No Bioeconomía</v>
      </c>
    </row>
    <row r="206" spans="1:11">
      <c r="A206" s="60" t="s">
        <v>65</v>
      </c>
      <c r="B206" s="61" t="s">
        <v>40</v>
      </c>
      <c r="C206" s="61">
        <v>24.677827243492303</v>
      </c>
      <c r="D206" s="61" t="s">
        <v>33</v>
      </c>
      <c r="E206" s="61">
        <v>12</v>
      </c>
      <c r="F206" s="61" t="s">
        <v>21</v>
      </c>
      <c r="G206" s="61" t="str">
        <f>VLOOKUP(E206,Bioeconomía!$A$1:$C$13,3,FALSE)</f>
        <v>No Bioeconomía</v>
      </c>
      <c r="H206" s="61" t="s">
        <v>34</v>
      </c>
      <c r="I206" s="61">
        <v>5</v>
      </c>
      <c r="J206" s="61" t="s">
        <v>26</v>
      </c>
      <c r="K206" s="62" t="str">
        <f>VLOOKUP(I206,Bioeconomía!$A$1:$C$13,3,FALSE)</f>
        <v>No Bioeconomía</v>
      </c>
    </row>
    <row r="207" spans="1:11">
      <c r="A207" s="63" t="s">
        <v>65</v>
      </c>
      <c r="B207" s="64" t="s">
        <v>41</v>
      </c>
      <c r="C207" s="64">
        <v>126.68165372499297</v>
      </c>
      <c r="D207" s="64" t="s">
        <v>33</v>
      </c>
      <c r="E207" s="64">
        <v>12</v>
      </c>
      <c r="F207" s="64" t="s">
        <v>21</v>
      </c>
      <c r="G207" s="61" t="str">
        <f>VLOOKUP(E207,Bioeconomía!$A$1:$C$13,3,FALSE)</f>
        <v>No Bioeconomía</v>
      </c>
      <c r="H207" s="64" t="s">
        <v>34</v>
      </c>
      <c r="I207" s="64">
        <v>6</v>
      </c>
      <c r="J207" s="64" t="s">
        <v>27</v>
      </c>
      <c r="K207" s="62" t="str">
        <f>VLOOKUP(I207,Bioeconomía!$A$1:$C$13,3,FALSE)</f>
        <v>No Bioeconomía</v>
      </c>
    </row>
    <row r="208" spans="1:11">
      <c r="A208" s="60" t="s">
        <v>65</v>
      </c>
      <c r="B208" s="61" t="s">
        <v>42</v>
      </c>
      <c r="C208" s="61">
        <v>161.78894070707526</v>
      </c>
      <c r="D208" s="61" t="s">
        <v>33</v>
      </c>
      <c r="E208" s="61">
        <v>12</v>
      </c>
      <c r="F208" s="61" t="s">
        <v>21</v>
      </c>
      <c r="G208" s="61" t="str">
        <f>VLOOKUP(E208,Bioeconomía!$A$1:$C$13,3,FALSE)</f>
        <v>No Bioeconomía</v>
      </c>
      <c r="H208" s="61" t="s">
        <v>34</v>
      </c>
      <c r="I208" s="61">
        <v>7</v>
      </c>
      <c r="J208" s="61" t="s">
        <v>28</v>
      </c>
      <c r="K208" s="62" t="str">
        <f>VLOOKUP(I208,Bioeconomía!$A$1:$C$13,3,FALSE)</f>
        <v>No Bioeconomía</v>
      </c>
    </row>
    <row r="209" spans="1:11">
      <c r="A209" s="63" t="s">
        <v>65</v>
      </c>
      <c r="B209" s="64" t="s">
        <v>43</v>
      </c>
      <c r="C209" s="64">
        <v>15.357297307656054</v>
      </c>
      <c r="D209" s="64" t="s">
        <v>33</v>
      </c>
      <c r="E209" s="64">
        <v>12</v>
      </c>
      <c r="F209" s="64" t="s">
        <v>21</v>
      </c>
      <c r="G209" s="61" t="str">
        <f>VLOOKUP(E209,Bioeconomía!$A$1:$C$13,3,FALSE)</f>
        <v>No Bioeconomía</v>
      </c>
      <c r="H209" s="64" t="s">
        <v>34</v>
      </c>
      <c r="I209" s="64">
        <v>8</v>
      </c>
      <c r="J209" s="64" t="s">
        <v>20</v>
      </c>
      <c r="K209" s="62" t="str">
        <f>VLOOKUP(I209,Bioeconomía!$A$1:$C$13,3,FALSE)</f>
        <v>No Bioeconomía</v>
      </c>
    </row>
    <row r="210" spans="1:11">
      <c r="A210" s="60" t="s">
        <v>65</v>
      </c>
      <c r="B210" s="61" t="s">
        <v>44</v>
      </c>
      <c r="C210" s="61">
        <v>5.399949221798507</v>
      </c>
      <c r="D210" s="61" t="s">
        <v>33</v>
      </c>
      <c r="E210" s="61">
        <v>12</v>
      </c>
      <c r="F210" s="61" t="s">
        <v>21</v>
      </c>
      <c r="G210" s="61" t="str">
        <f>VLOOKUP(E210,Bioeconomía!$A$1:$C$13,3,FALSE)</f>
        <v>No Bioeconomía</v>
      </c>
      <c r="H210" s="61" t="s">
        <v>34</v>
      </c>
      <c r="I210" s="61">
        <v>9</v>
      </c>
      <c r="J210" s="61" t="s">
        <v>29</v>
      </c>
      <c r="K210" s="62" t="str">
        <f>VLOOKUP(I210,Bioeconomía!$A$1:$C$13,3,FALSE)</f>
        <v>No Bioeconomía</v>
      </c>
    </row>
    <row r="211" spans="1:11">
      <c r="A211" s="63" t="s">
        <v>65</v>
      </c>
      <c r="B211" s="64" t="s">
        <v>45</v>
      </c>
      <c r="C211" s="64">
        <v>24.258369001657989</v>
      </c>
      <c r="D211" s="64" t="s">
        <v>33</v>
      </c>
      <c r="E211" s="64">
        <v>12</v>
      </c>
      <c r="F211" s="64" t="s">
        <v>21</v>
      </c>
      <c r="G211" s="61" t="str">
        <f>VLOOKUP(E211,Bioeconomía!$A$1:$C$13,3,FALSE)</f>
        <v>No Bioeconomía</v>
      </c>
      <c r="H211" s="64" t="s">
        <v>34</v>
      </c>
      <c r="I211" s="64">
        <v>10</v>
      </c>
      <c r="J211" s="64" t="s">
        <v>30</v>
      </c>
      <c r="K211" s="62" t="str">
        <f>VLOOKUP(I211,Bioeconomía!$A$1:$C$13,3,FALSE)</f>
        <v>Bioeconomía extendida</v>
      </c>
    </row>
    <row r="212" spans="1:11">
      <c r="A212" s="60" t="s">
        <v>65</v>
      </c>
      <c r="B212" s="61" t="s">
        <v>46</v>
      </c>
      <c r="C212" s="61">
        <v>36.656948973033373</v>
      </c>
      <c r="D212" s="61" t="s">
        <v>33</v>
      </c>
      <c r="E212" s="61">
        <v>12</v>
      </c>
      <c r="F212" s="61" t="s">
        <v>21</v>
      </c>
      <c r="G212" s="61" t="str">
        <f>VLOOKUP(E212,Bioeconomía!$A$1:$C$13,3,FALSE)</f>
        <v>No Bioeconomía</v>
      </c>
      <c r="H212" s="61" t="s">
        <v>34</v>
      </c>
      <c r="I212" s="61">
        <v>11</v>
      </c>
      <c r="J212" s="61" t="s">
        <v>31</v>
      </c>
      <c r="K212" s="62" t="str">
        <f>VLOOKUP(I212,Bioeconomía!$A$1:$C$13,3,FALSE)</f>
        <v>No Bioeconomía</v>
      </c>
    </row>
    <row r="213" spans="1:11">
      <c r="A213" s="63" t="s">
        <v>65</v>
      </c>
      <c r="B213" s="64" t="s">
        <v>47</v>
      </c>
      <c r="C213" s="64">
        <v>59.206027614482906</v>
      </c>
      <c r="D213" s="64" t="s">
        <v>33</v>
      </c>
      <c r="E213" s="64">
        <v>12</v>
      </c>
      <c r="F213" s="64" t="s">
        <v>21</v>
      </c>
      <c r="G213" s="61" t="str">
        <f>VLOOKUP(E213,Bioeconomía!$A$1:$C$13,3,FALSE)</f>
        <v>No Bioeconomía</v>
      </c>
      <c r="H213" s="64" t="s">
        <v>34</v>
      </c>
      <c r="I213" s="64">
        <v>12</v>
      </c>
      <c r="J213" s="64" t="s">
        <v>21</v>
      </c>
      <c r="K213" s="62" t="str">
        <f>VLOOKUP(I213,Bioeconomía!$A$1:$C$13,3,FALSE)</f>
        <v>No Bioeconomía</v>
      </c>
    </row>
    <row r="214" spans="1:11">
      <c r="A214" s="60" t="s">
        <v>65</v>
      </c>
      <c r="B214" s="61" t="s">
        <v>48</v>
      </c>
      <c r="C214" s="61">
        <v>298.66271651688129</v>
      </c>
      <c r="D214" s="61" t="s">
        <v>33</v>
      </c>
      <c r="E214" s="61">
        <v>12</v>
      </c>
      <c r="F214" s="61" t="s">
        <v>21</v>
      </c>
      <c r="G214" s="61" t="str">
        <f>VLOOKUP(E214,Bioeconomía!$A$1:$C$13,3,FALSE)</f>
        <v>No Bioeconomía</v>
      </c>
      <c r="H214" s="61" t="s">
        <v>4</v>
      </c>
      <c r="I214" s="61" t="s">
        <v>35</v>
      </c>
      <c r="J214" s="61" t="s">
        <v>35</v>
      </c>
      <c r="K214" s="62" t="str">
        <f>VLOOKUP(I214,Bioeconomía!$A$1:$C$13,3,FALSE)</f>
        <v>Ninguno</v>
      </c>
    </row>
    <row r="215" spans="1:11">
      <c r="A215" s="63" t="s">
        <v>65</v>
      </c>
      <c r="B215" s="64" t="s">
        <v>49</v>
      </c>
      <c r="C215" s="64">
        <v>3.5741953963919346E-32</v>
      </c>
      <c r="D215" s="64" t="s">
        <v>33</v>
      </c>
      <c r="E215" s="64">
        <v>12</v>
      </c>
      <c r="F215" s="64" t="s">
        <v>21</v>
      </c>
      <c r="G215" s="61" t="str">
        <f>VLOOKUP(E215,Bioeconomía!$A$1:$C$13,3,FALSE)</f>
        <v>No Bioeconomía</v>
      </c>
      <c r="H215" s="64" t="s">
        <v>5</v>
      </c>
      <c r="I215" s="64" t="s">
        <v>35</v>
      </c>
      <c r="J215" s="64" t="s">
        <v>35</v>
      </c>
      <c r="K215" s="62" t="str">
        <f>VLOOKUP(I215,Bioeconomía!$A$1:$C$13,3,FALSE)</f>
        <v>Ninguno</v>
      </c>
    </row>
    <row r="216" spans="1:11">
      <c r="A216" s="60" t="s">
        <v>65</v>
      </c>
      <c r="B216" s="61" t="s">
        <v>50</v>
      </c>
      <c r="C216" s="61">
        <v>15301.742139226442</v>
      </c>
      <c r="D216" s="61" t="s">
        <v>33</v>
      </c>
      <c r="E216" s="61">
        <v>12</v>
      </c>
      <c r="F216" s="61" t="s">
        <v>21</v>
      </c>
      <c r="G216" s="61" t="str">
        <f>VLOOKUP(E216,Bioeconomía!$A$1:$C$13,3,FALSE)</f>
        <v>No Bioeconomía</v>
      </c>
      <c r="H216" s="61" t="s">
        <v>6</v>
      </c>
      <c r="I216" s="61" t="s">
        <v>35</v>
      </c>
      <c r="J216" s="61" t="s">
        <v>35</v>
      </c>
      <c r="K216" s="62" t="str">
        <f>VLOOKUP(I216,Bioeconomía!$A$1:$C$13,3,FALSE)</f>
        <v>Ninguno</v>
      </c>
    </row>
    <row r="217" spans="1:11">
      <c r="A217" s="63" t="s">
        <v>65</v>
      </c>
      <c r="B217" s="64" t="s">
        <v>51</v>
      </c>
      <c r="C217" s="64">
        <v>57.798044834622026</v>
      </c>
      <c r="D217" s="64" t="s">
        <v>33</v>
      </c>
      <c r="E217" s="64">
        <v>12</v>
      </c>
      <c r="F217" s="64" t="s">
        <v>21</v>
      </c>
      <c r="G217" s="61" t="str">
        <f>VLOOKUP(E217,Bioeconomía!$A$1:$C$13,3,FALSE)</f>
        <v>No Bioeconomía</v>
      </c>
      <c r="H217" s="64" t="s">
        <v>7</v>
      </c>
      <c r="I217" s="64" t="s">
        <v>35</v>
      </c>
      <c r="J217" s="64" t="s">
        <v>35</v>
      </c>
      <c r="K217" s="62" t="str">
        <f>VLOOKUP(I217,Bioeconomía!$A$1:$C$13,3,FALSE)</f>
        <v>Ninguno</v>
      </c>
    </row>
    <row r="218" spans="1:11">
      <c r="A218" s="60" t="s">
        <v>65</v>
      </c>
      <c r="B218" s="61" t="s">
        <v>52</v>
      </c>
      <c r="C218" s="61">
        <v>-0.56305630084890801</v>
      </c>
      <c r="D218" s="61" t="s">
        <v>33</v>
      </c>
      <c r="E218" s="61">
        <v>12</v>
      </c>
      <c r="F218" s="61" t="s">
        <v>21</v>
      </c>
      <c r="G218" s="61" t="str">
        <f>VLOOKUP(E218,Bioeconomía!$A$1:$C$13,3,FALSE)</f>
        <v>No Bioeconomía</v>
      </c>
      <c r="H218" s="61" t="s">
        <v>8</v>
      </c>
      <c r="I218" s="61" t="s">
        <v>35</v>
      </c>
      <c r="J218" s="61" t="s">
        <v>35</v>
      </c>
      <c r="K218" s="62" t="str">
        <f>VLOOKUP(I218,Bioeconomía!$A$1:$C$13,3,FALSE)</f>
        <v>Ninguno</v>
      </c>
    </row>
    <row r="219" spans="1:11">
      <c r="A219" s="55" t="s">
        <v>65</v>
      </c>
      <c r="B219" s="56" t="s">
        <v>53</v>
      </c>
      <c r="C219" s="56">
        <v>48.890801325195177</v>
      </c>
      <c r="D219" s="56" t="s">
        <v>33</v>
      </c>
      <c r="E219" s="56">
        <v>12</v>
      </c>
      <c r="F219" s="56" t="s">
        <v>21</v>
      </c>
      <c r="G219" s="61" t="str">
        <f>VLOOKUP(E219,Bioeconomía!$A$1:$C$13,3,FALSE)</f>
        <v>No Bioeconomía</v>
      </c>
      <c r="H219" s="56" t="s">
        <v>9</v>
      </c>
      <c r="I219" s="56" t="s">
        <v>35</v>
      </c>
      <c r="J219" s="56" t="s">
        <v>35</v>
      </c>
      <c r="K219" s="62" t="str">
        <f>VLOOKUP(I219,Bioeconomía!$A$1:$C$13,3,FALSE)</f>
        <v>Ninguno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5034-5209-4367-B93A-E8DE0145A982}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7655-3C6D-49E3-9F25-33CBEE8D3D2A}">
  <dimension ref="A1:C217"/>
  <sheetViews>
    <sheetView workbookViewId="0"/>
  </sheetViews>
  <sheetFormatPr baseColWidth="10" defaultRowHeight="14.25"/>
  <cols>
    <col min="1" max="1" width="14.86328125" bestFit="1" customWidth="1"/>
    <col min="2" max="2" width="15.1328125" bestFit="1" customWidth="1"/>
    <col min="3" max="3" width="43.86328125" bestFit="1" customWidth="1"/>
  </cols>
  <sheetData>
    <row r="1" spans="1:3">
      <c r="A1" s="53" t="s">
        <v>70</v>
      </c>
      <c r="B1" s="53" t="s">
        <v>74</v>
      </c>
      <c r="C1" s="53" t="s">
        <v>75</v>
      </c>
    </row>
    <row r="2" spans="1:3">
      <c r="A2" t="s">
        <v>33</v>
      </c>
      <c r="B2">
        <v>1</v>
      </c>
      <c r="C2" t="s">
        <v>22</v>
      </c>
    </row>
    <row r="3" spans="1:3">
      <c r="A3" t="s">
        <v>33</v>
      </c>
      <c r="B3">
        <v>1</v>
      </c>
      <c r="C3" t="s">
        <v>22</v>
      </c>
    </row>
    <row r="4" spans="1:3">
      <c r="A4" t="s">
        <v>33</v>
      </c>
      <c r="B4">
        <v>1</v>
      </c>
      <c r="C4" t="s">
        <v>22</v>
      </c>
    </row>
    <row r="5" spans="1:3">
      <c r="A5" t="s">
        <v>33</v>
      </c>
      <c r="B5">
        <v>1</v>
      </c>
      <c r="C5" t="s">
        <v>22</v>
      </c>
    </row>
    <row r="6" spans="1:3">
      <c r="A6" t="s">
        <v>33</v>
      </c>
      <c r="B6">
        <v>1</v>
      </c>
      <c r="C6" t="s">
        <v>22</v>
      </c>
    </row>
    <row r="7" spans="1:3">
      <c r="A7" t="s">
        <v>33</v>
      </c>
      <c r="B7">
        <v>1</v>
      </c>
      <c r="C7" t="s">
        <v>22</v>
      </c>
    </row>
    <row r="8" spans="1:3">
      <c r="A8" t="s">
        <v>33</v>
      </c>
      <c r="B8">
        <v>1</v>
      </c>
      <c r="C8" t="s">
        <v>22</v>
      </c>
    </row>
    <row r="9" spans="1:3">
      <c r="A9" t="s">
        <v>33</v>
      </c>
      <c r="B9">
        <v>1</v>
      </c>
      <c r="C9" t="s">
        <v>22</v>
      </c>
    </row>
    <row r="10" spans="1:3">
      <c r="A10" t="s">
        <v>33</v>
      </c>
      <c r="B10">
        <v>1</v>
      </c>
      <c r="C10" t="s">
        <v>22</v>
      </c>
    </row>
    <row r="11" spans="1:3">
      <c r="A11" t="s">
        <v>33</v>
      </c>
      <c r="B11">
        <v>1</v>
      </c>
      <c r="C11" t="s">
        <v>22</v>
      </c>
    </row>
    <row r="12" spans="1:3">
      <c r="A12" t="s">
        <v>33</v>
      </c>
      <c r="B12">
        <v>1</v>
      </c>
      <c r="C12" t="s">
        <v>22</v>
      </c>
    </row>
    <row r="13" spans="1:3">
      <c r="A13" t="s">
        <v>33</v>
      </c>
      <c r="B13">
        <v>1</v>
      </c>
      <c r="C13" t="s">
        <v>22</v>
      </c>
    </row>
    <row r="14" spans="1:3">
      <c r="A14" t="s">
        <v>33</v>
      </c>
      <c r="B14">
        <v>1</v>
      </c>
      <c r="C14" t="s">
        <v>22</v>
      </c>
    </row>
    <row r="15" spans="1:3">
      <c r="A15" t="s">
        <v>33</v>
      </c>
      <c r="B15">
        <v>1</v>
      </c>
      <c r="C15" t="s">
        <v>22</v>
      </c>
    </row>
    <row r="16" spans="1:3">
      <c r="A16" t="s">
        <v>33</v>
      </c>
      <c r="B16">
        <v>1</v>
      </c>
      <c r="C16" t="s">
        <v>22</v>
      </c>
    </row>
    <row r="17" spans="1:3">
      <c r="A17" t="s">
        <v>33</v>
      </c>
      <c r="B17">
        <v>1</v>
      </c>
      <c r="C17" t="s">
        <v>22</v>
      </c>
    </row>
    <row r="18" spans="1:3">
      <c r="A18" t="s">
        <v>33</v>
      </c>
      <c r="B18">
        <v>1</v>
      </c>
      <c r="C18" t="s">
        <v>22</v>
      </c>
    </row>
    <row r="19" spans="1:3">
      <c r="A19" t="s">
        <v>33</v>
      </c>
      <c r="B19">
        <v>1</v>
      </c>
      <c r="C19" t="s">
        <v>22</v>
      </c>
    </row>
    <row r="20" spans="1:3">
      <c r="A20" t="s">
        <v>33</v>
      </c>
      <c r="B20">
        <v>2</v>
      </c>
      <c r="C20" t="s">
        <v>23</v>
      </c>
    </row>
    <row r="21" spans="1:3">
      <c r="A21" t="s">
        <v>33</v>
      </c>
      <c r="B21">
        <v>2</v>
      </c>
      <c r="C21" t="s">
        <v>23</v>
      </c>
    </row>
    <row r="22" spans="1:3">
      <c r="A22" t="s">
        <v>33</v>
      </c>
      <c r="B22">
        <v>2</v>
      </c>
      <c r="C22" t="s">
        <v>23</v>
      </c>
    </row>
    <row r="23" spans="1:3">
      <c r="A23" t="s">
        <v>33</v>
      </c>
      <c r="B23">
        <v>2</v>
      </c>
      <c r="C23" t="s">
        <v>23</v>
      </c>
    </row>
    <row r="24" spans="1:3">
      <c r="A24" t="s">
        <v>33</v>
      </c>
      <c r="B24">
        <v>2</v>
      </c>
      <c r="C24" t="s">
        <v>23</v>
      </c>
    </row>
    <row r="25" spans="1:3">
      <c r="A25" t="s">
        <v>33</v>
      </c>
      <c r="B25">
        <v>2</v>
      </c>
      <c r="C25" t="s">
        <v>23</v>
      </c>
    </row>
    <row r="26" spans="1:3">
      <c r="A26" t="s">
        <v>33</v>
      </c>
      <c r="B26">
        <v>2</v>
      </c>
      <c r="C26" t="s">
        <v>23</v>
      </c>
    </row>
    <row r="27" spans="1:3">
      <c r="A27" t="s">
        <v>33</v>
      </c>
      <c r="B27">
        <v>2</v>
      </c>
      <c r="C27" t="s">
        <v>23</v>
      </c>
    </row>
    <row r="28" spans="1:3">
      <c r="A28" t="s">
        <v>33</v>
      </c>
      <c r="B28">
        <v>2</v>
      </c>
      <c r="C28" t="s">
        <v>23</v>
      </c>
    </row>
    <row r="29" spans="1:3">
      <c r="A29" t="s">
        <v>33</v>
      </c>
      <c r="B29">
        <v>2</v>
      </c>
      <c r="C29" t="s">
        <v>23</v>
      </c>
    </row>
    <row r="30" spans="1:3">
      <c r="A30" t="s">
        <v>33</v>
      </c>
      <c r="B30">
        <v>2</v>
      </c>
      <c r="C30" t="s">
        <v>23</v>
      </c>
    </row>
    <row r="31" spans="1:3">
      <c r="A31" t="s">
        <v>33</v>
      </c>
      <c r="B31">
        <v>2</v>
      </c>
      <c r="C31" t="s">
        <v>23</v>
      </c>
    </row>
    <row r="32" spans="1:3">
      <c r="A32" t="s">
        <v>33</v>
      </c>
      <c r="B32">
        <v>2</v>
      </c>
      <c r="C32" t="s">
        <v>23</v>
      </c>
    </row>
    <row r="33" spans="1:3">
      <c r="A33" t="s">
        <v>33</v>
      </c>
      <c r="B33">
        <v>2</v>
      </c>
      <c r="C33" t="s">
        <v>23</v>
      </c>
    </row>
    <row r="34" spans="1:3">
      <c r="A34" t="s">
        <v>33</v>
      </c>
      <c r="B34">
        <v>2</v>
      </c>
      <c r="C34" t="s">
        <v>23</v>
      </c>
    </row>
    <row r="35" spans="1:3">
      <c r="A35" t="s">
        <v>33</v>
      </c>
      <c r="B35">
        <v>2</v>
      </c>
      <c r="C35" t="s">
        <v>23</v>
      </c>
    </row>
    <row r="36" spans="1:3">
      <c r="A36" t="s">
        <v>33</v>
      </c>
      <c r="B36">
        <v>2</v>
      </c>
      <c r="C36" t="s">
        <v>23</v>
      </c>
    </row>
    <row r="37" spans="1:3">
      <c r="A37" t="s">
        <v>33</v>
      </c>
      <c r="B37">
        <v>2</v>
      </c>
      <c r="C37" t="s">
        <v>23</v>
      </c>
    </row>
    <row r="38" spans="1:3">
      <c r="A38" t="s">
        <v>33</v>
      </c>
      <c r="B38">
        <v>3</v>
      </c>
      <c r="C38" t="s">
        <v>24</v>
      </c>
    </row>
    <row r="39" spans="1:3">
      <c r="A39" t="s">
        <v>33</v>
      </c>
      <c r="B39">
        <v>3</v>
      </c>
      <c r="C39" t="s">
        <v>24</v>
      </c>
    </row>
    <row r="40" spans="1:3">
      <c r="A40" t="s">
        <v>33</v>
      </c>
      <c r="B40">
        <v>3</v>
      </c>
      <c r="C40" t="s">
        <v>24</v>
      </c>
    </row>
    <row r="41" spans="1:3">
      <c r="A41" t="s">
        <v>33</v>
      </c>
      <c r="B41">
        <v>3</v>
      </c>
      <c r="C41" t="s">
        <v>24</v>
      </c>
    </row>
    <row r="42" spans="1:3">
      <c r="A42" t="s">
        <v>33</v>
      </c>
      <c r="B42">
        <v>3</v>
      </c>
      <c r="C42" t="s">
        <v>24</v>
      </c>
    </row>
    <row r="43" spans="1:3">
      <c r="A43" t="s">
        <v>33</v>
      </c>
      <c r="B43">
        <v>3</v>
      </c>
      <c r="C43" t="s">
        <v>24</v>
      </c>
    </row>
    <row r="44" spans="1:3">
      <c r="A44" t="s">
        <v>33</v>
      </c>
      <c r="B44">
        <v>3</v>
      </c>
      <c r="C44" t="s">
        <v>24</v>
      </c>
    </row>
    <row r="45" spans="1:3">
      <c r="A45" t="s">
        <v>33</v>
      </c>
      <c r="B45">
        <v>3</v>
      </c>
      <c r="C45" t="s">
        <v>24</v>
      </c>
    </row>
    <row r="46" spans="1:3">
      <c r="A46" t="s">
        <v>33</v>
      </c>
      <c r="B46">
        <v>3</v>
      </c>
      <c r="C46" t="s">
        <v>24</v>
      </c>
    </row>
    <row r="47" spans="1:3">
      <c r="A47" t="s">
        <v>33</v>
      </c>
      <c r="B47">
        <v>3</v>
      </c>
      <c r="C47" t="s">
        <v>24</v>
      </c>
    </row>
    <row r="48" spans="1:3">
      <c r="A48" t="s">
        <v>33</v>
      </c>
      <c r="B48">
        <v>3</v>
      </c>
      <c r="C48" t="s">
        <v>24</v>
      </c>
    </row>
    <row r="49" spans="1:3">
      <c r="A49" t="s">
        <v>33</v>
      </c>
      <c r="B49">
        <v>3</v>
      </c>
      <c r="C49" t="s">
        <v>24</v>
      </c>
    </row>
    <row r="50" spans="1:3">
      <c r="A50" t="s">
        <v>33</v>
      </c>
      <c r="B50">
        <v>3</v>
      </c>
      <c r="C50" t="s">
        <v>24</v>
      </c>
    </row>
    <row r="51" spans="1:3">
      <c r="A51" t="s">
        <v>33</v>
      </c>
      <c r="B51">
        <v>3</v>
      </c>
      <c r="C51" t="s">
        <v>24</v>
      </c>
    </row>
    <row r="52" spans="1:3">
      <c r="A52" t="s">
        <v>33</v>
      </c>
      <c r="B52">
        <v>3</v>
      </c>
      <c r="C52" t="s">
        <v>24</v>
      </c>
    </row>
    <row r="53" spans="1:3">
      <c r="A53" t="s">
        <v>33</v>
      </c>
      <c r="B53">
        <v>3</v>
      </c>
      <c r="C53" t="s">
        <v>24</v>
      </c>
    </row>
    <row r="54" spans="1:3">
      <c r="A54" t="s">
        <v>33</v>
      </c>
      <c r="B54">
        <v>3</v>
      </c>
      <c r="C54" t="s">
        <v>24</v>
      </c>
    </row>
    <row r="55" spans="1:3">
      <c r="A55" t="s">
        <v>33</v>
      </c>
      <c r="B55">
        <v>3</v>
      </c>
      <c r="C55" t="s">
        <v>24</v>
      </c>
    </row>
    <row r="56" spans="1:3">
      <c r="A56" t="s">
        <v>33</v>
      </c>
      <c r="B56">
        <v>4</v>
      </c>
      <c r="C56" t="s">
        <v>25</v>
      </c>
    </row>
    <row r="57" spans="1:3">
      <c r="A57" t="s">
        <v>33</v>
      </c>
      <c r="B57">
        <v>4</v>
      </c>
      <c r="C57" t="s">
        <v>25</v>
      </c>
    </row>
    <row r="58" spans="1:3">
      <c r="A58" t="s">
        <v>33</v>
      </c>
      <c r="B58">
        <v>4</v>
      </c>
      <c r="C58" t="s">
        <v>25</v>
      </c>
    </row>
    <row r="59" spans="1:3">
      <c r="A59" t="s">
        <v>33</v>
      </c>
      <c r="B59">
        <v>4</v>
      </c>
      <c r="C59" t="s">
        <v>25</v>
      </c>
    </row>
    <row r="60" spans="1:3">
      <c r="A60" t="s">
        <v>33</v>
      </c>
      <c r="B60">
        <v>4</v>
      </c>
      <c r="C60" t="s">
        <v>25</v>
      </c>
    </row>
    <row r="61" spans="1:3">
      <c r="A61" t="s">
        <v>33</v>
      </c>
      <c r="B61">
        <v>4</v>
      </c>
      <c r="C61" t="s">
        <v>25</v>
      </c>
    </row>
    <row r="62" spans="1:3">
      <c r="A62" t="s">
        <v>33</v>
      </c>
      <c r="B62">
        <v>4</v>
      </c>
      <c r="C62" t="s">
        <v>25</v>
      </c>
    </row>
    <row r="63" spans="1:3">
      <c r="A63" t="s">
        <v>33</v>
      </c>
      <c r="B63">
        <v>4</v>
      </c>
      <c r="C63" t="s">
        <v>25</v>
      </c>
    </row>
    <row r="64" spans="1:3">
      <c r="A64" t="s">
        <v>33</v>
      </c>
      <c r="B64">
        <v>4</v>
      </c>
      <c r="C64" t="s">
        <v>25</v>
      </c>
    </row>
    <row r="65" spans="1:3">
      <c r="A65" t="s">
        <v>33</v>
      </c>
      <c r="B65">
        <v>4</v>
      </c>
      <c r="C65" t="s">
        <v>25</v>
      </c>
    </row>
    <row r="66" spans="1:3">
      <c r="A66" t="s">
        <v>33</v>
      </c>
      <c r="B66">
        <v>4</v>
      </c>
      <c r="C66" t="s">
        <v>25</v>
      </c>
    </row>
    <row r="67" spans="1:3">
      <c r="A67" t="s">
        <v>33</v>
      </c>
      <c r="B67">
        <v>4</v>
      </c>
      <c r="C67" t="s">
        <v>25</v>
      </c>
    </row>
    <row r="68" spans="1:3">
      <c r="A68" t="s">
        <v>33</v>
      </c>
      <c r="B68">
        <v>4</v>
      </c>
      <c r="C68" t="s">
        <v>25</v>
      </c>
    </row>
    <row r="69" spans="1:3">
      <c r="A69" t="s">
        <v>33</v>
      </c>
      <c r="B69">
        <v>4</v>
      </c>
      <c r="C69" t="s">
        <v>25</v>
      </c>
    </row>
    <row r="70" spans="1:3">
      <c r="A70" t="s">
        <v>33</v>
      </c>
      <c r="B70">
        <v>4</v>
      </c>
      <c r="C70" t="s">
        <v>25</v>
      </c>
    </row>
    <row r="71" spans="1:3">
      <c r="A71" t="s">
        <v>33</v>
      </c>
      <c r="B71">
        <v>4</v>
      </c>
      <c r="C71" t="s">
        <v>25</v>
      </c>
    </row>
    <row r="72" spans="1:3">
      <c r="A72" t="s">
        <v>33</v>
      </c>
      <c r="B72">
        <v>4</v>
      </c>
      <c r="C72" t="s">
        <v>25</v>
      </c>
    </row>
    <row r="73" spans="1:3">
      <c r="A73" t="s">
        <v>33</v>
      </c>
      <c r="B73">
        <v>4</v>
      </c>
      <c r="C73" t="s">
        <v>25</v>
      </c>
    </row>
    <row r="74" spans="1:3">
      <c r="A74" t="s">
        <v>33</v>
      </c>
      <c r="B74">
        <v>5</v>
      </c>
      <c r="C74" t="s">
        <v>26</v>
      </c>
    </row>
    <row r="75" spans="1:3">
      <c r="A75" t="s">
        <v>33</v>
      </c>
      <c r="B75">
        <v>5</v>
      </c>
      <c r="C75" t="s">
        <v>26</v>
      </c>
    </row>
    <row r="76" spans="1:3">
      <c r="A76" t="s">
        <v>33</v>
      </c>
      <c r="B76">
        <v>5</v>
      </c>
      <c r="C76" t="s">
        <v>26</v>
      </c>
    </row>
    <row r="77" spans="1:3">
      <c r="A77" t="s">
        <v>33</v>
      </c>
      <c r="B77">
        <v>5</v>
      </c>
      <c r="C77" t="s">
        <v>26</v>
      </c>
    </row>
    <row r="78" spans="1:3">
      <c r="A78" t="s">
        <v>33</v>
      </c>
      <c r="B78">
        <v>5</v>
      </c>
      <c r="C78" t="s">
        <v>26</v>
      </c>
    </row>
    <row r="79" spans="1:3">
      <c r="A79" t="s">
        <v>33</v>
      </c>
      <c r="B79">
        <v>5</v>
      </c>
      <c r="C79" t="s">
        <v>26</v>
      </c>
    </row>
    <row r="80" spans="1:3">
      <c r="A80" t="s">
        <v>33</v>
      </c>
      <c r="B80">
        <v>5</v>
      </c>
      <c r="C80" t="s">
        <v>26</v>
      </c>
    </row>
    <row r="81" spans="1:3">
      <c r="A81" t="s">
        <v>33</v>
      </c>
      <c r="B81">
        <v>5</v>
      </c>
      <c r="C81" t="s">
        <v>26</v>
      </c>
    </row>
    <row r="82" spans="1:3">
      <c r="A82" t="s">
        <v>33</v>
      </c>
      <c r="B82">
        <v>5</v>
      </c>
      <c r="C82" t="s">
        <v>26</v>
      </c>
    </row>
    <row r="83" spans="1:3">
      <c r="A83" t="s">
        <v>33</v>
      </c>
      <c r="B83">
        <v>5</v>
      </c>
      <c r="C83" t="s">
        <v>26</v>
      </c>
    </row>
    <row r="84" spans="1:3">
      <c r="A84" t="s">
        <v>33</v>
      </c>
      <c r="B84">
        <v>5</v>
      </c>
      <c r="C84" t="s">
        <v>26</v>
      </c>
    </row>
    <row r="85" spans="1:3">
      <c r="A85" t="s">
        <v>33</v>
      </c>
      <c r="B85">
        <v>5</v>
      </c>
      <c r="C85" t="s">
        <v>26</v>
      </c>
    </row>
    <row r="86" spans="1:3">
      <c r="A86" t="s">
        <v>33</v>
      </c>
      <c r="B86">
        <v>5</v>
      </c>
      <c r="C86" t="s">
        <v>26</v>
      </c>
    </row>
    <row r="87" spans="1:3">
      <c r="A87" t="s">
        <v>33</v>
      </c>
      <c r="B87">
        <v>5</v>
      </c>
      <c r="C87" t="s">
        <v>26</v>
      </c>
    </row>
    <row r="88" spans="1:3">
      <c r="A88" t="s">
        <v>33</v>
      </c>
      <c r="B88">
        <v>5</v>
      </c>
      <c r="C88" t="s">
        <v>26</v>
      </c>
    </row>
    <row r="89" spans="1:3">
      <c r="A89" t="s">
        <v>33</v>
      </c>
      <c r="B89">
        <v>5</v>
      </c>
      <c r="C89" t="s">
        <v>26</v>
      </c>
    </row>
    <row r="90" spans="1:3">
      <c r="A90" t="s">
        <v>33</v>
      </c>
      <c r="B90">
        <v>5</v>
      </c>
      <c r="C90" t="s">
        <v>26</v>
      </c>
    </row>
    <row r="91" spans="1:3">
      <c r="A91" t="s">
        <v>33</v>
      </c>
      <c r="B91">
        <v>5</v>
      </c>
      <c r="C91" t="s">
        <v>26</v>
      </c>
    </row>
    <row r="92" spans="1:3">
      <c r="A92" t="s">
        <v>33</v>
      </c>
      <c r="B92">
        <v>6</v>
      </c>
      <c r="C92" t="s">
        <v>27</v>
      </c>
    </row>
    <row r="93" spans="1:3">
      <c r="A93" t="s">
        <v>33</v>
      </c>
      <c r="B93">
        <v>6</v>
      </c>
      <c r="C93" t="s">
        <v>27</v>
      </c>
    </row>
    <row r="94" spans="1:3">
      <c r="A94" t="s">
        <v>33</v>
      </c>
      <c r="B94">
        <v>6</v>
      </c>
      <c r="C94" t="s">
        <v>27</v>
      </c>
    </row>
    <row r="95" spans="1:3">
      <c r="A95" t="s">
        <v>33</v>
      </c>
      <c r="B95">
        <v>6</v>
      </c>
      <c r="C95" t="s">
        <v>27</v>
      </c>
    </row>
    <row r="96" spans="1:3">
      <c r="A96" t="s">
        <v>33</v>
      </c>
      <c r="B96">
        <v>6</v>
      </c>
      <c r="C96" t="s">
        <v>27</v>
      </c>
    </row>
    <row r="97" spans="1:3">
      <c r="A97" t="s">
        <v>33</v>
      </c>
      <c r="B97">
        <v>6</v>
      </c>
      <c r="C97" t="s">
        <v>27</v>
      </c>
    </row>
    <row r="98" spans="1:3">
      <c r="A98" t="s">
        <v>33</v>
      </c>
      <c r="B98">
        <v>6</v>
      </c>
      <c r="C98" t="s">
        <v>27</v>
      </c>
    </row>
    <row r="99" spans="1:3">
      <c r="A99" t="s">
        <v>33</v>
      </c>
      <c r="B99">
        <v>6</v>
      </c>
      <c r="C99" t="s">
        <v>27</v>
      </c>
    </row>
    <row r="100" spans="1:3">
      <c r="A100" t="s">
        <v>33</v>
      </c>
      <c r="B100">
        <v>6</v>
      </c>
      <c r="C100" t="s">
        <v>27</v>
      </c>
    </row>
    <row r="101" spans="1:3">
      <c r="A101" t="s">
        <v>33</v>
      </c>
      <c r="B101">
        <v>6</v>
      </c>
      <c r="C101" t="s">
        <v>27</v>
      </c>
    </row>
    <row r="102" spans="1:3">
      <c r="A102" t="s">
        <v>33</v>
      </c>
      <c r="B102">
        <v>6</v>
      </c>
      <c r="C102" t="s">
        <v>27</v>
      </c>
    </row>
    <row r="103" spans="1:3">
      <c r="A103" t="s">
        <v>33</v>
      </c>
      <c r="B103">
        <v>6</v>
      </c>
      <c r="C103" t="s">
        <v>27</v>
      </c>
    </row>
    <row r="104" spans="1:3">
      <c r="A104" t="s">
        <v>33</v>
      </c>
      <c r="B104">
        <v>6</v>
      </c>
      <c r="C104" t="s">
        <v>27</v>
      </c>
    </row>
    <row r="105" spans="1:3">
      <c r="A105" t="s">
        <v>33</v>
      </c>
      <c r="B105">
        <v>6</v>
      </c>
      <c r="C105" t="s">
        <v>27</v>
      </c>
    </row>
    <row r="106" spans="1:3">
      <c r="A106" t="s">
        <v>33</v>
      </c>
      <c r="B106">
        <v>6</v>
      </c>
      <c r="C106" t="s">
        <v>27</v>
      </c>
    </row>
    <row r="107" spans="1:3">
      <c r="A107" t="s">
        <v>33</v>
      </c>
      <c r="B107">
        <v>6</v>
      </c>
      <c r="C107" t="s">
        <v>27</v>
      </c>
    </row>
    <row r="108" spans="1:3">
      <c r="A108" t="s">
        <v>33</v>
      </c>
      <c r="B108">
        <v>6</v>
      </c>
      <c r="C108" t="s">
        <v>27</v>
      </c>
    </row>
    <row r="109" spans="1:3">
      <c r="A109" t="s">
        <v>33</v>
      </c>
      <c r="B109">
        <v>6</v>
      </c>
      <c r="C109" t="s">
        <v>27</v>
      </c>
    </row>
    <row r="110" spans="1:3">
      <c r="A110" t="s">
        <v>33</v>
      </c>
      <c r="B110">
        <v>7</v>
      </c>
      <c r="C110" t="s">
        <v>28</v>
      </c>
    </row>
    <row r="111" spans="1:3">
      <c r="A111" t="s">
        <v>33</v>
      </c>
      <c r="B111">
        <v>7</v>
      </c>
      <c r="C111" t="s">
        <v>28</v>
      </c>
    </row>
    <row r="112" spans="1:3">
      <c r="A112" t="s">
        <v>33</v>
      </c>
      <c r="B112">
        <v>7</v>
      </c>
      <c r="C112" t="s">
        <v>28</v>
      </c>
    </row>
    <row r="113" spans="1:3">
      <c r="A113" t="s">
        <v>33</v>
      </c>
      <c r="B113">
        <v>7</v>
      </c>
      <c r="C113" t="s">
        <v>28</v>
      </c>
    </row>
    <row r="114" spans="1:3">
      <c r="A114" t="s">
        <v>33</v>
      </c>
      <c r="B114">
        <v>7</v>
      </c>
      <c r="C114" t="s">
        <v>28</v>
      </c>
    </row>
    <row r="115" spans="1:3">
      <c r="A115" t="s">
        <v>33</v>
      </c>
      <c r="B115">
        <v>7</v>
      </c>
      <c r="C115" t="s">
        <v>28</v>
      </c>
    </row>
    <row r="116" spans="1:3">
      <c r="A116" t="s">
        <v>33</v>
      </c>
      <c r="B116">
        <v>7</v>
      </c>
      <c r="C116" t="s">
        <v>28</v>
      </c>
    </row>
    <row r="117" spans="1:3">
      <c r="A117" t="s">
        <v>33</v>
      </c>
      <c r="B117">
        <v>7</v>
      </c>
      <c r="C117" t="s">
        <v>28</v>
      </c>
    </row>
    <row r="118" spans="1:3">
      <c r="A118" t="s">
        <v>33</v>
      </c>
      <c r="B118">
        <v>7</v>
      </c>
      <c r="C118" t="s">
        <v>28</v>
      </c>
    </row>
    <row r="119" spans="1:3">
      <c r="A119" t="s">
        <v>33</v>
      </c>
      <c r="B119">
        <v>7</v>
      </c>
      <c r="C119" t="s">
        <v>28</v>
      </c>
    </row>
    <row r="120" spans="1:3">
      <c r="A120" t="s">
        <v>33</v>
      </c>
      <c r="B120">
        <v>7</v>
      </c>
      <c r="C120" t="s">
        <v>28</v>
      </c>
    </row>
    <row r="121" spans="1:3">
      <c r="A121" t="s">
        <v>33</v>
      </c>
      <c r="B121">
        <v>7</v>
      </c>
      <c r="C121" t="s">
        <v>28</v>
      </c>
    </row>
    <row r="122" spans="1:3">
      <c r="A122" t="s">
        <v>33</v>
      </c>
      <c r="B122">
        <v>7</v>
      </c>
      <c r="C122" t="s">
        <v>28</v>
      </c>
    </row>
    <row r="123" spans="1:3">
      <c r="A123" t="s">
        <v>33</v>
      </c>
      <c r="B123">
        <v>7</v>
      </c>
      <c r="C123" t="s">
        <v>28</v>
      </c>
    </row>
    <row r="124" spans="1:3">
      <c r="A124" t="s">
        <v>33</v>
      </c>
      <c r="B124">
        <v>7</v>
      </c>
      <c r="C124" t="s">
        <v>28</v>
      </c>
    </row>
    <row r="125" spans="1:3">
      <c r="A125" t="s">
        <v>33</v>
      </c>
      <c r="B125">
        <v>7</v>
      </c>
      <c r="C125" t="s">
        <v>28</v>
      </c>
    </row>
    <row r="126" spans="1:3">
      <c r="A126" t="s">
        <v>33</v>
      </c>
      <c r="B126">
        <v>7</v>
      </c>
      <c r="C126" t="s">
        <v>28</v>
      </c>
    </row>
    <row r="127" spans="1:3">
      <c r="A127" t="s">
        <v>33</v>
      </c>
      <c r="B127">
        <v>7</v>
      </c>
      <c r="C127" t="s">
        <v>28</v>
      </c>
    </row>
    <row r="128" spans="1:3">
      <c r="A128" t="s">
        <v>33</v>
      </c>
      <c r="B128">
        <v>8</v>
      </c>
      <c r="C128" t="s">
        <v>20</v>
      </c>
    </row>
    <row r="129" spans="1:3">
      <c r="A129" t="s">
        <v>33</v>
      </c>
      <c r="B129">
        <v>8</v>
      </c>
      <c r="C129" t="s">
        <v>20</v>
      </c>
    </row>
    <row r="130" spans="1:3">
      <c r="A130" t="s">
        <v>33</v>
      </c>
      <c r="B130">
        <v>8</v>
      </c>
      <c r="C130" t="s">
        <v>20</v>
      </c>
    </row>
    <row r="131" spans="1:3">
      <c r="A131" t="s">
        <v>33</v>
      </c>
      <c r="B131">
        <v>8</v>
      </c>
      <c r="C131" t="s">
        <v>20</v>
      </c>
    </row>
    <row r="132" spans="1:3">
      <c r="A132" t="s">
        <v>33</v>
      </c>
      <c r="B132">
        <v>8</v>
      </c>
      <c r="C132" t="s">
        <v>20</v>
      </c>
    </row>
    <row r="133" spans="1:3">
      <c r="A133" t="s">
        <v>33</v>
      </c>
      <c r="B133">
        <v>8</v>
      </c>
      <c r="C133" t="s">
        <v>20</v>
      </c>
    </row>
    <row r="134" spans="1:3">
      <c r="A134" t="s">
        <v>33</v>
      </c>
      <c r="B134">
        <v>8</v>
      </c>
      <c r="C134" t="s">
        <v>20</v>
      </c>
    </row>
    <row r="135" spans="1:3">
      <c r="A135" t="s">
        <v>33</v>
      </c>
      <c r="B135">
        <v>8</v>
      </c>
      <c r="C135" t="s">
        <v>20</v>
      </c>
    </row>
    <row r="136" spans="1:3">
      <c r="A136" t="s">
        <v>33</v>
      </c>
      <c r="B136">
        <v>8</v>
      </c>
      <c r="C136" t="s">
        <v>20</v>
      </c>
    </row>
    <row r="137" spans="1:3">
      <c r="A137" t="s">
        <v>33</v>
      </c>
      <c r="B137">
        <v>8</v>
      </c>
      <c r="C137" t="s">
        <v>20</v>
      </c>
    </row>
    <row r="138" spans="1:3">
      <c r="A138" t="s">
        <v>33</v>
      </c>
      <c r="B138">
        <v>8</v>
      </c>
      <c r="C138" t="s">
        <v>20</v>
      </c>
    </row>
    <row r="139" spans="1:3">
      <c r="A139" t="s">
        <v>33</v>
      </c>
      <c r="B139">
        <v>8</v>
      </c>
      <c r="C139" t="s">
        <v>20</v>
      </c>
    </row>
    <row r="140" spans="1:3">
      <c r="A140" t="s">
        <v>33</v>
      </c>
      <c r="B140">
        <v>8</v>
      </c>
      <c r="C140" t="s">
        <v>20</v>
      </c>
    </row>
    <row r="141" spans="1:3">
      <c r="A141" t="s">
        <v>33</v>
      </c>
      <c r="B141">
        <v>8</v>
      </c>
      <c r="C141" t="s">
        <v>20</v>
      </c>
    </row>
    <row r="142" spans="1:3">
      <c r="A142" t="s">
        <v>33</v>
      </c>
      <c r="B142">
        <v>8</v>
      </c>
      <c r="C142" t="s">
        <v>20</v>
      </c>
    </row>
    <row r="143" spans="1:3">
      <c r="A143" t="s">
        <v>33</v>
      </c>
      <c r="B143">
        <v>8</v>
      </c>
      <c r="C143" t="s">
        <v>20</v>
      </c>
    </row>
    <row r="144" spans="1:3">
      <c r="A144" t="s">
        <v>33</v>
      </c>
      <c r="B144">
        <v>8</v>
      </c>
      <c r="C144" t="s">
        <v>20</v>
      </c>
    </row>
    <row r="145" spans="1:3">
      <c r="A145" t="s">
        <v>33</v>
      </c>
      <c r="B145">
        <v>8</v>
      </c>
      <c r="C145" t="s">
        <v>20</v>
      </c>
    </row>
    <row r="146" spans="1:3">
      <c r="A146" t="s">
        <v>33</v>
      </c>
      <c r="B146">
        <v>9</v>
      </c>
      <c r="C146" t="s">
        <v>29</v>
      </c>
    </row>
    <row r="147" spans="1:3">
      <c r="A147" t="s">
        <v>33</v>
      </c>
      <c r="B147">
        <v>9</v>
      </c>
      <c r="C147" t="s">
        <v>29</v>
      </c>
    </row>
    <row r="148" spans="1:3">
      <c r="A148" t="s">
        <v>33</v>
      </c>
      <c r="B148">
        <v>9</v>
      </c>
      <c r="C148" t="s">
        <v>29</v>
      </c>
    </row>
    <row r="149" spans="1:3">
      <c r="A149" t="s">
        <v>33</v>
      </c>
      <c r="B149">
        <v>9</v>
      </c>
      <c r="C149" t="s">
        <v>29</v>
      </c>
    </row>
    <row r="150" spans="1:3">
      <c r="A150" t="s">
        <v>33</v>
      </c>
      <c r="B150">
        <v>9</v>
      </c>
      <c r="C150" t="s">
        <v>29</v>
      </c>
    </row>
    <row r="151" spans="1:3">
      <c r="A151" t="s">
        <v>33</v>
      </c>
      <c r="B151">
        <v>9</v>
      </c>
      <c r="C151" t="s">
        <v>29</v>
      </c>
    </row>
    <row r="152" spans="1:3">
      <c r="A152" t="s">
        <v>33</v>
      </c>
      <c r="B152">
        <v>9</v>
      </c>
      <c r="C152" t="s">
        <v>29</v>
      </c>
    </row>
    <row r="153" spans="1:3">
      <c r="A153" t="s">
        <v>33</v>
      </c>
      <c r="B153">
        <v>9</v>
      </c>
      <c r="C153" t="s">
        <v>29</v>
      </c>
    </row>
    <row r="154" spans="1:3">
      <c r="A154" t="s">
        <v>33</v>
      </c>
      <c r="B154">
        <v>9</v>
      </c>
      <c r="C154" t="s">
        <v>29</v>
      </c>
    </row>
    <row r="155" spans="1:3">
      <c r="A155" t="s">
        <v>33</v>
      </c>
      <c r="B155">
        <v>9</v>
      </c>
      <c r="C155" t="s">
        <v>29</v>
      </c>
    </row>
    <row r="156" spans="1:3">
      <c r="A156" t="s">
        <v>33</v>
      </c>
      <c r="B156">
        <v>9</v>
      </c>
      <c r="C156" t="s">
        <v>29</v>
      </c>
    </row>
    <row r="157" spans="1:3">
      <c r="A157" t="s">
        <v>33</v>
      </c>
      <c r="B157">
        <v>9</v>
      </c>
      <c r="C157" t="s">
        <v>29</v>
      </c>
    </row>
    <row r="158" spans="1:3">
      <c r="A158" t="s">
        <v>33</v>
      </c>
      <c r="B158">
        <v>9</v>
      </c>
      <c r="C158" t="s">
        <v>29</v>
      </c>
    </row>
    <row r="159" spans="1:3">
      <c r="A159" t="s">
        <v>33</v>
      </c>
      <c r="B159">
        <v>9</v>
      </c>
      <c r="C159" t="s">
        <v>29</v>
      </c>
    </row>
    <row r="160" spans="1:3">
      <c r="A160" t="s">
        <v>33</v>
      </c>
      <c r="B160">
        <v>9</v>
      </c>
      <c r="C160" t="s">
        <v>29</v>
      </c>
    </row>
    <row r="161" spans="1:3">
      <c r="A161" t="s">
        <v>33</v>
      </c>
      <c r="B161">
        <v>9</v>
      </c>
      <c r="C161" t="s">
        <v>29</v>
      </c>
    </row>
    <row r="162" spans="1:3">
      <c r="A162" t="s">
        <v>33</v>
      </c>
      <c r="B162">
        <v>9</v>
      </c>
      <c r="C162" t="s">
        <v>29</v>
      </c>
    </row>
    <row r="163" spans="1:3">
      <c r="A163" t="s">
        <v>33</v>
      </c>
      <c r="B163">
        <v>9</v>
      </c>
      <c r="C163" t="s">
        <v>29</v>
      </c>
    </row>
    <row r="164" spans="1:3">
      <c r="A164" t="s">
        <v>33</v>
      </c>
      <c r="B164">
        <v>10</v>
      </c>
      <c r="C164" t="s">
        <v>30</v>
      </c>
    </row>
    <row r="165" spans="1:3">
      <c r="A165" t="s">
        <v>33</v>
      </c>
      <c r="B165">
        <v>10</v>
      </c>
      <c r="C165" t="s">
        <v>30</v>
      </c>
    </row>
    <row r="166" spans="1:3">
      <c r="A166" t="s">
        <v>33</v>
      </c>
      <c r="B166">
        <v>10</v>
      </c>
      <c r="C166" t="s">
        <v>30</v>
      </c>
    </row>
    <row r="167" spans="1:3">
      <c r="A167" t="s">
        <v>33</v>
      </c>
      <c r="B167">
        <v>10</v>
      </c>
      <c r="C167" t="s">
        <v>30</v>
      </c>
    </row>
    <row r="168" spans="1:3">
      <c r="A168" t="s">
        <v>33</v>
      </c>
      <c r="B168">
        <v>10</v>
      </c>
      <c r="C168" t="s">
        <v>30</v>
      </c>
    </row>
    <row r="169" spans="1:3">
      <c r="A169" t="s">
        <v>33</v>
      </c>
      <c r="B169">
        <v>10</v>
      </c>
      <c r="C169" t="s">
        <v>30</v>
      </c>
    </row>
    <row r="170" spans="1:3">
      <c r="A170" t="s">
        <v>33</v>
      </c>
      <c r="B170">
        <v>10</v>
      </c>
      <c r="C170" t="s">
        <v>30</v>
      </c>
    </row>
    <row r="171" spans="1:3">
      <c r="A171" t="s">
        <v>33</v>
      </c>
      <c r="B171">
        <v>10</v>
      </c>
      <c r="C171" t="s">
        <v>30</v>
      </c>
    </row>
    <row r="172" spans="1:3">
      <c r="A172" t="s">
        <v>33</v>
      </c>
      <c r="B172">
        <v>10</v>
      </c>
      <c r="C172" t="s">
        <v>30</v>
      </c>
    </row>
    <row r="173" spans="1:3">
      <c r="A173" t="s">
        <v>33</v>
      </c>
      <c r="B173">
        <v>10</v>
      </c>
      <c r="C173" t="s">
        <v>30</v>
      </c>
    </row>
    <row r="174" spans="1:3">
      <c r="A174" t="s">
        <v>33</v>
      </c>
      <c r="B174">
        <v>10</v>
      </c>
      <c r="C174" t="s">
        <v>30</v>
      </c>
    </row>
    <row r="175" spans="1:3">
      <c r="A175" t="s">
        <v>33</v>
      </c>
      <c r="B175">
        <v>10</v>
      </c>
      <c r="C175" t="s">
        <v>30</v>
      </c>
    </row>
    <row r="176" spans="1:3">
      <c r="A176" t="s">
        <v>33</v>
      </c>
      <c r="B176">
        <v>10</v>
      </c>
      <c r="C176" t="s">
        <v>30</v>
      </c>
    </row>
    <row r="177" spans="1:3">
      <c r="A177" t="s">
        <v>33</v>
      </c>
      <c r="B177">
        <v>10</v>
      </c>
      <c r="C177" t="s">
        <v>30</v>
      </c>
    </row>
    <row r="178" spans="1:3">
      <c r="A178" t="s">
        <v>33</v>
      </c>
      <c r="B178">
        <v>10</v>
      </c>
      <c r="C178" t="s">
        <v>30</v>
      </c>
    </row>
    <row r="179" spans="1:3">
      <c r="A179" t="s">
        <v>33</v>
      </c>
      <c r="B179">
        <v>10</v>
      </c>
      <c r="C179" t="s">
        <v>30</v>
      </c>
    </row>
    <row r="180" spans="1:3">
      <c r="A180" t="s">
        <v>33</v>
      </c>
      <c r="B180">
        <v>10</v>
      </c>
      <c r="C180" t="s">
        <v>30</v>
      </c>
    </row>
    <row r="181" spans="1:3">
      <c r="A181" t="s">
        <v>33</v>
      </c>
      <c r="B181">
        <v>10</v>
      </c>
      <c r="C181" t="s">
        <v>30</v>
      </c>
    </row>
    <row r="182" spans="1:3">
      <c r="A182" t="s">
        <v>33</v>
      </c>
      <c r="B182">
        <v>11</v>
      </c>
      <c r="C182" t="s">
        <v>31</v>
      </c>
    </row>
    <row r="183" spans="1:3">
      <c r="A183" t="s">
        <v>33</v>
      </c>
      <c r="B183">
        <v>11</v>
      </c>
      <c r="C183" t="s">
        <v>31</v>
      </c>
    </row>
    <row r="184" spans="1:3">
      <c r="A184" t="s">
        <v>33</v>
      </c>
      <c r="B184">
        <v>11</v>
      </c>
      <c r="C184" t="s">
        <v>31</v>
      </c>
    </row>
    <row r="185" spans="1:3">
      <c r="A185" t="s">
        <v>33</v>
      </c>
      <c r="B185">
        <v>11</v>
      </c>
      <c r="C185" t="s">
        <v>31</v>
      </c>
    </row>
    <row r="186" spans="1:3">
      <c r="A186" t="s">
        <v>33</v>
      </c>
      <c r="B186">
        <v>11</v>
      </c>
      <c r="C186" t="s">
        <v>31</v>
      </c>
    </row>
    <row r="187" spans="1:3">
      <c r="A187" t="s">
        <v>33</v>
      </c>
      <c r="B187">
        <v>11</v>
      </c>
      <c r="C187" t="s">
        <v>31</v>
      </c>
    </row>
    <row r="188" spans="1:3">
      <c r="A188" t="s">
        <v>33</v>
      </c>
      <c r="B188">
        <v>11</v>
      </c>
      <c r="C188" t="s">
        <v>31</v>
      </c>
    </row>
    <row r="189" spans="1:3">
      <c r="A189" t="s">
        <v>33</v>
      </c>
      <c r="B189">
        <v>11</v>
      </c>
      <c r="C189" t="s">
        <v>31</v>
      </c>
    </row>
    <row r="190" spans="1:3">
      <c r="A190" t="s">
        <v>33</v>
      </c>
      <c r="B190">
        <v>11</v>
      </c>
      <c r="C190" t="s">
        <v>31</v>
      </c>
    </row>
    <row r="191" spans="1:3">
      <c r="A191" t="s">
        <v>33</v>
      </c>
      <c r="B191">
        <v>11</v>
      </c>
      <c r="C191" t="s">
        <v>31</v>
      </c>
    </row>
    <row r="192" spans="1:3">
      <c r="A192" t="s">
        <v>33</v>
      </c>
      <c r="B192">
        <v>11</v>
      </c>
      <c r="C192" t="s">
        <v>31</v>
      </c>
    </row>
    <row r="193" spans="1:3">
      <c r="A193" t="s">
        <v>33</v>
      </c>
      <c r="B193">
        <v>11</v>
      </c>
      <c r="C193" t="s">
        <v>31</v>
      </c>
    </row>
    <row r="194" spans="1:3">
      <c r="A194" t="s">
        <v>33</v>
      </c>
      <c r="B194">
        <v>11</v>
      </c>
      <c r="C194" t="s">
        <v>31</v>
      </c>
    </row>
    <row r="195" spans="1:3">
      <c r="A195" t="s">
        <v>33</v>
      </c>
      <c r="B195">
        <v>11</v>
      </c>
      <c r="C195" t="s">
        <v>31</v>
      </c>
    </row>
    <row r="196" spans="1:3">
      <c r="A196" t="s">
        <v>33</v>
      </c>
      <c r="B196">
        <v>11</v>
      </c>
      <c r="C196" t="s">
        <v>31</v>
      </c>
    </row>
    <row r="197" spans="1:3">
      <c r="A197" t="s">
        <v>33</v>
      </c>
      <c r="B197">
        <v>11</v>
      </c>
      <c r="C197" t="s">
        <v>31</v>
      </c>
    </row>
    <row r="198" spans="1:3">
      <c r="A198" t="s">
        <v>33</v>
      </c>
      <c r="B198">
        <v>11</v>
      </c>
      <c r="C198" t="s">
        <v>31</v>
      </c>
    </row>
    <row r="199" spans="1:3">
      <c r="A199" t="s">
        <v>33</v>
      </c>
      <c r="B199">
        <v>11</v>
      </c>
      <c r="C199" t="s">
        <v>31</v>
      </c>
    </row>
    <row r="200" spans="1:3">
      <c r="A200" t="s">
        <v>33</v>
      </c>
      <c r="B200">
        <v>12</v>
      </c>
      <c r="C200" t="s">
        <v>21</v>
      </c>
    </row>
    <row r="201" spans="1:3">
      <c r="A201" t="s">
        <v>33</v>
      </c>
      <c r="B201">
        <v>12</v>
      </c>
      <c r="C201" t="s">
        <v>21</v>
      </c>
    </row>
    <row r="202" spans="1:3">
      <c r="A202" t="s">
        <v>33</v>
      </c>
      <c r="B202">
        <v>12</v>
      </c>
      <c r="C202" t="s">
        <v>21</v>
      </c>
    </row>
    <row r="203" spans="1:3">
      <c r="A203" t="s">
        <v>33</v>
      </c>
      <c r="B203">
        <v>12</v>
      </c>
      <c r="C203" t="s">
        <v>21</v>
      </c>
    </row>
    <row r="204" spans="1:3">
      <c r="A204" t="s">
        <v>33</v>
      </c>
      <c r="B204">
        <v>12</v>
      </c>
      <c r="C204" t="s">
        <v>21</v>
      </c>
    </row>
    <row r="205" spans="1:3">
      <c r="A205" t="s">
        <v>33</v>
      </c>
      <c r="B205">
        <v>12</v>
      </c>
      <c r="C205" t="s">
        <v>21</v>
      </c>
    </row>
    <row r="206" spans="1:3">
      <c r="A206" t="s">
        <v>33</v>
      </c>
      <c r="B206">
        <v>12</v>
      </c>
      <c r="C206" t="s">
        <v>21</v>
      </c>
    </row>
    <row r="207" spans="1:3">
      <c r="A207" t="s">
        <v>33</v>
      </c>
      <c r="B207">
        <v>12</v>
      </c>
      <c r="C207" t="s">
        <v>21</v>
      </c>
    </row>
    <row r="208" spans="1:3">
      <c r="A208" t="s">
        <v>33</v>
      </c>
      <c r="B208">
        <v>12</v>
      </c>
      <c r="C208" t="s">
        <v>21</v>
      </c>
    </row>
    <row r="209" spans="1:3">
      <c r="A209" t="s">
        <v>33</v>
      </c>
      <c r="B209">
        <v>12</v>
      </c>
      <c r="C209" t="s">
        <v>21</v>
      </c>
    </row>
    <row r="210" spans="1:3">
      <c r="A210" t="s">
        <v>33</v>
      </c>
      <c r="B210">
        <v>12</v>
      </c>
      <c r="C210" t="s">
        <v>21</v>
      </c>
    </row>
    <row r="211" spans="1:3">
      <c r="A211" t="s">
        <v>33</v>
      </c>
      <c r="B211">
        <v>12</v>
      </c>
      <c r="C211" t="s">
        <v>21</v>
      </c>
    </row>
    <row r="212" spans="1:3">
      <c r="A212" t="s">
        <v>33</v>
      </c>
      <c r="B212">
        <v>12</v>
      </c>
      <c r="C212" t="s">
        <v>21</v>
      </c>
    </row>
    <row r="213" spans="1:3">
      <c r="A213" t="s">
        <v>33</v>
      </c>
      <c r="B213">
        <v>12</v>
      </c>
      <c r="C213" t="s">
        <v>21</v>
      </c>
    </row>
    <row r="214" spans="1:3">
      <c r="A214" t="s">
        <v>33</v>
      </c>
      <c r="B214">
        <v>12</v>
      </c>
      <c r="C214" t="s">
        <v>21</v>
      </c>
    </row>
    <row r="215" spans="1:3">
      <c r="A215" t="s">
        <v>33</v>
      </c>
      <c r="B215">
        <v>12</v>
      </c>
      <c r="C215" t="s">
        <v>21</v>
      </c>
    </row>
    <row r="216" spans="1:3">
      <c r="A216" t="s">
        <v>33</v>
      </c>
      <c r="B216">
        <v>12</v>
      </c>
      <c r="C216" t="s">
        <v>21</v>
      </c>
    </row>
    <row r="217" spans="1:3">
      <c r="A217" t="s">
        <v>33</v>
      </c>
      <c r="B217">
        <v>12</v>
      </c>
      <c r="C217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8311-ED55-4AFC-8E57-707D76EFE7CE}">
  <dimension ref="A1:C217"/>
  <sheetViews>
    <sheetView workbookViewId="0"/>
  </sheetViews>
  <sheetFormatPr baseColWidth="10" defaultRowHeight="14.25"/>
  <cols>
    <col min="1" max="1" width="25" bestFit="1" customWidth="1"/>
    <col min="2" max="2" width="19.6640625" bestFit="1" customWidth="1"/>
    <col min="3" max="3" width="43.86328125" bestFit="1" customWidth="1"/>
  </cols>
  <sheetData>
    <row r="1" spans="1:3">
      <c r="A1" s="53" t="s">
        <v>71</v>
      </c>
      <c r="B1" s="53" t="s">
        <v>72</v>
      </c>
      <c r="C1" s="53" t="s">
        <v>73</v>
      </c>
    </row>
    <row r="2" spans="1:3">
      <c r="A2" t="s">
        <v>34</v>
      </c>
      <c r="B2">
        <v>1</v>
      </c>
      <c r="C2" t="s">
        <v>22</v>
      </c>
    </row>
    <row r="3" spans="1:3">
      <c r="A3" t="s">
        <v>34</v>
      </c>
      <c r="B3">
        <v>2</v>
      </c>
      <c r="C3" t="s">
        <v>23</v>
      </c>
    </row>
    <row r="4" spans="1:3">
      <c r="A4" t="s">
        <v>34</v>
      </c>
      <c r="B4">
        <v>3</v>
      </c>
      <c r="C4" t="s">
        <v>24</v>
      </c>
    </row>
    <row r="5" spans="1:3">
      <c r="A5" t="s">
        <v>34</v>
      </c>
      <c r="B5">
        <v>4</v>
      </c>
      <c r="C5" t="s">
        <v>25</v>
      </c>
    </row>
    <row r="6" spans="1:3">
      <c r="A6" t="s">
        <v>34</v>
      </c>
      <c r="B6">
        <v>5</v>
      </c>
      <c r="C6" t="s">
        <v>26</v>
      </c>
    </row>
    <row r="7" spans="1:3">
      <c r="A7" t="s">
        <v>34</v>
      </c>
      <c r="B7">
        <v>6</v>
      </c>
      <c r="C7" t="s">
        <v>27</v>
      </c>
    </row>
    <row r="8" spans="1:3">
      <c r="A8" t="s">
        <v>34</v>
      </c>
      <c r="B8">
        <v>7</v>
      </c>
      <c r="C8" t="s">
        <v>28</v>
      </c>
    </row>
    <row r="9" spans="1:3">
      <c r="A9" t="s">
        <v>34</v>
      </c>
      <c r="B9">
        <v>8</v>
      </c>
      <c r="C9" t="s">
        <v>20</v>
      </c>
    </row>
    <row r="10" spans="1:3">
      <c r="A10" t="s">
        <v>34</v>
      </c>
      <c r="B10">
        <v>9</v>
      </c>
      <c r="C10" t="s">
        <v>29</v>
      </c>
    </row>
    <row r="11" spans="1:3">
      <c r="A11" t="s">
        <v>34</v>
      </c>
      <c r="B11">
        <v>10</v>
      </c>
      <c r="C11" t="s">
        <v>30</v>
      </c>
    </row>
    <row r="12" spans="1:3">
      <c r="A12" t="s">
        <v>34</v>
      </c>
      <c r="B12">
        <v>11</v>
      </c>
      <c r="C12" t="s">
        <v>31</v>
      </c>
    </row>
    <row r="13" spans="1:3">
      <c r="A13" t="s">
        <v>34</v>
      </c>
      <c r="B13">
        <v>12</v>
      </c>
      <c r="C13" t="s">
        <v>21</v>
      </c>
    </row>
    <row r="14" spans="1:3">
      <c r="A14" t="s">
        <v>4</v>
      </c>
      <c r="B14" t="s">
        <v>35</v>
      </c>
      <c r="C14" t="s">
        <v>35</v>
      </c>
    </row>
    <row r="15" spans="1:3">
      <c r="A15" t="s">
        <v>5</v>
      </c>
      <c r="B15" t="s">
        <v>35</v>
      </c>
      <c r="C15" t="s">
        <v>35</v>
      </c>
    </row>
    <row r="16" spans="1:3">
      <c r="A16" t="s">
        <v>6</v>
      </c>
      <c r="B16" t="s">
        <v>35</v>
      </c>
      <c r="C16" t="s">
        <v>35</v>
      </c>
    </row>
    <row r="17" spans="1:3">
      <c r="A17" t="s">
        <v>7</v>
      </c>
      <c r="B17" t="s">
        <v>35</v>
      </c>
      <c r="C17" t="s">
        <v>35</v>
      </c>
    </row>
    <row r="18" spans="1:3">
      <c r="A18" t="s">
        <v>8</v>
      </c>
      <c r="B18" t="s">
        <v>35</v>
      </c>
      <c r="C18" t="s">
        <v>35</v>
      </c>
    </row>
    <row r="19" spans="1:3">
      <c r="A19" t="s">
        <v>9</v>
      </c>
      <c r="B19" t="s">
        <v>35</v>
      </c>
      <c r="C19" t="s">
        <v>35</v>
      </c>
    </row>
    <row r="20" spans="1:3">
      <c r="A20" t="s">
        <v>34</v>
      </c>
      <c r="B20">
        <v>1</v>
      </c>
      <c r="C20" t="s">
        <v>22</v>
      </c>
    </row>
    <row r="21" spans="1:3">
      <c r="A21" t="s">
        <v>34</v>
      </c>
      <c r="B21">
        <v>2</v>
      </c>
      <c r="C21" t="s">
        <v>23</v>
      </c>
    </row>
    <row r="22" spans="1:3">
      <c r="A22" t="s">
        <v>34</v>
      </c>
      <c r="B22">
        <v>3</v>
      </c>
      <c r="C22" t="s">
        <v>24</v>
      </c>
    </row>
    <row r="23" spans="1:3">
      <c r="A23" t="s">
        <v>34</v>
      </c>
      <c r="B23">
        <v>4</v>
      </c>
      <c r="C23" t="s">
        <v>25</v>
      </c>
    </row>
    <row r="24" spans="1:3">
      <c r="A24" t="s">
        <v>34</v>
      </c>
      <c r="B24">
        <v>5</v>
      </c>
      <c r="C24" t="s">
        <v>26</v>
      </c>
    </row>
    <row r="25" spans="1:3">
      <c r="A25" t="s">
        <v>34</v>
      </c>
      <c r="B25">
        <v>6</v>
      </c>
      <c r="C25" t="s">
        <v>27</v>
      </c>
    </row>
    <row r="26" spans="1:3">
      <c r="A26" t="s">
        <v>34</v>
      </c>
      <c r="B26">
        <v>7</v>
      </c>
      <c r="C26" t="s">
        <v>28</v>
      </c>
    </row>
    <row r="27" spans="1:3">
      <c r="A27" t="s">
        <v>34</v>
      </c>
      <c r="B27">
        <v>8</v>
      </c>
      <c r="C27" t="s">
        <v>20</v>
      </c>
    </row>
    <row r="28" spans="1:3">
      <c r="A28" t="s">
        <v>34</v>
      </c>
      <c r="B28">
        <v>9</v>
      </c>
      <c r="C28" t="s">
        <v>29</v>
      </c>
    </row>
    <row r="29" spans="1:3">
      <c r="A29" t="s">
        <v>34</v>
      </c>
      <c r="B29">
        <v>10</v>
      </c>
      <c r="C29" t="s">
        <v>30</v>
      </c>
    </row>
    <row r="30" spans="1:3">
      <c r="A30" t="s">
        <v>34</v>
      </c>
      <c r="B30">
        <v>11</v>
      </c>
      <c r="C30" t="s">
        <v>31</v>
      </c>
    </row>
    <row r="31" spans="1:3">
      <c r="A31" t="s">
        <v>34</v>
      </c>
      <c r="B31">
        <v>12</v>
      </c>
      <c r="C31" t="s">
        <v>21</v>
      </c>
    </row>
    <row r="32" spans="1:3">
      <c r="A32" t="s">
        <v>4</v>
      </c>
      <c r="B32" t="s">
        <v>35</v>
      </c>
      <c r="C32" t="s">
        <v>35</v>
      </c>
    </row>
    <row r="33" spans="1:3">
      <c r="A33" t="s">
        <v>5</v>
      </c>
      <c r="B33" t="s">
        <v>35</v>
      </c>
      <c r="C33" t="s">
        <v>35</v>
      </c>
    </row>
    <row r="34" spans="1:3">
      <c r="A34" t="s">
        <v>6</v>
      </c>
      <c r="B34" t="s">
        <v>35</v>
      </c>
      <c r="C34" t="s">
        <v>35</v>
      </c>
    </row>
    <row r="35" spans="1:3">
      <c r="A35" t="s">
        <v>7</v>
      </c>
      <c r="B35" t="s">
        <v>35</v>
      </c>
      <c r="C35" t="s">
        <v>35</v>
      </c>
    </row>
    <row r="36" spans="1:3">
      <c r="A36" t="s">
        <v>8</v>
      </c>
      <c r="B36" t="s">
        <v>35</v>
      </c>
      <c r="C36" t="s">
        <v>35</v>
      </c>
    </row>
    <row r="37" spans="1:3">
      <c r="A37" t="s">
        <v>9</v>
      </c>
      <c r="B37" t="s">
        <v>35</v>
      </c>
      <c r="C37" t="s">
        <v>35</v>
      </c>
    </row>
    <row r="38" spans="1:3">
      <c r="A38" t="s">
        <v>34</v>
      </c>
      <c r="B38">
        <v>1</v>
      </c>
      <c r="C38" t="s">
        <v>22</v>
      </c>
    </row>
    <row r="39" spans="1:3">
      <c r="A39" t="s">
        <v>34</v>
      </c>
      <c r="B39">
        <v>2</v>
      </c>
      <c r="C39" t="s">
        <v>23</v>
      </c>
    </row>
    <row r="40" spans="1:3">
      <c r="A40" t="s">
        <v>34</v>
      </c>
      <c r="B40">
        <v>3</v>
      </c>
      <c r="C40" t="s">
        <v>24</v>
      </c>
    </row>
    <row r="41" spans="1:3">
      <c r="A41" t="s">
        <v>34</v>
      </c>
      <c r="B41">
        <v>4</v>
      </c>
      <c r="C41" t="s">
        <v>25</v>
      </c>
    </row>
    <row r="42" spans="1:3">
      <c r="A42" t="s">
        <v>34</v>
      </c>
      <c r="B42">
        <v>5</v>
      </c>
      <c r="C42" t="s">
        <v>26</v>
      </c>
    </row>
    <row r="43" spans="1:3">
      <c r="A43" t="s">
        <v>34</v>
      </c>
      <c r="B43">
        <v>6</v>
      </c>
      <c r="C43" t="s">
        <v>27</v>
      </c>
    </row>
    <row r="44" spans="1:3">
      <c r="A44" t="s">
        <v>34</v>
      </c>
      <c r="B44">
        <v>7</v>
      </c>
      <c r="C44" t="s">
        <v>28</v>
      </c>
    </row>
    <row r="45" spans="1:3">
      <c r="A45" t="s">
        <v>34</v>
      </c>
      <c r="B45">
        <v>8</v>
      </c>
      <c r="C45" t="s">
        <v>20</v>
      </c>
    </row>
    <row r="46" spans="1:3">
      <c r="A46" t="s">
        <v>34</v>
      </c>
      <c r="B46">
        <v>9</v>
      </c>
      <c r="C46" t="s">
        <v>29</v>
      </c>
    </row>
    <row r="47" spans="1:3">
      <c r="A47" t="s">
        <v>34</v>
      </c>
      <c r="B47">
        <v>10</v>
      </c>
      <c r="C47" t="s">
        <v>30</v>
      </c>
    </row>
    <row r="48" spans="1:3">
      <c r="A48" t="s">
        <v>34</v>
      </c>
      <c r="B48">
        <v>11</v>
      </c>
      <c r="C48" t="s">
        <v>31</v>
      </c>
    </row>
    <row r="49" spans="1:3">
      <c r="A49" t="s">
        <v>34</v>
      </c>
      <c r="B49">
        <v>12</v>
      </c>
      <c r="C49" t="s">
        <v>21</v>
      </c>
    </row>
    <row r="50" spans="1:3">
      <c r="A50" t="s">
        <v>4</v>
      </c>
      <c r="B50" t="s">
        <v>35</v>
      </c>
      <c r="C50" t="s">
        <v>35</v>
      </c>
    </row>
    <row r="51" spans="1:3">
      <c r="A51" t="s">
        <v>5</v>
      </c>
      <c r="B51" t="s">
        <v>35</v>
      </c>
      <c r="C51" t="s">
        <v>35</v>
      </c>
    </row>
    <row r="52" spans="1:3">
      <c r="A52" t="s">
        <v>6</v>
      </c>
      <c r="B52" t="s">
        <v>35</v>
      </c>
      <c r="C52" t="s">
        <v>35</v>
      </c>
    </row>
    <row r="53" spans="1:3">
      <c r="A53" t="s">
        <v>7</v>
      </c>
      <c r="B53" t="s">
        <v>35</v>
      </c>
      <c r="C53" t="s">
        <v>35</v>
      </c>
    </row>
    <row r="54" spans="1:3">
      <c r="A54" t="s">
        <v>8</v>
      </c>
      <c r="B54" t="s">
        <v>35</v>
      </c>
      <c r="C54" t="s">
        <v>35</v>
      </c>
    </row>
    <row r="55" spans="1:3">
      <c r="A55" t="s">
        <v>9</v>
      </c>
      <c r="B55" t="s">
        <v>35</v>
      </c>
      <c r="C55" t="s">
        <v>35</v>
      </c>
    </row>
    <row r="56" spans="1:3">
      <c r="A56" t="s">
        <v>34</v>
      </c>
      <c r="B56">
        <v>1</v>
      </c>
      <c r="C56" t="s">
        <v>22</v>
      </c>
    </row>
    <row r="57" spans="1:3">
      <c r="A57" t="s">
        <v>34</v>
      </c>
      <c r="B57">
        <v>2</v>
      </c>
      <c r="C57" t="s">
        <v>23</v>
      </c>
    </row>
    <row r="58" spans="1:3">
      <c r="A58" t="s">
        <v>34</v>
      </c>
      <c r="B58">
        <v>3</v>
      </c>
      <c r="C58" t="s">
        <v>24</v>
      </c>
    </row>
    <row r="59" spans="1:3">
      <c r="A59" t="s">
        <v>34</v>
      </c>
      <c r="B59">
        <v>4</v>
      </c>
      <c r="C59" t="s">
        <v>25</v>
      </c>
    </row>
    <row r="60" spans="1:3">
      <c r="A60" t="s">
        <v>34</v>
      </c>
      <c r="B60">
        <v>5</v>
      </c>
      <c r="C60" t="s">
        <v>26</v>
      </c>
    </row>
    <row r="61" spans="1:3">
      <c r="A61" t="s">
        <v>34</v>
      </c>
      <c r="B61">
        <v>6</v>
      </c>
      <c r="C61" t="s">
        <v>27</v>
      </c>
    </row>
    <row r="62" spans="1:3">
      <c r="A62" t="s">
        <v>34</v>
      </c>
      <c r="B62">
        <v>7</v>
      </c>
      <c r="C62" t="s">
        <v>28</v>
      </c>
    </row>
    <row r="63" spans="1:3">
      <c r="A63" t="s">
        <v>34</v>
      </c>
      <c r="B63">
        <v>8</v>
      </c>
      <c r="C63" t="s">
        <v>20</v>
      </c>
    </row>
    <row r="64" spans="1:3">
      <c r="A64" t="s">
        <v>34</v>
      </c>
      <c r="B64">
        <v>9</v>
      </c>
      <c r="C64" t="s">
        <v>29</v>
      </c>
    </row>
    <row r="65" spans="1:3">
      <c r="A65" t="s">
        <v>34</v>
      </c>
      <c r="B65">
        <v>10</v>
      </c>
      <c r="C65" t="s">
        <v>30</v>
      </c>
    </row>
    <row r="66" spans="1:3">
      <c r="A66" t="s">
        <v>34</v>
      </c>
      <c r="B66">
        <v>11</v>
      </c>
      <c r="C66" t="s">
        <v>31</v>
      </c>
    </row>
    <row r="67" spans="1:3">
      <c r="A67" t="s">
        <v>34</v>
      </c>
      <c r="B67">
        <v>12</v>
      </c>
      <c r="C67" t="s">
        <v>21</v>
      </c>
    </row>
    <row r="68" spans="1:3">
      <c r="A68" t="s">
        <v>4</v>
      </c>
      <c r="B68" t="s">
        <v>35</v>
      </c>
      <c r="C68" t="s">
        <v>35</v>
      </c>
    </row>
    <row r="69" spans="1:3">
      <c r="A69" t="s">
        <v>5</v>
      </c>
      <c r="B69" t="s">
        <v>35</v>
      </c>
      <c r="C69" t="s">
        <v>35</v>
      </c>
    </row>
    <row r="70" spans="1:3">
      <c r="A70" t="s">
        <v>6</v>
      </c>
      <c r="B70" t="s">
        <v>35</v>
      </c>
      <c r="C70" t="s">
        <v>35</v>
      </c>
    </row>
    <row r="71" spans="1:3">
      <c r="A71" t="s">
        <v>7</v>
      </c>
      <c r="B71" t="s">
        <v>35</v>
      </c>
      <c r="C71" t="s">
        <v>35</v>
      </c>
    </row>
    <row r="72" spans="1:3">
      <c r="A72" t="s">
        <v>8</v>
      </c>
      <c r="B72" t="s">
        <v>35</v>
      </c>
      <c r="C72" t="s">
        <v>35</v>
      </c>
    </row>
    <row r="73" spans="1:3">
      <c r="A73" t="s">
        <v>9</v>
      </c>
      <c r="B73" t="s">
        <v>35</v>
      </c>
      <c r="C73" t="s">
        <v>35</v>
      </c>
    </row>
    <row r="74" spans="1:3">
      <c r="A74" t="s">
        <v>34</v>
      </c>
      <c r="B74">
        <v>1</v>
      </c>
      <c r="C74" t="s">
        <v>22</v>
      </c>
    </row>
    <row r="75" spans="1:3">
      <c r="A75" t="s">
        <v>34</v>
      </c>
      <c r="B75">
        <v>2</v>
      </c>
      <c r="C75" t="s">
        <v>23</v>
      </c>
    </row>
    <row r="76" spans="1:3">
      <c r="A76" t="s">
        <v>34</v>
      </c>
      <c r="B76">
        <v>3</v>
      </c>
      <c r="C76" t="s">
        <v>24</v>
      </c>
    </row>
    <row r="77" spans="1:3">
      <c r="A77" t="s">
        <v>34</v>
      </c>
      <c r="B77">
        <v>4</v>
      </c>
      <c r="C77" t="s">
        <v>25</v>
      </c>
    </row>
    <row r="78" spans="1:3">
      <c r="A78" t="s">
        <v>34</v>
      </c>
      <c r="B78">
        <v>5</v>
      </c>
      <c r="C78" t="s">
        <v>26</v>
      </c>
    </row>
    <row r="79" spans="1:3">
      <c r="A79" t="s">
        <v>34</v>
      </c>
      <c r="B79">
        <v>6</v>
      </c>
      <c r="C79" t="s">
        <v>27</v>
      </c>
    </row>
    <row r="80" spans="1:3">
      <c r="A80" t="s">
        <v>34</v>
      </c>
      <c r="B80">
        <v>7</v>
      </c>
      <c r="C80" t="s">
        <v>28</v>
      </c>
    </row>
    <row r="81" spans="1:3">
      <c r="A81" t="s">
        <v>34</v>
      </c>
      <c r="B81">
        <v>8</v>
      </c>
      <c r="C81" t="s">
        <v>20</v>
      </c>
    </row>
    <row r="82" spans="1:3">
      <c r="A82" t="s">
        <v>34</v>
      </c>
      <c r="B82">
        <v>9</v>
      </c>
      <c r="C82" t="s">
        <v>29</v>
      </c>
    </row>
    <row r="83" spans="1:3">
      <c r="A83" t="s">
        <v>34</v>
      </c>
      <c r="B83">
        <v>10</v>
      </c>
      <c r="C83" t="s">
        <v>30</v>
      </c>
    </row>
    <row r="84" spans="1:3">
      <c r="A84" t="s">
        <v>34</v>
      </c>
      <c r="B84">
        <v>11</v>
      </c>
      <c r="C84" t="s">
        <v>31</v>
      </c>
    </row>
    <row r="85" spans="1:3">
      <c r="A85" t="s">
        <v>34</v>
      </c>
      <c r="B85">
        <v>12</v>
      </c>
      <c r="C85" t="s">
        <v>21</v>
      </c>
    </row>
    <row r="86" spans="1:3">
      <c r="A86" t="s">
        <v>4</v>
      </c>
      <c r="B86" t="s">
        <v>35</v>
      </c>
      <c r="C86" t="s">
        <v>35</v>
      </c>
    </row>
    <row r="87" spans="1:3">
      <c r="A87" t="s">
        <v>5</v>
      </c>
      <c r="B87" t="s">
        <v>35</v>
      </c>
      <c r="C87" t="s">
        <v>35</v>
      </c>
    </row>
    <row r="88" spans="1:3">
      <c r="A88" t="s">
        <v>6</v>
      </c>
      <c r="B88" t="s">
        <v>35</v>
      </c>
      <c r="C88" t="s">
        <v>35</v>
      </c>
    </row>
    <row r="89" spans="1:3">
      <c r="A89" t="s">
        <v>7</v>
      </c>
      <c r="B89" t="s">
        <v>35</v>
      </c>
      <c r="C89" t="s">
        <v>35</v>
      </c>
    </row>
    <row r="90" spans="1:3">
      <c r="A90" t="s">
        <v>8</v>
      </c>
      <c r="B90" t="s">
        <v>35</v>
      </c>
      <c r="C90" t="s">
        <v>35</v>
      </c>
    </row>
    <row r="91" spans="1:3">
      <c r="A91" t="s">
        <v>9</v>
      </c>
      <c r="B91" t="s">
        <v>35</v>
      </c>
      <c r="C91" t="s">
        <v>35</v>
      </c>
    </row>
    <row r="92" spans="1:3">
      <c r="A92" t="s">
        <v>34</v>
      </c>
      <c r="B92">
        <v>1</v>
      </c>
      <c r="C92" t="s">
        <v>22</v>
      </c>
    </row>
    <row r="93" spans="1:3">
      <c r="A93" t="s">
        <v>34</v>
      </c>
      <c r="B93">
        <v>2</v>
      </c>
      <c r="C93" t="s">
        <v>23</v>
      </c>
    </row>
    <row r="94" spans="1:3">
      <c r="A94" t="s">
        <v>34</v>
      </c>
      <c r="B94">
        <v>3</v>
      </c>
      <c r="C94" t="s">
        <v>24</v>
      </c>
    </row>
    <row r="95" spans="1:3">
      <c r="A95" t="s">
        <v>34</v>
      </c>
      <c r="B95">
        <v>4</v>
      </c>
      <c r="C95" t="s">
        <v>25</v>
      </c>
    </row>
    <row r="96" spans="1:3">
      <c r="A96" t="s">
        <v>34</v>
      </c>
      <c r="B96">
        <v>5</v>
      </c>
      <c r="C96" t="s">
        <v>26</v>
      </c>
    </row>
    <row r="97" spans="1:3">
      <c r="A97" t="s">
        <v>34</v>
      </c>
      <c r="B97">
        <v>6</v>
      </c>
      <c r="C97" t="s">
        <v>27</v>
      </c>
    </row>
    <row r="98" spans="1:3">
      <c r="A98" t="s">
        <v>34</v>
      </c>
      <c r="B98">
        <v>7</v>
      </c>
      <c r="C98" t="s">
        <v>28</v>
      </c>
    </row>
    <row r="99" spans="1:3">
      <c r="A99" t="s">
        <v>34</v>
      </c>
      <c r="B99">
        <v>8</v>
      </c>
      <c r="C99" t="s">
        <v>20</v>
      </c>
    </row>
    <row r="100" spans="1:3">
      <c r="A100" t="s">
        <v>34</v>
      </c>
      <c r="B100">
        <v>9</v>
      </c>
      <c r="C100" t="s">
        <v>29</v>
      </c>
    </row>
    <row r="101" spans="1:3">
      <c r="A101" t="s">
        <v>34</v>
      </c>
      <c r="B101">
        <v>10</v>
      </c>
      <c r="C101" t="s">
        <v>30</v>
      </c>
    </row>
    <row r="102" spans="1:3">
      <c r="A102" t="s">
        <v>34</v>
      </c>
      <c r="B102">
        <v>11</v>
      </c>
      <c r="C102" t="s">
        <v>31</v>
      </c>
    </row>
    <row r="103" spans="1:3">
      <c r="A103" t="s">
        <v>34</v>
      </c>
      <c r="B103">
        <v>12</v>
      </c>
      <c r="C103" t="s">
        <v>21</v>
      </c>
    </row>
    <row r="104" spans="1:3">
      <c r="A104" t="s">
        <v>4</v>
      </c>
      <c r="B104" t="s">
        <v>35</v>
      </c>
      <c r="C104" t="s">
        <v>35</v>
      </c>
    </row>
    <row r="105" spans="1:3">
      <c r="A105" t="s">
        <v>5</v>
      </c>
      <c r="B105" t="s">
        <v>35</v>
      </c>
      <c r="C105" t="s">
        <v>35</v>
      </c>
    </row>
    <row r="106" spans="1:3">
      <c r="A106" t="s">
        <v>6</v>
      </c>
      <c r="B106" t="s">
        <v>35</v>
      </c>
      <c r="C106" t="s">
        <v>35</v>
      </c>
    </row>
    <row r="107" spans="1:3">
      <c r="A107" t="s">
        <v>7</v>
      </c>
      <c r="B107" t="s">
        <v>35</v>
      </c>
      <c r="C107" t="s">
        <v>35</v>
      </c>
    </row>
    <row r="108" spans="1:3">
      <c r="A108" t="s">
        <v>8</v>
      </c>
      <c r="B108" t="s">
        <v>35</v>
      </c>
      <c r="C108" t="s">
        <v>35</v>
      </c>
    </row>
    <row r="109" spans="1:3">
      <c r="A109" t="s">
        <v>9</v>
      </c>
      <c r="B109" t="s">
        <v>35</v>
      </c>
      <c r="C109" t="s">
        <v>35</v>
      </c>
    </row>
    <row r="110" spans="1:3">
      <c r="A110" t="s">
        <v>34</v>
      </c>
      <c r="B110">
        <v>1</v>
      </c>
      <c r="C110" t="s">
        <v>22</v>
      </c>
    </row>
    <row r="111" spans="1:3">
      <c r="A111" t="s">
        <v>34</v>
      </c>
      <c r="B111">
        <v>2</v>
      </c>
      <c r="C111" t="s">
        <v>23</v>
      </c>
    </row>
    <row r="112" spans="1:3">
      <c r="A112" t="s">
        <v>34</v>
      </c>
      <c r="B112">
        <v>3</v>
      </c>
      <c r="C112" t="s">
        <v>24</v>
      </c>
    </row>
    <row r="113" spans="1:3">
      <c r="A113" t="s">
        <v>34</v>
      </c>
      <c r="B113">
        <v>4</v>
      </c>
      <c r="C113" t="s">
        <v>25</v>
      </c>
    </row>
    <row r="114" spans="1:3">
      <c r="A114" t="s">
        <v>34</v>
      </c>
      <c r="B114">
        <v>5</v>
      </c>
      <c r="C114" t="s">
        <v>26</v>
      </c>
    </row>
    <row r="115" spans="1:3">
      <c r="A115" t="s">
        <v>34</v>
      </c>
      <c r="B115">
        <v>6</v>
      </c>
      <c r="C115" t="s">
        <v>27</v>
      </c>
    </row>
    <row r="116" spans="1:3">
      <c r="A116" t="s">
        <v>34</v>
      </c>
      <c r="B116">
        <v>7</v>
      </c>
      <c r="C116" t="s">
        <v>28</v>
      </c>
    </row>
    <row r="117" spans="1:3">
      <c r="A117" t="s">
        <v>34</v>
      </c>
      <c r="B117">
        <v>8</v>
      </c>
      <c r="C117" t="s">
        <v>20</v>
      </c>
    </row>
    <row r="118" spans="1:3">
      <c r="A118" t="s">
        <v>34</v>
      </c>
      <c r="B118">
        <v>9</v>
      </c>
      <c r="C118" t="s">
        <v>29</v>
      </c>
    </row>
    <row r="119" spans="1:3">
      <c r="A119" t="s">
        <v>34</v>
      </c>
      <c r="B119">
        <v>10</v>
      </c>
      <c r="C119" t="s">
        <v>30</v>
      </c>
    </row>
    <row r="120" spans="1:3">
      <c r="A120" t="s">
        <v>34</v>
      </c>
      <c r="B120">
        <v>11</v>
      </c>
      <c r="C120" t="s">
        <v>31</v>
      </c>
    </row>
    <row r="121" spans="1:3">
      <c r="A121" t="s">
        <v>34</v>
      </c>
      <c r="B121">
        <v>12</v>
      </c>
      <c r="C121" t="s">
        <v>21</v>
      </c>
    </row>
    <row r="122" spans="1:3">
      <c r="A122" t="s">
        <v>4</v>
      </c>
      <c r="B122" t="s">
        <v>35</v>
      </c>
      <c r="C122" t="s">
        <v>35</v>
      </c>
    </row>
    <row r="123" spans="1:3">
      <c r="A123" t="s">
        <v>5</v>
      </c>
      <c r="B123" t="s">
        <v>35</v>
      </c>
      <c r="C123" t="s">
        <v>35</v>
      </c>
    </row>
    <row r="124" spans="1:3">
      <c r="A124" t="s">
        <v>6</v>
      </c>
      <c r="B124" t="s">
        <v>35</v>
      </c>
      <c r="C124" t="s">
        <v>35</v>
      </c>
    </row>
    <row r="125" spans="1:3">
      <c r="A125" t="s">
        <v>7</v>
      </c>
      <c r="B125" t="s">
        <v>35</v>
      </c>
      <c r="C125" t="s">
        <v>35</v>
      </c>
    </row>
    <row r="126" spans="1:3">
      <c r="A126" t="s">
        <v>8</v>
      </c>
      <c r="B126" t="s">
        <v>35</v>
      </c>
      <c r="C126" t="s">
        <v>35</v>
      </c>
    </row>
    <row r="127" spans="1:3">
      <c r="A127" t="s">
        <v>9</v>
      </c>
      <c r="B127" t="s">
        <v>35</v>
      </c>
      <c r="C127" t="s">
        <v>35</v>
      </c>
    </row>
    <row r="128" spans="1:3">
      <c r="A128" t="s">
        <v>34</v>
      </c>
      <c r="B128">
        <v>1</v>
      </c>
      <c r="C128" t="s">
        <v>22</v>
      </c>
    </row>
    <row r="129" spans="1:3">
      <c r="A129" t="s">
        <v>34</v>
      </c>
      <c r="B129">
        <v>2</v>
      </c>
      <c r="C129" t="s">
        <v>23</v>
      </c>
    </row>
    <row r="130" spans="1:3">
      <c r="A130" t="s">
        <v>34</v>
      </c>
      <c r="B130">
        <v>3</v>
      </c>
      <c r="C130" t="s">
        <v>24</v>
      </c>
    </row>
    <row r="131" spans="1:3">
      <c r="A131" t="s">
        <v>34</v>
      </c>
      <c r="B131">
        <v>4</v>
      </c>
      <c r="C131" t="s">
        <v>25</v>
      </c>
    </row>
    <row r="132" spans="1:3">
      <c r="A132" t="s">
        <v>34</v>
      </c>
      <c r="B132">
        <v>5</v>
      </c>
      <c r="C132" t="s">
        <v>26</v>
      </c>
    </row>
    <row r="133" spans="1:3">
      <c r="A133" t="s">
        <v>34</v>
      </c>
      <c r="B133">
        <v>6</v>
      </c>
      <c r="C133" t="s">
        <v>27</v>
      </c>
    </row>
    <row r="134" spans="1:3">
      <c r="A134" t="s">
        <v>34</v>
      </c>
      <c r="B134">
        <v>7</v>
      </c>
      <c r="C134" t="s">
        <v>28</v>
      </c>
    </row>
    <row r="135" spans="1:3">
      <c r="A135" t="s">
        <v>34</v>
      </c>
      <c r="B135">
        <v>8</v>
      </c>
      <c r="C135" t="s">
        <v>20</v>
      </c>
    </row>
    <row r="136" spans="1:3">
      <c r="A136" t="s">
        <v>34</v>
      </c>
      <c r="B136">
        <v>9</v>
      </c>
      <c r="C136" t="s">
        <v>29</v>
      </c>
    </row>
    <row r="137" spans="1:3">
      <c r="A137" t="s">
        <v>34</v>
      </c>
      <c r="B137">
        <v>10</v>
      </c>
      <c r="C137" t="s">
        <v>30</v>
      </c>
    </row>
    <row r="138" spans="1:3">
      <c r="A138" t="s">
        <v>34</v>
      </c>
      <c r="B138">
        <v>11</v>
      </c>
      <c r="C138" t="s">
        <v>31</v>
      </c>
    </row>
    <row r="139" spans="1:3">
      <c r="A139" t="s">
        <v>34</v>
      </c>
      <c r="B139">
        <v>12</v>
      </c>
      <c r="C139" t="s">
        <v>21</v>
      </c>
    </row>
    <row r="140" spans="1:3">
      <c r="A140" t="s">
        <v>4</v>
      </c>
      <c r="B140" t="s">
        <v>35</v>
      </c>
      <c r="C140" t="s">
        <v>35</v>
      </c>
    </row>
    <row r="141" spans="1:3">
      <c r="A141" t="s">
        <v>5</v>
      </c>
      <c r="B141" t="s">
        <v>35</v>
      </c>
      <c r="C141" t="s">
        <v>35</v>
      </c>
    </row>
    <row r="142" spans="1:3">
      <c r="A142" t="s">
        <v>6</v>
      </c>
      <c r="B142" t="s">
        <v>35</v>
      </c>
      <c r="C142" t="s">
        <v>35</v>
      </c>
    </row>
    <row r="143" spans="1:3">
      <c r="A143" t="s">
        <v>7</v>
      </c>
      <c r="B143" t="s">
        <v>35</v>
      </c>
      <c r="C143" t="s">
        <v>35</v>
      </c>
    </row>
    <row r="144" spans="1:3">
      <c r="A144" t="s">
        <v>8</v>
      </c>
      <c r="B144" t="s">
        <v>35</v>
      </c>
      <c r="C144" t="s">
        <v>35</v>
      </c>
    </row>
    <row r="145" spans="1:3">
      <c r="A145" t="s">
        <v>9</v>
      </c>
      <c r="B145" t="s">
        <v>35</v>
      </c>
      <c r="C145" t="s">
        <v>35</v>
      </c>
    </row>
    <row r="146" spans="1:3">
      <c r="A146" t="s">
        <v>34</v>
      </c>
      <c r="B146">
        <v>1</v>
      </c>
      <c r="C146" t="s">
        <v>22</v>
      </c>
    </row>
    <row r="147" spans="1:3">
      <c r="A147" t="s">
        <v>34</v>
      </c>
      <c r="B147">
        <v>2</v>
      </c>
      <c r="C147" t="s">
        <v>23</v>
      </c>
    </row>
    <row r="148" spans="1:3">
      <c r="A148" t="s">
        <v>34</v>
      </c>
      <c r="B148">
        <v>3</v>
      </c>
      <c r="C148" t="s">
        <v>24</v>
      </c>
    </row>
    <row r="149" spans="1:3">
      <c r="A149" t="s">
        <v>34</v>
      </c>
      <c r="B149">
        <v>4</v>
      </c>
      <c r="C149" t="s">
        <v>25</v>
      </c>
    </row>
    <row r="150" spans="1:3">
      <c r="A150" t="s">
        <v>34</v>
      </c>
      <c r="B150">
        <v>5</v>
      </c>
      <c r="C150" t="s">
        <v>26</v>
      </c>
    </row>
    <row r="151" spans="1:3">
      <c r="A151" t="s">
        <v>34</v>
      </c>
      <c r="B151">
        <v>6</v>
      </c>
      <c r="C151" t="s">
        <v>27</v>
      </c>
    </row>
    <row r="152" spans="1:3">
      <c r="A152" t="s">
        <v>34</v>
      </c>
      <c r="B152">
        <v>7</v>
      </c>
      <c r="C152" t="s">
        <v>28</v>
      </c>
    </row>
    <row r="153" spans="1:3">
      <c r="A153" t="s">
        <v>34</v>
      </c>
      <c r="B153">
        <v>8</v>
      </c>
      <c r="C153" t="s">
        <v>20</v>
      </c>
    </row>
    <row r="154" spans="1:3">
      <c r="A154" t="s">
        <v>34</v>
      </c>
      <c r="B154">
        <v>9</v>
      </c>
      <c r="C154" t="s">
        <v>29</v>
      </c>
    </row>
    <row r="155" spans="1:3">
      <c r="A155" t="s">
        <v>34</v>
      </c>
      <c r="B155">
        <v>10</v>
      </c>
      <c r="C155" t="s">
        <v>30</v>
      </c>
    </row>
    <row r="156" spans="1:3">
      <c r="A156" t="s">
        <v>34</v>
      </c>
      <c r="B156">
        <v>11</v>
      </c>
      <c r="C156" t="s">
        <v>31</v>
      </c>
    </row>
    <row r="157" spans="1:3">
      <c r="A157" t="s">
        <v>34</v>
      </c>
      <c r="B157">
        <v>12</v>
      </c>
      <c r="C157" t="s">
        <v>21</v>
      </c>
    </row>
    <row r="158" spans="1:3">
      <c r="A158" t="s">
        <v>4</v>
      </c>
      <c r="B158" t="s">
        <v>35</v>
      </c>
      <c r="C158" t="s">
        <v>35</v>
      </c>
    </row>
    <row r="159" spans="1:3">
      <c r="A159" t="s">
        <v>5</v>
      </c>
      <c r="B159" t="s">
        <v>35</v>
      </c>
      <c r="C159" t="s">
        <v>35</v>
      </c>
    </row>
    <row r="160" spans="1:3">
      <c r="A160" t="s">
        <v>6</v>
      </c>
      <c r="B160" t="s">
        <v>35</v>
      </c>
      <c r="C160" t="s">
        <v>35</v>
      </c>
    </row>
    <row r="161" spans="1:3">
      <c r="A161" t="s">
        <v>7</v>
      </c>
      <c r="B161" t="s">
        <v>35</v>
      </c>
      <c r="C161" t="s">
        <v>35</v>
      </c>
    </row>
    <row r="162" spans="1:3">
      <c r="A162" t="s">
        <v>8</v>
      </c>
      <c r="B162" t="s">
        <v>35</v>
      </c>
      <c r="C162" t="s">
        <v>35</v>
      </c>
    </row>
    <row r="163" spans="1:3">
      <c r="A163" t="s">
        <v>9</v>
      </c>
      <c r="B163" t="s">
        <v>35</v>
      </c>
      <c r="C163" t="s">
        <v>35</v>
      </c>
    </row>
    <row r="164" spans="1:3">
      <c r="A164" t="s">
        <v>34</v>
      </c>
      <c r="B164">
        <v>1</v>
      </c>
      <c r="C164" t="s">
        <v>22</v>
      </c>
    </row>
    <row r="165" spans="1:3">
      <c r="A165" t="s">
        <v>34</v>
      </c>
      <c r="B165">
        <v>2</v>
      </c>
      <c r="C165" t="s">
        <v>23</v>
      </c>
    </row>
    <row r="166" spans="1:3">
      <c r="A166" t="s">
        <v>34</v>
      </c>
      <c r="B166">
        <v>3</v>
      </c>
      <c r="C166" t="s">
        <v>24</v>
      </c>
    </row>
    <row r="167" spans="1:3">
      <c r="A167" t="s">
        <v>34</v>
      </c>
      <c r="B167">
        <v>4</v>
      </c>
      <c r="C167" t="s">
        <v>25</v>
      </c>
    </row>
    <row r="168" spans="1:3">
      <c r="A168" t="s">
        <v>34</v>
      </c>
      <c r="B168">
        <v>5</v>
      </c>
      <c r="C168" t="s">
        <v>26</v>
      </c>
    </row>
    <row r="169" spans="1:3">
      <c r="A169" t="s">
        <v>34</v>
      </c>
      <c r="B169">
        <v>6</v>
      </c>
      <c r="C169" t="s">
        <v>27</v>
      </c>
    </row>
    <row r="170" spans="1:3">
      <c r="A170" t="s">
        <v>34</v>
      </c>
      <c r="B170">
        <v>7</v>
      </c>
      <c r="C170" t="s">
        <v>28</v>
      </c>
    </row>
    <row r="171" spans="1:3">
      <c r="A171" t="s">
        <v>34</v>
      </c>
      <c r="B171">
        <v>8</v>
      </c>
      <c r="C171" t="s">
        <v>20</v>
      </c>
    </row>
    <row r="172" spans="1:3">
      <c r="A172" t="s">
        <v>34</v>
      </c>
      <c r="B172">
        <v>9</v>
      </c>
      <c r="C172" t="s">
        <v>29</v>
      </c>
    </row>
    <row r="173" spans="1:3">
      <c r="A173" t="s">
        <v>34</v>
      </c>
      <c r="B173">
        <v>10</v>
      </c>
      <c r="C173" t="s">
        <v>30</v>
      </c>
    </row>
    <row r="174" spans="1:3">
      <c r="A174" t="s">
        <v>34</v>
      </c>
      <c r="B174">
        <v>11</v>
      </c>
      <c r="C174" t="s">
        <v>31</v>
      </c>
    </row>
    <row r="175" spans="1:3">
      <c r="A175" t="s">
        <v>34</v>
      </c>
      <c r="B175">
        <v>12</v>
      </c>
      <c r="C175" t="s">
        <v>21</v>
      </c>
    </row>
    <row r="176" spans="1:3">
      <c r="A176" t="s">
        <v>4</v>
      </c>
      <c r="B176" t="s">
        <v>35</v>
      </c>
      <c r="C176" t="s">
        <v>35</v>
      </c>
    </row>
    <row r="177" spans="1:3">
      <c r="A177" t="s">
        <v>5</v>
      </c>
      <c r="B177" t="s">
        <v>35</v>
      </c>
      <c r="C177" t="s">
        <v>35</v>
      </c>
    </row>
    <row r="178" spans="1:3">
      <c r="A178" t="s">
        <v>6</v>
      </c>
      <c r="B178" t="s">
        <v>35</v>
      </c>
      <c r="C178" t="s">
        <v>35</v>
      </c>
    </row>
    <row r="179" spans="1:3">
      <c r="A179" t="s">
        <v>7</v>
      </c>
      <c r="B179" t="s">
        <v>35</v>
      </c>
      <c r="C179" t="s">
        <v>35</v>
      </c>
    </row>
    <row r="180" spans="1:3">
      <c r="A180" t="s">
        <v>8</v>
      </c>
      <c r="B180" t="s">
        <v>35</v>
      </c>
      <c r="C180" t="s">
        <v>35</v>
      </c>
    </row>
    <row r="181" spans="1:3">
      <c r="A181" t="s">
        <v>9</v>
      </c>
      <c r="B181" t="s">
        <v>35</v>
      </c>
      <c r="C181" t="s">
        <v>35</v>
      </c>
    </row>
    <row r="182" spans="1:3">
      <c r="A182" t="s">
        <v>34</v>
      </c>
      <c r="B182">
        <v>1</v>
      </c>
      <c r="C182" t="s">
        <v>22</v>
      </c>
    </row>
    <row r="183" spans="1:3">
      <c r="A183" t="s">
        <v>34</v>
      </c>
      <c r="B183">
        <v>2</v>
      </c>
      <c r="C183" t="s">
        <v>23</v>
      </c>
    </row>
    <row r="184" spans="1:3">
      <c r="A184" t="s">
        <v>34</v>
      </c>
      <c r="B184">
        <v>3</v>
      </c>
      <c r="C184" t="s">
        <v>24</v>
      </c>
    </row>
    <row r="185" spans="1:3">
      <c r="A185" t="s">
        <v>34</v>
      </c>
      <c r="B185">
        <v>4</v>
      </c>
      <c r="C185" t="s">
        <v>25</v>
      </c>
    </row>
    <row r="186" spans="1:3">
      <c r="A186" t="s">
        <v>34</v>
      </c>
      <c r="B186">
        <v>5</v>
      </c>
      <c r="C186" t="s">
        <v>26</v>
      </c>
    </row>
    <row r="187" spans="1:3">
      <c r="A187" t="s">
        <v>34</v>
      </c>
      <c r="B187">
        <v>6</v>
      </c>
      <c r="C187" t="s">
        <v>27</v>
      </c>
    </row>
    <row r="188" spans="1:3">
      <c r="A188" t="s">
        <v>34</v>
      </c>
      <c r="B188">
        <v>7</v>
      </c>
      <c r="C188" t="s">
        <v>28</v>
      </c>
    </row>
    <row r="189" spans="1:3">
      <c r="A189" t="s">
        <v>34</v>
      </c>
      <c r="B189">
        <v>8</v>
      </c>
      <c r="C189" t="s">
        <v>20</v>
      </c>
    </row>
    <row r="190" spans="1:3">
      <c r="A190" t="s">
        <v>34</v>
      </c>
      <c r="B190">
        <v>9</v>
      </c>
      <c r="C190" t="s">
        <v>29</v>
      </c>
    </row>
    <row r="191" spans="1:3">
      <c r="A191" t="s">
        <v>34</v>
      </c>
      <c r="B191">
        <v>10</v>
      </c>
      <c r="C191" t="s">
        <v>30</v>
      </c>
    </row>
    <row r="192" spans="1:3">
      <c r="A192" t="s">
        <v>34</v>
      </c>
      <c r="B192">
        <v>11</v>
      </c>
      <c r="C192" t="s">
        <v>31</v>
      </c>
    </row>
    <row r="193" spans="1:3">
      <c r="A193" t="s">
        <v>34</v>
      </c>
      <c r="B193">
        <v>12</v>
      </c>
      <c r="C193" t="s">
        <v>21</v>
      </c>
    </row>
    <row r="194" spans="1:3">
      <c r="A194" t="s">
        <v>4</v>
      </c>
      <c r="B194" t="s">
        <v>35</v>
      </c>
      <c r="C194" t="s">
        <v>35</v>
      </c>
    </row>
    <row r="195" spans="1:3">
      <c r="A195" t="s">
        <v>5</v>
      </c>
      <c r="B195" t="s">
        <v>35</v>
      </c>
      <c r="C195" t="s">
        <v>35</v>
      </c>
    </row>
    <row r="196" spans="1:3">
      <c r="A196" t="s">
        <v>6</v>
      </c>
      <c r="B196" t="s">
        <v>35</v>
      </c>
      <c r="C196" t="s">
        <v>35</v>
      </c>
    </row>
    <row r="197" spans="1:3">
      <c r="A197" t="s">
        <v>7</v>
      </c>
      <c r="B197" t="s">
        <v>35</v>
      </c>
      <c r="C197" t="s">
        <v>35</v>
      </c>
    </row>
    <row r="198" spans="1:3">
      <c r="A198" t="s">
        <v>8</v>
      </c>
      <c r="B198" t="s">
        <v>35</v>
      </c>
      <c r="C198" t="s">
        <v>35</v>
      </c>
    </row>
    <row r="199" spans="1:3">
      <c r="A199" t="s">
        <v>9</v>
      </c>
      <c r="B199" t="s">
        <v>35</v>
      </c>
      <c r="C199" t="s">
        <v>35</v>
      </c>
    </row>
    <row r="200" spans="1:3">
      <c r="A200" t="s">
        <v>34</v>
      </c>
      <c r="B200">
        <v>1</v>
      </c>
      <c r="C200" t="s">
        <v>22</v>
      </c>
    </row>
    <row r="201" spans="1:3">
      <c r="A201" t="s">
        <v>34</v>
      </c>
      <c r="B201">
        <v>2</v>
      </c>
      <c r="C201" t="s">
        <v>23</v>
      </c>
    </row>
    <row r="202" spans="1:3">
      <c r="A202" t="s">
        <v>34</v>
      </c>
      <c r="B202">
        <v>3</v>
      </c>
      <c r="C202" t="s">
        <v>24</v>
      </c>
    </row>
    <row r="203" spans="1:3">
      <c r="A203" t="s">
        <v>34</v>
      </c>
      <c r="B203">
        <v>4</v>
      </c>
      <c r="C203" t="s">
        <v>25</v>
      </c>
    </row>
    <row r="204" spans="1:3">
      <c r="A204" t="s">
        <v>34</v>
      </c>
      <c r="B204">
        <v>5</v>
      </c>
      <c r="C204" t="s">
        <v>26</v>
      </c>
    </row>
    <row r="205" spans="1:3">
      <c r="A205" t="s">
        <v>34</v>
      </c>
      <c r="B205">
        <v>6</v>
      </c>
      <c r="C205" t="s">
        <v>27</v>
      </c>
    </row>
    <row r="206" spans="1:3">
      <c r="A206" t="s">
        <v>34</v>
      </c>
      <c r="B206">
        <v>7</v>
      </c>
      <c r="C206" t="s">
        <v>28</v>
      </c>
    </row>
    <row r="207" spans="1:3">
      <c r="A207" t="s">
        <v>34</v>
      </c>
      <c r="B207">
        <v>8</v>
      </c>
      <c r="C207" t="s">
        <v>20</v>
      </c>
    </row>
    <row r="208" spans="1:3">
      <c r="A208" t="s">
        <v>34</v>
      </c>
      <c r="B208">
        <v>9</v>
      </c>
      <c r="C208" t="s">
        <v>29</v>
      </c>
    </row>
    <row r="209" spans="1:3">
      <c r="A209" t="s">
        <v>34</v>
      </c>
      <c r="B209">
        <v>10</v>
      </c>
      <c r="C209" t="s">
        <v>30</v>
      </c>
    </row>
    <row r="210" spans="1:3">
      <c r="A210" t="s">
        <v>34</v>
      </c>
      <c r="B210">
        <v>11</v>
      </c>
      <c r="C210" t="s">
        <v>31</v>
      </c>
    </row>
    <row r="211" spans="1:3">
      <c r="A211" t="s">
        <v>34</v>
      </c>
      <c r="B211">
        <v>12</v>
      </c>
      <c r="C211" t="s">
        <v>21</v>
      </c>
    </row>
    <row r="212" spans="1:3">
      <c r="A212" t="s">
        <v>4</v>
      </c>
      <c r="B212" t="s">
        <v>35</v>
      </c>
      <c r="C212" t="s">
        <v>35</v>
      </c>
    </row>
    <row r="213" spans="1:3">
      <c r="A213" t="s">
        <v>5</v>
      </c>
      <c r="B213" t="s">
        <v>35</v>
      </c>
      <c r="C213" t="s">
        <v>35</v>
      </c>
    </row>
    <row r="214" spans="1:3">
      <c r="A214" t="s">
        <v>6</v>
      </c>
      <c r="B214" t="s">
        <v>35</v>
      </c>
      <c r="C214" t="s">
        <v>35</v>
      </c>
    </row>
    <row r="215" spans="1:3">
      <c r="A215" t="s">
        <v>7</v>
      </c>
      <c r="B215" t="s">
        <v>35</v>
      </c>
      <c r="C215" t="s">
        <v>35</v>
      </c>
    </row>
    <row r="216" spans="1:3">
      <c r="A216" t="s">
        <v>8</v>
      </c>
      <c r="B216" t="s">
        <v>35</v>
      </c>
      <c r="C216" t="s">
        <v>35</v>
      </c>
    </row>
    <row r="217" spans="1:3">
      <c r="A217" t="s">
        <v>9</v>
      </c>
      <c r="B217" t="s">
        <v>35</v>
      </c>
      <c r="C217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D3C5-8068-4E61-AC2B-1FC4392F4768}">
  <dimension ref="A1:C13"/>
  <sheetViews>
    <sheetView tabSelected="1" zoomScale="130" zoomScaleNormal="130" workbookViewId="0">
      <selection activeCell="B2" sqref="B2"/>
    </sheetView>
  </sheetViews>
  <sheetFormatPr baseColWidth="10" defaultRowHeight="13.15"/>
  <cols>
    <col min="1" max="1" width="10.6640625" style="32"/>
    <col min="2" max="2" width="40.86328125" style="32" bestFit="1" customWidth="1"/>
    <col min="3" max="3" width="19.265625" style="32" bestFit="1" customWidth="1"/>
    <col min="4" max="16384" width="10.6640625" style="32"/>
  </cols>
  <sheetData>
    <row r="1" spans="1:3">
      <c r="A1" s="35">
        <v>1</v>
      </c>
      <c r="B1" s="36" t="s">
        <v>22</v>
      </c>
      <c r="C1" s="32" t="s">
        <v>76</v>
      </c>
    </row>
    <row r="2" spans="1:3">
      <c r="A2" s="35">
        <v>2</v>
      </c>
      <c r="B2" s="36" t="s">
        <v>23</v>
      </c>
      <c r="C2" s="32" t="s">
        <v>78</v>
      </c>
    </row>
    <row r="3" spans="1:3">
      <c r="A3" s="35">
        <v>3</v>
      </c>
      <c r="B3" s="36" t="s">
        <v>24</v>
      </c>
      <c r="C3" s="32" t="s">
        <v>78</v>
      </c>
    </row>
    <row r="4" spans="1:3">
      <c r="A4" s="35">
        <v>4</v>
      </c>
      <c r="B4" s="36" t="s">
        <v>25</v>
      </c>
      <c r="C4" s="32" t="s">
        <v>78</v>
      </c>
    </row>
    <row r="5" spans="1:3">
      <c r="A5" s="35">
        <v>5</v>
      </c>
      <c r="B5" s="36" t="s">
        <v>26</v>
      </c>
      <c r="C5" s="32" t="s">
        <v>78</v>
      </c>
    </row>
    <row r="6" spans="1:3">
      <c r="A6" s="35">
        <v>6</v>
      </c>
      <c r="B6" s="36" t="s">
        <v>27</v>
      </c>
      <c r="C6" s="32" t="s">
        <v>78</v>
      </c>
    </row>
    <row r="7" spans="1:3">
      <c r="A7" s="35">
        <v>7</v>
      </c>
      <c r="B7" s="36" t="s">
        <v>28</v>
      </c>
      <c r="C7" s="32" t="s">
        <v>78</v>
      </c>
    </row>
    <row r="8" spans="1:3">
      <c r="A8" s="35">
        <v>8</v>
      </c>
      <c r="B8" s="36" t="s">
        <v>20</v>
      </c>
      <c r="C8" s="32" t="s">
        <v>78</v>
      </c>
    </row>
    <row r="9" spans="1:3">
      <c r="A9" s="35">
        <v>9</v>
      </c>
      <c r="B9" s="36" t="s">
        <v>29</v>
      </c>
      <c r="C9" s="32" t="s">
        <v>78</v>
      </c>
    </row>
    <row r="10" spans="1:3">
      <c r="A10" s="35">
        <v>10</v>
      </c>
      <c r="B10" s="35" t="s">
        <v>30</v>
      </c>
      <c r="C10" s="32" t="s">
        <v>77</v>
      </c>
    </row>
    <row r="11" spans="1:3">
      <c r="A11" s="35">
        <v>11</v>
      </c>
      <c r="B11" s="36" t="s">
        <v>31</v>
      </c>
      <c r="C11" s="32" t="s">
        <v>78</v>
      </c>
    </row>
    <row r="12" spans="1:3">
      <c r="A12" s="35">
        <v>12</v>
      </c>
      <c r="B12" s="36" t="s">
        <v>21</v>
      </c>
      <c r="C12" s="32" t="s">
        <v>78</v>
      </c>
    </row>
    <row r="13" spans="1:3">
      <c r="A13" s="32" t="s">
        <v>35</v>
      </c>
      <c r="B13" s="36" t="s">
        <v>35</v>
      </c>
      <c r="C13" s="32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7265-3A45-4223-B453-B795BD808B5C}">
  <dimension ref="A3:K9"/>
  <sheetViews>
    <sheetView workbookViewId="0"/>
  </sheetViews>
  <sheetFormatPr baseColWidth="10" defaultRowHeight="14.25"/>
  <cols>
    <col min="1" max="1" width="19.265625" bestFit="1" customWidth="1"/>
    <col min="2" max="2" width="20.59765625" bestFit="1" customWidth="1"/>
    <col min="3" max="3" width="20" bestFit="1" customWidth="1"/>
    <col min="4" max="4" width="14.1328125" bestFit="1" customWidth="1"/>
    <col min="5" max="5" width="17.86328125" bestFit="1" customWidth="1"/>
    <col min="6" max="6" width="20.59765625" bestFit="1" customWidth="1"/>
    <col min="7" max="7" width="19.73046875" bestFit="1" customWidth="1"/>
    <col min="8" max="8" width="13.9296875" bestFit="1" customWidth="1"/>
    <col min="9" max="9" width="27.46484375" bestFit="1" customWidth="1"/>
    <col min="10" max="10" width="22" bestFit="1" customWidth="1"/>
    <col min="11" max="11" width="11.73046875" bestFit="1" customWidth="1"/>
    <col min="12" max="12" width="13.9296875" bestFit="1" customWidth="1"/>
    <col min="13" max="13" width="16.73046875" bestFit="1" customWidth="1"/>
    <col min="14" max="14" width="27.46484375" bestFit="1" customWidth="1"/>
    <col min="15" max="15" width="30.265625" bestFit="1" customWidth="1"/>
    <col min="16" max="16" width="22" bestFit="1" customWidth="1"/>
    <col min="17" max="17" width="24.796875" bestFit="1" customWidth="1"/>
    <col min="18" max="18" width="11.73046875" bestFit="1" customWidth="1"/>
  </cols>
  <sheetData>
    <row r="3" spans="1:11">
      <c r="A3" s="65" t="s">
        <v>81</v>
      </c>
      <c r="B3" s="65" t="s">
        <v>84</v>
      </c>
    </row>
    <row r="4" spans="1:11">
      <c r="B4" t="s">
        <v>34</v>
      </c>
      <c r="E4" t="s">
        <v>5</v>
      </c>
      <c r="F4" t="s">
        <v>6</v>
      </c>
      <c r="G4" t="s">
        <v>4</v>
      </c>
      <c r="H4" t="s">
        <v>9</v>
      </c>
      <c r="I4" t="s">
        <v>7</v>
      </c>
      <c r="J4" t="s">
        <v>8</v>
      </c>
      <c r="K4" t="s">
        <v>83</v>
      </c>
    </row>
    <row r="5" spans="1:11">
      <c r="A5" s="65" t="s">
        <v>82</v>
      </c>
      <c r="B5" t="s">
        <v>76</v>
      </c>
      <c r="C5" t="s">
        <v>77</v>
      </c>
      <c r="D5" t="s">
        <v>78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</row>
    <row r="6" spans="1:11">
      <c r="A6" s="66" t="s">
        <v>76</v>
      </c>
      <c r="B6" s="29">
        <v>4115.25324179359</v>
      </c>
      <c r="C6" s="29">
        <v>6.0921412337751075</v>
      </c>
      <c r="D6" s="29">
        <v>12372.143309077153</v>
      </c>
      <c r="E6" s="29">
        <v>0</v>
      </c>
      <c r="F6" s="29">
        <v>2.668751046842022E-2</v>
      </c>
      <c r="G6" s="29">
        <v>2783.6759149078262</v>
      </c>
      <c r="H6" s="29">
        <v>3460.4746110713118</v>
      </c>
      <c r="I6" s="29">
        <v>790.68687043852901</v>
      </c>
      <c r="J6" s="29">
        <v>-133.35791971044395</v>
      </c>
      <c r="K6" s="29">
        <v>23394.99485632221</v>
      </c>
    </row>
    <row r="7" spans="1:11">
      <c r="A7" s="66" t="s">
        <v>77</v>
      </c>
      <c r="B7" s="29">
        <v>749.34541065891779</v>
      </c>
      <c r="C7" s="29">
        <v>4585.662619325376</v>
      </c>
      <c r="D7" s="29">
        <v>24505.483349912996</v>
      </c>
      <c r="E7" s="29">
        <v>0</v>
      </c>
      <c r="F7" s="29">
        <v>73.289573665182871</v>
      </c>
      <c r="G7" s="29">
        <v>1570.0364102032977</v>
      </c>
      <c r="H7" s="29">
        <v>1232.2600711522966</v>
      </c>
      <c r="I7" s="29">
        <v>4072.6307240641954</v>
      </c>
      <c r="J7" s="29">
        <v>5.1274777730822097E-4</v>
      </c>
      <c r="K7" s="29">
        <v>36788.708671730048</v>
      </c>
    </row>
    <row r="8" spans="1:11">
      <c r="A8" s="66" t="s">
        <v>78</v>
      </c>
      <c r="B8" s="29">
        <v>7375.5612962376608</v>
      </c>
      <c r="C8" s="29">
        <v>5296.0041439189345</v>
      </c>
      <c r="D8" s="29">
        <v>127693.99156087229</v>
      </c>
      <c r="E8" s="29">
        <v>1392.2380252579896</v>
      </c>
      <c r="F8" s="29">
        <v>38220.663166630053</v>
      </c>
      <c r="G8" s="29">
        <v>114839.8237355655</v>
      </c>
      <c r="H8" s="29">
        <v>85929.02740325495</v>
      </c>
      <c r="I8" s="29">
        <v>43515.824570640914</v>
      </c>
      <c r="J8" s="29">
        <v>-618.50436804021706</v>
      </c>
      <c r="K8" s="29">
        <v>423644.62953433802</v>
      </c>
    </row>
    <row r="9" spans="1:11">
      <c r="A9" s="66" t="s">
        <v>83</v>
      </c>
      <c r="B9" s="29">
        <v>12240.159948690169</v>
      </c>
      <c r="C9" s="29">
        <v>9887.7589044780852</v>
      </c>
      <c r="D9" s="29">
        <v>164571.61821986246</v>
      </c>
      <c r="E9" s="29">
        <v>1392.2380252579896</v>
      </c>
      <c r="F9" s="29">
        <v>38293.979427805702</v>
      </c>
      <c r="G9" s="29">
        <v>119193.53606067662</v>
      </c>
      <c r="H9" s="29">
        <v>90621.762085478564</v>
      </c>
      <c r="I9" s="29">
        <v>48379.142165143639</v>
      </c>
      <c r="J9" s="29">
        <v>-751.86177500288363</v>
      </c>
      <c r="K9" s="29">
        <v>483828.33306239027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4E0540-E43B-45E1-A90E-90BF11709C9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Preparado</vt:lpstr>
      <vt:lpstr>Resultado</vt:lpstr>
      <vt:lpstr>Pruebe usted</vt:lpstr>
      <vt:lpstr>Filas</vt:lpstr>
      <vt:lpstr>Columnas</vt:lpstr>
      <vt:lpstr>Bioeconomía</vt:lpstr>
      <vt:lpstr>Nuevo Cuadro Dinámico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Peraita B.</dc:creator>
  <cp:lastModifiedBy>Renato Vargas</cp:lastModifiedBy>
  <dcterms:created xsi:type="dcterms:W3CDTF">2016-12-21T19:41:14Z</dcterms:created>
  <dcterms:modified xsi:type="dcterms:W3CDTF">2025-09-01T20:12:42Z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509eeb-56d7-4078-8c25-542621925144_Enabled">
    <vt:lpwstr>true</vt:lpwstr>
  </property>
  <property fmtid="{D5CDD505-2E9C-101B-9397-08002B2CF9AE}" pid="3" name="MSIP_Label_6f509eeb-56d7-4078-8c25-542621925144_SetDate">
    <vt:lpwstr>2021-03-26T15:06:45Z</vt:lpwstr>
  </property>
  <property fmtid="{D5CDD505-2E9C-101B-9397-08002B2CF9AE}" pid="4" name="MSIP_Label_6f509eeb-56d7-4078-8c25-542621925144_Method">
    <vt:lpwstr>Standard</vt:lpwstr>
  </property>
  <property fmtid="{D5CDD505-2E9C-101B-9397-08002B2CF9AE}" pid="5" name="MSIP_Label_6f509eeb-56d7-4078-8c25-542621925144_Name">
    <vt:lpwstr>Uso Interno</vt:lpwstr>
  </property>
  <property fmtid="{D5CDD505-2E9C-101B-9397-08002B2CF9AE}" pid="6" name="MSIP_Label_6f509eeb-56d7-4078-8c25-542621925144_SiteId">
    <vt:lpwstr>d1bf4087-52c2-42b9-913e-a262f9f83199</vt:lpwstr>
  </property>
  <property fmtid="{D5CDD505-2E9C-101B-9397-08002B2CF9AE}" pid="7" name="MSIP_Label_6f509eeb-56d7-4078-8c25-542621925144_ActionId">
    <vt:lpwstr>f654ed19-24f6-48ea-a2ca-6ec66cef7bbf</vt:lpwstr>
  </property>
  <property fmtid="{D5CDD505-2E9C-101B-9397-08002B2CF9AE}" pid="8" name="MSIP_Label_6f509eeb-56d7-4078-8c25-542621925144_ContentBits">
    <vt:lpwstr>0</vt:lpwstr>
  </property>
</Properties>
</file>