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nato\Documents\GitHub\cl-scn\datos\mip\"/>
    </mc:Choice>
  </mc:AlternateContent>
  <xr:revisionPtr revIDLastSave="0" documentId="13_ncr:1_{B46BD0CC-EA53-4BB9-A549-F78CA8D25D30}" xr6:coauthVersionLast="47" xr6:coauthVersionMax="47" xr10:uidLastSave="{00000000-0000-0000-0000-000000000000}"/>
  <bookViews>
    <workbookView xWindow="-98" yWindow="-98" windowWidth="19396" windowHeight="10276" tabRatio="500" activeTab="2" xr2:uid="{00000000-000D-0000-FFFF-FFFF00000000}"/>
  </bookViews>
  <sheets>
    <sheet name="Índice" sheetId="1" r:id="rId1"/>
    <sheet name="Glosa" sheetId="2" r:id="rId2"/>
    <sheet name="1" sheetId="3" r:id="rId3"/>
    <sheet name="2" sheetId="4" r:id="rId4"/>
    <sheet name="3" sheetId="5" r:id="rId5"/>
    <sheet name="Employment" sheetId="6" r:id="rId6"/>
  </sheets>
  <definedNames>
    <definedName name="_71_Temp" localSheetId="2">#REF!</definedName>
    <definedName name="_71_Temp" localSheetId="3">#REF!</definedName>
    <definedName name="_71_Temp" localSheetId="4">#REF!</definedName>
    <definedName name="_71_Temp" localSheetId="1">#REF!</definedName>
    <definedName name="_71_Temp">#REF!</definedName>
    <definedName name="_72_Temp" localSheetId="2">#REF!</definedName>
    <definedName name="_72_Temp" localSheetId="3">#REF!</definedName>
    <definedName name="_72_Temp" localSheetId="4">#REF!</definedName>
    <definedName name="_72_Temp" localSheetId="1">#REF!</definedName>
    <definedName name="_72_Temp">#REF!</definedName>
    <definedName name="Area_a_imprimir" localSheetId="2">#REF!</definedName>
    <definedName name="Area_a_imprimir" localSheetId="3">#REF!</definedName>
    <definedName name="Area_a_imprimir" localSheetId="4">#REF!</definedName>
    <definedName name="Area_a_imprimir" localSheetId="1">#REF!</definedName>
    <definedName name="Area_a_imprimir">#REF!</definedName>
    <definedName name="Area_de_impresión" localSheetId="2">#REF!</definedName>
    <definedName name="Area_de_impresión" localSheetId="3">#REF!</definedName>
    <definedName name="Area_de_impresión" localSheetId="4">#REF!</definedName>
    <definedName name="Area_de_impresión" localSheetId="1">#REF!</definedName>
    <definedName name="Area_de_impresión">#REF!</definedName>
    <definedName name="_xlnm.Print_Area" localSheetId="1">Glosa!$B$3:$C$190</definedName>
    <definedName name="comg" localSheetId="2">#REF!</definedName>
    <definedName name="comg" localSheetId="3">#REF!</definedName>
    <definedName name="comg" localSheetId="4">#REF!</definedName>
    <definedName name="comg" localSheetId="1">#REF!</definedName>
    <definedName name="comg">#REF!</definedName>
    <definedName name="COMPDIAG">'1'!$D$197:$O$208</definedName>
    <definedName name="d" localSheetId="2">#REF!</definedName>
    <definedName name="d" localSheetId="3">#REF!</definedName>
    <definedName name="d" localSheetId="4">#REF!</definedName>
    <definedName name="d" localSheetId="1">#REF!</definedName>
    <definedName name="d">#REF!</definedName>
    <definedName name="EMPDIAG">'1'!$D$251:$O$262</definedName>
    <definedName name="ff" localSheetId="2">#REF!</definedName>
    <definedName name="ff" localSheetId="3">#REF!</definedName>
    <definedName name="ff" localSheetId="4">#REF!</definedName>
    <definedName name="ff" localSheetId="1">#REF!</definedName>
    <definedName name="ff">#REF!</definedName>
    <definedName name="GOSDIAG">'1'!$D$215:$O$226</definedName>
    <definedName name="LCHL">'1'!$D$161:$O$172</definedName>
    <definedName name="P1D" localSheetId="2">#REF!</definedName>
    <definedName name="P1D" localSheetId="3">#REF!</definedName>
    <definedName name="P1D" localSheetId="4">#REF!</definedName>
    <definedName name="P1D" localSheetId="1">#REF!</definedName>
    <definedName name="P1D">#REF!</definedName>
    <definedName name="P1G" localSheetId="2">#REF!</definedName>
    <definedName name="P1G" localSheetId="3">#REF!</definedName>
    <definedName name="P1G" localSheetId="4">#REF!</definedName>
    <definedName name="P1G" localSheetId="1">#REF!</definedName>
    <definedName name="P1G">#REF!</definedName>
    <definedName name="Pág.1" localSheetId="2">#REF!</definedName>
    <definedName name="Pág.1" localSheetId="3">#REF!</definedName>
    <definedName name="Pág.1" localSheetId="4">#REF!</definedName>
    <definedName name="Pág.1" localSheetId="1">#REF!</definedName>
    <definedName name="Pág.1">#REF!</definedName>
    <definedName name="Pág.2" localSheetId="2">#REF!</definedName>
    <definedName name="Pág.2" localSheetId="3">#REF!</definedName>
    <definedName name="Pág.2" localSheetId="4">#REF!</definedName>
    <definedName name="Pág.2" localSheetId="1">#REF!</definedName>
    <definedName name="Pág.2">#REF!</definedName>
    <definedName name="Pág.3" localSheetId="2">#REF!</definedName>
    <definedName name="Pág.3" localSheetId="3">#REF!</definedName>
    <definedName name="Pág.3" localSheetId="4">#REF!</definedName>
    <definedName name="Pág.3" localSheetId="1">#REF!</definedName>
    <definedName name="Pág.3">#REF!</definedName>
    <definedName name="Pág.4" localSheetId="2">#REF!</definedName>
    <definedName name="Pág.4" localSheetId="3">#REF!</definedName>
    <definedName name="Pág.4" localSheetId="4">#REF!</definedName>
    <definedName name="Pág.4" localSheetId="1">#REF!</definedName>
    <definedName name="Pág.4">#REF!</definedName>
    <definedName name="Pág.5" localSheetId="2">#REF!</definedName>
    <definedName name="Pág.5" localSheetId="3">#REF!</definedName>
    <definedName name="Pág.5" localSheetId="4">#REF!</definedName>
    <definedName name="Pág.5" localSheetId="1">#REF!</definedName>
    <definedName name="Pág.5">#REF!</definedName>
    <definedName name="Pág.6" localSheetId="2">#REF!</definedName>
    <definedName name="Pág.6" localSheetId="3">#REF!</definedName>
    <definedName name="Pág.6" localSheetId="4">#REF!</definedName>
    <definedName name="Pág.6" localSheetId="1">#REF!</definedName>
    <definedName name="Pág.6">#REF!</definedName>
    <definedName name="Publicación" localSheetId="2">#REF!</definedName>
    <definedName name="Publicación" localSheetId="3">#REF!</definedName>
    <definedName name="Publicación" localSheetId="4">#REF!</definedName>
    <definedName name="Publicación" localSheetId="1">#REF!</definedName>
    <definedName name="Publicación">#REF!</definedName>
    <definedName name="SAM" localSheetId="2">#REF!</definedName>
    <definedName name="SAM" localSheetId="3">#REF!</definedName>
    <definedName name="SAM" localSheetId="4">#REF!</definedName>
    <definedName name="SAM">#REF!</definedName>
    <definedName name="SAM_4x4" localSheetId="2">#REF!</definedName>
    <definedName name="SAM_4x4" localSheetId="3">#REF!</definedName>
    <definedName name="SAM_4x4" localSheetId="4">#REF!</definedName>
    <definedName name="SAM_4x4" localSheetId="1">#REF!</definedName>
    <definedName name="SAM_4x4">#REF!</definedName>
    <definedName name="SAMR" localSheetId="2">#REF!</definedName>
    <definedName name="SAMR" localSheetId="3">#REF!</definedName>
    <definedName name="SAMR" localSheetId="4">#REF!</definedName>
    <definedName name="SAMR" localSheetId="1">#REF!</definedName>
    <definedName name="SAMR">#REF!</definedName>
    <definedName name="TAXDIAG">'1'!$D$233:$O$244</definedName>
    <definedName name="VADIAG">'1'!$D$179:$O$190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79" i="3" l="1"/>
  <c r="N79" i="3"/>
  <c r="M79" i="3"/>
  <c r="L79" i="3"/>
  <c r="K79" i="3"/>
  <c r="J79" i="3"/>
  <c r="I79" i="3"/>
  <c r="H79" i="3"/>
  <c r="G79" i="3"/>
  <c r="F79" i="3"/>
  <c r="E79" i="3"/>
  <c r="D79" i="3"/>
  <c r="D125" i="3" a="1"/>
  <c r="O136" i="3" s="1"/>
  <c r="O154" i="3" s="1"/>
  <c r="O118" i="3"/>
  <c r="N118" i="3"/>
  <c r="M118" i="3"/>
  <c r="L118" i="3"/>
  <c r="K118" i="3"/>
  <c r="J118" i="3"/>
  <c r="I118" i="3"/>
  <c r="H118" i="3"/>
  <c r="G118" i="3"/>
  <c r="F118" i="3"/>
  <c r="E118" i="3"/>
  <c r="D118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O45" i="3"/>
  <c r="N45" i="3"/>
  <c r="M45" i="3"/>
  <c r="L45" i="3"/>
  <c r="K45" i="3"/>
  <c r="J45" i="3"/>
  <c r="I45" i="3"/>
  <c r="H45" i="3"/>
  <c r="G45" i="3"/>
  <c r="F45" i="3"/>
  <c r="E45" i="3"/>
  <c r="D45" i="3"/>
  <c r="O44" i="3"/>
  <c r="N44" i="3"/>
  <c r="M44" i="3"/>
  <c r="L44" i="3"/>
  <c r="K44" i="3"/>
  <c r="J44" i="3"/>
  <c r="I44" i="3"/>
  <c r="H44" i="3"/>
  <c r="G44" i="3"/>
  <c r="F44" i="3"/>
  <c r="E44" i="3"/>
  <c r="D44" i="3"/>
  <c r="O43" i="3"/>
  <c r="N43" i="3"/>
  <c r="M43" i="3"/>
  <c r="L43" i="3"/>
  <c r="K43" i="3"/>
  <c r="J43" i="3"/>
  <c r="I43" i="3"/>
  <c r="H43" i="3"/>
  <c r="G43" i="3"/>
  <c r="F43" i="3"/>
  <c r="E43" i="3"/>
  <c r="D43" i="3"/>
  <c r="O42" i="3"/>
  <c r="N42" i="3"/>
  <c r="M42" i="3"/>
  <c r="L42" i="3"/>
  <c r="K42" i="3"/>
  <c r="J42" i="3"/>
  <c r="I42" i="3"/>
  <c r="H42" i="3"/>
  <c r="G42" i="3"/>
  <c r="F42" i="3"/>
  <c r="E42" i="3"/>
  <c r="D42" i="3"/>
  <c r="O41" i="3"/>
  <c r="N41" i="3"/>
  <c r="M41" i="3"/>
  <c r="L41" i="3"/>
  <c r="K41" i="3"/>
  <c r="J41" i="3"/>
  <c r="I41" i="3"/>
  <c r="H41" i="3"/>
  <c r="G41" i="3"/>
  <c r="F41" i="3"/>
  <c r="E41" i="3"/>
  <c r="D41" i="3"/>
  <c r="X25" i="3"/>
  <c r="X23" i="3"/>
  <c r="X22" i="3"/>
  <c r="X21" i="3"/>
  <c r="X20" i="3"/>
  <c r="X19" i="3"/>
  <c r="X18" i="3"/>
  <c r="X17" i="3"/>
  <c r="X16" i="3"/>
  <c r="X15" i="3"/>
  <c r="X14" i="3"/>
  <c r="X13" i="3"/>
  <c r="X12" i="3"/>
  <c r="Y10" i="3"/>
  <c r="Y16" i="3" l="1"/>
  <c r="Y20" i="3"/>
  <c r="Y18" i="3"/>
  <c r="Y12" i="3"/>
  <c r="Y14" i="3"/>
  <c r="Y22" i="3"/>
  <c r="D179" i="3" a="1"/>
  <c r="D197" i="3" a="1"/>
  <c r="D215" i="3" a="1"/>
  <c r="D233" i="3" a="1"/>
  <c r="D251" i="3" a="1"/>
  <c r="D125" i="3"/>
  <c r="D143" i="3" s="1"/>
  <c r="K125" i="3"/>
  <c r="K143" i="3" s="1"/>
  <c r="G126" i="3"/>
  <c r="G144" i="3" s="1"/>
  <c r="O126" i="3"/>
  <c r="O144" i="3" s="1"/>
  <c r="K127" i="3"/>
  <c r="K145" i="3" s="1"/>
  <c r="G128" i="3"/>
  <c r="G146" i="3" s="1"/>
  <c r="O128" i="3"/>
  <c r="O146" i="3" s="1"/>
  <c r="K129" i="3"/>
  <c r="K147" i="3" s="1"/>
  <c r="G130" i="3"/>
  <c r="G148" i="3" s="1"/>
  <c r="O130" i="3"/>
  <c r="O148" i="3" s="1"/>
  <c r="K131" i="3"/>
  <c r="K149" i="3" s="1"/>
  <c r="G132" i="3"/>
  <c r="G150" i="3" s="1"/>
  <c r="O132" i="3"/>
  <c r="O150" i="3" s="1"/>
  <c r="K133" i="3"/>
  <c r="K151" i="3" s="1"/>
  <c r="G134" i="3"/>
  <c r="G152" i="3" s="1"/>
  <c r="O134" i="3"/>
  <c r="O152" i="3" s="1"/>
  <c r="K135" i="3"/>
  <c r="K153" i="3" s="1"/>
  <c r="G136" i="3"/>
  <c r="G154" i="3" s="1"/>
  <c r="N136" i="3"/>
  <c r="N154" i="3" s="1"/>
  <c r="J136" i="3"/>
  <c r="J154" i="3" s="1"/>
  <c r="F136" i="3"/>
  <c r="F154" i="3" s="1"/>
  <c r="N135" i="3"/>
  <c r="N153" i="3" s="1"/>
  <c r="J135" i="3"/>
  <c r="J153" i="3" s="1"/>
  <c r="F135" i="3"/>
  <c r="F153" i="3" s="1"/>
  <c r="N134" i="3"/>
  <c r="N152" i="3" s="1"/>
  <c r="J134" i="3"/>
  <c r="J152" i="3" s="1"/>
  <c r="F134" i="3"/>
  <c r="F152" i="3" s="1"/>
  <c r="N133" i="3"/>
  <c r="N151" i="3" s="1"/>
  <c r="J133" i="3"/>
  <c r="J151" i="3" s="1"/>
  <c r="F133" i="3"/>
  <c r="F151" i="3" s="1"/>
  <c r="N132" i="3"/>
  <c r="N150" i="3" s="1"/>
  <c r="J132" i="3"/>
  <c r="J150" i="3" s="1"/>
  <c r="F132" i="3"/>
  <c r="F150" i="3" s="1"/>
  <c r="N131" i="3"/>
  <c r="N149" i="3" s="1"/>
  <c r="J131" i="3"/>
  <c r="J149" i="3" s="1"/>
  <c r="F131" i="3"/>
  <c r="F149" i="3" s="1"/>
  <c r="N130" i="3"/>
  <c r="N148" i="3" s="1"/>
  <c r="J130" i="3"/>
  <c r="J148" i="3" s="1"/>
  <c r="F130" i="3"/>
  <c r="F148" i="3" s="1"/>
  <c r="N129" i="3"/>
  <c r="N147" i="3" s="1"/>
  <c r="J129" i="3"/>
  <c r="J147" i="3" s="1"/>
  <c r="F129" i="3"/>
  <c r="F147" i="3" s="1"/>
  <c r="N128" i="3"/>
  <c r="N146" i="3" s="1"/>
  <c r="J128" i="3"/>
  <c r="J146" i="3" s="1"/>
  <c r="F128" i="3"/>
  <c r="F146" i="3" s="1"/>
  <c r="N127" i="3"/>
  <c r="N145" i="3" s="1"/>
  <c r="J127" i="3"/>
  <c r="J145" i="3" s="1"/>
  <c r="F127" i="3"/>
  <c r="F145" i="3" s="1"/>
  <c r="N126" i="3"/>
  <c r="N144" i="3" s="1"/>
  <c r="J126" i="3"/>
  <c r="J144" i="3" s="1"/>
  <c r="F126" i="3"/>
  <c r="F144" i="3" s="1"/>
  <c r="N125" i="3"/>
  <c r="N143" i="3" s="1"/>
  <c r="J125" i="3"/>
  <c r="J143" i="3" s="1"/>
  <c r="F125" i="3"/>
  <c r="F143" i="3" s="1"/>
  <c r="M136" i="3"/>
  <c r="M154" i="3" s="1"/>
  <c r="I136" i="3"/>
  <c r="I154" i="3" s="1"/>
  <c r="E136" i="3"/>
  <c r="E154" i="3" s="1"/>
  <c r="M135" i="3"/>
  <c r="M153" i="3" s="1"/>
  <c r="I135" i="3"/>
  <c r="I153" i="3" s="1"/>
  <c r="E135" i="3"/>
  <c r="E153" i="3" s="1"/>
  <c r="M134" i="3"/>
  <c r="M152" i="3" s="1"/>
  <c r="I134" i="3"/>
  <c r="I152" i="3" s="1"/>
  <c r="E134" i="3"/>
  <c r="E152" i="3" s="1"/>
  <c r="M133" i="3"/>
  <c r="M151" i="3" s="1"/>
  <c r="I133" i="3"/>
  <c r="I151" i="3" s="1"/>
  <c r="E133" i="3"/>
  <c r="E151" i="3" s="1"/>
  <c r="M132" i="3"/>
  <c r="M150" i="3" s="1"/>
  <c r="I132" i="3"/>
  <c r="I150" i="3" s="1"/>
  <c r="E132" i="3"/>
  <c r="E150" i="3" s="1"/>
  <c r="M131" i="3"/>
  <c r="M149" i="3" s="1"/>
  <c r="I131" i="3"/>
  <c r="I149" i="3" s="1"/>
  <c r="E131" i="3"/>
  <c r="E149" i="3" s="1"/>
  <c r="M130" i="3"/>
  <c r="M148" i="3" s="1"/>
  <c r="I130" i="3"/>
  <c r="I148" i="3" s="1"/>
  <c r="E130" i="3"/>
  <c r="E148" i="3" s="1"/>
  <c r="M129" i="3"/>
  <c r="M147" i="3" s="1"/>
  <c r="I129" i="3"/>
  <c r="I147" i="3" s="1"/>
  <c r="E129" i="3"/>
  <c r="E147" i="3" s="1"/>
  <c r="M128" i="3"/>
  <c r="M146" i="3" s="1"/>
  <c r="I128" i="3"/>
  <c r="I146" i="3" s="1"/>
  <c r="E128" i="3"/>
  <c r="E146" i="3" s="1"/>
  <c r="M127" i="3"/>
  <c r="M145" i="3" s="1"/>
  <c r="I127" i="3"/>
  <c r="I145" i="3" s="1"/>
  <c r="E127" i="3"/>
  <c r="E145" i="3" s="1"/>
  <c r="M126" i="3"/>
  <c r="M144" i="3" s="1"/>
  <c r="I126" i="3"/>
  <c r="I144" i="3" s="1"/>
  <c r="E126" i="3"/>
  <c r="E144" i="3" s="1"/>
  <c r="M125" i="3"/>
  <c r="M143" i="3" s="1"/>
  <c r="I125" i="3"/>
  <c r="I143" i="3" s="1"/>
  <c r="E125" i="3"/>
  <c r="E143" i="3" s="1"/>
  <c r="L125" i="3"/>
  <c r="L143" i="3" s="1"/>
  <c r="H126" i="3"/>
  <c r="H144" i="3" s="1"/>
  <c r="D127" i="3"/>
  <c r="D145" i="3" s="1"/>
  <c r="L127" i="3"/>
  <c r="L145" i="3" s="1"/>
  <c r="H128" i="3"/>
  <c r="H146" i="3" s="1"/>
  <c r="D129" i="3"/>
  <c r="D147" i="3" s="1"/>
  <c r="L129" i="3"/>
  <c r="L147" i="3" s="1"/>
  <c r="H130" i="3"/>
  <c r="H148" i="3" s="1"/>
  <c r="D131" i="3"/>
  <c r="D149" i="3" s="1"/>
  <c r="L131" i="3"/>
  <c r="L149" i="3" s="1"/>
  <c r="H132" i="3"/>
  <c r="H150" i="3" s="1"/>
  <c r="D133" i="3"/>
  <c r="D151" i="3" s="1"/>
  <c r="L133" i="3"/>
  <c r="L151" i="3" s="1"/>
  <c r="H134" i="3"/>
  <c r="H152" i="3" s="1"/>
  <c r="D135" i="3"/>
  <c r="D153" i="3" s="1"/>
  <c r="L135" i="3"/>
  <c r="L153" i="3" s="1"/>
  <c r="H136" i="3"/>
  <c r="H154" i="3" s="1"/>
  <c r="Y13" i="3"/>
  <c r="Y15" i="3"/>
  <c r="Y17" i="3"/>
  <c r="Y19" i="3"/>
  <c r="Y21" i="3"/>
  <c r="Y23" i="3"/>
  <c r="G125" i="3"/>
  <c r="G143" i="3" s="1"/>
  <c r="O125" i="3"/>
  <c r="O143" i="3" s="1"/>
  <c r="K126" i="3"/>
  <c r="K144" i="3" s="1"/>
  <c r="G127" i="3"/>
  <c r="G145" i="3" s="1"/>
  <c r="O127" i="3"/>
  <c r="O145" i="3" s="1"/>
  <c r="K128" i="3"/>
  <c r="K146" i="3" s="1"/>
  <c r="G129" i="3"/>
  <c r="G147" i="3" s="1"/>
  <c r="O129" i="3"/>
  <c r="O147" i="3" s="1"/>
  <c r="K130" i="3"/>
  <c r="K148" i="3" s="1"/>
  <c r="G131" i="3"/>
  <c r="G149" i="3" s="1"/>
  <c r="O131" i="3"/>
  <c r="O149" i="3" s="1"/>
  <c r="K132" i="3"/>
  <c r="K150" i="3" s="1"/>
  <c r="G133" i="3"/>
  <c r="G151" i="3" s="1"/>
  <c r="O133" i="3"/>
  <c r="O151" i="3" s="1"/>
  <c r="K134" i="3"/>
  <c r="K152" i="3" s="1"/>
  <c r="G135" i="3"/>
  <c r="G153" i="3" s="1"/>
  <c r="O135" i="3"/>
  <c r="O153" i="3" s="1"/>
  <c r="K136" i="3"/>
  <c r="K154" i="3" s="1"/>
  <c r="H125" i="3"/>
  <c r="H143" i="3" s="1"/>
  <c r="D126" i="3"/>
  <c r="D144" i="3" s="1"/>
  <c r="L126" i="3"/>
  <c r="L144" i="3" s="1"/>
  <c r="H127" i="3"/>
  <c r="H145" i="3" s="1"/>
  <c r="D128" i="3"/>
  <c r="D146" i="3" s="1"/>
  <c r="L128" i="3"/>
  <c r="L146" i="3" s="1"/>
  <c r="H129" i="3"/>
  <c r="H147" i="3" s="1"/>
  <c r="D130" i="3"/>
  <c r="D148" i="3" s="1"/>
  <c r="L130" i="3"/>
  <c r="L148" i="3" s="1"/>
  <c r="H131" i="3"/>
  <c r="H149" i="3" s="1"/>
  <c r="D132" i="3"/>
  <c r="D150" i="3" s="1"/>
  <c r="L132" i="3"/>
  <c r="L150" i="3" s="1"/>
  <c r="H133" i="3"/>
  <c r="H151" i="3" s="1"/>
  <c r="D134" i="3"/>
  <c r="D152" i="3" s="1"/>
  <c r="L134" i="3"/>
  <c r="L152" i="3" s="1"/>
  <c r="H135" i="3"/>
  <c r="H153" i="3" s="1"/>
  <c r="D136" i="3"/>
  <c r="D154" i="3" s="1"/>
  <c r="L136" i="3"/>
  <c r="L154" i="3" s="1"/>
  <c r="N208" i="3" l="1"/>
  <c r="J208" i="3"/>
  <c r="F208" i="3"/>
  <c r="N207" i="3"/>
  <c r="J207" i="3"/>
  <c r="F207" i="3"/>
  <c r="N206" i="3"/>
  <c r="J206" i="3"/>
  <c r="F206" i="3"/>
  <c r="N205" i="3"/>
  <c r="J205" i="3"/>
  <c r="F205" i="3"/>
  <c r="N204" i="3"/>
  <c r="J204" i="3"/>
  <c r="F204" i="3"/>
  <c r="N203" i="3"/>
  <c r="J203" i="3"/>
  <c r="F203" i="3"/>
  <c r="N202" i="3"/>
  <c r="J202" i="3"/>
  <c r="F202" i="3"/>
  <c r="N201" i="3"/>
  <c r="J201" i="3"/>
  <c r="F201" i="3"/>
  <c r="N200" i="3"/>
  <c r="J200" i="3"/>
  <c r="F200" i="3"/>
  <c r="N199" i="3"/>
  <c r="J199" i="3"/>
  <c r="F199" i="3"/>
  <c r="N198" i="3"/>
  <c r="J198" i="3"/>
  <c r="F198" i="3"/>
  <c r="N197" i="3"/>
  <c r="J197" i="3"/>
  <c r="F197" i="3"/>
  <c r="M208" i="3"/>
  <c r="I208" i="3"/>
  <c r="E208" i="3"/>
  <c r="M207" i="3"/>
  <c r="I207" i="3"/>
  <c r="E207" i="3"/>
  <c r="M206" i="3"/>
  <c r="I206" i="3"/>
  <c r="E206" i="3"/>
  <c r="M205" i="3"/>
  <c r="I205" i="3"/>
  <c r="E205" i="3"/>
  <c r="M204" i="3"/>
  <c r="I204" i="3"/>
  <c r="E204" i="3"/>
  <c r="M203" i="3"/>
  <c r="I203" i="3"/>
  <c r="E203" i="3"/>
  <c r="M202" i="3"/>
  <c r="I202" i="3"/>
  <c r="E202" i="3"/>
  <c r="M201" i="3"/>
  <c r="I201" i="3"/>
  <c r="E201" i="3"/>
  <c r="M200" i="3"/>
  <c r="I200" i="3"/>
  <c r="E200" i="3"/>
  <c r="M199" i="3"/>
  <c r="I199" i="3"/>
  <c r="E199" i="3"/>
  <c r="M198" i="3"/>
  <c r="I198" i="3"/>
  <c r="E198" i="3"/>
  <c r="M197" i="3"/>
  <c r="I197" i="3"/>
  <c r="E197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O208" i="3"/>
  <c r="G208" i="3"/>
  <c r="K207" i="3"/>
  <c r="O206" i="3"/>
  <c r="G206" i="3"/>
  <c r="K205" i="3"/>
  <c r="O204" i="3"/>
  <c r="G204" i="3"/>
  <c r="K203" i="3"/>
  <c r="O202" i="3"/>
  <c r="G202" i="3"/>
  <c r="K201" i="3"/>
  <c r="O200" i="3"/>
  <c r="G200" i="3"/>
  <c r="K199" i="3"/>
  <c r="O198" i="3"/>
  <c r="G198" i="3"/>
  <c r="K197" i="3"/>
  <c r="D197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G207" i="3"/>
  <c r="K204" i="3"/>
  <c r="O201" i="3"/>
  <c r="G199" i="3"/>
  <c r="K206" i="3"/>
  <c r="O203" i="3"/>
  <c r="G201" i="3"/>
  <c r="K198" i="3"/>
  <c r="K208" i="3"/>
  <c r="O205" i="3"/>
  <c r="G203" i="3"/>
  <c r="K200" i="3"/>
  <c r="O197" i="3"/>
  <c r="O207" i="3"/>
  <c r="G205" i="3"/>
  <c r="K202" i="3"/>
  <c r="O199" i="3"/>
  <c r="G197" i="3"/>
  <c r="N244" i="3"/>
  <c r="J244" i="3"/>
  <c r="F244" i="3"/>
  <c r="N243" i="3"/>
  <c r="J243" i="3"/>
  <c r="F243" i="3"/>
  <c r="N242" i="3"/>
  <c r="J242" i="3"/>
  <c r="F242" i="3"/>
  <c r="N241" i="3"/>
  <c r="J241" i="3"/>
  <c r="F241" i="3"/>
  <c r="N240" i="3"/>
  <c r="J240" i="3"/>
  <c r="F240" i="3"/>
  <c r="N239" i="3"/>
  <c r="J239" i="3"/>
  <c r="F239" i="3"/>
  <c r="N238" i="3"/>
  <c r="J238" i="3"/>
  <c r="F238" i="3"/>
  <c r="N237" i="3"/>
  <c r="J237" i="3"/>
  <c r="F237" i="3"/>
  <c r="N236" i="3"/>
  <c r="J236" i="3"/>
  <c r="F236" i="3"/>
  <c r="N235" i="3"/>
  <c r="J235" i="3"/>
  <c r="F235" i="3"/>
  <c r="N234" i="3"/>
  <c r="J234" i="3"/>
  <c r="F234" i="3"/>
  <c r="N233" i="3"/>
  <c r="J233" i="3"/>
  <c r="F233" i="3"/>
  <c r="M244" i="3"/>
  <c r="I244" i="3"/>
  <c r="E244" i="3"/>
  <c r="M243" i="3"/>
  <c r="I243" i="3"/>
  <c r="E243" i="3"/>
  <c r="M242" i="3"/>
  <c r="I242" i="3"/>
  <c r="E242" i="3"/>
  <c r="M241" i="3"/>
  <c r="I241" i="3"/>
  <c r="E241" i="3"/>
  <c r="M240" i="3"/>
  <c r="I240" i="3"/>
  <c r="E240" i="3"/>
  <c r="M239" i="3"/>
  <c r="I239" i="3"/>
  <c r="E239" i="3"/>
  <c r="M238" i="3"/>
  <c r="I238" i="3"/>
  <c r="E238" i="3"/>
  <c r="M237" i="3"/>
  <c r="I237" i="3"/>
  <c r="E237" i="3"/>
  <c r="M236" i="3"/>
  <c r="I236" i="3"/>
  <c r="E236" i="3"/>
  <c r="M235" i="3"/>
  <c r="I23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E235" i="3"/>
  <c r="L234" i="3"/>
  <c r="G234" i="3"/>
  <c r="M233" i="3"/>
  <c r="H233" i="3"/>
  <c r="D233" i="3"/>
  <c r="O244" i="3"/>
  <c r="G244" i="3"/>
  <c r="K243" i="3"/>
  <c r="O242" i="3"/>
  <c r="G242" i="3"/>
  <c r="K241" i="3"/>
  <c r="O240" i="3"/>
  <c r="G240" i="3"/>
  <c r="K239" i="3"/>
  <c r="O238" i="3"/>
  <c r="G238" i="3"/>
  <c r="K237" i="3"/>
  <c r="O236" i="3"/>
  <c r="G236" i="3"/>
  <c r="K235" i="3"/>
  <c r="D235" i="3"/>
  <c r="K234" i="3"/>
  <c r="E234" i="3"/>
  <c r="L233" i="3"/>
  <c r="G233" i="3"/>
  <c r="D244" i="3"/>
  <c r="L242" i="3"/>
  <c r="H241" i="3"/>
  <c r="D240" i="3"/>
  <c r="L238" i="3"/>
  <c r="H237" i="3"/>
  <c r="D236" i="3"/>
  <c r="O234" i="3"/>
  <c r="D234" i="3"/>
  <c r="E233" i="3"/>
  <c r="O243" i="3"/>
  <c r="K242" i="3"/>
  <c r="G241" i="3"/>
  <c r="O239" i="3"/>
  <c r="K238" i="3"/>
  <c r="G237" i="3"/>
  <c r="O235" i="3"/>
  <c r="M234" i="3"/>
  <c r="O233" i="3"/>
  <c r="L244" i="3"/>
  <c r="H243" i="3"/>
  <c r="D242" i="3"/>
  <c r="L240" i="3"/>
  <c r="H239" i="3"/>
  <c r="D238" i="3"/>
  <c r="L236" i="3"/>
  <c r="H235" i="3"/>
  <c r="I234" i="3"/>
  <c r="K233" i="3"/>
  <c r="K244" i="3"/>
  <c r="G239" i="3"/>
  <c r="H234" i="3"/>
  <c r="G243" i="3"/>
  <c r="O237" i="3"/>
  <c r="I233" i="3"/>
  <c r="O241" i="3"/>
  <c r="K236" i="3"/>
  <c r="K240" i="3"/>
  <c r="G235" i="3"/>
  <c r="D161" i="3" a="1"/>
  <c r="O226" i="3"/>
  <c r="K226" i="3"/>
  <c r="G226" i="3"/>
  <c r="O225" i="3"/>
  <c r="K225" i="3"/>
  <c r="G225" i="3"/>
  <c r="O224" i="3"/>
  <c r="K224" i="3"/>
  <c r="G224" i="3"/>
  <c r="O223" i="3"/>
  <c r="K223" i="3"/>
  <c r="G223" i="3"/>
  <c r="O222" i="3"/>
  <c r="K222" i="3"/>
  <c r="G222" i="3"/>
  <c r="O221" i="3"/>
  <c r="K221" i="3"/>
  <c r="G221" i="3"/>
  <c r="O220" i="3"/>
  <c r="J226" i="3"/>
  <c r="E226" i="3"/>
  <c r="L225" i="3"/>
  <c r="F225" i="3"/>
  <c r="M224" i="3"/>
  <c r="H224" i="3"/>
  <c r="N223" i="3"/>
  <c r="I223" i="3"/>
  <c r="D223" i="3"/>
  <c r="J222" i="3"/>
  <c r="E222" i="3"/>
  <c r="L221" i="3"/>
  <c r="F221" i="3"/>
  <c r="M220" i="3"/>
  <c r="I220" i="3"/>
  <c r="E220" i="3"/>
  <c r="M219" i="3"/>
  <c r="I219" i="3"/>
  <c r="E219" i="3"/>
  <c r="M218" i="3"/>
  <c r="I218" i="3"/>
  <c r="E218" i="3"/>
  <c r="M217" i="3"/>
  <c r="I217" i="3"/>
  <c r="E217" i="3"/>
  <c r="M216" i="3"/>
  <c r="I216" i="3"/>
  <c r="E216" i="3"/>
  <c r="M215" i="3"/>
  <c r="I215" i="3"/>
  <c r="E215" i="3"/>
  <c r="N226" i="3"/>
  <c r="I226" i="3"/>
  <c r="D226" i="3"/>
  <c r="J225" i="3"/>
  <c r="E225" i="3"/>
  <c r="L224" i="3"/>
  <c r="F224" i="3"/>
  <c r="M223" i="3"/>
  <c r="H223" i="3"/>
  <c r="N222" i="3"/>
  <c r="I222" i="3"/>
  <c r="D222" i="3"/>
  <c r="J221" i="3"/>
  <c r="E221" i="3"/>
  <c r="L220" i="3"/>
  <c r="H220" i="3"/>
  <c r="D220" i="3"/>
  <c r="L219" i="3"/>
  <c r="H219" i="3"/>
  <c r="D219" i="3"/>
  <c r="L218" i="3"/>
  <c r="H218" i="3"/>
  <c r="D218" i="3"/>
  <c r="L217" i="3"/>
  <c r="H217" i="3"/>
  <c r="D217" i="3"/>
  <c r="L216" i="3"/>
  <c r="H216" i="3"/>
  <c r="D216" i="3"/>
  <c r="L215" i="3"/>
  <c r="H215" i="3"/>
  <c r="H226" i="3"/>
  <c r="I225" i="3"/>
  <c r="J224" i="3"/>
  <c r="L223" i="3"/>
  <c r="M222" i="3"/>
  <c r="N221" i="3"/>
  <c r="D221" i="3"/>
  <c r="G220" i="3"/>
  <c r="K219" i="3"/>
  <c r="O218" i="3"/>
  <c r="G218" i="3"/>
  <c r="K217" i="3"/>
  <c r="O216" i="3"/>
  <c r="G216" i="3"/>
  <c r="K215" i="3"/>
  <c r="D215" i="3"/>
  <c r="F226" i="3"/>
  <c r="H225" i="3"/>
  <c r="I224" i="3"/>
  <c r="J223" i="3"/>
  <c r="L222" i="3"/>
  <c r="M221" i="3"/>
  <c r="N220" i="3"/>
  <c r="F220" i="3"/>
  <c r="J219" i="3"/>
  <c r="N218" i="3"/>
  <c r="F218" i="3"/>
  <c r="J217" i="3"/>
  <c r="N216" i="3"/>
  <c r="F216" i="3"/>
  <c r="J215" i="3"/>
  <c r="M226" i="3"/>
  <c r="N225" i="3"/>
  <c r="D225" i="3"/>
  <c r="E224" i="3"/>
  <c r="F223" i="3"/>
  <c r="H222" i="3"/>
  <c r="I221" i="3"/>
  <c r="K220" i="3"/>
  <c r="O219" i="3"/>
  <c r="G219" i="3"/>
  <c r="K218" i="3"/>
  <c r="O217" i="3"/>
  <c r="G217" i="3"/>
  <c r="K216" i="3"/>
  <c r="O215" i="3"/>
  <c r="G215" i="3"/>
  <c r="N224" i="3"/>
  <c r="H221" i="3"/>
  <c r="J218" i="3"/>
  <c r="N215" i="3"/>
  <c r="D224" i="3"/>
  <c r="J220" i="3"/>
  <c r="N217" i="3"/>
  <c r="F215" i="3"/>
  <c r="L226" i="3"/>
  <c r="E223" i="3"/>
  <c r="N219" i="3"/>
  <c r="F217" i="3"/>
  <c r="M225" i="3"/>
  <c r="F222" i="3"/>
  <c r="F219" i="3"/>
  <c r="J216" i="3"/>
  <c r="M262" i="3"/>
  <c r="I262" i="3"/>
  <c r="E262" i="3"/>
  <c r="M261" i="3"/>
  <c r="I261" i="3"/>
  <c r="E261" i="3"/>
  <c r="M260" i="3"/>
  <c r="I260" i="3"/>
  <c r="E260" i="3"/>
  <c r="M259" i="3"/>
  <c r="I259" i="3"/>
  <c r="E259" i="3"/>
  <c r="M258" i="3"/>
  <c r="I258" i="3"/>
  <c r="E258" i="3"/>
  <c r="M257" i="3"/>
  <c r="I257" i="3"/>
  <c r="E257" i="3"/>
  <c r="M256" i="3"/>
  <c r="I256" i="3"/>
  <c r="E256" i="3"/>
  <c r="M255" i="3"/>
  <c r="I255" i="3"/>
  <c r="E255" i="3"/>
  <c r="M254" i="3"/>
  <c r="I254" i="3"/>
  <c r="E254" i="3"/>
  <c r="M253" i="3"/>
  <c r="I253" i="3"/>
  <c r="E253" i="3"/>
  <c r="M252" i="3"/>
  <c r="I252" i="3"/>
  <c r="E252" i="3"/>
  <c r="M251" i="3"/>
  <c r="I251" i="3"/>
  <c r="E251" i="3"/>
  <c r="L262" i="3"/>
  <c r="H262" i="3"/>
  <c r="D262" i="3"/>
  <c r="L261" i="3"/>
  <c r="H261" i="3"/>
  <c r="D261" i="3"/>
  <c r="L260" i="3"/>
  <c r="H260" i="3"/>
  <c r="D260" i="3"/>
  <c r="L259" i="3"/>
  <c r="H259" i="3"/>
  <c r="D259" i="3"/>
  <c r="L258" i="3"/>
  <c r="H258" i="3"/>
  <c r="D258" i="3"/>
  <c r="L257" i="3"/>
  <c r="H257" i="3"/>
  <c r="D257" i="3"/>
  <c r="L256" i="3"/>
  <c r="H256" i="3"/>
  <c r="D256" i="3"/>
  <c r="L255" i="3"/>
  <c r="H255" i="3"/>
  <c r="D255" i="3"/>
  <c r="L254" i="3"/>
  <c r="H254" i="3"/>
  <c r="D254" i="3"/>
  <c r="L253" i="3"/>
  <c r="H253" i="3"/>
  <c r="D253" i="3"/>
  <c r="L252" i="3"/>
  <c r="H252" i="3"/>
  <c r="D252" i="3"/>
  <c r="L251" i="3"/>
  <c r="H251" i="3"/>
  <c r="O262" i="3"/>
  <c r="G262" i="3"/>
  <c r="K261" i="3"/>
  <c r="O260" i="3"/>
  <c r="G260" i="3"/>
  <c r="K259" i="3"/>
  <c r="O258" i="3"/>
  <c r="G258" i="3"/>
  <c r="K257" i="3"/>
  <c r="O256" i="3"/>
  <c r="G256" i="3"/>
  <c r="K255" i="3"/>
  <c r="O254" i="3"/>
  <c r="G254" i="3"/>
  <c r="K253" i="3"/>
  <c r="O252" i="3"/>
  <c r="G252" i="3"/>
  <c r="K251" i="3"/>
  <c r="D251" i="3"/>
  <c r="N262" i="3"/>
  <c r="F262" i="3"/>
  <c r="J261" i="3"/>
  <c r="N260" i="3"/>
  <c r="F260" i="3"/>
  <c r="J259" i="3"/>
  <c r="N258" i="3"/>
  <c r="F258" i="3"/>
  <c r="J257" i="3"/>
  <c r="N256" i="3"/>
  <c r="F256" i="3"/>
  <c r="J255" i="3"/>
  <c r="N254" i="3"/>
  <c r="F254" i="3"/>
  <c r="J253" i="3"/>
  <c r="N252" i="3"/>
  <c r="F252" i="3"/>
  <c r="J251" i="3"/>
  <c r="O261" i="3"/>
  <c r="K260" i="3"/>
  <c r="G259" i="3"/>
  <c r="O257" i="3"/>
  <c r="K256" i="3"/>
  <c r="G255" i="3"/>
  <c r="O253" i="3"/>
  <c r="K252" i="3"/>
  <c r="G251" i="3"/>
  <c r="N261" i="3"/>
  <c r="J260" i="3"/>
  <c r="F259" i="3"/>
  <c r="N257" i="3"/>
  <c r="J256" i="3"/>
  <c r="F255" i="3"/>
  <c r="N253" i="3"/>
  <c r="J252" i="3"/>
  <c r="F251" i="3"/>
  <c r="K262" i="3"/>
  <c r="G261" i="3"/>
  <c r="O259" i="3"/>
  <c r="K258" i="3"/>
  <c r="G257" i="3"/>
  <c r="O255" i="3"/>
  <c r="K254" i="3"/>
  <c r="G253" i="3"/>
  <c r="O251" i="3"/>
  <c r="F261" i="3"/>
  <c r="N255" i="3"/>
  <c r="N259" i="3"/>
  <c r="J254" i="3"/>
  <c r="J258" i="3"/>
  <c r="F253" i="3"/>
  <c r="J262" i="3"/>
  <c r="F257" i="3"/>
  <c r="N251" i="3"/>
  <c r="N190" i="3"/>
  <c r="J190" i="3"/>
  <c r="F190" i="3"/>
  <c r="N189" i="3"/>
  <c r="J189" i="3"/>
  <c r="F189" i="3"/>
  <c r="N188" i="3"/>
  <c r="J188" i="3"/>
  <c r="F188" i="3"/>
  <c r="N187" i="3"/>
  <c r="J187" i="3"/>
  <c r="F187" i="3"/>
  <c r="N186" i="3"/>
  <c r="J186" i="3"/>
  <c r="F186" i="3"/>
  <c r="N185" i="3"/>
  <c r="J185" i="3"/>
  <c r="F185" i="3"/>
  <c r="N184" i="3"/>
  <c r="J184" i="3"/>
  <c r="F184" i="3"/>
  <c r="N183" i="3"/>
  <c r="J183" i="3"/>
  <c r="F183" i="3"/>
  <c r="N182" i="3"/>
  <c r="L190" i="3"/>
  <c r="G190" i="3"/>
  <c r="M189" i="3"/>
  <c r="H189" i="3"/>
  <c r="O188" i="3"/>
  <c r="I188" i="3"/>
  <c r="D188" i="3"/>
  <c r="K187" i="3"/>
  <c r="E187" i="3"/>
  <c r="L186" i="3"/>
  <c r="G186" i="3"/>
  <c r="M185" i="3"/>
  <c r="H185" i="3"/>
  <c r="O184" i="3"/>
  <c r="I184" i="3"/>
  <c r="D184" i="3"/>
  <c r="K183" i="3"/>
  <c r="E183" i="3"/>
  <c r="L182" i="3"/>
  <c r="H182" i="3"/>
  <c r="D182" i="3"/>
  <c r="L181" i="3"/>
  <c r="H181" i="3"/>
  <c r="D181" i="3"/>
  <c r="L180" i="3"/>
  <c r="H180" i="3"/>
  <c r="D180" i="3"/>
  <c r="L179" i="3"/>
  <c r="H179" i="3"/>
  <c r="K190" i="3"/>
  <c r="E190" i="3"/>
  <c r="L189" i="3"/>
  <c r="G189" i="3"/>
  <c r="M188" i="3"/>
  <c r="H188" i="3"/>
  <c r="O187" i="3"/>
  <c r="I187" i="3"/>
  <c r="D187" i="3"/>
  <c r="K186" i="3"/>
  <c r="E186" i="3"/>
  <c r="L185" i="3"/>
  <c r="G185" i="3"/>
  <c r="M184" i="3"/>
  <c r="H184" i="3"/>
  <c r="O183" i="3"/>
  <c r="I183" i="3"/>
  <c r="D183" i="3"/>
  <c r="K182" i="3"/>
  <c r="G182" i="3"/>
  <c r="O181" i="3"/>
  <c r="K181" i="3"/>
  <c r="G181" i="3"/>
  <c r="O180" i="3"/>
  <c r="K180" i="3"/>
  <c r="G180" i="3"/>
  <c r="O179" i="3"/>
  <c r="K179" i="3"/>
  <c r="G179" i="3"/>
  <c r="D179" i="3"/>
  <c r="O190" i="3"/>
  <c r="I190" i="3"/>
  <c r="D190" i="3"/>
  <c r="K189" i="3"/>
  <c r="E189" i="3"/>
  <c r="L188" i="3"/>
  <c r="G188" i="3"/>
  <c r="M187" i="3"/>
  <c r="H187" i="3"/>
  <c r="O186" i="3"/>
  <c r="I186" i="3"/>
  <c r="D186" i="3"/>
  <c r="K185" i="3"/>
  <c r="E185" i="3"/>
  <c r="L184" i="3"/>
  <c r="G184" i="3"/>
  <c r="M183" i="3"/>
  <c r="H183" i="3"/>
  <c r="O182" i="3"/>
  <c r="J182" i="3"/>
  <c r="F182" i="3"/>
  <c r="N181" i="3"/>
  <c r="J181" i="3"/>
  <c r="F181" i="3"/>
  <c r="N180" i="3"/>
  <c r="J180" i="3"/>
  <c r="F180" i="3"/>
  <c r="N179" i="3"/>
  <c r="J179" i="3"/>
  <c r="F179" i="3"/>
  <c r="M190" i="3"/>
  <c r="D189" i="3"/>
  <c r="G187" i="3"/>
  <c r="I185" i="3"/>
  <c r="L183" i="3"/>
  <c r="E182" i="3"/>
  <c r="M180" i="3"/>
  <c r="I179" i="3"/>
  <c r="H190" i="3"/>
  <c r="K188" i="3"/>
  <c r="M186" i="3"/>
  <c r="D185" i="3"/>
  <c r="G183" i="3"/>
  <c r="M181" i="3"/>
  <c r="I180" i="3"/>
  <c r="E179" i="3"/>
  <c r="O189" i="3"/>
  <c r="E188" i="3"/>
  <c r="H186" i="3"/>
  <c r="K184" i="3"/>
  <c r="M182" i="3"/>
  <c r="I181" i="3"/>
  <c r="E180" i="3"/>
  <c r="I189" i="3"/>
  <c r="L187" i="3"/>
  <c r="O185" i="3"/>
  <c r="E184" i="3"/>
  <c r="I182" i="3"/>
  <c r="E181" i="3"/>
  <c r="M179" i="3"/>
  <c r="M172" i="3" l="1"/>
  <c r="I172" i="3"/>
  <c r="E172" i="3"/>
  <c r="M171" i="3"/>
  <c r="I171" i="3"/>
  <c r="E171" i="3"/>
  <c r="M170" i="3"/>
  <c r="I170" i="3"/>
  <c r="E170" i="3"/>
  <c r="M169" i="3"/>
  <c r="I169" i="3"/>
  <c r="E169" i="3"/>
  <c r="M168" i="3"/>
  <c r="I168" i="3"/>
  <c r="E168" i="3"/>
  <c r="M167" i="3"/>
  <c r="I167" i="3"/>
  <c r="E167" i="3"/>
  <c r="M166" i="3"/>
  <c r="I166" i="3"/>
  <c r="E166" i="3"/>
  <c r="M165" i="3"/>
  <c r="I165" i="3"/>
  <c r="E165" i="3"/>
  <c r="M164" i="3"/>
  <c r="I164" i="3"/>
  <c r="E164" i="3"/>
  <c r="M163" i="3"/>
  <c r="I163" i="3"/>
  <c r="E163" i="3"/>
  <c r="M162" i="3"/>
  <c r="I162" i="3"/>
  <c r="E162" i="3"/>
  <c r="M161" i="3"/>
  <c r="I161" i="3"/>
  <c r="E161" i="3"/>
  <c r="L172" i="3"/>
  <c r="H172" i="3"/>
  <c r="D172" i="3"/>
  <c r="L171" i="3"/>
  <c r="H171" i="3"/>
  <c r="D171" i="3"/>
  <c r="L170" i="3"/>
  <c r="H170" i="3"/>
  <c r="D170" i="3"/>
  <c r="L169" i="3"/>
  <c r="H169" i="3"/>
  <c r="D169" i="3"/>
  <c r="L168" i="3"/>
  <c r="H168" i="3"/>
  <c r="D168" i="3"/>
  <c r="L167" i="3"/>
  <c r="H167" i="3"/>
  <c r="D167" i="3"/>
  <c r="L166" i="3"/>
  <c r="H166" i="3"/>
  <c r="D166" i="3"/>
  <c r="L165" i="3"/>
  <c r="H165" i="3"/>
  <c r="D165" i="3"/>
  <c r="L164" i="3"/>
  <c r="H164" i="3"/>
  <c r="D164" i="3"/>
  <c r="L163" i="3"/>
  <c r="H163" i="3"/>
  <c r="D163" i="3"/>
  <c r="L162" i="3"/>
  <c r="H162" i="3"/>
  <c r="D162" i="3"/>
  <c r="L161" i="3"/>
  <c r="H161" i="3"/>
  <c r="O172" i="3"/>
  <c r="K172" i="3"/>
  <c r="G172" i="3"/>
  <c r="O171" i="3"/>
  <c r="K171" i="3"/>
  <c r="G171" i="3"/>
  <c r="O170" i="3"/>
  <c r="K170" i="3"/>
  <c r="G170" i="3"/>
  <c r="O169" i="3"/>
  <c r="K169" i="3"/>
  <c r="G169" i="3"/>
  <c r="O168" i="3"/>
  <c r="K168" i="3"/>
  <c r="G168" i="3"/>
  <c r="O167" i="3"/>
  <c r="K167" i="3"/>
  <c r="G167" i="3"/>
  <c r="O166" i="3"/>
  <c r="K166" i="3"/>
  <c r="G166" i="3"/>
  <c r="O165" i="3"/>
  <c r="K165" i="3"/>
  <c r="G165" i="3"/>
  <c r="O164" i="3"/>
  <c r="K164" i="3"/>
  <c r="G164" i="3"/>
  <c r="O163" i="3"/>
  <c r="K163" i="3"/>
  <c r="G163" i="3"/>
  <c r="O162" i="3"/>
  <c r="K162" i="3"/>
  <c r="G162" i="3"/>
  <c r="O161" i="3"/>
  <c r="K161" i="3"/>
  <c r="G161" i="3"/>
  <c r="D161" i="3"/>
  <c r="F172" i="3"/>
  <c r="N170" i="3"/>
  <c r="J169" i="3"/>
  <c r="F168" i="3"/>
  <c r="N166" i="3"/>
  <c r="J165" i="3"/>
  <c r="F164" i="3"/>
  <c r="N162" i="3"/>
  <c r="J161" i="3"/>
  <c r="N171" i="3"/>
  <c r="J170" i="3"/>
  <c r="F169" i="3"/>
  <c r="N167" i="3"/>
  <c r="J166" i="3"/>
  <c r="F165" i="3"/>
  <c r="N163" i="3"/>
  <c r="J162" i="3"/>
  <c r="F161" i="3"/>
  <c r="N172" i="3"/>
  <c r="J171" i="3"/>
  <c r="F170" i="3"/>
  <c r="N168" i="3"/>
  <c r="J167" i="3"/>
  <c r="F166" i="3"/>
  <c r="N164" i="3"/>
  <c r="J163" i="3"/>
  <c r="F162" i="3"/>
  <c r="J172" i="3"/>
  <c r="F171" i="3"/>
  <c r="N169" i="3"/>
  <c r="J168" i="3"/>
  <c r="F167" i="3"/>
  <c r="N165" i="3"/>
  <c r="J164" i="3"/>
  <c r="F163" i="3"/>
  <c r="N161" i="3"/>
  <c r="D326" i="3" l="1" a="1"/>
  <c r="D335" i="3" s="1"/>
  <c r="D288" i="3" a="1"/>
  <c r="N299" i="3" s="1"/>
  <c r="Z12" i="3" a="1"/>
  <c r="D269" i="3" a="1"/>
  <c r="D307" i="3" a="1"/>
  <c r="D345" i="3" a="1"/>
  <c r="O331" i="3" l="1"/>
  <c r="M337" i="3"/>
  <c r="I334" i="3"/>
  <c r="J327" i="3"/>
  <c r="G331" i="3"/>
  <c r="K336" i="3"/>
  <c r="D330" i="3"/>
  <c r="H335" i="3"/>
  <c r="K295" i="3"/>
  <c r="M335" i="3"/>
  <c r="F333" i="3"/>
  <c r="G326" i="3"/>
  <c r="K331" i="3"/>
  <c r="O336" i="3"/>
  <c r="E290" i="3"/>
  <c r="E337" i="3"/>
  <c r="J333" i="3"/>
  <c r="G337" i="3"/>
  <c r="I297" i="3"/>
  <c r="J328" i="3"/>
  <c r="G332" i="3"/>
  <c r="L290" i="3"/>
  <c r="E330" i="3"/>
  <c r="N328" i="3"/>
  <c r="K332" i="3"/>
  <c r="H331" i="3"/>
  <c r="G294" i="3"/>
  <c r="I331" i="3"/>
  <c r="J334" i="3"/>
  <c r="O332" i="3"/>
  <c r="H326" i="3"/>
  <c r="D337" i="3"/>
  <c r="M297" i="3"/>
  <c r="G297" i="3"/>
  <c r="H337" i="3"/>
  <c r="D289" i="3"/>
  <c r="D299" i="3"/>
  <c r="F288" i="3"/>
  <c r="E296" i="3"/>
  <c r="J289" i="3"/>
  <c r="O299" i="3"/>
  <c r="N290" i="3"/>
  <c r="N332" i="3"/>
  <c r="D326" i="3"/>
  <c r="H288" i="3"/>
  <c r="E326" i="3"/>
  <c r="N327" i="3"/>
  <c r="H330" i="3"/>
  <c r="L335" i="3"/>
  <c r="H290" i="3"/>
  <c r="I327" i="3"/>
  <c r="F328" i="3"/>
  <c r="K326" i="3"/>
  <c r="D336" i="3"/>
  <c r="M328" i="3"/>
  <c r="H336" i="3"/>
  <c r="N294" i="3"/>
  <c r="L330" i="3"/>
  <c r="O291" i="3"/>
  <c r="M326" i="3"/>
  <c r="N333" i="3"/>
  <c r="O326" i="3"/>
  <c r="K337" i="3"/>
  <c r="D331" i="3"/>
  <c r="D338" i="3" s="1"/>
  <c r="D51" i="3" s="1"/>
  <c r="D58" i="3" s="1"/>
  <c r="L293" i="3"/>
  <c r="E328" i="3"/>
  <c r="F334" i="3"/>
  <c r="G327" i="3"/>
  <c r="O337" i="3"/>
  <c r="L336" i="3"/>
  <c r="I295" i="3"/>
  <c r="I329" i="3"/>
  <c r="F329" i="3"/>
  <c r="K327" i="3"/>
  <c r="L331" i="3"/>
  <c r="M332" i="3"/>
  <c r="M330" i="3"/>
  <c r="J329" i="3"/>
  <c r="N334" i="3"/>
  <c r="O327" i="3"/>
  <c r="O338" i="3" s="1"/>
  <c r="O51" i="3" s="1"/>
  <c r="O58" i="3" s="1"/>
  <c r="G333" i="3"/>
  <c r="L326" i="3"/>
  <c r="D332" i="3"/>
  <c r="E334" i="3"/>
  <c r="E332" i="3"/>
  <c r="N329" i="3"/>
  <c r="F335" i="3"/>
  <c r="G328" i="3"/>
  <c r="K333" i="3"/>
  <c r="D327" i="3"/>
  <c r="H332" i="3"/>
  <c r="L337" i="3"/>
  <c r="K292" i="3"/>
  <c r="I328" i="3"/>
  <c r="I335" i="3"/>
  <c r="I333" i="3"/>
  <c r="F330" i="3"/>
  <c r="J335" i="3"/>
  <c r="K328" i="3"/>
  <c r="O333" i="3"/>
  <c r="H327" i="3"/>
  <c r="L332" i="3"/>
  <c r="M329" i="3"/>
  <c r="M336" i="3"/>
  <c r="M334" i="3"/>
  <c r="J330" i="3"/>
  <c r="N335" i="3"/>
  <c r="O328" i="3"/>
  <c r="G334" i="3"/>
  <c r="L327" i="3"/>
  <c r="D333" i="3"/>
  <c r="M333" i="3"/>
  <c r="M338" i="3" s="1"/>
  <c r="M51" i="3" s="1"/>
  <c r="M58" i="3" s="1"/>
  <c r="I326" i="3"/>
  <c r="E336" i="3"/>
  <c r="N330" i="3"/>
  <c r="F336" i="3"/>
  <c r="G329" i="3"/>
  <c r="K334" i="3"/>
  <c r="D328" i="3"/>
  <c r="H333" i="3"/>
  <c r="F292" i="3"/>
  <c r="M327" i="3"/>
  <c r="F331" i="3"/>
  <c r="K329" i="3"/>
  <c r="H328" i="3"/>
  <c r="J293" i="3"/>
  <c r="E331" i="3"/>
  <c r="J331" i="3"/>
  <c r="G335" i="3"/>
  <c r="E293" i="3"/>
  <c r="I336" i="3"/>
  <c r="I330" i="3"/>
  <c r="J326" i="3"/>
  <c r="N331" i="3"/>
  <c r="F337" i="3"/>
  <c r="G330" i="3"/>
  <c r="K335" i="3"/>
  <c r="D329" i="3"/>
  <c r="H334" i="3"/>
  <c r="H289" i="3"/>
  <c r="O294" i="3"/>
  <c r="F296" i="3"/>
  <c r="K289" i="3"/>
  <c r="E335" i="3"/>
  <c r="I337" i="3"/>
  <c r="J336" i="3"/>
  <c r="O334" i="3"/>
  <c r="L333" i="3"/>
  <c r="H291" i="3"/>
  <c r="E329" i="3"/>
  <c r="N336" i="3"/>
  <c r="L328" i="3"/>
  <c r="D334" i="3"/>
  <c r="E291" i="3"/>
  <c r="E327" i="3"/>
  <c r="M331" i="3"/>
  <c r="N326" i="3"/>
  <c r="F332" i="3"/>
  <c r="J337" i="3"/>
  <c r="K330" i="3"/>
  <c r="K338" i="3" s="1"/>
  <c r="K51" i="3" s="1"/>
  <c r="K58" i="3" s="1"/>
  <c r="O335" i="3"/>
  <c r="H329" i="3"/>
  <c r="L334" i="3"/>
  <c r="D293" i="3"/>
  <c r="L296" i="3"/>
  <c r="J297" i="3"/>
  <c r="F326" i="3"/>
  <c r="O329" i="3"/>
  <c r="I332" i="3"/>
  <c r="E333" i="3"/>
  <c r="F327" i="3"/>
  <c r="J332" i="3"/>
  <c r="N337" i="3"/>
  <c r="O330" i="3"/>
  <c r="G336" i="3"/>
  <c r="L329" i="3"/>
  <c r="L338" i="3" s="1"/>
  <c r="L51" i="3" s="1"/>
  <c r="L58" i="3" s="1"/>
  <c r="I288" i="3"/>
  <c r="I298" i="3"/>
  <c r="N298" i="3"/>
  <c r="G298" i="3"/>
  <c r="I296" i="3"/>
  <c r="M294" i="3"/>
  <c r="G290" i="3"/>
  <c r="H297" i="3"/>
  <c r="E292" i="3"/>
  <c r="G299" i="3"/>
  <c r="K291" i="3"/>
  <c r="E295" i="3"/>
  <c r="L298" i="3"/>
  <c r="O289" i="3"/>
  <c r="I293" i="3"/>
  <c r="D297" i="3"/>
  <c r="G288" i="3"/>
  <c r="D290" i="3"/>
  <c r="M291" i="3"/>
  <c r="K293" i="3"/>
  <c r="H295" i="3"/>
  <c r="E297" i="3"/>
  <c r="O298" i="3"/>
  <c r="M288" i="3"/>
  <c r="K290" i="3"/>
  <c r="H292" i="3"/>
  <c r="E294" i="3"/>
  <c r="O295" i="3"/>
  <c r="L297" i="3"/>
  <c r="K299" i="3"/>
  <c r="J288" i="3"/>
  <c r="N289" i="3"/>
  <c r="F291" i="3"/>
  <c r="J292" i="3"/>
  <c r="N293" i="3"/>
  <c r="F295" i="3"/>
  <c r="J296" i="3"/>
  <c r="N297" i="3"/>
  <c r="F299" i="3"/>
  <c r="O292" i="3"/>
  <c r="I289" i="3"/>
  <c r="K296" i="3"/>
  <c r="D292" i="3"/>
  <c r="E299" i="3"/>
  <c r="O293" i="3"/>
  <c r="O288" i="3"/>
  <c r="I292" i="3"/>
  <c r="D296" i="3"/>
  <c r="L299" i="3"/>
  <c r="M290" i="3"/>
  <c r="H294" i="3"/>
  <c r="O297" i="3"/>
  <c r="L288" i="3"/>
  <c r="I290" i="3"/>
  <c r="G292" i="3"/>
  <c r="D294" i="3"/>
  <c r="M295" i="3"/>
  <c r="K297" i="3"/>
  <c r="H299" i="3"/>
  <c r="G289" i="3"/>
  <c r="D291" i="3"/>
  <c r="M292" i="3"/>
  <c r="K294" i="3"/>
  <c r="H296" i="3"/>
  <c r="E298" i="3"/>
  <c r="I299" i="3"/>
  <c r="N288" i="3"/>
  <c r="F290" i="3"/>
  <c r="J291" i="3"/>
  <c r="N292" i="3"/>
  <c r="F294" i="3"/>
  <c r="J295" i="3"/>
  <c r="N296" i="3"/>
  <c r="F298" i="3"/>
  <c r="J299" i="3"/>
  <c r="L294" i="3"/>
  <c r="G291" i="3"/>
  <c r="H298" i="3"/>
  <c r="M293" i="3"/>
  <c r="K288" i="3"/>
  <c r="L295" i="3"/>
  <c r="M289" i="3"/>
  <c r="H293" i="3"/>
  <c r="O296" i="3"/>
  <c r="E288" i="3"/>
  <c r="L291" i="3"/>
  <c r="G295" i="3"/>
  <c r="M298" i="3"/>
  <c r="E289" i="3"/>
  <c r="O290" i="3"/>
  <c r="L292" i="3"/>
  <c r="I294" i="3"/>
  <c r="G296" i="3"/>
  <c r="D298" i="3"/>
  <c r="D288" i="3"/>
  <c r="L289" i="3"/>
  <c r="I291" i="3"/>
  <c r="G293" i="3"/>
  <c r="D295" i="3"/>
  <c r="M296" i="3"/>
  <c r="K298" i="3"/>
  <c r="M299" i="3"/>
  <c r="F289" i="3"/>
  <c r="J290" i="3"/>
  <c r="N291" i="3"/>
  <c r="F293" i="3"/>
  <c r="J294" i="3"/>
  <c r="N295" i="3"/>
  <c r="F297" i="3"/>
  <c r="J298" i="3"/>
  <c r="O356" i="3"/>
  <c r="K356" i="3"/>
  <c r="G356" i="3"/>
  <c r="O355" i="3"/>
  <c r="K355" i="3"/>
  <c r="G355" i="3"/>
  <c r="O354" i="3"/>
  <c r="K354" i="3"/>
  <c r="G354" i="3"/>
  <c r="O353" i="3"/>
  <c r="K353" i="3"/>
  <c r="G353" i="3"/>
  <c r="O352" i="3"/>
  <c r="K352" i="3"/>
  <c r="G352" i="3"/>
  <c r="O351" i="3"/>
  <c r="K351" i="3"/>
  <c r="G351" i="3"/>
  <c r="O350" i="3"/>
  <c r="K350" i="3"/>
  <c r="G350" i="3"/>
  <c r="O349" i="3"/>
  <c r="K349" i="3"/>
  <c r="G349" i="3"/>
  <c r="O348" i="3"/>
  <c r="K348" i="3"/>
  <c r="G348" i="3"/>
  <c r="O347" i="3"/>
  <c r="K347" i="3"/>
  <c r="G347" i="3"/>
  <c r="O346" i="3"/>
  <c r="K346" i="3"/>
  <c r="G346" i="3"/>
  <c r="O345" i="3"/>
  <c r="K345" i="3"/>
  <c r="G345" i="3"/>
  <c r="D345" i="3"/>
  <c r="N356" i="3"/>
  <c r="J356" i="3"/>
  <c r="F356" i="3"/>
  <c r="N355" i="3"/>
  <c r="J355" i="3"/>
  <c r="F355" i="3"/>
  <c r="N354" i="3"/>
  <c r="J354" i="3"/>
  <c r="F354" i="3"/>
  <c r="N353" i="3"/>
  <c r="J353" i="3"/>
  <c r="F353" i="3"/>
  <c r="N352" i="3"/>
  <c r="J352" i="3"/>
  <c r="F352" i="3"/>
  <c r="N351" i="3"/>
  <c r="J351" i="3"/>
  <c r="F351" i="3"/>
  <c r="N350" i="3"/>
  <c r="J350" i="3"/>
  <c r="F350" i="3"/>
  <c r="N349" i="3"/>
  <c r="J349" i="3"/>
  <c r="F349" i="3"/>
  <c r="N348" i="3"/>
  <c r="J348" i="3"/>
  <c r="F348" i="3"/>
  <c r="N347" i="3"/>
  <c r="J347" i="3"/>
  <c r="F347" i="3"/>
  <c r="N346" i="3"/>
  <c r="J346" i="3"/>
  <c r="F346" i="3"/>
  <c r="N345" i="3"/>
  <c r="J345" i="3"/>
  <c r="F345" i="3"/>
  <c r="M356" i="3"/>
  <c r="I356" i="3"/>
  <c r="E356" i="3"/>
  <c r="M355" i="3"/>
  <c r="I355" i="3"/>
  <c r="E355" i="3"/>
  <c r="M354" i="3"/>
  <c r="I354" i="3"/>
  <c r="E354" i="3"/>
  <c r="M353" i="3"/>
  <c r="I353" i="3"/>
  <c r="E353" i="3"/>
  <c r="M352" i="3"/>
  <c r="I352" i="3"/>
  <c r="E352" i="3"/>
  <c r="M351" i="3"/>
  <c r="I351" i="3"/>
  <c r="E351" i="3"/>
  <c r="M350" i="3"/>
  <c r="I350" i="3"/>
  <c r="E350" i="3"/>
  <c r="M349" i="3"/>
  <c r="I349" i="3"/>
  <c r="E349" i="3"/>
  <c r="M348" i="3"/>
  <c r="I348" i="3"/>
  <c r="E348" i="3"/>
  <c r="M347" i="3"/>
  <c r="I347" i="3"/>
  <c r="E347" i="3"/>
  <c r="M346" i="3"/>
  <c r="I346" i="3"/>
  <c r="E346" i="3"/>
  <c r="M345" i="3"/>
  <c r="I345" i="3"/>
  <c r="E345" i="3"/>
  <c r="L356" i="3"/>
  <c r="H356" i="3"/>
  <c r="D356" i="3"/>
  <c r="L355" i="3"/>
  <c r="H355" i="3"/>
  <c r="D355" i="3"/>
  <c r="L354" i="3"/>
  <c r="H354" i="3"/>
  <c r="D354" i="3"/>
  <c r="L353" i="3"/>
  <c r="H353" i="3"/>
  <c r="D353" i="3"/>
  <c r="L352" i="3"/>
  <c r="H352" i="3"/>
  <c r="D352" i="3"/>
  <c r="L351" i="3"/>
  <c r="H351" i="3"/>
  <c r="D351" i="3"/>
  <c r="L350" i="3"/>
  <c r="H350" i="3"/>
  <c r="D350" i="3"/>
  <c r="L349" i="3"/>
  <c r="H349" i="3"/>
  <c r="D349" i="3"/>
  <c r="L348" i="3"/>
  <c r="H348" i="3"/>
  <c r="D348" i="3"/>
  <c r="L347" i="3"/>
  <c r="H347" i="3"/>
  <c r="D347" i="3"/>
  <c r="L346" i="3"/>
  <c r="H346" i="3"/>
  <c r="D346" i="3"/>
  <c r="L345" i="3"/>
  <c r="H345" i="3"/>
  <c r="L318" i="3"/>
  <c r="H318" i="3"/>
  <c r="D318" i="3"/>
  <c r="O318" i="3"/>
  <c r="K318" i="3"/>
  <c r="G318" i="3"/>
  <c r="O317" i="3"/>
  <c r="I318" i="3"/>
  <c r="M317" i="3"/>
  <c r="I317" i="3"/>
  <c r="E317" i="3"/>
  <c r="M316" i="3"/>
  <c r="I316" i="3"/>
  <c r="E316" i="3"/>
  <c r="M315" i="3"/>
  <c r="I315" i="3"/>
  <c r="E315" i="3"/>
  <c r="M314" i="3"/>
  <c r="I314" i="3"/>
  <c r="E314" i="3"/>
  <c r="M313" i="3"/>
  <c r="I313" i="3"/>
  <c r="E313" i="3"/>
  <c r="M312" i="3"/>
  <c r="I312" i="3"/>
  <c r="E312" i="3"/>
  <c r="M311" i="3"/>
  <c r="I311" i="3"/>
  <c r="E311" i="3"/>
  <c r="M310" i="3"/>
  <c r="I310" i="3"/>
  <c r="E310" i="3"/>
  <c r="M309" i="3"/>
  <c r="I309" i="3"/>
  <c r="E309" i="3"/>
  <c r="M308" i="3"/>
  <c r="I308" i="3"/>
  <c r="E308" i="3"/>
  <c r="M307" i="3"/>
  <c r="I307" i="3"/>
  <c r="E307" i="3"/>
  <c r="N318" i="3"/>
  <c r="F318" i="3"/>
  <c r="L317" i="3"/>
  <c r="H317" i="3"/>
  <c r="D317" i="3"/>
  <c r="L316" i="3"/>
  <c r="H316" i="3"/>
  <c r="D316" i="3"/>
  <c r="L315" i="3"/>
  <c r="H315" i="3"/>
  <c r="D315" i="3"/>
  <c r="L314" i="3"/>
  <c r="H314" i="3"/>
  <c r="D314" i="3"/>
  <c r="L313" i="3"/>
  <c r="H313" i="3"/>
  <c r="D313" i="3"/>
  <c r="L312" i="3"/>
  <c r="H312" i="3"/>
  <c r="D312" i="3"/>
  <c r="L311" i="3"/>
  <c r="H311" i="3"/>
  <c r="D311" i="3"/>
  <c r="L310" i="3"/>
  <c r="H310" i="3"/>
  <c r="D310" i="3"/>
  <c r="L309" i="3"/>
  <c r="H309" i="3"/>
  <c r="D309" i="3"/>
  <c r="L308" i="3"/>
  <c r="H308" i="3"/>
  <c r="D308" i="3"/>
  <c r="L307" i="3"/>
  <c r="H307" i="3"/>
  <c r="M318" i="3"/>
  <c r="E318" i="3"/>
  <c r="K317" i="3"/>
  <c r="G317" i="3"/>
  <c r="O316" i="3"/>
  <c r="K316" i="3"/>
  <c r="G316" i="3"/>
  <c r="O315" i="3"/>
  <c r="K315" i="3"/>
  <c r="G315" i="3"/>
  <c r="O314" i="3"/>
  <c r="K314" i="3"/>
  <c r="G314" i="3"/>
  <c r="O313" i="3"/>
  <c r="K313" i="3"/>
  <c r="G313" i="3"/>
  <c r="O312" i="3"/>
  <c r="K312" i="3"/>
  <c r="G312" i="3"/>
  <c r="O311" i="3"/>
  <c r="K311" i="3"/>
  <c r="G311" i="3"/>
  <c r="O310" i="3"/>
  <c r="K310" i="3"/>
  <c r="G310" i="3"/>
  <c r="O309" i="3"/>
  <c r="K309" i="3"/>
  <c r="G309" i="3"/>
  <c r="O308" i="3"/>
  <c r="K308" i="3"/>
  <c r="G308" i="3"/>
  <c r="O307" i="3"/>
  <c r="K307" i="3"/>
  <c r="G307" i="3"/>
  <c r="D307" i="3"/>
  <c r="N317" i="3"/>
  <c r="J316" i="3"/>
  <c r="F315" i="3"/>
  <c r="N313" i="3"/>
  <c r="J312" i="3"/>
  <c r="F311" i="3"/>
  <c r="N309" i="3"/>
  <c r="J308" i="3"/>
  <c r="F307" i="3"/>
  <c r="J317" i="3"/>
  <c r="F316" i="3"/>
  <c r="N314" i="3"/>
  <c r="J313" i="3"/>
  <c r="F312" i="3"/>
  <c r="N310" i="3"/>
  <c r="J309" i="3"/>
  <c r="F308" i="3"/>
  <c r="N315" i="3"/>
  <c r="F313" i="3"/>
  <c r="J310" i="3"/>
  <c r="N307" i="3"/>
  <c r="J318" i="3"/>
  <c r="J315" i="3"/>
  <c r="N312" i="3"/>
  <c r="F310" i="3"/>
  <c r="J307" i="3"/>
  <c r="J314" i="3"/>
  <c r="F309" i="3"/>
  <c r="F314" i="3"/>
  <c r="N308" i="3"/>
  <c r="F317" i="3"/>
  <c r="N311" i="3"/>
  <c r="N316" i="3"/>
  <c r="J311" i="3"/>
  <c r="L280" i="3"/>
  <c r="H280" i="3"/>
  <c r="D280" i="3"/>
  <c r="L279" i="3"/>
  <c r="H279" i="3"/>
  <c r="D279" i="3"/>
  <c r="L278" i="3"/>
  <c r="H278" i="3"/>
  <c r="D278" i="3"/>
  <c r="L277" i="3"/>
  <c r="H277" i="3"/>
  <c r="D277" i="3"/>
  <c r="L276" i="3"/>
  <c r="H276" i="3"/>
  <c r="D276" i="3"/>
  <c r="L275" i="3"/>
  <c r="H275" i="3"/>
  <c r="D275" i="3"/>
  <c r="L274" i="3"/>
  <c r="H274" i="3"/>
  <c r="D274" i="3"/>
  <c r="L273" i="3"/>
  <c r="H273" i="3"/>
  <c r="D273" i="3"/>
  <c r="L272" i="3"/>
  <c r="H272" i="3"/>
  <c r="D272" i="3"/>
  <c r="L271" i="3"/>
  <c r="H271" i="3"/>
  <c r="D271" i="3"/>
  <c r="L270" i="3"/>
  <c r="H270" i="3"/>
  <c r="D270" i="3"/>
  <c r="L269" i="3"/>
  <c r="H269" i="3"/>
  <c r="O280" i="3"/>
  <c r="K280" i="3"/>
  <c r="G280" i="3"/>
  <c r="O279" i="3"/>
  <c r="K279" i="3"/>
  <c r="G279" i="3"/>
  <c r="O278" i="3"/>
  <c r="K278" i="3"/>
  <c r="G278" i="3"/>
  <c r="O277" i="3"/>
  <c r="K277" i="3"/>
  <c r="G277" i="3"/>
  <c r="O276" i="3"/>
  <c r="K276" i="3"/>
  <c r="G276" i="3"/>
  <c r="O275" i="3"/>
  <c r="K275" i="3"/>
  <c r="G275" i="3"/>
  <c r="O274" i="3"/>
  <c r="K274" i="3"/>
  <c r="G274" i="3"/>
  <c r="O273" i="3"/>
  <c r="K273" i="3"/>
  <c r="G273" i="3"/>
  <c r="O272" i="3"/>
  <c r="K272" i="3"/>
  <c r="G272" i="3"/>
  <c r="O271" i="3"/>
  <c r="K271" i="3"/>
  <c r="G271" i="3"/>
  <c r="O270" i="3"/>
  <c r="K270" i="3"/>
  <c r="G270" i="3"/>
  <c r="O269" i="3"/>
  <c r="K269" i="3"/>
  <c r="G269" i="3"/>
  <c r="D269" i="3"/>
  <c r="N280" i="3"/>
  <c r="F280" i="3"/>
  <c r="J279" i="3"/>
  <c r="N278" i="3"/>
  <c r="F278" i="3"/>
  <c r="J277" i="3"/>
  <c r="N276" i="3"/>
  <c r="F276" i="3"/>
  <c r="J275" i="3"/>
  <c r="N274" i="3"/>
  <c r="F274" i="3"/>
  <c r="J273" i="3"/>
  <c r="N272" i="3"/>
  <c r="F272" i="3"/>
  <c r="J271" i="3"/>
  <c r="N270" i="3"/>
  <c r="F270" i="3"/>
  <c r="J269" i="3"/>
  <c r="M280" i="3"/>
  <c r="E280" i="3"/>
  <c r="I279" i="3"/>
  <c r="M278" i="3"/>
  <c r="E278" i="3"/>
  <c r="I277" i="3"/>
  <c r="M276" i="3"/>
  <c r="E276" i="3"/>
  <c r="I275" i="3"/>
  <c r="M274" i="3"/>
  <c r="E274" i="3"/>
  <c r="I273" i="3"/>
  <c r="M272" i="3"/>
  <c r="E272" i="3"/>
  <c r="I271" i="3"/>
  <c r="M270" i="3"/>
  <c r="E270" i="3"/>
  <c r="I269" i="3"/>
  <c r="N279" i="3"/>
  <c r="J278" i="3"/>
  <c r="F277" i="3"/>
  <c r="N275" i="3"/>
  <c r="J274" i="3"/>
  <c r="F273" i="3"/>
  <c r="N271" i="3"/>
  <c r="J270" i="3"/>
  <c r="F269" i="3"/>
  <c r="M279" i="3"/>
  <c r="I278" i="3"/>
  <c r="E277" i="3"/>
  <c r="M275" i="3"/>
  <c r="I274" i="3"/>
  <c r="E273" i="3"/>
  <c r="M271" i="3"/>
  <c r="I270" i="3"/>
  <c r="E269" i="3"/>
  <c r="J280" i="3"/>
  <c r="F279" i="3"/>
  <c r="N277" i="3"/>
  <c r="J276" i="3"/>
  <c r="F275" i="3"/>
  <c r="N273" i="3"/>
  <c r="J272" i="3"/>
  <c r="F271" i="3"/>
  <c r="N269" i="3"/>
  <c r="M277" i="3"/>
  <c r="I272" i="3"/>
  <c r="I276" i="3"/>
  <c r="E271" i="3"/>
  <c r="I280" i="3"/>
  <c r="E275" i="3"/>
  <c r="M269" i="3"/>
  <c r="E279" i="3"/>
  <c r="M273" i="3"/>
  <c r="Z22" i="3"/>
  <c r="Z18" i="3"/>
  <c r="Z14" i="3"/>
  <c r="Z20" i="3"/>
  <c r="Z16" i="3"/>
  <c r="Z21" i="3"/>
  <c r="Z17" i="3"/>
  <c r="Z13" i="3"/>
  <c r="Z19" i="3"/>
  <c r="Z15" i="3"/>
  <c r="Z12" i="3"/>
  <c r="Z23" i="3"/>
  <c r="N338" i="3" l="1"/>
  <c r="N51" i="3" s="1"/>
  <c r="N58" i="3" s="1"/>
  <c r="H338" i="3"/>
  <c r="H51" i="3" s="1"/>
  <c r="H58" i="3" s="1"/>
  <c r="G338" i="3"/>
  <c r="G51" i="3" s="1"/>
  <c r="G58" i="3" s="1"/>
  <c r="J338" i="3"/>
  <c r="J51" i="3" s="1"/>
  <c r="J58" i="3" s="1"/>
  <c r="F300" i="3"/>
  <c r="F49" i="3" s="1"/>
  <c r="F56" i="3" s="1"/>
  <c r="E338" i="3"/>
  <c r="E51" i="3" s="1"/>
  <c r="E58" i="3" s="1"/>
  <c r="G300" i="3"/>
  <c r="G49" i="3" s="1"/>
  <c r="G56" i="3" s="1"/>
  <c r="I338" i="3"/>
  <c r="I51" i="3" s="1"/>
  <c r="I58" i="3" s="1"/>
  <c r="F338" i="3"/>
  <c r="F51" i="3" s="1"/>
  <c r="F58" i="3" s="1"/>
  <c r="D300" i="3"/>
  <c r="D49" i="3" s="1"/>
  <c r="D56" i="3" s="1"/>
  <c r="K319" i="3"/>
  <c r="K50" i="3" s="1"/>
  <c r="K57" i="3" s="1"/>
  <c r="I319" i="3"/>
  <c r="I50" i="3" s="1"/>
  <c r="I57" i="3" s="1"/>
  <c r="H300" i="3"/>
  <c r="H49" i="3" s="1"/>
  <c r="H56" i="3" s="1"/>
  <c r="N281" i="3"/>
  <c r="N48" i="3" s="1"/>
  <c r="N55" i="3" s="1"/>
  <c r="G281" i="3"/>
  <c r="G48" i="3" s="1"/>
  <c r="G55" i="3" s="1"/>
  <c r="H281" i="3"/>
  <c r="H48" i="3" s="1"/>
  <c r="H55" i="3" s="1"/>
  <c r="L300" i="3"/>
  <c r="L49" i="3" s="1"/>
  <c r="L56" i="3" s="1"/>
  <c r="K300" i="3"/>
  <c r="K49" i="3" s="1"/>
  <c r="K56" i="3" s="1"/>
  <c r="O300" i="3"/>
  <c r="O49" i="3" s="1"/>
  <c r="O56" i="3" s="1"/>
  <c r="E300" i="3"/>
  <c r="E49" i="3" s="1"/>
  <c r="E56" i="3" s="1"/>
  <c r="L357" i="3"/>
  <c r="L52" i="3" s="1"/>
  <c r="L59" i="3" s="1"/>
  <c r="M357" i="3"/>
  <c r="M52" i="3" s="1"/>
  <c r="M59" i="3" s="1"/>
  <c r="N357" i="3"/>
  <c r="N52" i="3" s="1"/>
  <c r="N59" i="3" s="1"/>
  <c r="K357" i="3"/>
  <c r="K52" i="3" s="1"/>
  <c r="K59" i="3" s="1"/>
  <c r="I300" i="3"/>
  <c r="I49" i="3" s="1"/>
  <c r="I56" i="3" s="1"/>
  <c r="M300" i="3"/>
  <c r="M49" i="3" s="1"/>
  <c r="M56" i="3" s="1"/>
  <c r="J300" i="3"/>
  <c r="J49" i="3" s="1"/>
  <c r="J56" i="3" s="1"/>
  <c r="N300" i="3"/>
  <c r="N49" i="3" s="1"/>
  <c r="N56" i="3" s="1"/>
  <c r="M281" i="3"/>
  <c r="M48" i="3" s="1"/>
  <c r="M55" i="3" s="1"/>
  <c r="E281" i="3"/>
  <c r="E48" i="3" s="1"/>
  <c r="E55" i="3" s="1"/>
  <c r="J281" i="3"/>
  <c r="J48" i="3" s="1"/>
  <c r="J55" i="3" s="1"/>
  <c r="K281" i="3"/>
  <c r="K48" i="3" s="1"/>
  <c r="K55" i="3" s="1"/>
  <c r="L281" i="3"/>
  <c r="L48" i="3" s="1"/>
  <c r="L55" i="3" s="1"/>
  <c r="N319" i="3"/>
  <c r="N50" i="3" s="1"/>
  <c r="N57" i="3" s="1"/>
  <c r="F319" i="3"/>
  <c r="F50" i="3" s="1"/>
  <c r="F57" i="3" s="1"/>
  <c r="O319" i="3"/>
  <c r="O50" i="3" s="1"/>
  <c r="O57" i="3" s="1"/>
  <c r="H319" i="3"/>
  <c r="H50" i="3" s="1"/>
  <c r="H57" i="3" s="1"/>
  <c r="M319" i="3"/>
  <c r="M50" i="3" s="1"/>
  <c r="M57" i="3" s="1"/>
  <c r="O357" i="3"/>
  <c r="O52" i="3" s="1"/>
  <c r="O59" i="3" s="1"/>
  <c r="F281" i="3"/>
  <c r="F48" i="3" s="1"/>
  <c r="F55" i="3" s="1"/>
  <c r="O281" i="3"/>
  <c r="O48" i="3" s="1"/>
  <c r="O55" i="3" s="1"/>
  <c r="D319" i="3"/>
  <c r="D50" i="3" s="1"/>
  <c r="D57" i="3" s="1"/>
  <c r="L319" i="3"/>
  <c r="L50" i="3" s="1"/>
  <c r="L57" i="3" s="1"/>
  <c r="E357" i="3"/>
  <c r="E52" i="3" s="1"/>
  <c r="E59" i="3" s="1"/>
  <c r="F357" i="3"/>
  <c r="F52" i="3" s="1"/>
  <c r="F59" i="3" s="1"/>
  <c r="D357" i="3"/>
  <c r="D52" i="3" s="1"/>
  <c r="D59" i="3" s="1"/>
  <c r="I281" i="3"/>
  <c r="I48" i="3" s="1"/>
  <c r="I55" i="3" s="1"/>
  <c r="D281" i="3"/>
  <c r="D48" i="3" s="1"/>
  <c r="D55" i="3" s="1"/>
  <c r="G319" i="3"/>
  <c r="G50" i="3" s="1"/>
  <c r="G57" i="3" s="1"/>
  <c r="E319" i="3"/>
  <c r="E50" i="3" s="1"/>
  <c r="E57" i="3" s="1"/>
  <c r="H357" i="3"/>
  <c r="H52" i="3" s="1"/>
  <c r="H59" i="3" s="1"/>
  <c r="I357" i="3"/>
  <c r="I52" i="3" s="1"/>
  <c r="I59" i="3" s="1"/>
  <c r="J357" i="3"/>
  <c r="J52" i="3" s="1"/>
  <c r="J59" i="3" s="1"/>
  <c r="G357" i="3"/>
  <c r="G52" i="3" s="1"/>
  <c r="G59" i="3" s="1"/>
  <c r="J319" i="3"/>
  <c r="J50" i="3" s="1"/>
  <c r="J57" i="3" s="1"/>
  <c r="G83" i="3" l="1"/>
  <c r="G96" i="3"/>
  <c r="G85" i="3"/>
  <c r="G92" i="3"/>
  <c r="G86" i="3"/>
  <c r="G87" i="3"/>
  <c r="G89" i="3"/>
  <c r="G90" i="3"/>
  <c r="G91" i="3"/>
  <c r="G93" i="3"/>
  <c r="G84" i="3"/>
  <c r="G94" i="3"/>
  <c r="G95" i="3"/>
  <c r="G97" i="3"/>
  <c r="G88" i="3"/>
  <c r="G98" i="3"/>
  <c r="M93" i="3"/>
  <c r="M95" i="3"/>
  <c r="M87" i="3"/>
  <c r="M96" i="3"/>
  <c r="M97" i="3"/>
  <c r="M89" i="3"/>
  <c r="M94" i="3"/>
  <c r="M86" i="3"/>
  <c r="M83" i="3"/>
  <c r="M84" i="3"/>
  <c r="M98" i="3"/>
  <c r="M85" i="3"/>
  <c r="M90" i="3"/>
  <c r="M88" i="3"/>
  <c r="M91" i="3"/>
  <c r="M92" i="3"/>
  <c r="O83" i="3"/>
  <c r="O84" i="3"/>
  <c r="O85" i="3"/>
  <c r="O98" i="3"/>
  <c r="O87" i="3"/>
  <c r="O90" i="3"/>
  <c r="O88" i="3"/>
  <c r="O97" i="3"/>
  <c r="O89" i="3"/>
  <c r="O91" i="3"/>
  <c r="O92" i="3"/>
  <c r="O93" i="3"/>
  <c r="O95" i="3"/>
  <c r="O86" i="3"/>
  <c r="O96" i="3"/>
  <c r="O94" i="3"/>
  <c r="J89" i="3"/>
  <c r="J83" i="3"/>
  <c r="J84" i="3"/>
  <c r="J93" i="3"/>
  <c r="J86" i="3"/>
  <c r="J97" i="3"/>
  <c r="J87" i="3"/>
  <c r="J95" i="3"/>
  <c r="J88" i="3"/>
  <c r="J90" i="3"/>
  <c r="J91" i="3"/>
  <c r="J92" i="3"/>
  <c r="J94" i="3"/>
  <c r="J96" i="3"/>
  <c r="J98" i="3"/>
  <c r="J85" i="3"/>
  <c r="N86" i="3"/>
  <c r="N92" i="3"/>
  <c r="N98" i="3"/>
  <c r="N90" i="3"/>
  <c r="N83" i="3"/>
  <c r="N93" i="3"/>
  <c r="N84" i="3"/>
  <c r="N85" i="3"/>
  <c r="N94" i="3"/>
  <c r="N87" i="3"/>
  <c r="N88" i="3"/>
  <c r="N89" i="3"/>
  <c r="N91" i="3"/>
  <c r="N95" i="3"/>
  <c r="N96" i="3"/>
  <c r="N97" i="3"/>
  <c r="H88" i="3"/>
  <c r="H89" i="3"/>
  <c r="H90" i="3"/>
  <c r="H91" i="3"/>
  <c r="H92" i="3"/>
  <c r="H93" i="3"/>
  <c r="H85" i="3"/>
  <c r="H94" i="3"/>
  <c r="H97" i="3"/>
  <c r="H95" i="3"/>
  <c r="H96" i="3"/>
  <c r="H98" i="3"/>
  <c r="H83" i="3"/>
  <c r="H84" i="3"/>
  <c r="H86" i="3"/>
  <c r="H87" i="3"/>
  <c r="D89" i="3"/>
  <c r="D90" i="3"/>
  <c r="D91" i="3"/>
  <c r="D92" i="3"/>
  <c r="D85" i="3"/>
  <c r="D93" i="3"/>
  <c r="D96" i="3"/>
  <c r="D94" i="3"/>
  <c r="D84" i="3"/>
  <c r="D95" i="3"/>
  <c r="D97" i="3"/>
  <c r="D98" i="3"/>
  <c r="D83" i="3"/>
  <c r="D86" i="3"/>
  <c r="D87" i="3"/>
  <c r="D88" i="3"/>
  <c r="L88" i="3"/>
  <c r="L89" i="3"/>
  <c r="L90" i="3"/>
  <c r="L84" i="3"/>
  <c r="L91" i="3"/>
  <c r="L92" i="3"/>
  <c r="L83" i="3"/>
  <c r="L93" i="3"/>
  <c r="L94" i="3"/>
  <c r="L95" i="3"/>
  <c r="L96" i="3"/>
  <c r="L97" i="3"/>
  <c r="L98" i="3"/>
  <c r="L85" i="3"/>
  <c r="L86" i="3"/>
  <c r="L87" i="3"/>
  <c r="F88" i="3"/>
  <c r="F96" i="3"/>
  <c r="F94" i="3"/>
  <c r="F95" i="3"/>
  <c r="F83" i="3"/>
  <c r="F92" i="3"/>
  <c r="F85" i="3"/>
  <c r="F86" i="3"/>
  <c r="F87" i="3"/>
  <c r="F89" i="3"/>
  <c r="F90" i="3"/>
  <c r="F91" i="3"/>
  <c r="F93" i="3"/>
  <c r="F97" i="3"/>
  <c r="F84" i="3"/>
  <c r="F98" i="3"/>
  <c r="K83" i="3"/>
  <c r="K84" i="3"/>
  <c r="K86" i="3"/>
  <c r="K87" i="3"/>
  <c r="K89" i="3"/>
  <c r="K88" i="3"/>
  <c r="K90" i="3"/>
  <c r="K91" i="3"/>
  <c r="K92" i="3"/>
  <c r="K97" i="3"/>
  <c r="K94" i="3"/>
  <c r="K85" i="3"/>
  <c r="K95" i="3"/>
  <c r="K96" i="3"/>
  <c r="K98" i="3"/>
  <c r="K93" i="3"/>
  <c r="E96" i="3"/>
  <c r="E94" i="3"/>
  <c r="E95" i="3"/>
  <c r="E97" i="3"/>
  <c r="E98" i="3"/>
  <c r="E87" i="3"/>
  <c r="E92" i="3"/>
  <c r="E84" i="3"/>
  <c r="E89" i="3"/>
  <c r="E83" i="3"/>
  <c r="E88" i="3"/>
  <c r="E85" i="3"/>
  <c r="E86" i="3"/>
  <c r="E90" i="3"/>
  <c r="E91" i="3"/>
  <c r="E93" i="3"/>
  <c r="I94" i="3"/>
  <c r="I95" i="3"/>
  <c r="I88" i="3"/>
  <c r="I93" i="3"/>
  <c r="I96" i="3"/>
  <c r="I98" i="3"/>
  <c r="I97" i="3"/>
  <c r="I85" i="3"/>
  <c r="I87" i="3"/>
  <c r="I83" i="3"/>
  <c r="I84" i="3"/>
  <c r="I89" i="3"/>
  <c r="I86" i="3"/>
  <c r="I90" i="3"/>
  <c r="I91" i="3"/>
  <c r="I92" i="3"/>
</calcChain>
</file>

<file path=xl/sharedStrings.xml><?xml version="1.0" encoding="utf-8"?>
<sst xmlns="http://schemas.openxmlformats.org/spreadsheetml/2006/main" count="348" uniqueCount="110">
  <si>
    <t>Tablas insumo producto 12 actividades</t>
  </si>
  <si>
    <t>Índice de cuadros</t>
  </si>
  <si>
    <t>No.</t>
  </si>
  <si>
    <t>Cuadro</t>
  </si>
  <si>
    <t>Matriz de insumo producto doméstica a precio básico</t>
  </si>
  <si>
    <t>Matriz de coeficientes directos</t>
  </si>
  <si>
    <t>Matriz de coeficientes directos e indirectos (matriz inversa de Leontief)</t>
  </si>
  <si>
    <t>Listado a 12 actividades</t>
  </si>
  <si>
    <t>Código de actividad económica 2013</t>
  </si>
  <si>
    <t>Agropecuario-silvícola y Pesca</t>
  </si>
  <si>
    <t>Minería</t>
  </si>
  <si>
    <t>Industria manufacturera</t>
  </si>
  <si>
    <t>Electricidad, gas, agua y gestión de desechos</t>
  </si>
  <si>
    <t>Construcción</t>
  </si>
  <si>
    <t>Comercio, hoteles y restaurantes</t>
  </si>
  <si>
    <t>Transporte, comunicaciones y servicios de información</t>
  </si>
  <si>
    <t>Intermediación financiera</t>
  </si>
  <si>
    <t>Servicios inmobiliarios y de vivienda</t>
  </si>
  <si>
    <t>Servicios empresariales</t>
  </si>
  <si>
    <t>Servicios personales</t>
  </si>
  <si>
    <t>Administración pública</t>
  </si>
  <si>
    <t>Matriz de insumo-producto</t>
  </si>
  <si>
    <t>Doméstica a precio básico, actividad por actividad</t>
  </si>
  <si>
    <t>Supuesto: estructura de ventas fija por producto</t>
  </si>
  <si>
    <t>(miles de millones de pesos de 2022)</t>
  </si>
  <si>
    <t>Actividad</t>
  </si>
  <si>
    <t>Consumo de hogares</t>
  </si>
  <si>
    <t>Consumo  de IPSFL</t>
  </si>
  <si>
    <t>Consumo de gobierno</t>
  </si>
  <si>
    <t>Formación bruta de capital fijo</t>
  </si>
  <si>
    <t>Variación de existencias</t>
  </si>
  <si>
    <t>Exportaciones</t>
  </si>
  <si>
    <t>Producción precio básico</t>
  </si>
  <si>
    <t>Shares HH FD</t>
  </si>
  <si>
    <t>Compensation of Employees FD</t>
  </si>
  <si>
    <t>Compensation of employees output</t>
  </si>
  <si>
    <t>Total</t>
  </si>
  <si>
    <t xml:space="preserve">Importaciones precios cif </t>
  </si>
  <si>
    <t>Impuestos sobre productos</t>
  </si>
  <si>
    <t>Derechos de importación</t>
  </si>
  <si>
    <t xml:space="preserve">Valor agregado </t>
  </si>
  <si>
    <t>Remuneraciones de asalariados</t>
  </si>
  <si>
    <t>Excedente bruto de explotación</t>
  </si>
  <si>
    <t>Impuestos netos sobre la producción</t>
  </si>
  <si>
    <t xml:space="preserve">Matriz de coeficientes directos e indirectos </t>
  </si>
  <si>
    <t>(Matriz inversa de Leontief)</t>
  </si>
  <si>
    <t>region_code</t>
  </si>
  <si>
    <t>Región</t>
  </si>
  <si>
    <t>I01_Agropecuario-silvícola y Pesca</t>
  </si>
  <si>
    <t>I02_Minería</t>
  </si>
  <si>
    <t>I03_Industria manufacturera</t>
  </si>
  <si>
    <t>I04_Electricidad, gas, agua y gestión de desechos</t>
  </si>
  <si>
    <t>I05_Construcción</t>
  </si>
  <si>
    <t>I06_Comercio, hoteles y restaurantes</t>
  </si>
  <si>
    <t>I07_Transporte, comunicaciones y servicios de información</t>
  </si>
  <si>
    <t>I08_Intermediación financiera</t>
  </si>
  <si>
    <t>I09_Servicios inmobiliarios y de vivienda</t>
  </si>
  <si>
    <t>I10_Servicios empresariales</t>
  </si>
  <si>
    <t>I11_Servicios personales</t>
  </si>
  <si>
    <t>I12_Administración pública</t>
  </si>
  <si>
    <t>AI</t>
  </si>
  <si>
    <t>Región de Aysén del General Carlos Ibáñez del Campo (AI)</t>
  </si>
  <si>
    <t>AN</t>
  </si>
  <si>
    <t>Región de Antofagasta (AN)</t>
  </si>
  <si>
    <t>AP</t>
  </si>
  <si>
    <t>Región de Arica y Parinacota (AP)</t>
  </si>
  <si>
    <t>AR</t>
  </si>
  <si>
    <t>Región de La Araucanía (AR)</t>
  </si>
  <si>
    <t>AT</t>
  </si>
  <si>
    <t>Región de Atacama (AT)</t>
  </si>
  <si>
    <t>BI</t>
  </si>
  <si>
    <t>Región del Biobío (BI)</t>
  </si>
  <si>
    <t>CO</t>
  </si>
  <si>
    <t>Región de Coquimbo (CO)</t>
  </si>
  <si>
    <t>LI</t>
  </si>
  <si>
    <t>Región del Libertador General Bernardo O'Higgins (LI)</t>
  </si>
  <si>
    <t>LL</t>
  </si>
  <si>
    <t>Región de Los Lagos (LL)</t>
  </si>
  <si>
    <t>LR</t>
  </si>
  <si>
    <t>Región de Los Ríos (LR)</t>
  </si>
  <si>
    <t>MA</t>
  </si>
  <si>
    <t>Región de Magallanes y de la Antártica Chilena (MA)</t>
  </si>
  <si>
    <t>ML</t>
  </si>
  <si>
    <t>Región del Maule (ML)</t>
  </si>
  <si>
    <t>NB</t>
  </si>
  <si>
    <t>Región del Ñuble (NB)</t>
  </si>
  <si>
    <t>RM</t>
  </si>
  <si>
    <t>Región Metropolitana de Santiago (RM)</t>
  </si>
  <si>
    <t>TA</t>
  </si>
  <si>
    <t>Región de Tarapacá (TA)</t>
  </si>
  <si>
    <t>VA</t>
  </si>
  <si>
    <t>Región de Valparaíso (VA)</t>
  </si>
  <si>
    <t>Regional employment</t>
  </si>
  <si>
    <t>Coeficientes</t>
  </si>
  <si>
    <t>Requerimientos directos e indirectos</t>
  </si>
  <si>
    <t>Multiplicadores 1 a 1</t>
  </si>
  <si>
    <t>Coeficientes regionales</t>
  </si>
  <si>
    <t>Cálculos</t>
  </si>
  <si>
    <t>Matriz de coeficientes técnicos</t>
  </si>
  <si>
    <t>Matriz identidad</t>
  </si>
  <si>
    <t>Matriz (I-A)</t>
  </si>
  <si>
    <t>Matriz de Leontief ( I - A ) ^ ( -1 )</t>
  </si>
  <si>
    <t>Diagonal Valor Agregado</t>
  </si>
  <si>
    <t>Diagonal compensación de empleados</t>
  </si>
  <si>
    <t>Diagonal de excedente bruto</t>
  </si>
  <si>
    <t>Diagonal de impuestos</t>
  </si>
  <si>
    <t>Diagonal de empleo</t>
  </si>
  <si>
    <t>Valor Agregado</t>
  </si>
  <si>
    <t>Empleo</t>
  </si>
  <si>
    <t>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</si>
</sst>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_-* #,##0\ _D_M_-;\-* #,##0\ _D_M_-;_-* &quot;- &quot;_D_M_-;_-@_-"/>
    <numFmt numFmtId="165" formatCode="_-* #,##0.00\ _D_M_-;\-* #,##0.00\ _D_M_-;_-* \-??\ _D_M_-;_-@_-"/>
    <numFmt numFmtId="166" formatCode="#,"/>
    <numFmt numFmtId="167" formatCode="_([$€]* #,##0.00_);_([$€]* \(#,##0.00\);_([$€]* \-??_);_(@_)"/>
    <numFmt numFmtId="168" formatCode="_(\€* #,##0.00_);_(\€* \(#,##0.00\);_(\€* \-??_);_(@_)"/>
    <numFmt numFmtId="169" formatCode="_-[$€-2]\ * #,##0.00_-;\-[$€-2]\ * #,##0.00_-;_-[$€-2]\ * \-??_-"/>
    <numFmt numFmtId="170" formatCode="_-[$€-2]* #,##0.00_-;\-[$€-2]* #,##0.00_-;_-[$€-2]* \-??_-"/>
    <numFmt numFmtId="171" formatCode="_-* #,##0.00\ [$€]_-;\-* #,##0.00\ [$€]_-;_-* \-??\ [$€]_-;_-@_-"/>
    <numFmt numFmtId="172" formatCode="_-* #,##0.00&quot; €&quot;_-;\-* #,##0.00&quot; €&quot;_-;_-* \-??&quot; €&quot;_-;_-@_-"/>
    <numFmt numFmtId="173" formatCode="#.##0"/>
    <numFmt numFmtId="174" formatCode="#,#00"/>
    <numFmt numFmtId="175" formatCode="#.##000"/>
    <numFmt numFmtId="176" formatCode="_-* #,##0.00_-;\-* #,##0.00_-;_-* \-??_-;_-@_-"/>
    <numFmt numFmtId="177" formatCode="_-* #,##0.00\ _P_t_s_-;\-* #,##0.00\ _P_t_s_-;_-* \-??\ _P_t_s_-;_-@_-"/>
    <numFmt numFmtId="178" formatCode="_-* #,##0.0\ _€_-;\-* #,##0.0\ _€_-;_-* \-?\ _€_-;_-@_-"/>
    <numFmt numFmtId="179" formatCode="_-* #,##0.00\ _€_-;\-* #,##0.00\ _€_-;_-* \-??\ _€_-;_-@_-"/>
    <numFmt numFmtId="180" formatCode="#,##0.0"/>
    <numFmt numFmtId="181" formatCode="_(* #,##0.00_);_(* \(#,##0.00\);_(* \-??_);_(@_)"/>
    <numFmt numFmtId="182" formatCode="_-* #,##0.00\ _p_t_a_-;\-* #,##0.00\ _p_t_a_-;_-* \-??\ _p_t_a_-;_-@_-"/>
    <numFmt numFmtId="183" formatCode="_-* #,##0_-;\-* #,##0_-;_-* \-??_-;_-@_-"/>
    <numFmt numFmtId="184" formatCode="#,##0.00&quot; Pts&quot;;\-#,##0.00&quot; Pts&quot;"/>
    <numFmt numFmtId="185" formatCode="#,##0&quot; Pts&quot;;[Red]\-#,##0&quot; Pts&quot;"/>
    <numFmt numFmtId="186" formatCode="_-* #,##0_-;\-* #,##0_-;_-* \-_-;_-@_-"/>
    <numFmt numFmtId="187" formatCode="\$#,#00"/>
    <numFmt numFmtId="188" formatCode="_-* #,##0&quot; DM&quot;_-;\-* #,##0&quot; DM&quot;_-;_-* &quot;- DM&quot;_-;_-@_-"/>
    <numFmt numFmtId="189" formatCode="_-* #,##0.00&quot; DM&quot;_-;\-* #,##0.00&quot; DM&quot;_-;_-* \-??&quot; DM&quot;_-;_-@_-"/>
    <numFmt numFmtId="190" formatCode="_(* #,##0_);_(* \(#,##0\);_(* \-??_);_(@_)"/>
    <numFmt numFmtId="191" formatCode="#,##0.0000"/>
    <numFmt numFmtId="192" formatCode="0.00000"/>
    <numFmt numFmtId="193" formatCode="#,##0.000000_ ;[Red]\-#,##0.000000\ "/>
  </numFmts>
  <fonts count="39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sz val="10"/>
      <name val="Arial"/>
      <family val="2"/>
      <charset val="1"/>
    </font>
    <font>
      <sz val="9"/>
      <name val="Geneva"/>
      <charset val="1"/>
    </font>
    <font>
      <sz val="11"/>
      <color rgb="FF00800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sz val="1"/>
      <color rgb="FF000000"/>
      <name val="Courier New"/>
      <family val="3"/>
      <charset val="1"/>
    </font>
    <font>
      <b/>
      <sz val="1"/>
      <color rgb="FF000000"/>
      <name val="Courier New"/>
      <family val="3"/>
      <charset val="1"/>
    </font>
    <font>
      <b/>
      <sz val="11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sz val="10"/>
      <color rgb="FF000000"/>
      <name val="Arial"/>
      <family val="2"/>
      <charset val="1"/>
    </font>
    <font>
      <i/>
      <sz val="11"/>
      <color rgb="FF80808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u/>
      <sz val="7.5"/>
      <color rgb="FF0000FF"/>
      <name val="Times New Roman"/>
      <family val="1"/>
      <charset val="1"/>
    </font>
    <font>
      <u/>
      <sz val="10"/>
      <color rgb="FF0000FF"/>
      <name val="MS Sans Serif"/>
      <family val="2"/>
      <charset val="1"/>
    </font>
    <font>
      <sz val="11"/>
      <color rgb="FF993300"/>
      <name val="Calibri"/>
      <family val="2"/>
      <charset val="1"/>
    </font>
    <font>
      <sz val="14"/>
      <name val="Times New Roman"/>
      <family val="1"/>
      <charset val="1"/>
    </font>
    <font>
      <sz val="10"/>
      <name val="Times New Roman"/>
      <family val="1"/>
      <charset val="1"/>
    </font>
    <font>
      <sz val="10"/>
      <name val="MS Sans Serif"/>
      <family val="2"/>
      <charset val="1"/>
    </font>
    <font>
      <sz val="8"/>
      <name val="Arial"/>
      <family val="2"/>
      <charset val="1"/>
    </font>
    <font>
      <sz val="11"/>
      <name val="Calibri"/>
      <family val="2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u/>
      <sz val="12"/>
      <color rgb="FF0000FF"/>
      <name val="Times New Roman"/>
      <family val="1"/>
      <charset val="1"/>
    </font>
    <font>
      <u/>
      <sz val="11"/>
      <color theme="1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name val="Times New Roman"/>
      <family val="1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rgb="FFCCCCFF"/>
        <bgColor rgb="FFB9CDE5"/>
      </patternFill>
    </fill>
    <fill>
      <patternFill patternType="solid">
        <fgColor rgb="FFFF99CC"/>
        <bgColor rgb="FFE6B9B8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BEEF4"/>
      </patternFill>
    </fill>
    <fill>
      <patternFill patternType="solid">
        <fgColor rgb="FFFFCC99"/>
        <bgColor rgb="FFFCD5B5"/>
      </patternFill>
    </fill>
    <fill>
      <patternFill patternType="solid">
        <fgColor theme="4" tint="0.79989013336588644"/>
        <bgColor rgb="FFDBEEF4"/>
      </patternFill>
    </fill>
    <fill>
      <patternFill patternType="solid">
        <fgColor theme="5" tint="0.79989013336588644"/>
        <bgColor rgb="FFE6E0EC"/>
      </patternFill>
    </fill>
    <fill>
      <patternFill patternType="solid">
        <fgColor theme="6" tint="0.79989013336588644"/>
        <bgColor rgb="FFFDEADA"/>
      </patternFill>
    </fill>
    <fill>
      <patternFill patternType="solid">
        <fgColor theme="7" tint="0.79989013336588644"/>
        <bgColor rgb="FFDCE6F2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9" tint="0.79989013336588644"/>
        <bgColor rgb="FFEBF1DE"/>
      </patternFill>
    </fill>
    <fill>
      <patternFill patternType="solid">
        <fgColor rgb="FF99CCFF"/>
        <bgColor rgb="FFB9CDE5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theme="4" tint="0.59987182226020086"/>
        <bgColor rgb="FFB7DEE8"/>
      </patternFill>
    </fill>
    <fill>
      <patternFill patternType="solid">
        <fgColor theme="5" tint="0.59987182226020086"/>
        <bgColor rgb="FFCCC1DA"/>
      </patternFill>
    </fill>
    <fill>
      <patternFill patternType="solid">
        <fgColor theme="6" tint="0.59987182226020086"/>
        <bgColor rgb="FFDCE6F2"/>
      </patternFill>
    </fill>
    <fill>
      <patternFill patternType="solid">
        <fgColor theme="7" tint="0.59987182226020086"/>
        <bgColor rgb="FFC0C0C0"/>
      </patternFill>
    </fill>
    <fill>
      <patternFill patternType="solid">
        <fgColor theme="8" tint="0.59987182226020086"/>
        <bgColor rgb="FFB9CDE5"/>
      </patternFill>
    </fill>
    <fill>
      <patternFill patternType="solid">
        <fgColor theme="9" tint="0.59987182226020086"/>
        <bgColor rgb="FFFFCC99"/>
      </patternFill>
    </fill>
    <fill>
      <patternFill patternType="solid">
        <fgColor rgb="FF0066CC"/>
        <bgColor rgb="FF3366FF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9966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1F497D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4F81BD"/>
      </patternFill>
    </fill>
    <fill>
      <patternFill patternType="solid">
        <fgColor rgb="FFFF6600"/>
        <bgColor rgb="FFFF9900"/>
      </patternFill>
    </fill>
    <fill>
      <patternFill patternType="solid">
        <fgColor rgb="FF3366FF"/>
        <bgColor rgb="FF0066CC"/>
      </patternFill>
    </fill>
    <fill>
      <patternFill patternType="solid">
        <fgColor rgb="FFC0C0C0"/>
        <bgColor rgb="FFCCC1DA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CC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069">
    <xf numFmtId="0" fontId="0" fillId="0" borderId="0"/>
    <xf numFmtId="181" fontId="38" fillId="0" borderId="0" applyBorder="0" applyProtection="0"/>
    <xf numFmtId="0" fontId="31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2" borderId="0" applyBorder="0" applyProtection="0"/>
    <xf numFmtId="0" fontId="38" fillId="8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3" borderId="0" applyBorder="0" applyProtection="0"/>
    <xf numFmtId="0" fontId="38" fillId="9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4" borderId="0" applyBorder="0" applyProtection="0"/>
    <xf numFmtId="0" fontId="38" fillId="10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5" borderId="0" applyBorder="0" applyProtection="0"/>
    <xf numFmtId="0" fontId="38" fillId="11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6" borderId="0" applyBorder="0" applyProtection="0"/>
    <xf numFmtId="0" fontId="38" fillId="12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7" borderId="0" applyBorder="0" applyProtection="0"/>
    <xf numFmtId="0" fontId="38" fillId="13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14" borderId="0" applyBorder="0" applyProtection="0"/>
    <xf numFmtId="0" fontId="1" fillId="15" borderId="0" applyBorder="0" applyProtection="0"/>
    <xf numFmtId="0" fontId="1" fillId="16" borderId="0" applyBorder="0" applyProtection="0"/>
    <xf numFmtId="0" fontId="1" fillId="5" borderId="0" applyBorder="0" applyProtection="0"/>
    <xf numFmtId="0" fontId="1" fillId="14" borderId="0" applyBorder="0" applyProtection="0"/>
    <xf numFmtId="0" fontId="1" fillId="17" borderId="0" applyBorder="0" applyProtection="0"/>
    <xf numFmtId="0" fontId="1" fillId="14" borderId="0" applyBorder="0" applyProtection="0"/>
    <xf numFmtId="0" fontId="38" fillId="18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5" borderId="0" applyBorder="0" applyProtection="0"/>
    <xf numFmtId="0" fontId="38" fillId="19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5" borderId="0" applyBorder="0" applyProtection="0"/>
    <xf numFmtId="0" fontId="1" fillId="16" borderId="0" applyBorder="0" applyProtection="0"/>
    <xf numFmtId="0" fontId="38" fillId="20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16" borderId="0" applyBorder="0" applyProtection="0"/>
    <xf numFmtId="0" fontId="1" fillId="5" borderId="0" applyBorder="0" applyProtection="0"/>
    <xf numFmtId="0" fontId="38" fillId="21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14" borderId="0" applyBorder="0" applyProtection="0"/>
    <xf numFmtId="0" fontId="38" fillId="22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4" borderId="0" applyBorder="0" applyProtection="0"/>
    <xf numFmtId="0" fontId="1" fillId="17" borderId="0" applyBorder="0" applyProtection="0"/>
    <xf numFmtId="0" fontId="38" fillId="23" borderId="0" applyBorder="0" applyProtection="0"/>
    <xf numFmtId="0" fontId="1" fillId="17" borderId="0" applyBorder="0" applyProtection="0"/>
    <xf numFmtId="0" fontId="1" fillId="17" borderId="0" applyBorder="0" applyProtection="0"/>
    <xf numFmtId="0" fontId="1" fillId="17" borderId="0" applyBorder="0" applyProtection="0"/>
    <xf numFmtId="0" fontId="1" fillId="17" borderId="0" applyBorder="0" applyProtection="0"/>
    <xf numFmtId="0" fontId="1" fillId="17" borderId="0" applyBorder="0" applyProtection="0"/>
    <xf numFmtId="0" fontId="1" fillId="17" borderId="0" applyBorder="0" applyProtection="0"/>
    <xf numFmtId="0" fontId="1" fillId="17" borderId="0" applyBorder="0" applyProtection="0"/>
    <xf numFmtId="0" fontId="1" fillId="17" borderId="0" applyBorder="0" applyProtection="0"/>
    <xf numFmtId="0" fontId="1" fillId="17" borderId="0" applyBorder="0" applyProtection="0"/>
    <xf numFmtId="0" fontId="1" fillId="17" borderId="0" applyBorder="0" applyProtection="0"/>
    <xf numFmtId="0" fontId="1" fillId="17" borderId="0" applyBorder="0" applyProtection="0"/>
    <xf numFmtId="0" fontId="1" fillId="17" borderId="0" applyBorder="0" applyProtection="0"/>
    <xf numFmtId="0" fontId="1" fillId="17" borderId="0" applyBorder="0" applyProtection="0"/>
    <xf numFmtId="0" fontId="1" fillId="17" borderId="0" applyBorder="0" applyProtection="0"/>
    <xf numFmtId="0" fontId="2" fillId="24" borderId="0" applyBorder="0" applyProtection="0"/>
    <xf numFmtId="0" fontId="2" fillId="15" borderId="0" applyBorder="0" applyProtection="0"/>
    <xf numFmtId="0" fontId="2" fillId="16" borderId="0" applyBorder="0" applyProtection="0"/>
    <xf numFmtId="0" fontId="2" fillId="25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25" borderId="0" applyBorder="0" applyProtection="0"/>
    <xf numFmtId="0" fontId="2" fillId="25" borderId="0" applyBorder="0" applyProtection="0"/>
    <xf numFmtId="0" fontId="2" fillId="25" borderId="0" applyBorder="0" applyProtection="0"/>
    <xf numFmtId="0" fontId="2" fillId="25" borderId="0" applyBorder="0" applyProtection="0"/>
    <xf numFmtId="0" fontId="2" fillId="25" borderId="0" applyBorder="0" applyProtection="0"/>
    <xf numFmtId="0" fontId="2" fillId="25" borderId="0" applyBorder="0" applyProtection="0"/>
    <xf numFmtId="0" fontId="2" fillId="25" borderId="0" applyBorder="0" applyProtection="0"/>
    <xf numFmtId="0" fontId="2" fillId="25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7" borderId="0" applyBorder="0" applyProtection="0"/>
    <xf numFmtId="0" fontId="2" fillId="27" borderId="0" applyBorder="0" applyProtection="0"/>
    <xf numFmtId="0" fontId="2" fillId="27" borderId="0" applyBorder="0" applyProtection="0"/>
    <xf numFmtId="0" fontId="2" fillId="27" borderId="0" applyBorder="0" applyProtection="0"/>
    <xf numFmtId="0" fontId="2" fillId="27" borderId="0" applyBorder="0" applyProtection="0"/>
    <xf numFmtId="0" fontId="2" fillId="27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25" borderId="0" applyBorder="0" applyProtection="0"/>
    <xf numFmtId="0" fontId="2" fillId="26" borderId="0" applyBorder="0" applyProtection="0"/>
    <xf numFmtId="0" fontId="2" fillId="31" borderId="0" applyBorder="0" applyProtection="0"/>
    <xf numFmtId="0" fontId="3" fillId="3" borderId="0" applyBorder="0" applyProtection="0"/>
    <xf numFmtId="3" fontId="4" fillId="32" borderId="0"/>
    <xf numFmtId="0" fontId="5" fillId="0" borderId="0"/>
    <xf numFmtId="0" fontId="6" fillId="4" borderId="0" applyBorder="0" applyProtection="0"/>
    <xf numFmtId="0" fontId="6" fillId="4" borderId="0" applyBorder="0" applyProtection="0"/>
    <xf numFmtId="0" fontId="6" fillId="4" borderId="0" applyBorder="0" applyProtection="0"/>
    <xf numFmtId="0" fontId="6" fillId="4" borderId="0" applyBorder="0" applyProtection="0"/>
    <xf numFmtId="0" fontId="6" fillId="4" borderId="0" applyBorder="0" applyProtection="0"/>
    <xf numFmtId="0" fontId="6" fillId="4" borderId="0" applyBorder="0" applyProtection="0"/>
    <xf numFmtId="0" fontId="6" fillId="4" borderId="0" applyBorder="0" applyProtection="0"/>
    <xf numFmtId="0" fontId="6" fillId="4" borderId="0" applyBorder="0" applyProtection="0"/>
    <xf numFmtId="0" fontId="7" fillId="33" borderId="1" applyProtection="0"/>
    <xf numFmtId="0" fontId="8" fillId="34" borderId="2" applyProtection="0"/>
    <xf numFmtId="0" fontId="8" fillId="34" borderId="2" applyProtection="0"/>
    <xf numFmtId="0" fontId="8" fillId="34" borderId="2" applyProtection="0"/>
    <xf numFmtId="0" fontId="8" fillId="34" borderId="2" applyProtection="0"/>
    <xf numFmtId="0" fontId="8" fillId="34" borderId="2" applyProtection="0"/>
    <xf numFmtId="0" fontId="8" fillId="34" borderId="2" applyProtection="0"/>
    <xf numFmtId="0" fontId="8" fillId="34" borderId="2" applyProtection="0"/>
    <xf numFmtId="0" fontId="8" fillId="34" borderId="2" applyProtection="0"/>
    <xf numFmtId="0" fontId="9" fillId="0" borderId="3" applyProtection="0"/>
    <xf numFmtId="0" fontId="9" fillId="0" borderId="3" applyProtection="0"/>
    <xf numFmtId="0" fontId="9" fillId="0" borderId="3" applyProtection="0"/>
    <xf numFmtId="0" fontId="9" fillId="0" borderId="3" applyProtection="0"/>
    <xf numFmtId="0" fontId="9" fillId="0" borderId="3" applyProtection="0"/>
    <xf numFmtId="0" fontId="9" fillId="0" borderId="3" applyProtection="0"/>
    <xf numFmtId="0" fontId="9" fillId="0" borderId="3" applyProtection="0"/>
    <xf numFmtId="0" fontId="9" fillId="0" borderId="3" applyProtection="0"/>
    <xf numFmtId="0" fontId="8" fillId="34" borderId="2" applyProtection="0"/>
    <xf numFmtId="0" fontId="7" fillId="33" borderId="1" applyProtection="0"/>
    <xf numFmtId="0" fontId="7" fillId="33" borderId="1" applyProtection="0"/>
    <xf numFmtId="0" fontId="7" fillId="33" borderId="1" applyProtection="0"/>
    <xf numFmtId="0" fontId="7" fillId="33" borderId="1" applyProtection="0"/>
    <xf numFmtId="0" fontId="7" fillId="33" borderId="1" applyProtection="0"/>
    <xf numFmtId="0" fontId="7" fillId="33" borderId="1" applyProtection="0"/>
    <xf numFmtId="0" fontId="7" fillId="33" borderId="1" applyProtection="0"/>
    <xf numFmtId="0" fontId="7" fillId="33" borderId="1" applyProtection="0"/>
    <xf numFmtId="164" fontId="38" fillId="0" borderId="0" applyBorder="0" applyProtection="0"/>
    <xf numFmtId="165" fontId="38" fillId="0" borderId="0" applyBorder="0" applyProtection="0"/>
    <xf numFmtId="1" fontId="10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0" fontId="12" fillId="0" borderId="0" applyBorder="0" applyProtection="0"/>
    <xf numFmtId="0" fontId="12" fillId="0" borderId="0" applyBorder="0" applyProtection="0"/>
    <xf numFmtId="0" fontId="12" fillId="0" borderId="0" applyBorder="0" applyProtection="0"/>
    <xf numFmtId="0" fontId="12" fillId="0" borderId="0" applyBorder="0" applyProtection="0"/>
    <xf numFmtId="0" fontId="12" fillId="0" borderId="0" applyBorder="0" applyProtection="0"/>
    <xf numFmtId="0" fontId="12" fillId="0" borderId="0" applyBorder="0" applyProtection="0"/>
    <xf numFmtId="0" fontId="12" fillId="0" borderId="0" applyBorder="0" applyProtection="0"/>
    <xf numFmtId="0" fontId="12" fillId="0" borderId="0" applyBorder="0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4" fillId="0" borderId="0">
      <alignment vertical="top"/>
    </xf>
    <xf numFmtId="0" fontId="14" fillId="0" borderId="0">
      <alignment vertical="top"/>
    </xf>
    <xf numFmtId="167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0" fontId="38" fillId="0" borderId="0" applyBorder="0" applyProtection="0"/>
    <xf numFmtId="171" fontId="38" fillId="0" borderId="0" applyBorder="0" applyProtection="0"/>
    <xf numFmtId="169" fontId="38" fillId="0" borderId="0" applyBorder="0" applyProtection="0"/>
    <xf numFmtId="170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7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7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2" fontId="38" fillId="0" borderId="0" applyBorder="0" applyProtection="0"/>
    <xf numFmtId="169" fontId="38" fillId="0" borderId="0" applyBorder="0" applyProtection="0"/>
    <xf numFmtId="167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73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72" fontId="38" fillId="0" borderId="0" applyBorder="0" applyProtection="0"/>
    <xf numFmtId="170" fontId="38" fillId="0" borderId="0" applyBorder="0" applyProtection="0"/>
    <xf numFmtId="168" fontId="38" fillId="0" borderId="0" applyBorder="0" applyProtection="0"/>
    <xf numFmtId="170" fontId="38" fillId="0" borderId="0" applyBorder="0" applyProtection="0"/>
    <xf numFmtId="170" fontId="38" fillId="0" borderId="0" applyBorder="0" applyProtection="0"/>
    <xf numFmtId="172" fontId="38" fillId="0" borderId="0" applyBorder="0" applyProtection="0"/>
    <xf numFmtId="170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7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3" fontId="38" fillId="0" borderId="0" applyBorder="0" applyProtection="0"/>
    <xf numFmtId="169" fontId="38" fillId="0" borderId="0" applyBorder="0" applyProtection="0"/>
    <xf numFmtId="167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70" fontId="38" fillId="0" borderId="0" applyBorder="0" applyProtection="0"/>
    <xf numFmtId="0" fontId="15" fillId="0" borderId="0" applyBorder="0" applyProtection="0"/>
    <xf numFmtId="174" fontId="10" fillId="0" borderId="0">
      <protection locked="0"/>
    </xf>
    <xf numFmtId="175" fontId="10" fillId="0" borderId="0">
      <protection locked="0"/>
    </xf>
    <xf numFmtId="3" fontId="4" fillId="35" borderId="0"/>
    <xf numFmtId="0" fontId="5" fillId="0" borderId="0"/>
    <xf numFmtId="0" fontId="6" fillId="4" borderId="0" applyBorder="0" applyProtection="0"/>
    <xf numFmtId="0" fontId="16" fillId="0" borderId="4" applyProtection="0"/>
    <xf numFmtId="0" fontId="17" fillId="0" borderId="5" applyProtection="0"/>
    <xf numFmtId="0" fontId="12" fillId="0" borderId="6" applyProtection="0"/>
    <xf numFmtId="0" fontId="12" fillId="0" borderId="0" applyBorder="0" applyProtection="0"/>
    <xf numFmtId="3" fontId="4" fillId="14" borderId="0"/>
    <xf numFmtId="3" fontId="4" fillId="33" borderId="0"/>
    <xf numFmtId="0" fontId="18" fillId="0" borderId="0" applyBorder="0" applyProtection="0"/>
    <xf numFmtId="0" fontId="19" fillId="0" borderId="0" applyBorder="0" applyProtection="0"/>
    <xf numFmtId="0" fontId="4" fillId="0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13" fillId="7" borderId="1" applyProtection="0"/>
    <xf numFmtId="0" fontId="9" fillId="0" borderId="3" applyProtection="0"/>
    <xf numFmtId="0" fontId="5" fillId="0" borderId="0"/>
    <xf numFmtId="176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8" fontId="38" fillId="0" borderId="0" applyBorder="0" applyProtection="0"/>
    <xf numFmtId="177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8" fontId="38" fillId="0" borderId="0" applyBorder="0" applyProtection="0"/>
    <xf numFmtId="180" fontId="38" fillId="0" borderId="0" applyBorder="0" applyProtection="0"/>
    <xf numFmtId="177" fontId="38" fillId="0" borderId="0" applyBorder="0" applyProtection="0"/>
    <xf numFmtId="180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1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8" fontId="38" fillId="0" borderId="0" applyBorder="0" applyProtection="0"/>
    <xf numFmtId="178" fontId="38" fillId="0" borderId="0" applyBorder="0" applyProtection="0"/>
    <xf numFmtId="177" fontId="38" fillId="0" borderId="0" applyBorder="0" applyProtection="0"/>
    <xf numFmtId="180" fontId="38" fillId="0" borderId="0" applyBorder="0" applyProtection="0"/>
    <xf numFmtId="182" fontId="38" fillId="0" borderId="0" applyBorder="0" applyProtection="0"/>
    <xf numFmtId="177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8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8" fontId="38" fillId="0" borderId="0" applyBorder="0" applyProtection="0"/>
    <xf numFmtId="177" fontId="38" fillId="0" borderId="0" applyBorder="0" applyProtection="0"/>
    <xf numFmtId="179" fontId="38" fillId="0" borderId="0" applyBorder="0" applyProtection="0"/>
    <xf numFmtId="177" fontId="38" fillId="0" borderId="0" applyBorder="0" applyProtection="0"/>
    <xf numFmtId="180" fontId="38" fillId="0" borderId="0" applyBorder="0" applyProtection="0"/>
    <xf numFmtId="182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77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8" fontId="38" fillId="0" borderId="0" applyBorder="0" applyProtection="0"/>
    <xf numFmtId="178" fontId="38" fillId="0" borderId="0" applyBorder="0" applyProtection="0"/>
    <xf numFmtId="177" fontId="38" fillId="0" borderId="0" applyBorder="0" applyProtection="0"/>
    <xf numFmtId="180" fontId="38" fillId="0" borderId="0" applyBorder="0" applyProtection="0"/>
    <xf numFmtId="182" fontId="38" fillId="0" borderId="0" applyBorder="0" applyProtection="0"/>
    <xf numFmtId="177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3" fontId="38" fillId="0" borderId="0" applyBorder="0" applyProtection="0"/>
    <xf numFmtId="183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1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84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76" fontId="38" fillId="0" borderId="0" applyBorder="0" applyProtection="0"/>
    <xf numFmtId="181" fontId="38" fillId="0" borderId="0" applyBorder="0" applyProtection="0"/>
    <xf numFmtId="176" fontId="38" fillId="0" borderId="0" applyBorder="0" applyProtection="0"/>
    <xf numFmtId="184" fontId="38" fillId="0" borderId="0" applyBorder="0" applyProtection="0"/>
    <xf numFmtId="176" fontId="38" fillId="0" borderId="0" applyBorder="0" applyProtection="0"/>
    <xf numFmtId="184" fontId="38" fillId="0" borderId="0" applyBorder="0" applyProtection="0"/>
    <xf numFmtId="184" fontId="38" fillId="0" borderId="0" applyBorder="0" applyProtection="0"/>
    <xf numFmtId="184" fontId="38" fillId="0" borderId="0" applyBorder="0" applyProtection="0"/>
    <xf numFmtId="184" fontId="38" fillId="0" borderId="0" applyBorder="0" applyProtection="0"/>
    <xf numFmtId="184" fontId="38" fillId="0" borderId="0" applyBorder="0" applyProtection="0"/>
    <xf numFmtId="181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81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84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0" fontId="38" fillId="0" borderId="0" applyBorder="0" applyProtection="0"/>
    <xf numFmtId="179" fontId="38" fillId="0" borderId="0" applyBorder="0" applyProtection="0"/>
    <xf numFmtId="184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0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84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7" fontId="38" fillId="0" borderId="0" applyBorder="0" applyProtection="0"/>
    <xf numFmtId="179" fontId="38" fillId="0" borderId="0" applyBorder="0" applyProtection="0"/>
    <xf numFmtId="177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1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1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1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8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85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85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5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77" fontId="38" fillId="0" borderId="0" applyBorder="0" applyProtection="0"/>
    <xf numFmtId="181" fontId="38" fillId="0" borderId="0" applyBorder="0" applyProtection="0"/>
    <xf numFmtId="178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77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83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80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83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79" fontId="38" fillId="0" borderId="0" applyBorder="0" applyProtection="0"/>
    <xf numFmtId="177" fontId="38" fillId="0" borderId="0" applyBorder="0" applyProtection="0"/>
    <xf numFmtId="181" fontId="38" fillId="0" borderId="0" applyBorder="0" applyProtection="0"/>
    <xf numFmtId="179" fontId="38" fillId="0" borderId="0" applyBorder="0" applyProtection="0"/>
    <xf numFmtId="178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0" fontId="38" fillId="0" borderId="0" applyBorder="0" applyProtection="0"/>
    <xf numFmtId="181" fontId="38" fillId="0" borderId="0" applyBorder="0" applyProtection="0"/>
    <xf numFmtId="176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77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78" fontId="38" fillId="0" borderId="0" applyBorder="0" applyProtection="0"/>
    <xf numFmtId="181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78" fontId="38" fillId="0" borderId="0" applyBorder="0" applyProtection="0"/>
    <xf numFmtId="177" fontId="38" fillId="0" borderId="0" applyBorder="0" applyProtection="0"/>
    <xf numFmtId="176" fontId="38" fillId="0" borderId="0" applyBorder="0" applyProtection="0"/>
    <xf numFmtId="178" fontId="38" fillId="0" borderId="0" applyBorder="0" applyProtection="0"/>
    <xf numFmtId="180" fontId="38" fillId="0" borderId="0" applyBorder="0" applyProtection="0"/>
    <xf numFmtId="177" fontId="38" fillId="0" borderId="0" applyBorder="0" applyProtection="0"/>
    <xf numFmtId="179" fontId="38" fillId="0" borderId="0" applyBorder="0" applyProtection="0"/>
    <xf numFmtId="177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78" fontId="38" fillId="0" borderId="0" applyBorder="0" applyProtection="0"/>
    <xf numFmtId="176" fontId="38" fillId="0" borderId="0" applyBorder="0" applyProtection="0"/>
    <xf numFmtId="181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0" fontId="38" fillId="0" borderId="0" applyBorder="0" applyProtection="0"/>
    <xf numFmtId="177" fontId="38" fillId="0" borderId="0" applyBorder="0" applyProtection="0"/>
    <xf numFmtId="179" fontId="38" fillId="0" borderId="0" applyBorder="0" applyProtection="0"/>
    <xf numFmtId="176" fontId="38" fillId="0" borderId="0" applyBorder="0" applyProtection="0"/>
    <xf numFmtId="181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0" fontId="38" fillId="0" borderId="0" applyBorder="0" applyProtection="0"/>
    <xf numFmtId="176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1" fontId="38" fillId="0" borderId="0" applyBorder="0" applyProtection="0"/>
    <xf numFmtId="178" fontId="38" fillId="0" borderId="0" applyBorder="0" applyProtection="0"/>
    <xf numFmtId="177" fontId="38" fillId="0" borderId="0" applyBorder="0" applyProtection="0"/>
    <xf numFmtId="180" fontId="38" fillId="0" borderId="0" applyBorder="0" applyProtection="0"/>
    <xf numFmtId="177" fontId="38" fillId="0" borderId="0" applyBorder="0" applyProtection="0"/>
    <xf numFmtId="179" fontId="38" fillId="0" borderId="0" applyBorder="0" applyProtection="0"/>
    <xf numFmtId="181" fontId="38" fillId="0" borderId="0" applyBorder="0" applyProtection="0"/>
    <xf numFmtId="178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0" fontId="38" fillId="0" borderId="0" applyBorder="0" applyProtection="0"/>
    <xf numFmtId="181" fontId="38" fillId="0" borderId="0" applyBorder="0" applyProtection="0"/>
    <xf numFmtId="181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86" fontId="38" fillId="0" borderId="0" applyBorder="0" applyProtection="0"/>
    <xf numFmtId="164" fontId="38" fillId="0" borderId="0" applyBorder="0" applyProtection="0"/>
    <xf numFmtId="165" fontId="38" fillId="0" borderId="0" applyBorder="0" applyProtection="0"/>
    <xf numFmtId="187" fontId="10" fillId="0" borderId="0">
      <protection locked="0"/>
    </xf>
    <xf numFmtId="188" fontId="38" fillId="0" borderId="0" applyBorder="0" applyProtection="0"/>
    <xf numFmtId="189" fontId="38" fillId="0" borderId="0" applyBorder="0" applyProtection="0"/>
    <xf numFmtId="0" fontId="20" fillId="35" borderId="0" applyBorder="0" applyProtection="0"/>
    <xf numFmtId="0" fontId="20" fillId="35" borderId="0" applyBorder="0" applyProtection="0"/>
    <xf numFmtId="0" fontId="20" fillId="35" borderId="0" applyBorder="0" applyProtection="0"/>
    <xf numFmtId="0" fontId="20" fillId="35" borderId="0" applyBorder="0" applyProtection="0"/>
    <xf numFmtId="0" fontId="20" fillId="35" borderId="0" applyBorder="0" applyProtection="0"/>
    <xf numFmtId="0" fontId="20" fillId="35" borderId="0" applyBorder="0" applyProtection="0"/>
    <xf numFmtId="0" fontId="20" fillId="35" borderId="0" applyBorder="0" applyProtection="0"/>
    <xf numFmtId="0" fontId="20" fillId="35" borderId="0" applyBorder="0" applyProtection="0"/>
    <xf numFmtId="0" fontId="5" fillId="0" borderId="0"/>
    <xf numFmtId="0" fontId="21" fillId="0" borderId="0"/>
    <xf numFmtId="0" fontId="38" fillId="0" borderId="0"/>
    <xf numFmtId="0" fontId="38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22" fillId="0" borderId="0"/>
    <xf numFmtId="0" fontId="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3" fillId="0" borderId="0"/>
    <xf numFmtId="0" fontId="4" fillId="0" borderId="0"/>
    <xf numFmtId="0" fontId="38" fillId="0" borderId="0"/>
    <xf numFmtId="0" fontId="22" fillId="0" borderId="0"/>
    <xf numFmtId="0" fontId="23" fillId="0" borderId="0"/>
    <xf numFmtId="0" fontId="23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22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center"/>
    </xf>
    <xf numFmtId="0" fontId="38" fillId="0" borderId="0"/>
    <xf numFmtId="0" fontId="24" fillId="0" borderId="0">
      <alignment vertical="center"/>
    </xf>
    <xf numFmtId="0" fontId="4" fillId="0" borderId="0"/>
    <xf numFmtId="0" fontId="22" fillId="0" borderId="0"/>
    <xf numFmtId="0" fontId="4" fillId="0" borderId="0"/>
    <xf numFmtId="0" fontId="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</cellStyleXfs>
  <cellXfs count="63">
    <xf numFmtId="0" fontId="0" fillId="0" borderId="0" xfId="0"/>
    <xf numFmtId="1" fontId="0" fillId="0" borderId="0" xfId="0" applyNumberFormat="1"/>
    <xf numFmtId="2" fontId="0" fillId="0" borderId="0" xfId="0" applyNumberFormat="1"/>
    <xf numFmtId="0" fontId="26" fillId="0" borderId="0" xfId="1539" applyFont="1"/>
    <xf numFmtId="0" fontId="27" fillId="0" borderId="0" xfId="1539" applyFont="1"/>
    <xf numFmtId="0" fontId="28" fillId="0" borderId="0" xfId="1539" applyFont="1"/>
    <xf numFmtId="0" fontId="27" fillId="0" borderId="7" xfId="1539" applyFont="1" applyBorder="1"/>
    <xf numFmtId="0" fontId="26" fillId="0" borderId="0" xfId="1539" applyFont="1" applyAlignment="1">
      <alignment horizontal="center"/>
    </xf>
    <xf numFmtId="0" fontId="26" fillId="0" borderId="8" xfId="1539" applyFont="1" applyBorder="1"/>
    <xf numFmtId="0" fontId="26" fillId="0" borderId="8" xfId="1539" applyFont="1" applyBorder="1" applyAlignment="1">
      <alignment horizontal="center"/>
    </xf>
    <xf numFmtId="0" fontId="29" fillId="0" borderId="0" xfId="1539" applyFont="1"/>
    <xf numFmtId="0" fontId="30" fillId="0" borderId="0" xfId="2" applyFont="1" applyBorder="1" applyProtection="1"/>
    <xf numFmtId="0" fontId="32" fillId="0" borderId="0" xfId="1539" applyFont="1"/>
    <xf numFmtId="0" fontId="22" fillId="0" borderId="0" xfId="1539" applyFont="1"/>
    <xf numFmtId="0" fontId="22" fillId="0" borderId="7" xfId="1539" applyFont="1" applyBorder="1"/>
    <xf numFmtId="0" fontId="33" fillId="0" borderId="0" xfId="1539" applyFont="1"/>
    <xf numFmtId="0" fontId="34" fillId="0" borderId="7" xfId="1539" applyFont="1" applyBorder="1"/>
    <xf numFmtId="0" fontId="33" fillId="0" borderId="7" xfId="1539" applyFont="1" applyBorder="1"/>
    <xf numFmtId="0" fontId="34" fillId="0" borderId="0" xfId="1539" applyFont="1"/>
    <xf numFmtId="49" fontId="33" fillId="0" borderId="0" xfId="1539" applyNumberFormat="1" applyFont="1" applyAlignment="1">
      <alignment horizontal="left"/>
    </xf>
    <xf numFmtId="0" fontId="33" fillId="0" borderId="0" xfId="1539" applyFont="1" applyAlignment="1">
      <alignment horizontal="left"/>
    </xf>
    <xf numFmtId="0" fontId="35" fillId="0" borderId="0" xfId="1539" applyFont="1"/>
    <xf numFmtId="0" fontId="25" fillId="0" borderId="0" xfId="1539" applyFont="1"/>
    <xf numFmtId="0" fontId="36" fillId="0" borderId="0" xfId="1539" applyFont="1"/>
    <xf numFmtId="0" fontId="36" fillId="0" borderId="0" xfId="1539" applyFont="1" applyAlignment="1">
      <alignment horizontal="left"/>
    </xf>
    <xf numFmtId="0" fontId="36" fillId="0" borderId="9" xfId="1539" applyFont="1" applyBorder="1"/>
    <xf numFmtId="0" fontId="25" fillId="0" borderId="9" xfId="1539" applyFont="1" applyBorder="1"/>
    <xf numFmtId="0" fontId="36" fillId="0" borderId="0" xfId="1539" applyFont="1" applyAlignment="1">
      <alignment horizontal="center"/>
    </xf>
    <xf numFmtId="0" fontId="36" fillId="0" borderId="7" xfId="1539" applyFont="1" applyBorder="1"/>
    <xf numFmtId="0" fontId="0" fillId="0" borderId="7" xfId="1539" applyFont="1" applyBorder="1"/>
    <xf numFmtId="0" fontId="37" fillId="0" borderId="0" xfId="1539" applyFont="1" applyAlignment="1">
      <alignment horizontal="center" vertical="center" wrapText="1"/>
    </xf>
    <xf numFmtId="0" fontId="36" fillId="0" borderId="0" xfId="1539" applyFont="1" applyAlignment="1">
      <alignment horizontal="center" vertical="center" wrapText="1"/>
    </xf>
    <xf numFmtId="0" fontId="36" fillId="0" borderId="8" xfId="1539" applyFont="1" applyBorder="1"/>
    <xf numFmtId="0" fontId="36" fillId="0" borderId="8" xfId="1539" applyFont="1" applyBorder="1" applyAlignment="1">
      <alignment horizontal="center"/>
    </xf>
    <xf numFmtId="3" fontId="0" fillId="0" borderId="0" xfId="1539" applyNumberFormat="1" applyFont="1"/>
    <xf numFmtId="0" fontId="25" fillId="0" borderId="0" xfId="1539" applyFont="1" applyAlignment="1">
      <alignment horizontal="left"/>
    </xf>
    <xf numFmtId="3" fontId="25" fillId="0" borderId="0" xfId="1539" applyNumberFormat="1" applyFont="1" applyAlignment="1">
      <alignment horizontal="right"/>
    </xf>
    <xf numFmtId="3" fontId="36" fillId="0" borderId="0" xfId="1539" applyNumberFormat="1" applyFont="1"/>
    <xf numFmtId="3" fontId="25" fillId="0" borderId="0" xfId="1539" applyNumberFormat="1" applyFont="1"/>
    <xf numFmtId="4" fontId="0" fillId="0" borderId="0" xfId="1539" applyNumberFormat="1" applyFont="1"/>
    <xf numFmtId="190" fontId="38" fillId="0" borderId="0" xfId="1" applyNumberFormat="1" applyBorder="1" applyProtection="1"/>
    <xf numFmtId="38" fontId="25" fillId="0" borderId="0" xfId="1539" applyNumberFormat="1" applyFont="1"/>
    <xf numFmtId="191" fontId="0" fillId="0" borderId="0" xfId="1539" applyNumberFormat="1" applyFont="1"/>
    <xf numFmtId="3" fontId="36" fillId="0" borderId="7" xfId="1539" applyNumberFormat="1" applyFont="1" applyBorder="1"/>
    <xf numFmtId="0" fontId="37" fillId="0" borderId="7" xfId="1539" applyFont="1" applyBorder="1" applyAlignment="1">
      <alignment horizontal="left" vertical="center" wrapText="1"/>
    </xf>
    <xf numFmtId="0" fontId="25" fillId="0" borderId="0" xfId="1539" applyFont="1" applyAlignment="1">
      <alignment horizontal="left" vertical="center" wrapText="1"/>
    </xf>
    <xf numFmtId="0" fontId="0" fillId="0" borderId="0" xfId="1539" applyFont="1" applyAlignment="1">
      <alignment horizontal="left" vertical="center" wrapText="1"/>
    </xf>
    <xf numFmtId="0" fontId="36" fillId="0" borderId="7" xfId="1539" applyFont="1" applyBorder="1" applyAlignment="1">
      <alignment horizontal="left" vertical="center" wrapText="1"/>
    </xf>
    <xf numFmtId="192" fontId="0" fillId="0" borderId="0" xfId="1539" applyNumberFormat="1" applyFont="1"/>
    <xf numFmtId="2" fontId="0" fillId="0" borderId="0" xfId="1539" applyNumberFormat="1" applyFont="1"/>
    <xf numFmtId="0" fontId="0" fillId="36" borderId="0" xfId="1539" applyFont="1" applyFill="1"/>
    <xf numFmtId="0" fontId="35" fillId="0" borderId="0" xfId="1539" applyFont="1" applyAlignment="1">
      <alignment horizontal="left"/>
    </xf>
    <xf numFmtId="0" fontId="34" fillId="0" borderId="9" xfId="1539" applyFont="1" applyBorder="1"/>
    <xf numFmtId="0" fontId="33" fillId="0" borderId="9" xfId="1539" applyFont="1" applyBorder="1"/>
    <xf numFmtId="0" fontId="34" fillId="0" borderId="0" xfId="1539" applyFont="1" applyAlignment="1">
      <alignment horizontal="center"/>
    </xf>
    <xf numFmtId="0" fontId="34" fillId="0" borderId="8" xfId="1539" applyFont="1" applyBorder="1"/>
    <xf numFmtId="0" fontId="22" fillId="0" borderId="0" xfId="1539" applyFont="1" applyAlignment="1">
      <alignment horizontal="left"/>
    </xf>
    <xf numFmtId="192" fontId="22" fillId="0" borderId="0" xfId="1539" applyNumberFormat="1" applyFont="1" applyAlignment="1">
      <alignment horizontal="right"/>
    </xf>
    <xf numFmtId="38" fontId="22" fillId="0" borderId="0" xfId="1539" applyNumberFormat="1" applyFont="1"/>
    <xf numFmtId="0" fontId="35" fillId="0" borderId="7" xfId="1539" applyFont="1" applyBorder="1"/>
    <xf numFmtId="193" fontId="35" fillId="0" borderId="7" xfId="1539" applyNumberFormat="1" applyFont="1" applyBorder="1"/>
    <xf numFmtId="193" fontId="35" fillId="0" borderId="0" xfId="1539" applyNumberFormat="1" applyFont="1"/>
    <xf numFmtId="192" fontId="22" fillId="0" borderId="0" xfId="1539" applyNumberFormat="1" applyFont="1"/>
  </cellXfs>
  <cellStyles count="2069">
    <cellStyle name="20% - Accent1" xfId="3" xr:uid="{00000000-0005-0000-0000-000006000000}"/>
    <cellStyle name="20% - Accent2" xfId="4" xr:uid="{00000000-0005-0000-0000-000007000000}"/>
    <cellStyle name="20% - Accent3" xfId="5" xr:uid="{00000000-0005-0000-0000-000008000000}"/>
    <cellStyle name="20% - Accent4" xfId="6" xr:uid="{00000000-0005-0000-0000-000009000000}"/>
    <cellStyle name="20% - Accent5" xfId="7" xr:uid="{00000000-0005-0000-0000-00000A000000}"/>
    <cellStyle name="20% - Accent6" xfId="8" xr:uid="{00000000-0005-0000-0000-00000B000000}"/>
    <cellStyle name="20% - Énfasis1 2" xfId="9" xr:uid="{00000000-0005-0000-0000-00000C000000}"/>
    <cellStyle name="20% - Énfasis1 2 2" xfId="10" xr:uid="{00000000-0005-0000-0000-00000D000000}"/>
    <cellStyle name="20% - Énfasis1 2 2 2" xfId="11" xr:uid="{00000000-0005-0000-0000-00000E000000}"/>
    <cellStyle name="20% - Énfasis1 2 3" xfId="12" xr:uid="{00000000-0005-0000-0000-00000F000000}"/>
    <cellStyle name="20% - Énfasis1 2 3 2" xfId="13" xr:uid="{00000000-0005-0000-0000-000010000000}"/>
    <cellStyle name="20% - Énfasis1 2 4" xfId="14" xr:uid="{00000000-0005-0000-0000-000011000000}"/>
    <cellStyle name="20% - Énfasis1 2 4 2" xfId="15" xr:uid="{00000000-0005-0000-0000-000012000000}"/>
    <cellStyle name="20% - Énfasis1 2 5" xfId="16" xr:uid="{00000000-0005-0000-0000-000013000000}"/>
    <cellStyle name="20% - Énfasis1 2 5 2" xfId="17" xr:uid="{00000000-0005-0000-0000-000014000000}"/>
    <cellStyle name="20% - Énfasis1 2 6" xfId="18" xr:uid="{00000000-0005-0000-0000-000015000000}"/>
    <cellStyle name="20% - Énfasis1 3" xfId="19" xr:uid="{00000000-0005-0000-0000-000016000000}"/>
    <cellStyle name="20% - Énfasis1 3 2" xfId="20" xr:uid="{00000000-0005-0000-0000-000017000000}"/>
    <cellStyle name="20% - Énfasis1 4" xfId="21" xr:uid="{00000000-0005-0000-0000-000018000000}"/>
    <cellStyle name="20% - Énfasis1 4 2" xfId="22" xr:uid="{00000000-0005-0000-0000-000019000000}"/>
    <cellStyle name="20% - Énfasis1 5" xfId="23" xr:uid="{00000000-0005-0000-0000-00001A000000}"/>
    <cellStyle name="20% - Énfasis1 5 2" xfId="24" xr:uid="{00000000-0005-0000-0000-00001B000000}"/>
    <cellStyle name="20% - Énfasis2 2" xfId="25" xr:uid="{00000000-0005-0000-0000-00001C000000}"/>
    <cellStyle name="20% - Énfasis2 2 2" xfId="26" xr:uid="{00000000-0005-0000-0000-00001D000000}"/>
    <cellStyle name="20% - Énfasis2 2 2 2" xfId="27" xr:uid="{00000000-0005-0000-0000-00001E000000}"/>
    <cellStyle name="20% - Énfasis2 2 3" xfId="28" xr:uid="{00000000-0005-0000-0000-00001F000000}"/>
    <cellStyle name="20% - Énfasis2 2 3 2" xfId="29" xr:uid="{00000000-0005-0000-0000-000020000000}"/>
    <cellStyle name="20% - Énfasis2 2 4" xfId="30" xr:uid="{00000000-0005-0000-0000-000021000000}"/>
    <cellStyle name="20% - Énfasis2 2 4 2" xfId="31" xr:uid="{00000000-0005-0000-0000-000022000000}"/>
    <cellStyle name="20% - Énfasis2 2 5" xfId="32" xr:uid="{00000000-0005-0000-0000-000023000000}"/>
    <cellStyle name="20% - Énfasis2 2 5 2" xfId="33" xr:uid="{00000000-0005-0000-0000-000024000000}"/>
    <cellStyle name="20% - Énfasis2 2 6" xfId="34" xr:uid="{00000000-0005-0000-0000-000025000000}"/>
    <cellStyle name="20% - Énfasis2 3" xfId="35" xr:uid="{00000000-0005-0000-0000-000026000000}"/>
    <cellStyle name="20% - Énfasis2 3 2" xfId="36" xr:uid="{00000000-0005-0000-0000-000027000000}"/>
    <cellStyle name="20% - Énfasis2 4" xfId="37" xr:uid="{00000000-0005-0000-0000-000028000000}"/>
    <cellStyle name="20% - Énfasis2 4 2" xfId="38" xr:uid="{00000000-0005-0000-0000-000029000000}"/>
    <cellStyle name="20% - Énfasis2 5" xfId="39" xr:uid="{00000000-0005-0000-0000-00002A000000}"/>
    <cellStyle name="20% - Énfasis2 5 2" xfId="40" xr:uid="{00000000-0005-0000-0000-00002B000000}"/>
    <cellStyle name="20% - Énfasis3 2" xfId="41" xr:uid="{00000000-0005-0000-0000-00002C000000}"/>
    <cellStyle name="20% - Énfasis3 2 2" xfId="42" xr:uid="{00000000-0005-0000-0000-00002D000000}"/>
    <cellStyle name="20% - Énfasis3 2 2 2" xfId="43" xr:uid="{00000000-0005-0000-0000-00002E000000}"/>
    <cellStyle name="20% - Énfasis3 2 3" xfId="44" xr:uid="{00000000-0005-0000-0000-00002F000000}"/>
    <cellStyle name="20% - Énfasis3 2 3 2" xfId="45" xr:uid="{00000000-0005-0000-0000-000030000000}"/>
    <cellStyle name="20% - Énfasis3 2 4" xfId="46" xr:uid="{00000000-0005-0000-0000-000031000000}"/>
    <cellStyle name="20% - Énfasis3 2 4 2" xfId="47" xr:uid="{00000000-0005-0000-0000-000032000000}"/>
    <cellStyle name="20% - Énfasis3 2 5" xfId="48" xr:uid="{00000000-0005-0000-0000-000033000000}"/>
    <cellStyle name="20% - Énfasis3 2 5 2" xfId="49" xr:uid="{00000000-0005-0000-0000-000034000000}"/>
    <cellStyle name="20% - Énfasis3 2 6" xfId="50" xr:uid="{00000000-0005-0000-0000-000035000000}"/>
    <cellStyle name="20% - Énfasis3 3" xfId="51" xr:uid="{00000000-0005-0000-0000-000036000000}"/>
    <cellStyle name="20% - Énfasis3 3 2" xfId="52" xr:uid="{00000000-0005-0000-0000-000037000000}"/>
    <cellStyle name="20% - Énfasis3 4" xfId="53" xr:uid="{00000000-0005-0000-0000-000038000000}"/>
    <cellStyle name="20% - Énfasis3 4 2" xfId="54" xr:uid="{00000000-0005-0000-0000-000039000000}"/>
    <cellStyle name="20% - Énfasis3 5" xfId="55" xr:uid="{00000000-0005-0000-0000-00003A000000}"/>
    <cellStyle name="20% - Énfasis3 5 2" xfId="56" xr:uid="{00000000-0005-0000-0000-00003B000000}"/>
    <cellStyle name="20% - Énfasis4 2" xfId="57" xr:uid="{00000000-0005-0000-0000-00003C000000}"/>
    <cellStyle name="20% - Énfasis4 2 2" xfId="58" xr:uid="{00000000-0005-0000-0000-00003D000000}"/>
    <cellStyle name="20% - Énfasis4 2 2 2" xfId="59" xr:uid="{00000000-0005-0000-0000-00003E000000}"/>
    <cellStyle name="20% - Énfasis4 2 3" xfId="60" xr:uid="{00000000-0005-0000-0000-00003F000000}"/>
    <cellStyle name="20% - Énfasis4 2 3 2" xfId="61" xr:uid="{00000000-0005-0000-0000-000040000000}"/>
    <cellStyle name="20% - Énfasis4 2 4" xfId="62" xr:uid="{00000000-0005-0000-0000-000041000000}"/>
    <cellStyle name="20% - Énfasis4 2 4 2" xfId="63" xr:uid="{00000000-0005-0000-0000-000042000000}"/>
    <cellStyle name="20% - Énfasis4 2 5" xfId="64" xr:uid="{00000000-0005-0000-0000-000043000000}"/>
    <cellStyle name="20% - Énfasis4 2 5 2" xfId="65" xr:uid="{00000000-0005-0000-0000-000044000000}"/>
    <cellStyle name="20% - Énfasis4 2 6" xfId="66" xr:uid="{00000000-0005-0000-0000-000045000000}"/>
    <cellStyle name="20% - Énfasis4 3" xfId="67" xr:uid="{00000000-0005-0000-0000-000046000000}"/>
    <cellStyle name="20% - Énfasis4 3 2" xfId="68" xr:uid="{00000000-0005-0000-0000-000047000000}"/>
    <cellStyle name="20% - Énfasis4 4" xfId="69" xr:uid="{00000000-0005-0000-0000-000048000000}"/>
    <cellStyle name="20% - Énfasis4 4 2" xfId="70" xr:uid="{00000000-0005-0000-0000-000049000000}"/>
    <cellStyle name="20% - Énfasis4 5" xfId="71" xr:uid="{00000000-0005-0000-0000-00004A000000}"/>
    <cellStyle name="20% - Énfasis4 5 2" xfId="72" xr:uid="{00000000-0005-0000-0000-00004B000000}"/>
    <cellStyle name="20% - Énfasis5 2" xfId="73" xr:uid="{00000000-0005-0000-0000-00004C000000}"/>
    <cellStyle name="20% - Énfasis5 2 2" xfId="74" xr:uid="{00000000-0005-0000-0000-00004D000000}"/>
    <cellStyle name="20% - Énfasis5 2 2 2" xfId="75" xr:uid="{00000000-0005-0000-0000-00004E000000}"/>
    <cellStyle name="20% - Énfasis5 2 3" xfId="76" xr:uid="{00000000-0005-0000-0000-00004F000000}"/>
    <cellStyle name="20% - Énfasis5 2 3 2" xfId="77" xr:uid="{00000000-0005-0000-0000-000050000000}"/>
    <cellStyle name="20% - Énfasis5 2 4" xfId="78" xr:uid="{00000000-0005-0000-0000-000051000000}"/>
    <cellStyle name="20% - Énfasis5 2 4 2" xfId="79" xr:uid="{00000000-0005-0000-0000-000052000000}"/>
    <cellStyle name="20% - Énfasis5 2 5" xfId="80" xr:uid="{00000000-0005-0000-0000-000053000000}"/>
    <cellStyle name="20% - Énfasis5 2 5 2" xfId="81" xr:uid="{00000000-0005-0000-0000-000054000000}"/>
    <cellStyle name="20% - Énfasis5 2 6" xfId="82" xr:uid="{00000000-0005-0000-0000-000055000000}"/>
    <cellStyle name="20% - Énfasis5 3" xfId="83" xr:uid="{00000000-0005-0000-0000-000056000000}"/>
    <cellStyle name="20% - Énfasis5 3 2" xfId="84" xr:uid="{00000000-0005-0000-0000-000057000000}"/>
    <cellStyle name="20% - Énfasis5 4" xfId="85" xr:uid="{00000000-0005-0000-0000-000058000000}"/>
    <cellStyle name="20% - Énfasis5 4 2" xfId="86" xr:uid="{00000000-0005-0000-0000-000059000000}"/>
    <cellStyle name="20% - Énfasis5 5" xfId="87" xr:uid="{00000000-0005-0000-0000-00005A000000}"/>
    <cellStyle name="20% - Énfasis5 5 2" xfId="88" xr:uid="{00000000-0005-0000-0000-00005B000000}"/>
    <cellStyle name="20% - Énfasis6 2" xfId="89" xr:uid="{00000000-0005-0000-0000-00005C000000}"/>
    <cellStyle name="20% - Énfasis6 2 2" xfId="90" xr:uid="{00000000-0005-0000-0000-00005D000000}"/>
    <cellStyle name="20% - Énfasis6 2 2 2" xfId="91" xr:uid="{00000000-0005-0000-0000-00005E000000}"/>
    <cellStyle name="20% - Énfasis6 2 3" xfId="92" xr:uid="{00000000-0005-0000-0000-00005F000000}"/>
    <cellStyle name="20% - Énfasis6 2 3 2" xfId="93" xr:uid="{00000000-0005-0000-0000-000060000000}"/>
    <cellStyle name="20% - Énfasis6 2 4" xfId="94" xr:uid="{00000000-0005-0000-0000-000061000000}"/>
    <cellStyle name="20% - Énfasis6 2 4 2" xfId="95" xr:uid="{00000000-0005-0000-0000-000062000000}"/>
    <cellStyle name="20% - Énfasis6 2 5" xfId="96" xr:uid="{00000000-0005-0000-0000-000063000000}"/>
    <cellStyle name="20% - Énfasis6 2 5 2" xfId="97" xr:uid="{00000000-0005-0000-0000-000064000000}"/>
    <cellStyle name="20% - Énfasis6 2 6" xfId="98" xr:uid="{00000000-0005-0000-0000-000065000000}"/>
    <cellStyle name="20% - Énfasis6 3" xfId="99" xr:uid="{00000000-0005-0000-0000-000066000000}"/>
    <cellStyle name="20% - Énfasis6 3 2" xfId="100" xr:uid="{00000000-0005-0000-0000-000067000000}"/>
    <cellStyle name="20% - Énfasis6 4" xfId="101" xr:uid="{00000000-0005-0000-0000-000068000000}"/>
    <cellStyle name="20% - Énfasis6 4 2" xfId="102" xr:uid="{00000000-0005-0000-0000-000069000000}"/>
    <cellStyle name="20% - Énfasis6 5" xfId="103" xr:uid="{00000000-0005-0000-0000-00006A000000}"/>
    <cellStyle name="20% - Énfasis6 5 2" xfId="104" xr:uid="{00000000-0005-0000-0000-00006B000000}"/>
    <cellStyle name="40% - Accent1" xfId="105" xr:uid="{00000000-0005-0000-0000-00006C000000}"/>
    <cellStyle name="40% - Accent2" xfId="106" xr:uid="{00000000-0005-0000-0000-00006D000000}"/>
    <cellStyle name="40% - Accent3" xfId="107" xr:uid="{00000000-0005-0000-0000-00006E000000}"/>
    <cellStyle name="40% - Accent4" xfId="108" xr:uid="{00000000-0005-0000-0000-00006F000000}"/>
    <cellStyle name="40% - Accent5" xfId="109" xr:uid="{00000000-0005-0000-0000-000070000000}"/>
    <cellStyle name="40% - Accent6" xfId="110" xr:uid="{00000000-0005-0000-0000-000071000000}"/>
    <cellStyle name="40% - Énfasis1 2" xfId="111" xr:uid="{00000000-0005-0000-0000-000072000000}"/>
    <cellStyle name="40% - Énfasis1 2 2" xfId="112" xr:uid="{00000000-0005-0000-0000-000073000000}"/>
    <cellStyle name="40% - Énfasis1 2 2 2" xfId="113" xr:uid="{00000000-0005-0000-0000-000074000000}"/>
    <cellStyle name="40% - Énfasis1 2 3" xfId="114" xr:uid="{00000000-0005-0000-0000-000075000000}"/>
    <cellStyle name="40% - Énfasis1 2 3 2" xfId="115" xr:uid="{00000000-0005-0000-0000-000076000000}"/>
    <cellStyle name="40% - Énfasis1 2 4" xfId="116" xr:uid="{00000000-0005-0000-0000-000077000000}"/>
    <cellStyle name="40% - Énfasis1 2 4 2" xfId="117" xr:uid="{00000000-0005-0000-0000-000078000000}"/>
    <cellStyle name="40% - Énfasis1 2 5" xfId="118" xr:uid="{00000000-0005-0000-0000-000079000000}"/>
    <cellStyle name="40% - Énfasis1 2 5 2" xfId="119" xr:uid="{00000000-0005-0000-0000-00007A000000}"/>
    <cellStyle name="40% - Énfasis1 2 6" xfId="120" xr:uid="{00000000-0005-0000-0000-00007B000000}"/>
    <cellStyle name="40% - Énfasis1 3" xfId="121" xr:uid="{00000000-0005-0000-0000-00007C000000}"/>
    <cellStyle name="40% - Énfasis1 3 2" xfId="122" xr:uid="{00000000-0005-0000-0000-00007D000000}"/>
    <cellStyle name="40% - Énfasis1 4" xfId="123" xr:uid="{00000000-0005-0000-0000-00007E000000}"/>
    <cellStyle name="40% - Énfasis1 4 2" xfId="124" xr:uid="{00000000-0005-0000-0000-00007F000000}"/>
    <cellStyle name="40% - Énfasis1 5" xfId="125" xr:uid="{00000000-0005-0000-0000-000080000000}"/>
    <cellStyle name="40% - Énfasis1 5 2" xfId="126" xr:uid="{00000000-0005-0000-0000-000081000000}"/>
    <cellStyle name="40% - Énfasis2 2" xfId="127" xr:uid="{00000000-0005-0000-0000-000082000000}"/>
    <cellStyle name="40% - Énfasis2 2 2" xfId="128" xr:uid="{00000000-0005-0000-0000-000083000000}"/>
    <cellStyle name="40% - Énfasis2 2 2 2" xfId="129" xr:uid="{00000000-0005-0000-0000-000084000000}"/>
    <cellStyle name="40% - Énfasis2 2 3" xfId="130" xr:uid="{00000000-0005-0000-0000-000085000000}"/>
    <cellStyle name="40% - Énfasis2 2 3 2" xfId="131" xr:uid="{00000000-0005-0000-0000-000086000000}"/>
    <cellStyle name="40% - Énfasis2 2 4" xfId="132" xr:uid="{00000000-0005-0000-0000-000087000000}"/>
    <cellStyle name="40% - Énfasis2 2 4 2" xfId="133" xr:uid="{00000000-0005-0000-0000-000088000000}"/>
    <cellStyle name="40% - Énfasis2 2 5" xfId="134" xr:uid="{00000000-0005-0000-0000-000089000000}"/>
    <cellStyle name="40% - Énfasis2 2 5 2" xfId="135" xr:uid="{00000000-0005-0000-0000-00008A000000}"/>
    <cellStyle name="40% - Énfasis2 2 6" xfId="136" xr:uid="{00000000-0005-0000-0000-00008B000000}"/>
    <cellStyle name="40% - Énfasis2 3" xfId="137" xr:uid="{00000000-0005-0000-0000-00008C000000}"/>
    <cellStyle name="40% - Énfasis2 3 2" xfId="138" xr:uid="{00000000-0005-0000-0000-00008D000000}"/>
    <cellStyle name="40% - Énfasis2 4" xfId="139" xr:uid="{00000000-0005-0000-0000-00008E000000}"/>
    <cellStyle name="40% - Énfasis2 4 2" xfId="140" xr:uid="{00000000-0005-0000-0000-00008F000000}"/>
    <cellStyle name="40% - Énfasis2 5" xfId="141" xr:uid="{00000000-0005-0000-0000-000090000000}"/>
    <cellStyle name="40% - Énfasis2 5 2" xfId="142" xr:uid="{00000000-0005-0000-0000-000091000000}"/>
    <cellStyle name="40% - Énfasis3 2" xfId="143" xr:uid="{00000000-0005-0000-0000-000092000000}"/>
    <cellStyle name="40% - Énfasis3 2 2" xfId="144" xr:uid="{00000000-0005-0000-0000-000093000000}"/>
    <cellStyle name="40% - Énfasis3 2 2 2" xfId="145" xr:uid="{00000000-0005-0000-0000-000094000000}"/>
    <cellStyle name="40% - Énfasis3 2 3" xfId="146" xr:uid="{00000000-0005-0000-0000-000095000000}"/>
    <cellStyle name="40% - Énfasis3 2 3 2" xfId="147" xr:uid="{00000000-0005-0000-0000-000096000000}"/>
    <cellStyle name="40% - Énfasis3 2 4" xfId="148" xr:uid="{00000000-0005-0000-0000-000097000000}"/>
    <cellStyle name="40% - Énfasis3 2 4 2" xfId="149" xr:uid="{00000000-0005-0000-0000-000098000000}"/>
    <cellStyle name="40% - Énfasis3 2 5" xfId="150" xr:uid="{00000000-0005-0000-0000-000099000000}"/>
    <cellStyle name="40% - Énfasis3 2 5 2" xfId="151" xr:uid="{00000000-0005-0000-0000-00009A000000}"/>
    <cellStyle name="40% - Énfasis3 2 6" xfId="152" xr:uid="{00000000-0005-0000-0000-00009B000000}"/>
    <cellStyle name="40% - Énfasis3 3" xfId="153" xr:uid="{00000000-0005-0000-0000-00009C000000}"/>
    <cellStyle name="40% - Énfasis3 3 2" xfId="154" xr:uid="{00000000-0005-0000-0000-00009D000000}"/>
    <cellStyle name="40% - Énfasis3 4" xfId="155" xr:uid="{00000000-0005-0000-0000-00009E000000}"/>
    <cellStyle name="40% - Énfasis3 4 2" xfId="156" xr:uid="{00000000-0005-0000-0000-00009F000000}"/>
    <cellStyle name="40% - Énfasis3 5" xfId="157" xr:uid="{00000000-0005-0000-0000-0000A0000000}"/>
    <cellStyle name="40% - Énfasis3 5 2" xfId="158" xr:uid="{00000000-0005-0000-0000-0000A1000000}"/>
    <cellStyle name="40% - Énfasis4 2" xfId="159" xr:uid="{00000000-0005-0000-0000-0000A2000000}"/>
    <cellStyle name="40% - Énfasis4 2 2" xfId="160" xr:uid="{00000000-0005-0000-0000-0000A3000000}"/>
    <cellStyle name="40% - Énfasis4 2 2 2" xfId="161" xr:uid="{00000000-0005-0000-0000-0000A4000000}"/>
    <cellStyle name="40% - Énfasis4 2 3" xfId="162" xr:uid="{00000000-0005-0000-0000-0000A5000000}"/>
    <cellStyle name="40% - Énfasis4 2 3 2" xfId="163" xr:uid="{00000000-0005-0000-0000-0000A6000000}"/>
    <cellStyle name="40% - Énfasis4 2 4" xfId="164" xr:uid="{00000000-0005-0000-0000-0000A7000000}"/>
    <cellStyle name="40% - Énfasis4 2 4 2" xfId="165" xr:uid="{00000000-0005-0000-0000-0000A8000000}"/>
    <cellStyle name="40% - Énfasis4 2 5" xfId="166" xr:uid="{00000000-0005-0000-0000-0000A9000000}"/>
    <cellStyle name="40% - Énfasis4 2 5 2" xfId="167" xr:uid="{00000000-0005-0000-0000-0000AA000000}"/>
    <cellStyle name="40% - Énfasis4 2 6" xfId="168" xr:uid="{00000000-0005-0000-0000-0000AB000000}"/>
    <cellStyle name="40% - Énfasis4 3" xfId="169" xr:uid="{00000000-0005-0000-0000-0000AC000000}"/>
    <cellStyle name="40% - Énfasis4 3 2" xfId="170" xr:uid="{00000000-0005-0000-0000-0000AD000000}"/>
    <cellStyle name="40% - Énfasis4 4" xfId="171" xr:uid="{00000000-0005-0000-0000-0000AE000000}"/>
    <cellStyle name="40% - Énfasis4 4 2" xfId="172" xr:uid="{00000000-0005-0000-0000-0000AF000000}"/>
    <cellStyle name="40% - Énfasis4 5" xfId="173" xr:uid="{00000000-0005-0000-0000-0000B0000000}"/>
    <cellStyle name="40% - Énfasis4 5 2" xfId="174" xr:uid="{00000000-0005-0000-0000-0000B1000000}"/>
    <cellStyle name="40% - Énfasis5 2" xfId="175" xr:uid="{00000000-0005-0000-0000-0000B2000000}"/>
    <cellStyle name="40% - Énfasis5 2 2" xfId="176" xr:uid="{00000000-0005-0000-0000-0000B3000000}"/>
    <cellStyle name="40% - Énfasis5 2 2 2" xfId="177" xr:uid="{00000000-0005-0000-0000-0000B4000000}"/>
    <cellStyle name="40% - Énfasis5 2 3" xfId="178" xr:uid="{00000000-0005-0000-0000-0000B5000000}"/>
    <cellStyle name="40% - Énfasis5 2 3 2" xfId="179" xr:uid="{00000000-0005-0000-0000-0000B6000000}"/>
    <cellStyle name="40% - Énfasis5 2 4" xfId="180" xr:uid="{00000000-0005-0000-0000-0000B7000000}"/>
    <cellStyle name="40% - Énfasis5 2 4 2" xfId="181" xr:uid="{00000000-0005-0000-0000-0000B8000000}"/>
    <cellStyle name="40% - Énfasis5 2 5" xfId="182" xr:uid="{00000000-0005-0000-0000-0000B9000000}"/>
    <cellStyle name="40% - Énfasis5 2 5 2" xfId="183" xr:uid="{00000000-0005-0000-0000-0000BA000000}"/>
    <cellStyle name="40% - Énfasis5 2 6" xfId="184" xr:uid="{00000000-0005-0000-0000-0000BB000000}"/>
    <cellStyle name="40% - Énfasis5 3" xfId="185" xr:uid="{00000000-0005-0000-0000-0000BC000000}"/>
    <cellStyle name="40% - Énfasis5 3 2" xfId="186" xr:uid="{00000000-0005-0000-0000-0000BD000000}"/>
    <cellStyle name="40% - Énfasis5 4" xfId="187" xr:uid="{00000000-0005-0000-0000-0000BE000000}"/>
    <cellStyle name="40% - Énfasis5 4 2" xfId="188" xr:uid="{00000000-0005-0000-0000-0000BF000000}"/>
    <cellStyle name="40% - Énfasis5 5" xfId="189" xr:uid="{00000000-0005-0000-0000-0000C0000000}"/>
    <cellStyle name="40% - Énfasis5 5 2" xfId="190" xr:uid="{00000000-0005-0000-0000-0000C1000000}"/>
    <cellStyle name="40% - Énfasis6 2" xfId="191" xr:uid="{00000000-0005-0000-0000-0000C2000000}"/>
    <cellStyle name="40% - Énfasis6 2 2" xfId="192" xr:uid="{00000000-0005-0000-0000-0000C3000000}"/>
    <cellStyle name="40% - Énfasis6 2 2 2" xfId="193" xr:uid="{00000000-0005-0000-0000-0000C4000000}"/>
    <cellStyle name="40% - Énfasis6 2 3" xfId="194" xr:uid="{00000000-0005-0000-0000-0000C5000000}"/>
    <cellStyle name="40% - Énfasis6 2 3 2" xfId="195" xr:uid="{00000000-0005-0000-0000-0000C6000000}"/>
    <cellStyle name="40% - Énfasis6 2 4" xfId="196" xr:uid="{00000000-0005-0000-0000-0000C7000000}"/>
    <cellStyle name="40% - Énfasis6 2 4 2" xfId="197" xr:uid="{00000000-0005-0000-0000-0000C8000000}"/>
    <cellStyle name="40% - Énfasis6 2 5" xfId="198" xr:uid="{00000000-0005-0000-0000-0000C9000000}"/>
    <cellStyle name="40% - Énfasis6 2 5 2" xfId="199" xr:uid="{00000000-0005-0000-0000-0000CA000000}"/>
    <cellStyle name="40% - Énfasis6 2 6" xfId="200" xr:uid="{00000000-0005-0000-0000-0000CB000000}"/>
    <cellStyle name="40% - Énfasis6 3" xfId="201" xr:uid="{00000000-0005-0000-0000-0000CC000000}"/>
    <cellStyle name="40% - Énfasis6 3 2" xfId="202" xr:uid="{00000000-0005-0000-0000-0000CD000000}"/>
    <cellStyle name="40% - Énfasis6 4" xfId="203" xr:uid="{00000000-0005-0000-0000-0000CE000000}"/>
    <cellStyle name="40% - Énfasis6 4 2" xfId="204" xr:uid="{00000000-0005-0000-0000-0000CF000000}"/>
    <cellStyle name="40% - Énfasis6 5" xfId="205" xr:uid="{00000000-0005-0000-0000-0000D0000000}"/>
    <cellStyle name="40% - Énfasis6 5 2" xfId="206" xr:uid="{00000000-0005-0000-0000-0000D1000000}"/>
    <cellStyle name="60% - Accent1" xfId="207" xr:uid="{00000000-0005-0000-0000-0000D2000000}"/>
    <cellStyle name="60% - Accent2" xfId="208" xr:uid="{00000000-0005-0000-0000-0000D3000000}"/>
    <cellStyle name="60% - Accent3" xfId="209" xr:uid="{00000000-0005-0000-0000-0000D4000000}"/>
    <cellStyle name="60% - Accent4" xfId="210" xr:uid="{00000000-0005-0000-0000-0000D5000000}"/>
    <cellStyle name="60% - Accent5" xfId="211" xr:uid="{00000000-0005-0000-0000-0000D6000000}"/>
    <cellStyle name="60% - Accent6" xfId="212" xr:uid="{00000000-0005-0000-0000-0000D7000000}"/>
    <cellStyle name="60% - Énfasis1 2" xfId="213" xr:uid="{00000000-0005-0000-0000-0000D8000000}"/>
    <cellStyle name="60% - Énfasis1 2 2" xfId="214" xr:uid="{00000000-0005-0000-0000-0000D9000000}"/>
    <cellStyle name="60% - Énfasis1 2 3" xfId="215" xr:uid="{00000000-0005-0000-0000-0000DA000000}"/>
    <cellStyle name="60% - Énfasis1 2 4" xfId="216" xr:uid="{00000000-0005-0000-0000-0000DB000000}"/>
    <cellStyle name="60% - Énfasis1 2 5" xfId="217" xr:uid="{00000000-0005-0000-0000-0000DC000000}"/>
    <cellStyle name="60% - Énfasis1 3" xfId="218" xr:uid="{00000000-0005-0000-0000-0000DD000000}"/>
    <cellStyle name="60% - Énfasis1 4" xfId="219" xr:uid="{00000000-0005-0000-0000-0000DE000000}"/>
    <cellStyle name="60% - Énfasis1 5" xfId="220" xr:uid="{00000000-0005-0000-0000-0000DF000000}"/>
    <cellStyle name="60% - Énfasis2 2" xfId="221" xr:uid="{00000000-0005-0000-0000-0000E0000000}"/>
    <cellStyle name="60% - Énfasis2 2 2" xfId="222" xr:uid="{00000000-0005-0000-0000-0000E1000000}"/>
    <cellStyle name="60% - Énfasis2 2 3" xfId="223" xr:uid="{00000000-0005-0000-0000-0000E2000000}"/>
    <cellStyle name="60% - Énfasis2 2 4" xfId="224" xr:uid="{00000000-0005-0000-0000-0000E3000000}"/>
    <cellStyle name="60% - Énfasis2 2 5" xfId="225" xr:uid="{00000000-0005-0000-0000-0000E4000000}"/>
    <cellStyle name="60% - Énfasis2 3" xfId="226" xr:uid="{00000000-0005-0000-0000-0000E5000000}"/>
    <cellStyle name="60% - Énfasis2 4" xfId="227" xr:uid="{00000000-0005-0000-0000-0000E6000000}"/>
    <cellStyle name="60% - Énfasis2 5" xfId="228" xr:uid="{00000000-0005-0000-0000-0000E7000000}"/>
    <cellStyle name="60% - Énfasis3 2" xfId="229" xr:uid="{00000000-0005-0000-0000-0000E8000000}"/>
    <cellStyle name="60% - Énfasis3 2 2" xfId="230" xr:uid="{00000000-0005-0000-0000-0000E9000000}"/>
    <cellStyle name="60% - Énfasis3 2 3" xfId="231" xr:uid="{00000000-0005-0000-0000-0000EA000000}"/>
    <cellStyle name="60% - Énfasis3 2 4" xfId="232" xr:uid="{00000000-0005-0000-0000-0000EB000000}"/>
    <cellStyle name="60% - Énfasis3 2 5" xfId="233" xr:uid="{00000000-0005-0000-0000-0000EC000000}"/>
    <cellStyle name="60% - Énfasis3 3" xfId="234" xr:uid="{00000000-0005-0000-0000-0000ED000000}"/>
    <cellStyle name="60% - Énfasis3 4" xfId="235" xr:uid="{00000000-0005-0000-0000-0000EE000000}"/>
    <cellStyle name="60% - Énfasis3 5" xfId="236" xr:uid="{00000000-0005-0000-0000-0000EF000000}"/>
    <cellStyle name="60% - Énfasis4 2" xfId="237" xr:uid="{00000000-0005-0000-0000-0000F0000000}"/>
    <cellStyle name="60% - Énfasis4 2 2" xfId="238" xr:uid="{00000000-0005-0000-0000-0000F1000000}"/>
    <cellStyle name="60% - Énfasis4 2 3" xfId="239" xr:uid="{00000000-0005-0000-0000-0000F2000000}"/>
    <cellStyle name="60% - Énfasis4 2 4" xfId="240" xr:uid="{00000000-0005-0000-0000-0000F3000000}"/>
    <cellStyle name="60% - Énfasis4 2 5" xfId="241" xr:uid="{00000000-0005-0000-0000-0000F4000000}"/>
    <cellStyle name="60% - Énfasis4 3" xfId="242" xr:uid="{00000000-0005-0000-0000-0000F5000000}"/>
    <cellStyle name="60% - Énfasis4 4" xfId="243" xr:uid="{00000000-0005-0000-0000-0000F6000000}"/>
    <cellStyle name="60% - Énfasis4 5" xfId="244" xr:uid="{00000000-0005-0000-0000-0000F7000000}"/>
    <cellStyle name="60% - Énfasis5 2" xfId="245" xr:uid="{00000000-0005-0000-0000-0000F8000000}"/>
    <cellStyle name="60% - Énfasis5 2 2" xfId="246" xr:uid="{00000000-0005-0000-0000-0000F9000000}"/>
    <cellStyle name="60% - Énfasis5 2 3" xfId="247" xr:uid="{00000000-0005-0000-0000-0000FA000000}"/>
    <cellStyle name="60% - Énfasis5 2 4" xfId="248" xr:uid="{00000000-0005-0000-0000-0000FB000000}"/>
    <cellStyle name="60% - Énfasis5 2 5" xfId="249" xr:uid="{00000000-0005-0000-0000-0000FC000000}"/>
    <cellStyle name="60% - Énfasis5 3" xfId="250" xr:uid="{00000000-0005-0000-0000-0000FD000000}"/>
    <cellStyle name="60% - Énfasis5 4" xfId="251" xr:uid="{00000000-0005-0000-0000-0000FE000000}"/>
    <cellStyle name="60% - Énfasis5 5" xfId="252" xr:uid="{00000000-0005-0000-0000-0000FF000000}"/>
    <cellStyle name="60% - Énfasis6 2" xfId="253" xr:uid="{00000000-0005-0000-0000-000000010000}"/>
    <cellStyle name="60% - Énfasis6 2 2" xfId="254" xr:uid="{00000000-0005-0000-0000-000001010000}"/>
    <cellStyle name="60% - Énfasis6 2 3" xfId="255" xr:uid="{00000000-0005-0000-0000-000002010000}"/>
    <cellStyle name="60% - Énfasis6 2 4" xfId="256" xr:uid="{00000000-0005-0000-0000-000003010000}"/>
    <cellStyle name="60% - Énfasis6 2 5" xfId="257" xr:uid="{00000000-0005-0000-0000-000004010000}"/>
    <cellStyle name="60% - Énfasis6 3" xfId="258" xr:uid="{00000000-0005-0000-0000-000005010000}"/>
    <cellStyle name="60% - Énfasis6 4" xfId="259" xr:uid="{00000000-0005-0000-0000-000006010000}"/>
    <cellStyle name="60% - Énfasis6 5" xfId="260" xr:uid="{00000000-0005-0000-0000-000007010000}"/>
    <cellStyle name="Accent1" xfId="261" xr:uid="{00000000-0005-0000-0000-000008010000}"/>
    <cellStyle name="Accent2" xfId="262" xr:uid="{00000000-0005-0000-0000-000009010000}"/>
    <cellStyle name="Accent3" xfId="263" xr:uid="{00000000-0005-0000-0000-00000A010000}"/>
    <cellStyle name="Accent4" xfId="264" xr:uid="{00000000-0005-0000-0000-00000B010000}"/>
    <cellStyle name="Accent5" xfId="265" xr:uid="{00000000-0005-0000-0000-00000C010000}"/>
    <cellStyle name="Accent6" xfId="266" xr:uid="{00000000-0005-0000-0000-00000D010000}"/>
    <cellStyle name="Bad 1" xfId="267" xr:uid="{00000000-0005-0000-0000-00000E010000}"/>
    <cellStyle name="blau" xfId="268" xr:uid="{00000000-0005-0000-0000-00000F010000}"/>
    <cellStyle name="botton" xfId="269" xr:uid="{00000000-0005-0000-0000-000010010000}"/>
    <cellStyle name="Buena 2" xfId="270" xr:uid="{00000000-0005-0000-0000-000011010000}"/>
    <cellStyle name="Buena 2 2" xfId="271" xr:uid="{00000000-0005-0000-0000-000012010000}"/>
    <cellStyle name="Buena 2 3" xfId="272" xr:uid="{00000000-0005-0000-0000-000013010000}"/>
    <cellStyle name="Buena 2 4" xfId="273" xr:uid="{00000000-0005-0000-0000-000014010000}"/>
    <cellStyle name="Buena 2 5" xfId="274" xr:uid="{00000000-0005-0000-0000-000015010000}"/>
    <cellStyle name="Buena 3" xfId="275" xr:uid="{00000000-0005-0000-0000-000016010000}"/>
    <cellStyle name="Buena 4" xfId="276" xr:uid="{00000000-0005-0000-0000-000017010000}"/>
    <cellStyle name="Buena 5" xfId="277" xr:uid="{00000000-0005-0000-0000-000018010000}"/>
    <cellStyle name="Calculation" xfId="278" xr:uid="{00000000-0005-0000-0000-000019010000}"/>
    <cellStyle name="Cálculo 2" xfId="296" xr:uid="{00000000-0005-0000-0000-00002B010000}"/>
    <cellStyle name="Cálculo 2 2" xfId="297" xr:uid="{00000000-0005-0000-0000-00002C010000}"/>
    <cellStyle name="Cálculo 2 3" xfId="298" xr:uid="{00000000-0005-0000-0000-00002D010000}"/>
    <cellStyle name="Cálculo 2 4" xfId="299" xr:uid="{00000000-0005-0000-0000-00002E010000}"/>
    <cellStyle name="Cálculo 2 5" xfId="300" xr:uid="{00000000-0005-0000-0000-00002F010000}"/>
    <cellStyle name="Cálculo 3" xfId="301" xr:uid="{00000000-0005-0000-0000-000030010000}"/>
    <cellStyle name="Cálculo 4" xfId="302" xr:uid="{00000000-0005-0000-0000-000031010000}"/>
    <cellStyle name="Cálculo 5" xfId="303" xr:uid="{00000000-0005-0000-0000-000032010000}"/>
    <cellStyle name="Celda de comprobación 2" xfId="279" xr:uid="{00000000-0005-0000-0000-00001A010000}"/>
    <cellStyle name="Celda de comprobación 2 2" xfId="280" xr:uid="{00000000-0005-0000-0000-00001B010000}"/>
    <cellStyle name="Celda de comprobación 2 3" xfId="281" xr:uid="{00000000-0005-0000-0000-00001C010000}"/>
    <cellStyle name="Celda de comprobación 2 4" xfId="282" xr:uid="{00000000-0005-0000-0000-00001D010000}"/>
    <cellStyle name="Celda de comprobación 2 5" xfId="283" xr:uid="{00000000-0005-0000-0000-00001E010000}"/>
    <cellStyle name="Celda de comprobación 3" xfId="284" xr:uid="{00000000-0005-0000-0000-00001F010000}"/>
    <cellStyle name="Celda de comprobación 4" xfId="285" xr:uid="{00000000-0005-0000-0000-000020010000}"/>
    <cellStyle name="Celda de comprobación 5" xfId="286" xr:uid="{00000000-0005-0000-0000-000021010000}"/>
    <cellStyle name="Celda vinculada 2" xfId="287" xr:uid="{00000000-0005-0000-0000-000022010000}"/>
    <cellStyle name="Celda vinculada 2 2" xfId="288" xr:uid="{00000000-0005-0000-0000-000023010000}"/>
    <cellStyle name="Celda vinculada 2 3" xfId="289" xr:uid="{00000000-0005-0000-0000-000024010000}"/>
    <cellStyle name="Celda vinculada 2 4" xfId="290" xr:uid="{00000000-0005-0000-0000-000025010000}"/>
    <cellStyle name="Celda vinculada 2 5" xfId="291" xr:uid="{00000000-0005-0000-0000-000026010000}"/>
    <cellStyle name="Celda vinculada 3" xfId="292" xr:uid="{00000000-0005-0000-0000-000027010000}"/>
    <cellStyle name="Celda vinculada 4" xfId="293" xr:uid="{00000000-0005-0000-0000-000028010000}"/>
    <cellStyle name="Celda vinculada 5" xfId="294" xr:uid="{00000000-0005-0000-0000-000029010000}"/>
    <cellStyle name="Check Cell" xfId="295" xr:uid="{00000000-0005-0000-0000-00002A010000}"/>
    <cellStyle name="Dezimal [0]_Tax Losses 00-01 February 1" xfId="304" xr:uid="{00000000-0005-0000-0000-000033010000}"/>
    <cellStyle name="Dezimal_Tax Losses 00-01 February 1" xfId="305" xr:uid="{00000000-0005-0000-0000-000034010000}"/>
    <cellStyle name="Dia" xfId="306" xr:uid="{00000000-0005-0000-0000-000035010000}"/>
    <cellStyle name="Encabez1" xfId="307" xr:uid="{00000000-0005-0000-0000-000036010000}"/>
    <cellStyle name="Encabez2" xfId="308" xr:uid="{00000000-0005-0000-0000-000037010000}"/>
    <cellStyle name="Encabezado 4 2" xfId="309" xr:uid="{00000000-0005-0000-0000-000038010000}"/>
    <cellStyle name="Encabezado 4 2 2" xfId="310" xr:uid="{00000000-0005-0000-0000-000039010000}"/>
    <cellStyle name="Encabezado 4 2 3" xfId="311" xr:uid="{00000000-0005-0000-0000-00003A010000}"/>
    <cellStyle name="Encabezado 4 2 4" xfId="312" xr:uid="{00000000-0005-0000-0000-00003B010000}"/>
    <cellStyle name="Encabezado 4 2 5" xfId="313" xr:uid="{00000000-0005-0000-0000-00003C010000}"/>
    <cellStyle name="Encabezado 4 3" xfId="314" xr:uid="{00000000-0005-0000-0000-00003D010000}"/>
    <cellStyle name="Encabezado 4 4" xfId="315" xr:uid="{00000000-0005-0000-0000-00003E010000}"/>
    <cellStyle name="Encabezado 4 5" xfId="316" xr:uid="{00000000-0005-0000-0000-00003F010000}"/>
    <cellStyle name="Énfasis1 2" xfId="2021" xr:uid="{00000000-0005-0000-0000-0000ED070000}"/>
    <cellStyle name="Énfasis1 2 2" xfId="2022" xr:uid="{00000000-0005-0000-0000-0000EE070000}"/>
    <cellStyle name="Énfasis1 2 3" xfId="2023" xr:uid="{00000000-0005-0000-0000-0000EF070000}"/>
    <cellStyle name="Énfasis1 2 4" xfId="2024" xr:uid="{00000000-0005-0000-0000-0000F0070000}"/>
    <cellStyle name="Énfasis1 2 5" xfId="2025" xr:uid="{00000000-0005-0000-0000-0000F1070000}"/>
    <cellStyle name="Énfasis1 3" xfId="2026" xr:uid="{00000000-0005-0000-0000-0000F2070000}"/>
    <cellStyle name="Énfasis1 4" xfId="2027" xr:uid="{00000000-0005-0000-0000-0000F3070000}"/>
    <cellStyle name="Énfasis1 5" xfId="2028" xr:uid="{00000000-0005-0000-0000-0000F4070000}"/>
    <cellStyle name="Énfasis2 2" xfId="2029" xr:uid="{00000000-0005-0000-0000-0000F5070000}"/>
    <cellStyle name="Énfasis2 2 2" xfId="2030" xr:uid="{00000000-0005-0000-0000-0000F6070000}"/>
    <cellStyle name="Énfasis2 2 3" xfId="2031" xr:uid="{00000000-0005-0000-0000-0000F7070000}"/>
    <cellStyle name="Énfasis2 2 4" xfId="2032" xr:uid="{00000000-0005-0000-0000-0000F8070000}"/>
    <cellStyle name="Énfasis2 2 5" xfId="2033" xr:uid="{00000000-0005-0000-0000-0000F9070000}"/>
    <cellStyle name="Énfasis2 3" xfId="2034" xr:uid="{00000000-0005-0000-0000-0000FA070000}"/>
    <cellStyle name="Énfasis2 4" xfId="2035" xr:uid="{00000000-0005-0000-0000-0000FB070000}"/>
    <cellStyle name="Énfasis2 5" xfId="2036" xr:uid="{00000000-0005-0000-0000-0000FC070000}"/>
    <cellStyle name="Énfasis3 2" xfId="2037" xr:uid="{00000000-0005-0000-0000-0000FD070000}"/>
    <cellStyle name="Énfasis3 2 2" xfId="2038" xr:uid="{00000000-0005-0000-0000-0000FE070000}"/>
    <cellStyle name="Énfasis3 2 3" xfId="2039" xr:uid="{00000000-0005-0000-0000-0000FF070000}"/>
    <cellStyle name="Énfasis3 2 4" xfId="2040" xr:uid="{00000000-0005-0000-0000-000000080000}"/>
    <cellStyle name="Énfasis3 2 5" xfId="2041" xr:uid="{00000000-0005-0000-0000-000001080000}"/>
    <cellStyle name="Énfasis3 3" xfId="2042" xr:uid="{00000000-0005-0000-0000-000002080000}"/>
    <cellStyle name="Énfasis3 4" xfId="2043" xr:uid="{00000000-0005-0000-0000-000003080000}"/>
    <cellStyle name="Énfasis3 5" xfId="2044" xr:uid="{00000000-0005-0000-0000-000004080000}"/>
    <cellStyle name="Énfasis4 2" xfId="2045" xr:uid="{00000000-0005-0000-0000-000005080000}"/>
    <cellStyle name="Énfasis4 2 2" xfId="2046" xr:uid="{00000000-0005-0000-0000-000006080000}"/>
    <cellStyle name="Énfasis4 2 3" xfId="2047" xr:uid="{00000000-0005-0000-0000-000007080000}"/>
    <cellStyle name="Énfasis4 2 4" xfId="2048" xr:uid="{00000000-0005-0000-0000-000008080000}"/>
    <cellStyle name="Énfasis4 2 5" xfId="2049" xr:uid="{00000000-0005-0000-0000-000009080000}"/>
    <cellStyle name="Énfasis4 3" xfId="2050" xr:uid="{00000000-0005-0000-0000-00000A080000}"/>
    <cellStyle name="Énfasis4 4" xfId="2051" xr:uid="{00000000-0005-0000-0000-00000B080000}"/>
    <cellStyle name="Énfasis4 5" xfId="2052" xr:uid="{00000000-0005-0000-0000-00000C080000}"/>
    <cellStyle name="Énfasis5 2" xfId="2053" xr:uid="{00000000-0005-0000-0000-00000D080000}"/>
    <cellStyle name="Énfasis5 2 2" xfId="2054" xr:uid="{00000000-0005-0000-0000-00000E080000}"/>
    <cellStyle name="Énfasis5 2 3" xfId="2055" xr:uid="{00000000-0005-0000-0000-00000F080000}"/>
    <cellStyle name="Énfasis5 2 4" xfId="2056" xr:uid="{00000000-0005-0000-0000-000010080000}"/>
    <cellStyle name="Énfasis5 2 5" xfId="2057" xr:uid="{00000000-0005-0000-0000-000011080000}"/>
    <cellStyle name="Énfasis5 3" xfId="2058" xr:uid="{00000000-0005-0000-0000-000012080000}"/>
    <cellStyle name="Énfasis5 4" xfId="2059" xr:uid="{00000000-0005-0000-0000-000013080000}"/>
    <cellStyle name="Énfasis5 5" xfId="2060" xr:uid="{00000000-0005-0000-0000-000014080000}"/>
    <cellStyle name="Énfasis6 2" xfId="2061" xr:uid="{00000000-0005-0000-0000-000015080000}"/>
    <cellStyle name="Énfasis6 2 2" xfId="2062" xr:uid="{00000000-0005-0000-0000-000016080000}"/>
    <cellStyle name="Énfasis6 2 3" xfId="2063" xr:uid="{00000000-0005-0000-0000-000017080000}"/>
    <cellStyle name="Énfasis6 2 4" xfId="2064" xr:uid="{00000000-0005-0000-0000-000018080000}"/>
    <cellStyle name="Énfasis6 2 5" xfId="2065" xr:uid="{00000000-0005-0000-0000-000019080000}"/>
    <cellStyle name="Énfasis6 3" xfId="2066" xr:uid="{00000000-0005-0000-0000-00001A080000}"/>
    <cellStyle name="Énfasis6 4" xfId="2067" xr:uid="{00000000-0005-0000-0000-00001B080000}"/>
    <cellStyle name="Énfasis6 5" xfId="2068" xr:uid="{00000000-0005-0000-0000-00001C080000}"/>
    <cellStyle name="Entrada 2" xfId="317" xr:uid="{00000000-0005-0000-0000-000040010000}"/>
    <cellStyle name="Entrada 2 2" xfId="318" xr:uid="{00000000-0005-0000-0000-000041010000}"/>
    <cellStyle name="Entrada 2 3" xfId="319" xr:uid="{00000000-0005-0000-0000-000042010000}"/>
    <cellStyle name="Entrada 2 4" xfId="320" xr:uid="{00000000-0005-0000-0000-000043010000}"/>
    <cellStyle name="Entrada 2 5" xfId="321" xr:uid="{00000000-0005-0000-0000-000044010000}"/>
    <cellStyle name="Entrada 3" xfId="322" xr:uid="{00000000-0005-0000-0000-000045010000}"/>
    <cellStyle name="Entrada 4" xfId="323" xr:uid="{00000000-0005-0000-0000-000046010000}"/>
    <cellStyle name="Entrada 5" xfId="324" xr:uid="{00000000-0005-0000-0000-000047010000}"/>
    <cellStyle name="Estilo 1" xfId="325" xr:uid="{00000000-0005-0000-0000-000048010000}"/>
    <cellStyle name="Estilo 1 2" xfId="326" xr:uid="{00000000-0005-0000-0000-000049010000}"/>
    <cellStyle name="Euro" xfId="327" xr:uid="{00000000-0005-0000-0000-00004A010000}"/>
    <cellStyle name="Euro 10" xfId="328" xr:uid="{00000000-0005-0000-0000-00004B010000}"/>
    <cellStyle name="Euro 11" xfId="329" xr:uid="{00000000-0005-0000-0000-00004C010000}"/>
    <cellStyle name="Euro 12" xfId="330" xr:uid="{00000000-0005-0000-0000-00004D010000}"/>
    <cellStyle name="Euro 12 2" xfId="331" xr:uid="{00000000-0005-0000-0000-00004E010000}"/>
    <cellStyle name="Euro 12 2 2" xfId="332" xr:uid="{00000000-0005-0000-0000-00004F010000}"/>
    <cellStyle name="Euro 13" xfId="333" xr:uid="{00000000-0005-0000-0000-000050010000}"/>
    <cellStyle name="Euro 14" xfId="334" xr:uid="{00000000-0005-0000-0000-000051010000}"/>
    <cellStyle name="Euro 15" xfId="335" xr:uid="{00000000-0005-0000-0000-000052010000}"/>
    <cellStyle name="Euro 16" xfId="336" xr:uid="{00000000-0005-0000-0000-000053010000}"/>
    <cellStyle name="Euro 17" xfId="337" xr:uid="{00000000-0005-0000-0000-000054010000}"/>
    <cellStyle name="Euro 2" xfId="338" xr:uid="{00000000-0005-0000-0000-000055010000}"/>
    <cellStyle name="Euro 2 10" xfId="339" xr:uid="{00000000-0005-0000-0000-000056010000}"/>
    <cellStyle name="Euro 2 11" xfId="340" xr:uid="{00000000-0005-0000-0000-000057010000}"/>
    <cellStyle name="Euro 2 12" xfId="341" xr:uid="{00000000-0005-0000-0000-000058010000}"/>
    <cellStyle name="Euro 2 2" xfId="342" xr:uid="{00000000-0005-0000-0000-000059010000}"/>
    <cellStyle name="Euro 2 2 2" xfId="343" xr:uid="{00000000-0005-0000-0000-00005A010000}"/>
    <cellStyle name="Euro 2 2 3" xfId="344" xr:uid="{00000000-0005-0000-0000-00005B010000}"/>
    <cellStyle name="Euro 2 3" xfId="345" xr:uid="{00000000-0005-0000-0000-00005C010000}"/>
    <cellStyle name="Euro 2 3 2" xfId="346" xr:uid="{00000000-0005-0000-0000-00005D010000}"/>
    <cellStyle name="Euro 2 3 2 2" xfId="347" xr:uid="{00000000-0005-0000-0000-00005E010000}"/>
    <cellStyle name="Euro 2 3 2 2 2" xfId="348" xr:uid="{00000000-0005-0000-0000-00005F010000}"/>
    <cellStyle name="Euro 2 3 2 2 2 2" xfId="349" xr:uid="{00000000-0005-0000-0000-000060010000}"/>
    <cellStyle name="Euro 2 3 2 3" xfId="350" xr:uid="{00000000-0005-0000-0000-000061010000}"/>
    <cellStyle name="Euro 2 3 2 4" xfId="351" xr:uid="{00000000-0005-0000-0000-000062010000}"/>
    <cellStyle name="Euro 2 3 2 5" xfId="352" xr:uid="{00000000-0005-0000-0000-000063010000}"/>
    <cellStyle name="Euro 2 3 3" xfId="353" xr:uid="{00000000-0005-0000-0000-000064010000}"/>
    <cellStyle name="Euro 2 3 4" xfId="354" xr:uid="{00000000-0005-0000-0000-000065010000}"/>
    <cellStyle name="Euro 2 3 5" xfId="355" xr:uid="{00000000-0005-0000-0000-000066010000}"/>
    <cellStyle name="Euro 2 3 5 2" xfId="356" xr:uid="{00000000-0005-0000-0000-000067010000}"/>
    <cellStyle name="Euro 2 3 5 2 2" xfId="357" xr:uid="{00000000-0005-0000-0000-000068010000}"/>
    <cellStyle name="Euro 2 3 6" xfId="358" xr:uid="{00000000-0005-0000-0000-000069010000}"/>
    <cellStyle name="Euro 2 3 7" xfId="359" xr:uid="{00000000-0005-0000-0000-00006A010000}"/>
    <cellStyle name="Euro 2 3 8" xfId="360" xr:uid="{00000000-0005-0000-0000-00006B010000}"/>
    <cellStyle name="Euro 2 4" xfId="361" xr:uid="{00000000-0005-0000-0000-00006C010000}"/>
    <cellStyle name="Euro 2 4 2" xfId="362" xr:uid="{00000000-0005-0000-0000-00006D010000}"/>
    <cellStyle name="Euro 2 5" xfId="363" xr:uid="{00000000-0005-0000-0000-00006E010000}"/>
    <cellStyle name="Euro 2 6" xfId="364" xr:uid="{00000000-0005-0000-0000-00006F010000}"/>
    <cellStyle name="Euro 2 7" xfId="365" xr:uid="{00000000-0005-0000-0000-000070010000}"/>
    <cellStyle name="Euro 2 8" xfId="366" xr:uid="{00000000-0005-0000-0000-000071010000}"/>
    <cellStyle name="Euro 2 9" xfId="367" xr:uid="{00000000-0005-0000-0000-000072010000}"/>
    <cellStyle name="Euro 2 9 2" xfId="368" xr:uid="{00000000-0005-0000-0000-000073010000}"/>
    <cellStyle name="Euro 2 9 2 2" xfId="369" xr:uid="{00000000-0005-0000-0000-000074010000}"/>
    <cellStyle name="Euro 3" xfId="370" xr:uid="{00000000-0005-0000-0000-000075010000}"/>
    <cellStyle name="Euro 3 10" xfId="371" xr:uid="{00000000-0005-0000-0000-000076010000}"/>
    <cellStyle name="Euro 3 11" xfId="372" xr:uid="{00000000-0005-0000-0000-000077010000}"/>
    <cellStyle name="Euro 3 12" xfId="373" xr:uid="{00000000-0005-0000-0000-000078010000}"/>
    <cellStyle name="Euro 3 2" xfId="374" xr:uid="{00000000-0005-0000-0000-000079010000}"/>
    <cellStyle name="Euro 3 2 2" xfId="375" xr:uid="{00000000-0005-0000-0000-00007A010000}"/>
    <cellStyle name="Euro 3 3" xfId="376" xr:uid="{00000000-0005-0000-0000-00007B010000}"/>
    <cellStyle name="Euro 3 3 2" xfId="377" xr:uid="{00000000-0005-0000-0000-00007C010000}"/>
    <cellStyle name="Euro 3 3 2 2" xfId="378" xr:uid="{00000000-0005-0000-0000-00007D010000}"/>
    <cellStyle name="Euro 3 3 2 2 2" xfId="379" xr:uid="{00000000-0005-0000-0000-00007E010000}"/>
    <cellStyle name="Euro 3 3 2 2 2 2" xfId="380" xr:uid="{00000000-0005-0000-0000-00007F010000}"/>
    <cellStyle name="Euro 3 3 2 3" xfId="381" xr:uid="{00000000-0005-0000-0000-000080010000}"/>
    <cellStyle name="Euro 3 3 2 4" xfId="382" xr:uid="{00000000-0005-0000-0000-000081010000}"/>
    <cellStyle name="Euro 3 3 2 5" xfId="383" xr:uid="{00000000-0005-0000-0000-000082010000}"/>
    <cellStyle name="Euro 3 3 3" xfId="384" xr:uid="{00000000-0005-0000-0000-000083010000}"/>
    <cellStyle name="Euro 3 3 4" xfId="385" xr:uid="{00000000-0005-0000-0000-000084010000}"/>
    <cellStyle name="Euro 3 3 5" xfId="386" xr:uid="{00000000-0005-0000-0000-000085010000}"/>
    <cellStyle name="Euro 3 3 5 2" xfId="387" xr:uid="{00000000-0005-0000-0000-000086010000}"/>
    <cellStyle name="Euro 3 3 5 2 2" xfId="388" xr:uid="{00000000-0005-0000-0000-000087010000}"/>
    <cellStyle name="Euro 3 3 6" xfId="389" xr:uid="{00000000-0005-0000-0000-000088010000}"/>
    <cellStyle name="Euro 3 3 7" xfId="390" xr:uid="{00000000-0005-0000-0000-000089010000}"/>
    <cellStyle name="Euro 3 3 8" xfId="391" xr:uid="{00000000-0005-0000-0000-00008A010000}"/>
    <cellStyle name="Euro 3 4" xfId="392" xr:uid="{00000000-0005-0000-0000-00008B010000}"/>
    <cellStyle name="Euro 3 4 2" xfId="393" xr:uid="{00000000-0005-0000-0000-00008C010000}"/>
    <cellStyle name="Euro 3 5" xfId="394" xr:uid="{00000000-0005-0000-0000-00008D010000}"/>
    <cellStyle name="Euro 3 6" xfId="395" xr:uid="{00000000-0005-0000-0000-00008E010000}"/>
    <cellStyle name="Euro 3 7" xfId="396" xr:uid="{00000000-0005-0000-0000-00008F010000}"/>
    <cellStyle name="Euro 3 8" xfId="397" xr:uid="{00000000-0005-0000-0000-000090010000}"/>
    <cellStyle name="Euro 3 9" xfId="398" xr:uid="{00000000-0005-0000-0000-000091010000}"/>
    <cellStyle name="Euro 3 9 2" xfId="399" xr:uid="{00000000-0005-0000-0000-000092010000}"/>
    <cellStyle name="Euro 3 9 2 2" xfId="400" xr:uid="{00000000-0005-0000-0000-000093010000}"/>
    <cellStyle name="Euro 4" xfId="401" xr:uid="{00000000-0005-0000-0000-000094010000}"/>
    <cellStyle name="Euro 4 2" xfId="402" xr:uid="{00000000-0005-0000-0000-000095010000}"/>
    <cellStyle name="Euro 4 2 2" xfId="403" xr:uid="{00000000-0005-0000-0000-000096010000}"/>
    <cellStyle name="Euro 4 3" xfId="404" xr:uid="{00000000-0005-0000-0000-000097010000}"/>
    <cellStyle name="Euro 4 4" xfId="405" xr:uid="{00000000-0005-0000-0000-000098010000}"/>
    <cellStyle name="Euro 4 5" xfId="406" xr:uid="{00000000-0005-0000-0000-000099010000}"/>
    <cellStyle name="Euro 5" xfId="407" xr:uid="{00000000-0005-0000-0000-00009A010000}"/>
    <cellStyle name="Euro 5 10" xfId="408" xr:uid="{00000000-0005-0000-0000-00009B010000}"/>
    <cellStyle name="Euro 5 2" xfId="409" xr:uid="{00000000-0005-0000-0000-00009C010000}"/>
    <cellStyle name="Euro 5 2 2" xfId="410" xr:uid="{00000000-0005-0000-0000-00009D010000}"/>
    <cellStyle name="Euro 5 2 2 2" xfId="411" xr:uid="{00000000-0005-0000-0000-00009E010000}"/>
    <cellStyle name="Euro 5 2 2 2 2" xfId="412" xr:uid="{00000000-0005-0000-0000-00009F010000}"/>
    <cellStyle name="Euro 5 2 2 2 2 2" xfId="413" xr:uid="{00000000-0005-0000-0000-0000A0010000}"/>
    <cellStyle name="Euro 5 2 2 2 2 2 2" xfId="414" xr:uid="{00000000-0005-0000-0000-0000A1010000}"/>
    <cellStyle name="Euro 5 2 2 2 2 2 2 2" xfId="415" xr:uid="{00000000-0005-0000-0000-0000A2010000}"/>
    <cellStyle name="Euro 5 2 2 2 2 3" xfId="416" xr:uid="{00000000-0005-0000-0000-0000A3010000}"/>
    <cellStyle name="Euro 5 2 2 2 2 4" xfId="417" xr:uid="{00000000-0005-0000-0000-0000A4010000}"/>
    <cellStyle name="Euro 5 2 2 2 3" xfId="418" xr:uid="{00000000-0005-0000-0000-0000A5010000}"/>
    <cellStyle name="Euro 5 2 2 2 4" xfId="419" xr:uid="{00000000-0005-0000-0000-0000A6010000}"/>
    <cellStyle name="Euro 5 2 2 2 4 2" xfId="420" xr:uid="{00000000-0005-0000-0000-0000A7010000}"/>
    <cellStyle name="Euro 5 2 2 2 4 2 2" xfId="421" xr:uid="{00000000-0005-0000-0000-0000A8010000}"/>
    <cellStyle name="Euro 5 2 2 2 5" xfId="422" xr:uid="{00000000-0005-0000-0000-0000A9010000}"/>
    <cellStyle name="Euro 5 2 2 3" xfId="423" xr:uid="{00000000-0005-0000-0000-0000AA010000}"/>
    <cellStyle name="Euro 5 2 2 4" xfId="424" xr:uid="{00000000-0005-0000-0000-0000AB010000}"/>
    <cellStyle name="Euro 5 2 2 4 2" xfId="425" xr:uid="{00000000-0005-0000-0000-0000AC010000}"/>
    <cellStyle name="Euro 5 2 2 4 2 2" xfId="426" xr:uid="{00000000-0005-0000-0000-0000AD010000}"/>
    <cellStyle name="Euro 5 2 2 4 2 2 2" xfId="427" xr:uid="{00000000-0005-0000-0000-0000AE010000}"/>
    <cellStyle name="Euro 5 2 2 4 3" xfId="428" xr:uid="{00000000-0005-0000-0000-0000AF010000}"/>
    <cellStyle name="Euro 5 2 2 4 4" xfId="429" xr:uid="{00000000-0005-0000-0000-0000B0010000}"/>
    <cellStyle name="Euro 5 2 2 5" xfId="430" xr:uid="{00000000-0005-0000-0000-0000B1010000}"/>
    <cellStyle name="Euro 5 2 2 5 2" xfId="431" xr:uid="{00000000-0005-0000-0000-0000B2010000}"/>
    <cellStyle name="Euro 5 2 2 5 2 2" xfId="432" xr:uid="{00000000-0005-0000-0000-0000B3010000}"/>
    <cellStyle name="Euro 5 2 2 6" xfId="433" xr:uid="{00000000-0005-0000-0000-0000B4010000}"/>
    <cellStyle name="Euro 5 2 2 7" xfId="434" xr:uid="{00000000-0005-0000-0000-0000B5010000}"/>
    <cellStyle name="Euro 5 2 3" xfId="435" xr:uid="{00000000-0005-0000-0000-0000B6010000}"/>
    <cellStyle name="Euro 5 2 3 2" xfId="436" xr:uid="{00000000-0005-0000-0000-0000B7010000}"/>
    <cellStyle name="Euro 5 2 3 2 2" xfId="437" xr:uid="{00000000-0005-0000-0000-0000B8010000}"/>
    <cellStyle name="Euro 5 2 3 2 2 2" xfId="438" xr:uid="{00000000-0005-0000-0000-0000B9010000}"/>
    <cellStyle name="Euro 5 2 3 2 2 2 2" xfId="439" xr:uid="{00000000-0005-0000-0000-0000BA010000}"/>
    <cellStyle name="Euro 5 2 3 2 3" xfId="440" xr:uid="{00000000-0005-0000-0000-0000BB010000}"/>
    <cellStyle name="Euro 5 2 3 2 4" xfId="441" xr:uid="{00000000-0005-0000-0000-0000BC010000}"/>
    <cellStyle name="Euro 5 2 3 3" xfId="442" xr:uid="{00000000-0005-0000-0000-0000BD010000}"/>
    <cellStyle name="Euro 5 2 3 4" xfId="443" xr:uid="{00000000-0005-0000-0000-0000BE010000}"/>
    <cellStyle name="Euro 5 2 3 4 2" xfId="444" xr:uid="{00000000-0005-0000-0000-0000BF010000}"/>
    <cellStyle name="Euro 5 2 3 4 2 2" xfId="445" xr:uid="{00000000-0005-0000-0000-0000C0010000}"/>
    <cellStyle name="Euro 5 2 3 5" xfId="446" xr:uid="{00000000-0005-0000-0000-0000C1010000}"/>
    <cellStyle name="Euro 5 2 4" xfId="447" xr:uid="{00000000-0005-0000-0000-0000C2010000}"/>
    <cellStyle name="Euro 5 2 4 2" xfId="448" xr:uid="{00000000-0005-0000-0000-0000C3010000}"/>
    <cellStyle name="Euro 5 2 4 2 2" xfId="449" xr:uid="{00000000-0005-0000-0000-0000C4010000}"/>
    <cellStyle name="Euro 5 2 4 2 2 2" xfId="450" xr:uid="{00000000-0005-0000-0000-0000C5010000}"/>
    <cellStyle name="Euro 5 2 4 3" xfId="451" xr:uid="{00000000-0005-0000-0000-0000C6010000}"/>
    <cellStyle name="Euro 5 2 4 4" xfId="452" xr:uid="{00000000-0005-0000-0000-0000C7010000}"/>
    <cellStyle name="Euro 5 2 5" xfId="453" xr:uid="{00000000-0005-0000-0000-0000C8010000}"/>
    <cellStyle name="Euro 5 2 5 2" xfId="454" xr:uid="{00000000-0005-0000-0000-0000C9010000}"/>
    <cellStyle name="Euro 5 2 5 2 2" xfId="455" xr:uid="{00000000-0005-0000-0000-0000CA010000}"/>
    <cellStyle name="Euro 5 2 6" xfId="456" xr:uid="{00000000-0005-0000-0000-0000CB010000}"/>
    <cellStyle name="Euro 5 2 7" xfId="457" xr:uid="{00000000-0005-0000-0000-0000CC010000}"/>
    <cellStyle name="Euro 5 3" xfId="458" xr:uid="{00000000-0005-0000-0000-0000CD010000}"/>
    <cellStyle name="Euro 5 3 2" xfId="459" xr:uid="{00000000-0005-0000-0000-0000CE010000}"/>
    <cellStyle name="Euro 5 3 2 2" xfId="460" xr:uid="{00000000-0005-0000-0000-0000CF010000}"/>
    <cellStyle name="Euro 5 3 2 2 2" xfId="461" xr:uid="{00000000-0005-0000-0000-0000D0010000}"/>
    <cellStyle name="Euro 5 3 2 2 2 2" xfId="462" xr:uid="{00000000-0005-0000-0000-0000D1010000}"/>
    <cellStyle name="Euro 5 3 2 3" xfId="463" xr:uid="{00000000-0005-0000-0000-0000D2010000}"/>
    <cellStyle name="Euro 5 3 2 4" xfId="464" xr:uid="{00000000-0005-0000-0000-0000D3010000}"/>
    <cellStyle name="Euro 5 3 3" xfId="465" xr:uid="{00000000-0005-0000-0000-0000D4010000}"/>
    <cellStyle name="Euro 5 3 4" xfId="466" xr:uid="{00000000-0005-0000-0000-0000D5010000}"/>
    <cellStyle name="Euro 5 3 4 2" xfId="467" xr:uid="{00000000-0005-0000-0000-0000D6010000}"/>
    <cellStyle name="Euro 5 3 4 2 2" xfId="468" xr:uid="{00000000-0005-0000-0000-0000D7010000}"/>
    <cellStyle name="Euro 5 3 5" xfId="469" xr:uid="{00000000-0005-0000-0000-0000D8010000}"/>
    <cellStyle name="Euro 5 4" xfId="470" xr:uid="{00000000-0005-0000-0000-0000D9010000}"/>
    <cellStyle name="Euro 5 5" xfId="471" xr:uid="{00000000-0005-0000-0000-0000DA010000}"/>
    <cellStyle name="Euro 5 5 2" xfId="472" xr:uid="{00000000-0005-0000-0000-0000DB010000}"/>
    <cellStyle name="Euro 5 5 2 2" xfId="473" xr:uid="{00000000-0005-0000-0000-0000DC010000}"/>
    <cellStyle name="Euro 5 5 2 2 2" xfId="474" xr:uid="{00000000-0005-0000-0000-0000DD010000}"/>
    <cellStyle name="Euro 5 5 3" xfId="475" xr:uid="{00000000-0005-0000-0000-0000DE010000}"/>
    <cellStyle name="Euro 5 5 4" xfId="476" xr:uid="{00000000-0005-0000-0000-0000DF010000}"/>
    <cellStyle name="Euro 5 6" xfId="477" xr:uid="{00000000-0005-0000-0000-0000E0010000}"/>
    <cellStyle name="Euro 5 6 2" xfId="478" xr:uid="{00000000-0005-0000-0000-0000E1010000}"/>
    <cellStyle name="Euro 5 6 2 2" xfId="479" xr:uid="{00000000-0005-0000-0000-0000E2010000}"/>
    <cellStyle name="Euro 5 7" xfId="480" xr:uid="{00000000-0005-0000-0000-0000E3010000}"/>
    <cellStyle name="Euro 5 8" xfId="481" xr:uid="{00000000-0005-0000-0000-0000E4010000}"/>
    <cellStyle name="Euro 5 9" xfId="482" xr:uid="{00000000-0005-0000-0000-0000E5010000}"/>
    <cellStyle name="Euro 6" xfId="483" xr:uid="{00000000-0005-0000-0000-0000E6010000}"/>
    <cellStyle name="Euro 6 2" xfId="484" xr:uid="{00000000-0005-0000-0000-0000E7010000}"/>
    <cellStyle name="Euro 6 2 2" xfId="485" xr:uid="{00000000-0005-0000-0000-0000E8010000}"/>
    <cellStyle name="Euro 6 2 2 2" xfId="486" xr:uid="{00000000-0005-0000-0000-0000E9010000}"/>
    <cellStyle name="Euro 6 2 2 2 2" xfId="487" xr:uid="{00000000-0005-0000-0000-0000EA010000}"/>
    <cellStyle name="Euro 6 2 2 2 2 2" xfId="488" xr:uid="{00000000-0005-0000-0000-0000EB010000}"/>
    <cellStyle name="Euro 6 2 2 3" xfId="489" xr:uid="{00000000-0005-0000-0000-0000EC010000}"/>
    <cellStyle name="Euro 6 2 2 4" xfId="490" xr:uid="{00000000-0005-0000-0000-0000ED010000}"/>
    <cellStyle name="Euro 6 2 3" xfId="491" xr:uid="{00000000-0005-0000-0000-0000EE010000}"/>
    <cellStyle name="Euro 6 2 4" xfId="492" xr:uid="{00000000-0005-0000-0000-0000EF010000}"/>
    <cellStyle name="Euro 6 2 4 2" xfId="493" xr:uid="{00000000-0005-0000-0000-0000F0010000}"/>
    <cellStyle name="Euro 6 2 4 2 2" xfId="494" xr:uid="{00000000-0005-0000-0000-0000F1010000}"/>
    <cellStyle name="Euro 6 2 5" xfId="495" xr:uid="{00000000-0005-0000-0000-0000F2010000}"/>
    <cellStyle name="Euro 6 3" xfId="496" xr:uid="{00000000-0005-0000-0000-0000F3010000}"/>
    <cellStyle name="Euro 6 4" xfId="497" xr:uid="{00000000-0005-0000-0000-0000F4010000}"/>
    <cellStyle name="Euro 6 4 2" xfId="498" xr:uid="{00000000-0005-0000-0000-0000F5010000}"/>
    <cellStyle name="Euro 6 4 2 2" xfId="499" xr:uid="{00000000-0005-0000-0000-0000F6010000}"/>
    <cellStyle name="Euro 6 4 2 2 2" xfId="500" xr:uid="{00000000-0005-0000-0000-0000F7010000}"/>
    <cellStyle name="Euro 6 4 3" xfId="501" xr:uid="{00000000-0005-0000-0000-0000F8010000}"/>
    <cellStyle name="Euro 6 4 4" xfId="502" xr:uid="{00000000-0005-0000-0000-0000F9010000}"/>
    <cellStyle name="Euro 6 5" xfId="503" xr:uid="{00000000-0005-0000-0000-0000FA010000}"/>
    <cellStyle name="Euro 6 5 2" xfId="504" xr:uid="{00000000-0005-0000-0000-0000FB010000}"/>
    <cellStyle name="Euro 6 5 2 2" xfId="505" xr:uid="{00000000-0005-0000-0000-0000FC010000}"/>
    <cellStyle name="Euro 6 6" xfId="506" xr:uid="{00000000-0005-0000-0000-0000FD010000}"/>
    <cellStyle name="Euro 6 7" xfId="507" xr:uid="{00000000-0005-0000-0000-0000FE010000}"/>
    <cellStyle name="Euro 7" xfId="508" xr:uid="{00000000-0005-0000-0000-0000FF010000}"/>
    <cellStyle name="Euro 7 2" xfId="509" xr:uid="{00000000-0005-0000-0000-000000020000}"/>
    <cellStyle name="Euro 8" xfId="510" xr:uid="{00000000-0005-0000-0000-000001020000}"/>
    <cellStyle name="Euro 8 2" xfId="511" xr:uid="{00000000-0005-0000-0000-000002020000}"/>
    <cellStyle name="Euro 8 2 2" xfId="512" xr:uid="{00000000-0005-0000-0000-000003020000}"/>
    <cellStyle name="Euro 8 2 2 2" xfId="513" xr:uid="{00000000-0005-0000-0000-000004020000}"/>
    <cellStyle name="Euro 8 2 2 2 2" xfId="514" xr:uid="{00000000-0005-0000-0000-000005020000}"/>
    <cellStyle name="Euro 8 2 3" xfId="515" xr:uid="{00000000-0005-0000-0000-000006020000}"/>
    <cellStyle name="Euro 8 2 4" xfId="516" xr:uid="{00000000-0005-0000-0000-000007020000}"/>
    <cellStyle name="Euro 8 3" xfId="517" xr:uid="{00000000-0005-0000-0000-000008020000}"/>
    <cellStyle name="Euro 8 4" xfId="518" xr:uid="{00000000-0005-0000-0000-000009020000}"/>
    <cellStyle name="Euro 8 4 2" xfId="519" xr:uid="{00000000-0005-0000-0000-00000A020000}"/>
    <cellStyle name="Euro 8 4 2 2" xfId="520" xr:uid="{00000000-0005-0000-0000-00000B020000}"/>
    <cellStyle name="Euro 8 5" xfId="521" xr:uid="{00000000-0005-0000-0000-00000C020000}"/>
    <cellStyle name="Euro 8 6" xfId="522" xr:uid="{00000000-0005-0000-0000-00000D020000}"/>
    <cellStyle name="Euro 9" xfId="523" xr:uid="{00000000-0005-0000-0000-00000E020000}"/>
    <cellStyle name="Euro 9 2" xfId="524" xr:uid="{00000000-0005-0000-0000-00000F020000}"/>
    <cellStyle name="Euro 9 2 2" xfId="525" xr:uid="{00000000-0005-0000-0000-000010020000}"/>
    <cellStyle name="Euro 9 2 2 2" xfId="526" xr:uid="{00000000-0005-0000-0000-000011020000}"/>
    <cellStyle name="Euro 9 2 3" xfId="527" xr:uid="{00000000-0005-0000-0000-000012020000}"/>
    <cellStyle name="Euro 9 3" xfId="528" xr:uid="{00000000-0005-0000-0000-000013020000}"/>
    <cellStyle name="Euro 9 3 2" xfId="529" xr:uid="{00000000-0005-0000-0000-000014020000}"/>
    <cellStyle name="Euro_6.10" xfId="530" xr:uid="{00000000-0005-0000-0000-000015020000}"/>
    <cellStyle name="Explanatory Text" xfId="531" xr:uid="{00000000-0005-0000-0000-000016020000}"/>
    <cellStyle name="Fijo" xfId="532" xr:uid="{00000000-0005-0000-0000-000017020000}"/>
    <cellStyle name="Financiero" xfId="533" xr:uid="{00000000-0005-0000-0000-000018020000}"/>
    <cellStyle name="gelb" xfId="534" xr:uid="{00000000-0005-0000-0000-000019020000}"/>
    <cellStyle name="geneva 9" xfId="535" xr:uid="{00000000-0005-0000-0000-00001A020000}"/>
    <cellStyle name="Good 2" xfId="536" xr:uid="{00000000-0005-0000-0000-00001B020000}"/>
    <cellStyle name="Heading 1 3" xfId="537" xr:uid="{00000000-0005-0000-0000-00001C020000}"/>
    <cellStyle name="Heading 2 4" xfId="538" xr:uid="{00000000-0005-0000-0000-00001D020000}"/>
    <cellStyle name="Heading 3" xfId="539" xr:uid="{00000000-0005-0000-0000-00001E020000}"/>
    <cellStyle name="Heading 4" xfId="540" xr:uid="{00000000-0005-0000-0000-00001F020000}"/>
    <cellStyle name="hellblau" xfId="541" xr:uid="{00000000-0005-0000-0000-000020020000}"/>
    <cellStyle name="hellgrau" xfId="542" xr:uid="{00000000-0005-0000-0000-000021020000}"/>
    <cellStyle name="Hipervínculo" xfId="2" builtinId="8"/>
    <cellStyle name="Hipervínculo 2" xfId="543" xr:uid="{00000000-0005-0000-0000-000022020000}"/>
    <cellStyle name="Hipervínculo 3" xfId="544" xr:uid="{00000000-0005-0000-0000-000023020000}"/>
    <cellStyle name="Hipervínculo 4" xfId="545" xr:uid="{00000000-0005-0000-0000-000024020000}"/>
    <cellStyle name="Incorrecto 2" xfId="546" xr:uid="{00000000-0005-0000-0000-000025020000}"/>
    <cellStyle name="Incorrecto 2 2" xfId="547" xr:uid="{00000000-0005-0000-0000-000026020000}"/>
    <cellStyle name="Incorrecto 2 3" xfId="548" xr:uid="{00000000-0005-0000-0000-000027020000}"/>
    <cellStyle name="Incorrecto 2 4" xfId="549" xr:uid="{00000000-0005-0000-0000-000028020000}"/>
    <cellStyle name="Incorrecto 2 5" xfId="550" xr:uid="{00000000-0005-0000-0000-000029020000}"/>
    <cellStyle name="Incorrecto 3" xfId="551" xr:uid="{00000000-0005-0000-0000-00002A020000}"/>
    <cellStyle name="Incorrecto 4" xfId="552" xr:uid="{00000000-0005-0000-0000-00002B020000}"/>
    <cellStyle name="Incorrecto 5" xfId="553" xr:uid="{00000000-0005-0000-0000-00002C020000}"/>
    <cellStyle name="Input" xfId="554" xr:uid="{00000000-0005-0000-0000-00002D020000}"/>
    <cellStyle name="Linked Cell" xfId="555" xr:uid="{00000000-0005-0000-0000-00002E020000}"/>
    <cellStyle name="locked" xfId="556" xr:uid="{00000000-0005-0000-0000-00002F020000}"/>
    <cellStyle name="Millares" xfId="1" builtinId="3"/>
    <cellStyle name="Millares [0] 5" xfId="1366" xr:uid="{00000000-0005-0000-0000-000059050000}"/>
    <cellStyle name="Millares [0] 5 10" xfId="1367" xr:uid="{00000000-0005-0000-0000-00005A050000}"/>
    <cellStyle name="Millares [0] 5 11" xfId="1368" xr:uid="{00000000-0005-0000-0000-00005B050000}"/>
    <cellStyle name="Millares [0] 5 12" xfId="1369" xr:uid="{00000000-0005-0000-0000-00005C050000}"/>
    <cellStyle name="Millares [0] 5 13" xfId="1370" xr:uid="{00000000-0005-0000-0000-00005D050000}"/>
    <cellStyle name="Millares [0] 5 2" xfId="1371" xr:uid="{00000000-0005-0000-0000-00005E050000}"/>
    <cellStyle name="Millares [0] 5 2 2" xfId="1372" xr:uid="{00000000-0005-0000-0000-00005F050000}"/>
    <cellStyle name="Millares [0] 5 2 3" xfId="1373" xr:uid="{00000000-0005-0000-0000-000060050000}"/>
    <cellStyle name="Millares [0] 5 2 4" xfId="1374" xr:uid="{00000000-0005-0000-0000-000061050000}"/>
    <cellStyle name="Millares [0] 5 2 5" xfId="1375" xr:uid="{00000000-0005-0000-0000-000062050000}"/>
    <cellStyle name="Millares [0] 5 2 6" xfId="1376" xr:uid="{00000000-0005-0000-0000-000063050000}"/>
    <cellStyle name="Millares [0] 5 2 7" xfId="1377" xr:uid="{00000000-0005-0000-0000-000064050000}"/>
    <cellStyle name="Millares [0] 5 3" xfId="1378" xr:uid="{00000000-0005-0000-0000-000065050000}"/>
    <cellStyle name="Millares [0] 5 3 2" xfId="1379" xr:uid="{00000000-0005-0000-0000-000066050000}"/>
    <cellStyle name="Millares [0] 5 3 3" xfId="1380" xr:uid="{00000000-0005-0000-0000-000067050000}"/>
    <cellStyle name="Millares [0] 5 3 4" xfId="1381" xr:uid="{00000000-0005-0000-0000-000068050000}"/>
    <cellStyle name="Millares [0] 5 3 5" xfId="1382" xr:uid="{00000000-0005-0000-0000-000069050000}"/>
    <cellStyle name="Millares [0] 5 3 6" xfId="1383" xr:uid="{00000000-0005-0000-0000-00006A050000}"/>
    <cellStyle name="Millares [0] 5 3 7" xfId="1384" xr:uid="{00000000-0005-0000-0000-00006B050000}"/>
    <cellStyle name="Millares [0] 5 4" xfId="1385" xr:uid="{00000000-0005-0000-0000-00006C050000}"/>
    <cellStyle name="Millares [0] 5 4 2" xfId="1386" xr:uid="{00000000-0005-0000-0000-00006D050000}"/>
    <cellStyle name="Millares [0] 5 4 3" xfId="1387" xr:uid="{00000000-0005-0000-0000-00006E050000}"/>
    <cellStyle name="Millares [0] 5 4 4" xfId="1388" xr:uid="{00000000-0005-0000-0000-00006F050000}"/>
    <cellStyle name="Millares [0] 5 4 5" xfId="1389" xr:uid="{00000000-0005-0000-0000-000070050000}"/>
    <cellStyle name="Millares [0] 5 4 6" xfId="1390" xr:uid="{00000000-0005-0000-0000-000071050000}"/>
    <cellStyle name="Millares [0] 5 4 7" xfId="1391" xr:uid="{00000000-0005-0000-0000-000072050000}"/>
    <cellStyle name="Millares [0] 5 5" xfId="1392" xr:uid="{00000000-0005-0000-0000-000073050000}"/>
    <cellStyle name="Millares [0] 5 5 2" xfId="1393" xr:uid="{00000000-0005-0000-0000-000074050000}"/>
    <cellStyle name="Millares [0] 5 5 3" xfId="1394" xr:uid="{00000000-0005-0000-0000-000075050000}"/>
    <cellStyle name="Millares [0] 5 5 4" xfId="1395" xr:uid="{00000000-0005-0000-0000-000076050000}"/>
    <cellStyle name="Millares [0] 5 5 5" xfId="1396" xr:uid="{00000000-0005-0000-0000-000077050000}"/>
    <cellStyle name="Millares [0] 5 5 6" xfId="1397" xr:uid="{00000000-0005-0000-0000-000078050000}"/>
    <cellStyle name="Millares [0] 5 5 7" xfId="1398" xr:uid="{00000000-0005-0000-0000-000079050000}"/>
    <cellStyle name="Millares [0] 5 6" xfId="1399" xr:uid="{00000000-0005-0000-0000-00007A050000}"/>
    <cellStyle name="Millares [0] 5 6 2" xfId="1400" xr:uid="{00000000-0005-0000-0000-00007B050000}"/>
    <cellStyle name="Millares [0] 5 6 3" xfId="1401" xr:uid="{00000000-0005-0000-0000-00007C050000}"/>
    <cellStyle name="Millares [0] 5 6 4" xfId="1402" xr:uid="{00000000-0005-0000-0000-00007D050000}"/>
    <cellStyle name="Millares [0] 5 6 5" xfId="1403" xr:uid="{00000000-0005-0000-0000-00007E050000}"/>
    <cellStyle name="Millares [0] 5 6 6" xfId="1404" xr:uid="{00000000-0005-0000-0000-00007F050000}"/>
    <cellStyle name="Millares [0] 5 6 7" xfId="1405" xr:uid="{00000000-0005-0000-0000-000080050000}"/>
    <cellStyle name="Millares [0] 5 7" xfId="1406" xr:uid="{00000000-0005-0000-0000-000081050000}"/>
    <cellStyle name="Millares [0] 5 7 2" xfId="1407" xr:uid="{00000000-0005-0000-0000-000082050000}"/>
    <cellStyle name="Millares [0] 5 7 3" xfId="1408" xr:uid="{00000000-0005-0000-0000-000083050000}"/>
    <cellStyle name="Millares [0] 5 7 4" xfId="1409" xr:uid="{00000000-0005-0000-0000-000084050000}"/>
    <cellStyle name="Millares [0] 5 7 5" xfId="1410" xr:uid="{00000000-0005-0000-0000-000085050000}"/>
    <cellStyle name="Millares [0] 5 7 6" xfId="1411" xr:uid="{00000000-0005-0000-0000-000086050000}"/>
    <cellStyle name="Millares [0] 5 7 7" xfId="1412" xr:uid="{00000000-0005-0000-0000-000087050000}"/>
    <cellStyle name="Millares [0] 5 8" xfId="1413" xr:uid="{00000000-0005-0000-0000-000088050000}"/>
    <cellStyle name="Millares [0] 5 9" xfId="1414" xr:uid="{00000000-0005-0000-0000-000089050000}"/>
    <cellStyle name="Millares 10" xfId="557" xr:uid="{00000000-0005-0000-0000-000030020000}"/>
    <cellStyle name="Millares 10 10" xfId="558" xr:uid="{00000000-0005-0000-0000-000031020000}"/>
    <cellStyle name="Millares 10 11" xfId="559" xr:uid="{00000000-0005-0000-0000-000032020000}"/>
    <cellStyle name="Millares 10 12" xfId="560" xr:uid="{00000000-0005-0000-0000-000033020000}"/>
    <cellStyle name="Millares 10 13" xfId="561" xr:uid="{00000000-0005-0000-0000-000034020000}"/>
    <cellStyle name="Millares 10 13 2" xfId="562" xr:uid="{00000000-0005-0000-0000-000035020000}"/>
    <cellStyle name="Millares 10 14" xfId="563" xr:uid="{00000000-0005-0000-0000-000036020000}"/>
    <cellStyle name="Millares 10 14 2" xfId="564" xr:uid="{00000000-0005-0000-0000-000037020000}"/>
    <cellStyle name="Millares 10 15" xfId="565" xr:uid="{00000000-0005-0000-0000-000038020000}"/>
    <cellStyle name="Millares 10 16" xfId="566" xr:uid="{00000000-0005-0000-0000-000039020000}"/>
    <cellStyle name="Millares 10 2" xfId="567" xr:uid="{00000000-0005-0000-0000-00003A020000}"/>
    <cellStyle name="Millares 10 2 2" xfId="568" xr:uid="{00000000-0005-0000-0000-00003B020000}"/>
    <cellStyle name="Millares 10 3" xfId="569" xr:uid="{00000000-0005-0000-0000-00003C020000}"/>
    <cellStyle name="Millares 10 4" xfId="570" xr:uid="{00000000-0005-0000-0000-00003D020000}"/>
    <cellStyle name="Millares 10 5" xfId="571" xr:uid="{00000000-0005-0000-0000-00003E020000}"/>
    <cellStyle name="Millares 10 6" xfId="572" xr:uid="{00000000-0005-0000-0000-00003F020000}"/>
    <cellStyle name="Millares 10 7" xfId="573" xr:uid="{00000000-0005-0000-0000-000040020000}"/>
    <cellStyle name="Millares 10 8" xfId="574" xr:uid="{00000000-0005-0000-0000-000041020000}"/>
    <cellStyle name="Millares 10 9" xfId="575" xr:uid="{00000000-0005-0000-0000-000042020000}"/>
    <cellStyle name="Millares 100" xfId="576" xr:uid="{00000000-0005-0000-0000-000043020000}"/>
    <cellStyle name="Millares 101" xfId="577" xr:uid="{00000000-0005-0000-0000-000044020000}"/>
    <cellStyle name="Millares 102" xfId="578" xr:uid="{00000000-0005-0000-0000-000045020000}"/>
    <cellStyle name="Millares 103" xfId="579" xr:uid="{00000000-0005-0000-0000-000046020000}"/>
    <cellStyle name="Millares 103 2" xfId="580" xr:uid="{00000000-0005-0000-0000-000047020000}"/>
    <cellStyle name="Millares 104" xfId="581" xr:uid="{00000000-0005-0000-0000-000048020000}"/>
    <cellStyle name="Millares 104 2" xfId="582" xr:uid="{00000000-0005-0000-0000-000049020000}"/>
    <cellStyle name="Millares 105" xfId="583" xr:uid="{00000000-0005-0000-0000-00004A020000}"/>
    <cellStyle name="Millares 105 2" xfId="584" xr:uid="{00000000-0005-0000-0000-00004B020000}"/>
    <cellStyle name="Millares 106" xfId="585" xr:uid="{00000000-0005-0000-0000-00004C020000}"/>
    <cellStyle name="Millares 106 2" xfId="586" xr:uid="{00000000-0005-0000-0000-00004D020000}"/>
    <cellStyle name="Millares 107" xfId="587" xr:uid="{00000000-0005-0000-0000-00004E020000}"/>
    <cellStyle name="Millares 107 2" xfId="588" xr:uid="{00000000-0005-0000-0000-00004F020000}"/>
    <cellStyle name="Millares 108" xfId="589" xr:uid="{00000000-0005-0000-0000-000050020000}"/>
    <cellStyle name="Millares 108 2" xfId="590" xr:uid="{00000000-0005-0000-0000-000051020000}"/>
    <cellStyle name="Millares 109" xfId="591" xr:uid="{00000000-0005-0000-0000-000052020000}"/>
    <cellStyle name="Millares 109 2" xfId="592" xr:uid="{00000000-0005-0000-0000-000053020000}"/>
    <cellStyle name="Millares 11" xfId="593" xr:uid="{00000000-0005-0000-0000-000054020000}"/>
    <cellStyle name="Millares 11 2" xfId="594" xr:uid="{00000000-0005-0000-0000-000055020000}"/>
    <cellStyle name="Millares 11 2 2" xfId="595" xr:uid="{00000000-0005-0000-0000-000056020000}"/>
    <cellStyle name="Millares 11 2 2 2" xfId="596" xr:uid="{00000000-0005-0000-0000-000057020000}"/>
    <cellStyle name="Millares 11 2 3" xfId="597" xr:uid="{00000000-0005-0000-0000-000058020000}"/>
    <cellStyle name="Millares 11 3" xfId="598" xr:uid="{00000000-0005-0000-0000-000059020000}"/>
    <cellStyle name="Millares 11 3 2" xfId="599" xr:uid="{00000000-0005-0000-0000-00005A020000}"/>
    <cellStyle name="Millares 11 4" xfId="600" xr:uid="{00000000-0005-0000-0000-00005B020000}"/>
    <cellStyle name="Millares 110" xfId="601" xr:uid="{00000000-0005-0000-0000-00005C020000}"/>
    <cellStyle name="Millares 110 2" xfId="602" xr:uid="{00000000-0005-0000-0000-00005D020000}"/>
    <cellStyle name="Millares 111" xfId="603" xr:uid="{00000000-0005-0000-0000-00005E020000}"/>
    <cellStyle name="Millares 111 2" xfId="604" xr:uid="{00000000-0005-0000-0000-00005F020000}"/>
    <cellStyle name="Millares 112" xfId="605" xr:uid="{00000000-0005-0000-0000-000060020000}"/>
    <cellStyle name="Millares 112 2" xfId="606" xr:uid="{00000000-0005-0000-0000-000061020000}"/>
    <cellStyle name="Millares 113" xfId="607" xr:uid="{00000000-0005-0000-0000-000062020000}"/>
    <cellStyle name="Millares 113 2" xfId="608" xr:uid="{00000000-0005-0000-0000-000063020000}"/>
    <cellStyle name="Millares 114" xfId="609" xr:uid="{00000000-0005-0000-0000-000064020000}"/>
    <cellStyle name="Millares 114 2" xfId="610" xr:uid="{00000000-0005-0000-0000-000065020000}"/>
    <cellStyle name="Millares 115" xfId="611" xr:uid="{00000000-0005-0000-0000-000066020000}"/>
    <cellStyle name="Millares 115 2" xfId="612" xr:uid="{00000000-0005-0000-0000-000067020000}"/>
    <cellStyle name="Millares 116" xfId="613" xr:uid="{00000000-0005-0000-0000-000068020000}"/>
    <cellStyle name="Millares 116 2" xfId="614" xr:uid="{00000000-0005-0000-0000-000069020000}"/>
    <cellStyle name="Millares 117" xfId="615" xr:uid="{00000000-0005-0000-0000-00006A020000}"/>
    <cellStyle name="Millares 117 2" xfId="616" xr:uid="{00000000-0005-0000-0000-00006B020000}"/>
    <cellStyle name="Millares 118" xfId="617" xr:uid="{00000000-0005-0000-0000-00006C020000}"/>
    <cellStyle name="Millares 118 2" xfId="618" xr:uid="{00000000-0005-0000-0000-00006D020000}"/>
    <cellStyle name="Millares 119" xfId="619" xr:uid="{00000000-0005-0000-0000-00006E020000}"/>
    <cellStyle name="Millares 119 2" xfId="620" xr:uid="{00000000-0005-0000-0000-00006F020000}"/>
    <cellStyle name="Millares 12" xfId="621" xr:uid="{00000000-0005-0000-0000-000070020000}"/>
    <cellStyle name="Millares 12 10" xfId="622" xr:uid="{00000000-0005-0000-0000-000071020000}"/>
    <cellStyle name="Millares 12 11" xfId="623" xr:uid="{00000000-0005-0000-0000-000072020000}"/>
    <cellStyle name="Millares 12 12" xfId="624" xr:uid="{00000000-0005-0000-0000-000073020000}"/>
    <cellStyle name="Millares 12 13" xfId="625" xr:uid="{00000000-0005-0000-0000-000074020000}"/>
    <cellStyle name="Millares 12 13 2" xfId="626" xr:uid="{00000000-0005-0000-0000-000075020000}"/>
    <cellStyle name="Millares 12 14" xfId="627" xr:uid="{00000000-0005-0000-0000-000076020000}"/>
    <cellStyle name="Millares 12 2" xfId="628" xr:uid="{00000000-0005-0000-0000-000077020000}"/>
    <cellStyle name="Millares 12 2 2" xfId="629" xr:uid="{00000000-0005-0000-0000-000078020000}"/>
    <cellStyle name="Millares 12 2 3" xfId="630" xr:uid="{00000000-0005-0000-0000-000079020000}"/>
    <cellStyle name="Millares 12 3" xfId="631" xr:uid="{00000000-0005-0000-0000-00007A020000}"/>
    <cellStyle name="Millares 12 4" xfId="632" xr:uid="{00000000-0005-0000-0000-00007B020000}"/>
    <cellStyle name="Millares 12 5" xfId="633" xr:uid="{00000000-0005-0000-0000-00007C020000}"/>
    <cellStyle name="Millares 12 6" xfId="634" xr:uid="{00000000-0005-0000-0000-00007D020000}"/>
    <cellStyle name="Millares 12 7" xfId="635" xr:uid="{00000000-0005-0000-0000-00007E020000}"/>
    <cellStyle name="Millares 12 8" xfId="636" xr:uid="{00000000-0005-0000-0000-00007F020000}"/>
    <cellStyle name="Millares 12 9" xfId="637" xr:uid="{00000000-0005-0000-0000-000080020000}"/>
    <cellStyle name="Millares 120" xfId="638" xr:uid="{00000000-0005-0000-0000-000081020000}"/>
    <cellStyle name="Millares 120 2" xfId="639" xr:uid="{00000000-0005-0000-0000-000082020000}"/>
    <cellStyle name="Millares 121" xfId="640" xr:uid="{00000000-0005-0000-0000-000083020000}"/>
    <cellStyle name="Millares 121 2" xfId="641" xr:uid="{00000000-0005-0000-0000-000084020000}"/>
    <cellStyle name="Millares 122" xfId="642" xr:uid="{00000000-0005-0000-0000-000085020000}"/>
    <cellStyle name="Millares 122 2" xfId="643" xr:uid="{00000000-0005-0000-0000-000086020000}"/>
    <cellStyle name="Millares 123" xfId="644" xr:uid="{00000000-0005-0000-0000-000087020000}"/>
    <cellStyle name="Millares 123 2" xfId="645" xr:uid="{00000000-0005-0000-0000-000088020000}"/>
    <cellStyle name="Millares 124" xfId="646" xr:uid="{00000000-0005-0000-0000-000089020000}"/>
    <cellStyle name="Millares 124 2" xfId="647" xr:uid="{00000000-0005-0000-0000-00008A020000}"/>
    <cellStyle name="Millares 125" xfId="648" xr:uid="{00000000-0005-0000-0000-00008B020000}"/>
    <cellStyle name="Millares 125 2" xfId="649" xr:uid="{00000000-0005-0000-0000-00008C020000}"/>
    <cellStyle name="Millares 126" xfId="650" xr:uid="{00000000-0005-0000-0000-00008D020000}"/>
    <cellStyle name="Millares 126 2" xfId="651" xr:uid="{00000000-0005-0000-0000-00008E020000}"/>
    <cellStyle name="Millares 127" xfId="652" xr:uid="{00000000-0005-0000-0000-00008F020000}"/>
    <cellStyle name="Millares 127 2" xfId="653" xr:uid="{00000000-0005-0000-0000-000090020000}"/>
    <cellStyle name="Millares 128" xfId="654" xr:uid="{00000000-0005-0000-0000-000091020000}"/>
    <cellStyle name="Millares 128 2" xfId="655" xr:uid="{00000000-0005-0000-0000-000092020000}"/>
    <cellStyle name="Millares 129" xfId="656" xr:uid="{00000000-0005-0000-0000-000093020000}"/>
    <cellStyle name="Millares 129 2" xfId="657" xr:uid="{00000000-0005-0000-0000-000094020000}"/>
    <cellStyle name="Millares 13" xfId="658" xr:uid="{00000000-0005-0000-0000-000095020000}"/>
    <cellStyle name="Millares 13 2" xfId="659" xr:uid="{00000000-0005-0000-0000-000096020000}"/>
    <cellStyle name="Millares 13 2 2" xfId="660" xr:uid="{00000000-0005-0000-0000-000097020000}"/>
    <cellStyle name="Millares 13 2 2 2" xfId="661" xr:uid="{00000000-0005-0000-0000-000098020000}"/>
    <cellStyle name="Millares 13 2 3" xfId="662" xr:uid="{00000000-0005-0000-0000-000099020000}"/>
    <cellStyle name="Millares 13 3" xfId="663" xr:uid="{00000000-0005-0000-0000-00009A020000}"/>
    <cellStyle name="Millares 13 3 2" xfId="664" xr:uid="{00000000-0005-0000-0000-00009B020000}"/>
    <cellStyle name="Millares 13 4" xfId="665" xr:uid="{00000000-0005-0000-0000-00009C020000}"/>
    <cellStyle name="Millares 130" xfId="666" xr:uid="{00000000-0005-0000-0000-00009D020000}"/>
    <cellStyle name="Millares 130 2" xfId="667" xr:uid="{00000000-0005-0000-0000-00009E020000}"/>
    <cellStyle name="Millares 131" xfId="668" xr:uid="{00000000-0005-0000-0000-00009F020000}"/>
    <cellStyle name="Millares 131 2" xfId="669" xr:uid="{00000000-0005-0000-0000-0000A0020000}"/>
    <cellStyle name="Millares 132" xfId="670" xr:uid="{00000000-0005-0000-0000-0000A1020000}"/>
    <cellStyle name="Millares 132 2" xfId="671" xr:uid="{00000000-0005-0000-0000-0000A2020000}"/>
    <cellStyle name="Millares 133" xfId="672" xr:uid="{00000000-0005-0000-0000-0000A3020000}"/>
    <cellStyle name="Millares 133 2" xfId="673" xr:uid="{00000000-0005-0000-0000-0000A4020000}"/>
    <cellStyle name="Millares 134" xfId="674" xr:uid="{00000000-0005-0000-0000-0000A5020000}"/>
    <cellStyle name="Millares 134 2" xfId="675" xr:uid="{00000000-0005-0000-0000-0000A6020000}"/>
    <cellStyle name="Millares 135" xfId="676" xr:uid="{00000000-0005-0000-0000-0000A7020000}"/>
    <cellStyle name="Millares 135 2" xfId="677" xr:uid="{00000000-0005-0000-0000-0000A8020000}"/>
    <cellStyle name="Millares 136" xfId="678" xr:uid="{00000000-0005-0000-0000-0000A9020000}"/>
    <cellStyle name="Millares 136 2" xfId="679" xr:uid="{00000000-0005-0000-0000-0000AA020000}"/>
    <cellStyle name="Millares 137" xfId="680" xr:uid="{00000000-0005-0000-0000-0000AB020000}"/>
    <cellStyle name="Millares 137 2" xfId="681" xr:uid="{00000000-0005-0000-0000-0000AC020000}"/>
    <cellStyle name="Millares 138" xfId="682" xr:uid="{00000000-0005-0000-0000-0000AD020000}"/>
    <cellStyle name="Millares 138 2" xfId="683" xr:uid="{00000000-0005-0000-0000-0000AE020000}"/>
    <cellStyle name="Millares 139" xfId="684" xr:uid="{00000000-0005-0000-0000-0000AF020000}"/>
    <cellStyle name="Millares 139 2" xfId="685" xr:uid="{00000000-0005-0000-0000-0000B0020000}"/>
    <cellStyle name="Millares 14" xfId="686" xr:uid="{00000000-0005-0000-0000-0000B1020000}"/>
    <cellStyle name="Millares 14 2" xfId="687" xr:uid="{00000000-0005-0000-0000-0000B2020000}"/>
    <cellStyle name="Millares 14 2 2" xfId="688" xr:uid="{00000000-0005-0000-0000-0000B3020000}"/>
    <cellStyle name="Millares 14 2 3" xfId="689" xr:uid="{00000000-0005-0000-0000-0000B4020000}"/>
    <cellStyle name="Millares 14 3" xfId="690" xr:uid="{00000000-0005-0000-0000-0000B5020000}"/>
    <cellStyle name="Millares 14 3 2" xfId="691" xr:uid="{00000000-0005-0000-0000-0000B6020000}"/>
    <cellStyle name="Millares 14 4" xfId="692" xr:uid="{00000000-0005-0000-0000-0000B7020000}"/>
    <cellStyle name="Millares 140" xfId="693" xr:uid="{00000000-0005-0000-0000-0000B8020000}"/>
    <cellStyle name="Millares 140 2" xfId="694" xr:uid="{00000000-0005-0000-0000-0000B9020000}"/>
    <cellStyle name="Millares 141" xfId="695" xr:uid="{00000000-0005-0000-0000-0000BA020000}"/>
    <cellStyle name="Millares 141 2" xfId="696" xr:uid="{00000000-0005-0000-0000-0000BB020000}"/>
    <cellStyle name="Millares 142" xfId="697" xr:uid="{00000000-0005-0000-0000-0000BC020000}"/>
    <cellStyle name="Millares 142 2" xfId="698" xr:uid="{00000000-0005-0000-0000-0000BD020000}"/>
    <cellStyle name="Millares 143" xfId="699" xr:uid="{00000000-0005-0000-0000-0000BE020000}"/>
    <cellStyle name="Millares 143 2" xfId="700" xr:uid="{00000000-0005-0000-0000-0000BF020000}"/>
    <cellStyle name="Millares 144" xfId="701" xr:uid="{00000000-0005-0000-0000-0000C0020000}"/>
    <cellStyle name="Millares 144 2" xfId="702" xr:uid="{00000000-0005-0000-0000-0000C1020000}"/>
    <cellStyle name="Millares 145" xfId="703" xr:uid="{00000000-0005-0000-0000-0000C2020000}"/>
    <cellStyle name="Millares 145 2" xfId="704" xr:uid="{00000000-0005-0000-0000-0000C3020000}"/>
    <cellStyle name="Millares 146" xfId="705" xr:uid="{00000000-0005-0000-0000-0000C4020000}"/>
    <cellStyle name="Millares 146 2" xfId="706" xr:uid="{00000000-0005-0000-0000-0000C5020000}"/>
    <cellStyle name="Millares 147" xfId="707" xr:uid="{00000000-0005-0000-0000-0000C6020000}"/>
    <cellStyle name="Millares 147 2" xfId="708" xr:uid="{00000000-0005-0000-0000-0000C7020000}"/>
    <cellStyle name="Millares 148" xfId="709" xr:uid="{00000000-0005-0000-0000-0000C8020000}"/>
    <cellStyle name="Millares 148 2" xfId="710" xr:uid="{00000000-0005-0000-0000-0000C9020000}"/>
    <cellStyle name="Millares 149" xfId="711" xr:uid="{00000000-0005-0000-0000-0000CA020000}"/>
    <cellStyle name="Millares 149 2" xfId="712" xr:uid="{00000000-0005-0000-0000-0000CB020000}"/>
    <cellStyle name="Millares 15" xfId="713" xr:uid="{00000000-0005-0000-0000-0000CC020000}"/>
    <cellStyle name="Millares 15 2" xfId="714" xr:uid="{00000000-0005-0000-0000-0000CD020000}"/>
    <cellStyle name="Millares 15 3" xfId="715" xr:uid="{00000000-0005-0000-0000-0000CE020000}"/>
    <cellStyle name="Millares 150" xfId="716" xr:uid="{00000000-0005-0000-0000-0000CF020000}"/>
    <cellStyle name="Millares 150 2" xfId="717" xr:uid="{00000000-0005-0000-0000-0000D0020000}"/>
    <cellStyle name="Millares 151" xfId="718" xr:uid="{00000000-0005-0000-0000-0000D1020000}"/>
    <cellStyle name="Millares 152" xfId="719" xr:uid="{00000000-0005-0000-0000-0000D2020000}"/>
    <cellStyle name="Millares 153" xfId="720" xr:uid="{00000000-0005-0000-0000-0000D3020000}"/>
    <cellStyle name="Millares 154" xfId="721" xr:uid="{00000000-0005-0000-0000-0000D4020000}"/>
    <cellStyle name="Millares 154 2" xfId="722" xr:uid="{00000000-0005-0000-0000-0000D5020000}"/>
    <cellStyle name="Millares 155" xfId="723" xr:uid="{00000000-0005-0000-0000-0000D6020000}"/>
    <cellStyle name="Millares 155 2" xfId="724" xr:uid="{00000000-0005-0000-0000-0000D7020000}"/>
    <cellStyle name="Millares 156" xfId="725" xr:uid="{00000000-0005-0000-0000-0000D8020000}"/>
    <cellStyle name="Millares 156 2" xfId="726" xr:uid="{00000000-0005-0000-0000-0000D9020000}"/>
    <cellStyle name="Millares 157" xfId="727" xr:uid="{00000000-0005-0000-0000-0000DA020000}"/>
    <cellStyle name="Millares 157 2" xfId="728" xr:uid="{00000000-0005-0000-0000-0000DB020000}"/>
    <cellStyle name="Millares 158" xfId="729" xr:uid="{00000000-0005-0000-0000-0000DC020000}"/>
    <cellStyle name="Millares 158 2" xfId="730" xr:uid="{00000000-0005-0000-0000-0000DD020000}"/>
    <cellStyle name="Millares 159" xfId="731" xr:uid="{00000000-0005-0000-0000-0000DE020000}"/>
    <cellStyle name="Millares 159 2" xfId="732" xr:uid="{00000000-0005-0000-0000-0000DF020000}"/>
    <cellStyle name="Millares 16" xfId="733" xr:uid="{00000000-0005-0000-0000-0000E0020000}"/>
    <cellStyle name="Millares 16 2" xfId="734" xr:uid="{00000000-0005-0000-0000-0000E1020000}"/>
    <cellStyle name="Millares 16 3" xfId="735" xr:uid="{00000000-0005-0000-0000-0000E2020000}"/>
    <cellStyle name="Millares 160" xfId="736" xr:uid="{00000000-0005-0000-0000-0000E3020000}"/>
    <cellStyle name="Millares 160 2" xfId="737" xr:uid="{00000000-0005-0000-0000-0000E4020000}"/>
    <cellStyle name="Millares 161" xfId="738" xr:uid="{00000000-0005-0000-0000-0000E5020000}"/>
    <cellStyle name="Millares 161 2" xfId="739" xr:uid="{00000000-0005-0000-0000-0000E6020000}"/>
    <cellStyle name="Millares 162" xfId="740" xr:uid="{00000000-0005-0000-0000-0000E7020000}"/>
    <cellStyle name="Millares 162 2" xfId="741" xr:uid="{00000000-0005-0000-0000-0000E8020000}"/>
    <cellStyle name="Millares 163" xfId="742" xr:uid="{00000000-0005-0000-0000-0000E9020000}"/>
    <cellStyle name="Millares 163 2" xfId="743" xr:uid="{00000000-0005-0000-0000-0000EA020000}"/>
    <cellStyle name="Millares 164" xfId="744" xr:uid="{00000000-0005-0000-0000-0000EB020000}"/>
    <cellStyle name="Millares 164 2" xfId="745" xr:uid="{00000000-0005-0000-0000-0000EC020000}"/>
    <cellStyle name="Millares 165" xfId="746" xr:uid="{00000000-0005-0000-0000-0000ED020000}"/>
    <cellStyle name="Millares 165 2" xfId="747" xr:uid="{00000000-0005-0000-0000-0000EE020000}"/>
    <cellStyle name="Millares 166" xfId="748" xr:uid="{00000000-0005-0000-0000-0000EF020000}"/>
    <cellStyle name="Millares 166 2" xfId="749" xr:uid="{00000000-0005-0000-0000-0000F0020000}"/>
    <cellStyle name="Millares 167" xfId="750" xr:uid="{00000000-0005-0000-0000-0000F1020000}"/>
    <cellStyle name="Millares 167 2" xfId="751" xr:uid="{00000000-0005-0000-0000-0000F2020000}"/>
    <cellStyle name="Millares 168" xfId="752" xr:uid="{00000000-0005-0000-0000-0000F3020000}"/>
    <cellStyle name="Millares 168 2" xfId="753" xr:uid="{00000000-0005-0000-0000-0000F4020000}"/>
    <cellStyle name="Millares 169" xfId="754" xr:uid="{00000000-0005-0000-0000-0000F5020000}"/>
    <cellStyle name="Millares 169 2" xfId="755" xr:uid="{00000000-0005-0000-0000-0000F6020000}"/>
    <cellStyle name="Millares 17" xfId="756" xr:uid="{00000000-0005-0000-0000-0000F7020000}"/>
    <cellStyle name="Millares 17 2" xfId="757" xr:uid="{00000000-0005-0000-0000-0000F8020000}"/>
    <cellStyle name="Millares 17 3" xfId="758" xr:uid="{00000000-0005-0000-0000-0000F9020000}"/>
    <cellStyle name="Millares 170" xfId="759" xr:uid="{00000000-0005-0000-0000-0000FA020000}"/>
    <cellStyle name="Millares 170 2" xfId="760" xr:uid="{00000000-0005-0000-0000-0000FB020000}"/>
    <cellStyle name="Millares 171" xfId="761" xr:uid="{00000000-0005-0000-0000-0000FC020000}"/>
    <cellStyle name="Millares 171 2" xfId="762" xr:uid="{00000000-0005-0000-0000-0000FD020000}"/>
    <cellStyle name="Millares 172" xfId="763" xr:uid="{00000000-0005-0000-0000-0000FE020000}"/>
    <cellStyle name="Millares 172 2" xfId="764" xr:uid="{00000000-0005-0000-0000-0000FF020000}"/>
    <cellStyle name="Millares 173" xfId="765" xr:uid="{00000000-0005-0000-0000-000000030000}"/>
    <cellStyle name="Millares 173 2" xfId="766" xr:uid="{00000000-0005-0000-0000-000001030000}"/>
    <cellStyle name="Millares 174" xfId="767" xr:uid="{00000000-0005-0000-0000-000002030000}"/>
    <cellStyle name="Millares 174 2" xfId="768" xr:uid="{00000000-0005-0000-0000-000003030000}"/>
    <cellStyle name="Millares 175" xfId="769" xr:uid="{00000000-0005-0000-0000-000004030000}"/>
    <cellStyle name="Millares 175 2" xfId="770" xr:uid="{00000000-0005-0000-0000-000005030000}"/>
    <cellStyle name="Millares 176" xfId="771" xr:uid="{00000000-0005-0000-0000-000006030000}"/>
    <cellStyle name="Millares 176 2" xfId="772" xr:uid="{00000000-0005-0000-0000-000007030000}"/>
    <cellStyle name="Millares 177" xfId="773" xr:uid="{00000000-0005-0000-0000-000008030000}"/>
    <cellStyle name="Millares 177 2" xfId="774" xr:uid="{00000000-0005-0000-0000-000009030000}"/>
    <cellStyle name="Millares 178" xfId="775" xr:uid="{00000000-0005-0000-0000-00000A030000}"/>
    <cellStyle name="Millares 178 2" xfId="776" xr:uid="{00000000-0005-0000-0000-00000B030000}"/>
    <cellStyle name="Millares 179" xfId="777" xr:uid="{00000000-0005-0000-0000-00000C030000}"/>
    <cellStyle name="Millares 179 2" xfId="778" xr:uid="{00000000-0005-0000-0000-00000D030000}"/>
    <cellStyle name="Millares 18" xfId="779" xr:uid="{00000000-0005-0000-0000-00000E030000}"/>
    <cellStyle name="Millares 18 2" xfId="780" xr:uid="{00000000-0005-0000-0000-00000F030000}"/>
    <cellStyle name="Millares 18 3" xfId="781" xr:uid="{00000000-0005-0000-0000-000010030000}"/>
    <cellStyle name="Millares 180" xfId="782" xr:uid="{00000000-0005-0000-0000-000011030000}"/>
    <cellStyle name="Millares 180 2" xfId="783" xr:uid="{00000000-0005-0000-0000-000012030000}"/>
    <cellStyle name="Millares 181" xfId="784" xr:uid="{00000000-0005-0000-0000-000013030000}"/>
    <cellStyle name="Millares 181 2" xfId="785" xr:uid="{00000000-0005-0000-0000-000014030000}"/>
    <cellStyle name="Millares 182" xfId="786" xr:uid="{00000000-0005-0000-0000-000015030000}"/>
    <cellStyle name="Millares 182 2" xfId="787" xr:uid="{00000000-0005-0000-0000-000016030000}"/>
    <cellStyle name="Millares 183" xfId="788" xr:uid="{00000000-0005-0000-0000-000017030000}"/>
    <cellStyle name="Millares 183 2" xfId="789" xr:uid="{00000000-0005-0000-0000-000018030000}"/>
    <cellStyle name="Millares 184" xfId="790" xr:uid="{00000000-0005-0000-0000-000019030000}"/>
    <cellStyle name="Millares 184 2" xfId="791" xr:uid="{00000000-0005-0000-0000-00001A030000}"/>
    <cellStyle name="Millares 185" xfId="792" xr:uid="{00000000-0005-0000-0000-00001B030000}"/>
    <cellStyle name="Millares 185 2" xfId="793" xr:uid="{00000000-0005-0000-0000-00001C030000}"/>
    <cellStyle name="Millares 186" xfId="794" xr:uid="{00000000-0005-0000-0000-00001D030000}"/>
    <cellStyle name="Millares 186 2" xfId="795" xr:uid="{00000000-0005-0000-0000-00001E030000}"/>
    <cellStyle name="Millares 187" xfId="796" xr:uid="{00000000-0005-0000-0000-00001F030000}"/>
    <cellStyle name="Millares 187 2" xfId="797" xr:uid="{00000000-0005-0000-0000-000020030000}"/>
    <cellStyle name="Millares 188" xfId="798" xr:uid="{00000000-0005-0000-0000-000021030000}"/>
    <cellStyle name="Millares 188 2" xfId="799" xr:uid="{00000000-0005-0000-0000-000022030000}"/>
    <cellStyle name="Millares 189" xfId="800" xr:uid="{00000000-0005-0000-0000-000023030000}"/>
    <cellStyle name="Millares 189 2" xfId="801" xr:uid="{00000000-0005-0000-0000-000024030000}"/>
    <cellStyle name="Millares 19" xfId="802" xr:uid="{00000000-0005-0000-0000-000025030000}"/>
    <cellStyle name="Millares 19 2" xfId="803" xr:uid="{00000000-0005-0000-0000-000026030000}"/>
    <cellStyle name="Millares 19 3" xfId="804" xr:uid="{00000000-0005-0000-0000-000027030000}"/>
    <cellStyle name="Millares 190" xfId="805" xr:uid="{00000000-0005-0000-0000-000028030000}"/>
    <cellStyle name="Millares 190 2" xfId="806" xr:uid="{00000000-0005-0000-0000-000029030000}"/>
    <cellStyle name="Millares 191" xfId="807" xr:uid="{00000000-0005-0000-0000-00002A030000}"/>
    <cellStyle name="Millares 191 2" xfId="808" xr:uid="{00000000-0005-0000-0000-00002B030000}"/>
    <cellStyle name="Millares 192" xfId="809" xr:uid="{00000000-0005-0000-0000-00002C030000}"/>
    <cellStyle name="Millares 192 2" xfId="810" xr:uid="{00000000-0005-0000-0000-00002D030000}"/>
    <cellStyle name="Millares 193" xfId="811" xr:uid="{00000000-0005-0000-0000-00002E030000}"/>
    <cellStyle name="Millares 193 2" xfId="812" xr:uid="{00000000-0005-0000-0000-00002F030000}"/>
    <cellStyle name="Millares 194" xfId="813" xr:uid="{00000000-0005-0000-0000-000030030000}"/>
    <cellStyle name="Millares 194 2" xfId="814" xr:uid="{00000000-0005-0000-0000-000031030000}"/>
    <cellStyle name="Millares 195" xfId="815" xr:uid="{00000000-0005-0000-0000-000032030000}"/>
    <cellStyle name="Millares 195 2" xfId="816" xr:uid="{00000000-0005-0000-0000-000033030000}"/>
    <cellStyle name="Millares 196" xfId="817" xr:uid="{00000000-0005-0000-0000-000034030000}"/>
    <cellStyle name="Millares 196 2" xfId="818" xr:uid="{00000000-0005-0000-0000-000035030000}"/>
    <cellStyle name="Millares 197" xfId="819" xr:uid="{00000000-0005-0000-0000-000036030000}"/>
    <cellStyle name="Millares 197 2" xfId="820" xr:uid="{00000000-0005-0000-0000-000037030000}"/>
    <cellStyle name="Millares 198" xfId="821" xr:uid="{00000000-0005-0000-0000-000038030000}"/>
    <cellStyle name="Millares 198 2" xfId="822" xr:uid="{00000000-0005-0000-0000-000039030000}"/>
    <cellStyle name="Millares 199" xfId="823" xr:uid="{00000000-0005-0000-0000-00003A030000}"/>
    <cellStyle name="Millares 199 2" xfId="824" xr:uid="{00000000-0005-0000-0000-00003B030000}"/>
    <cellStyle name="Millares 2" xfId="825" xr:uid="{00000000-0005-0000-0000-00003C030000}"/>
    <cellStyle name="Millares 2 10" xfId="826" xr:uid="{00000000-0005-0000-0000-00003D030000}"/>
    <cellStyle name="Millares 2 11" xfId="827" xr:uid="{00000000-0005-0000-0000-00003E030000}"/>
    <cellStyle name="Millares 2 12" xfId="828" xr:uid="{00000000-0005-0000-0000-00003F030000}"/>
    <cellStyle name="Millares 2 2" xfId="829" xr:uid="{00000000-0005-0000-0000-000040030000}"/>
    <cellStyle name="Millares 2 2 10" xfId="830" xr:uid="{00000000-0005-0000-0000-000041030000}"/>
    <cellStyle name="Millares 2 2 10 2" xfId="831" xr:uid="{00000000-0005-0000-0000-000042030000}"/>
    <cellStyle name="Millares 2 2 11" xfId="832" xr:uid="{00000000-0005-0000-0000-000043030000}"/>
    <cellStyle name="Millares 2 2 12" xfId="833" xr:uid="{00000000-0005-0000-0000-000044030000}"/>
    <cellStyle name="Millares 2 2 13" xfId="834" xr:uid="{00000000-0005-0000-0000-000045030000}"/>
    <cellStyle name="Millares 2 2 14" xfId="835" xr:uid="{00000000-0005-0000-0000-000046030000}"/>
    <cellStyle name="Millares 2 2 2" xfId="836" xr:uid="{00000000-0005-0000-0000-000047030000}"/>
    <cellStyle name="Millares 2 2 2 10" xfId="837" xr:uid="{00000000-0005-0000-0000-000048030000}"/>
    <cellStyle name="Millares 2 2 2 11" xfId="838" xr:uid="{00000000-0005-0000-0000-000049030000}"/>
    <cellStyle name="Millares 2 2 2 12" xfId="839" xr:uid="{00000000-0005-0000-0000-00004A030000}"/>
    <cellStyle name="Millares 2 2 2 2" xfId="840" xr:uid="{00000000-0005-0000-0000-00004B030000}"/>
    <cellStyle name="Millares 2 2 2 2 2" xfId="841" xr:uid="{00000000-0005-0000-0000-00004C030000}"/>
    <cellStyle name="Millares 2 2 2 3" xfId="842" xr:uid="{00000000-0005-0000-0000-00004D030000}"/>
    <cellStyle name="Millares 2 2 2 4" xfId="843" xr:uid="{00000000-0005-0000-0000-00004E030000}"/>
    <cellStyle name="Millares 2 2 2 5" xfId="844" xr:uid="{00000000-0005-0000-0000-00004F030000}"/>
    <cellStyle name="Millares 2 2 2 6" xfId="845" xr:uid="{00000000-0005-0000-0000-000050030000}"/>
    <cellStyle name="Millares 2 2 2 7" xfId="846" xr:uid="{00000000-0005-0000-0000-000051030000}"/>
    <cellStyle name="Millares 2 2 2 8" xfId="847" xr:uid="{00000000-0005-0000-0000-000052030000}"/>
    <cellStyle name="Millares 2 2 2 8 2" xfId="848" xr:uid="{00000000-0005-0000-0000-000053030000}"/>
    <cellStyle name="Millares 2 2 2 9" xfId="849" xr:uid="{00000000-0005-0000-0000-000054030000}"/>
    <cellStyle name="Millares 2 2 2 9 2" xfId="850" xr:uid="{00000000-0005-0000-0000-000055030000}"/>
    <cellStyle name="Millares 2 2 2_destino" xfId="851" xr:uid="{00000000-0005-0000-0000-000056030000}"/>
    <cellStyle name="Millares 2 2 3" xfId="852" xr:uid="{00000000-0005-0000-0000-000057030000}"/>
    <cellStyle name="Millares 2 2 3 2" xfId="853" xr:uid="{00000000-0005-0000-0000-000058030000}"/>
    <cellStyle name="Millares 2 2 3 2 2" xfId="854" xr:uid="{00000000-0005-0000-0000-000059030000}"/>
    <cellStyle name="Millares 2 2 3 3" xfId="855" xr:uid="{00000000-0005-0000-0000-00005A030000}"/>
    <cellStyle name="Millares 2 2 3 3 2" xfId="856" xr:uid="{00000000-0005-0000-0000-00005B030000}"/>
    <cellStyle name="Millares 2 2 3 4" xfId="857" xr:uid="{00000000-0005-0000-0000-00005C030000}"/>
    <cellStyle name="Millares 2 2 4" xfId="858" xr:uid="{00000000-0005-0000-0000-00005D030000}"/>
    <cellStyle name="Millares 2 2 4 2" xfId="859" xr:uid="{00000000-0005-0000-0000-00005E030000}"/>
    <cellStyle name="Millares 2 2 5" xfId="860" xr:uid="{00000000-0005-0000-0000-00005F030000}"/>
    <cellStyle name="Millares 2 2 5 2" xfId="861" xr:uid="{00000000-0005-0000-0000-000060030000}"/>
    <cellStyle name="Millares 2 2 6" xfId="862" xr:uid="{00000000-0005-0000-0000-000061030000}"/>
    <cellStyle name="Millares 2 2 6 2" xfId="863" xr:uid="{00000000-0005-0000-0000-000062030000}"/>
    <cellStyle name="Millares 2 2 7" xfId="864" xr:uid="{00000000-0005-0000-0000-000063030000}"/>
    <cellStyle name="Millares 2 2 7 2" xfId="865" xr:uid="{00000000-0005-0000-0000-000064030000}"/>
    <cellStyle name="Millares 2 2 8" xfId="866" xr:uid="{00000000-0005-0000-0000-000065030000}"/>
    <cellStyle name="Millares 2 2 8 2" xfId="867" xr:uid="{00000000-0005-0000-0000-000066030000}"/>
    <cellStyle name="Millares 2 2 9" xfId="868" xr:uid="{00000000-0005-0000-0000-000067030000}"/>
    <cellStyle name="Millares 2 2 9 2" xfId="869" xr:uid="{00000000-0005-0000-0000-000068030000}"/>
    <cellStyle name="Millares 2 2_destino" xfId="870" xr:uid="{00000000-0005-0000-0000-000069030000}"/>
    <cellStyle name="Millares 2 3" xfId="871" xr:uid="{00000000-0005-0000-0000-00006A030000}"/>
    <cellStyle name="Millares 2 3 2" xfId="872" xr:uid="{00000000-0005-0000-0000-00006B030000}"/>
    <cellStyle name="Millares 2 3 2 2" xfId="873" xr:uid="{00000000-0005-0000-0000-00006C030000}"/>
    <cellStyle name="Millares 2 3 3" xfId="874" xr:uid="{00000000-0005-0000-0000-00006D030000}"/>
    <cellStyle name="Millares 2 3 4" xfId="875" xr:uid="{00000000-0005-0000-0000-00006E030000}"/>
    <cellStyle name="Millares 2 3 4 2" xfId="876" xr:uid="{00000000-0005-0000-0000-00006F030000}"/>
    <cellStyle name="Millares 2 3 5" xfId="877" xr:uid="{00000000-0005-0000-0000-000070030000}"/>
    <cellStyle name="Millares 2 3 6" xfId="878" xr:uid="{00000000-0005-0000-0000-000071030000}"/>
    <cellStyle name="Millares 2 3 7" xfId="879" xr:uid="{00000000-0005-0000-0000-000072030000}"/>
    <cellStyle name="Millares 2 3_destino" xfId="880" xr:uid="{00000000-0005-0000-0000-000073030000}"/>
    <cellStyle name="Millares 2 4" xfId="881" xr:uid="{00000000-0005-0000-0000-000074030000}"/>
    <cellStyle name="Millares 2 4 2" xfId="882" xr:uid="{00000000-0005-0000-0000-000075030000}"/>
    <cellStyle name="Millares 2 4 3" xfId="883" xr:uid="{00000000-0005-0000-0000-000076030000}"/>
    <cellStyle name="Millares 2 4 3 2" xfId="884" xr:uid="{00000000-0005-0000-0000-000077030000}"/>
    <cellStyle name="Millares 2 4 4" xfId="885" xr:uid="{00000000-0005-0000-0000-000078030000}"/>
    <cellStyle name="Millares 2 4 5" xfId="886" xr:uid="{00000000-0005-0000-0000-000079030000}"/>
    <cellStyle name="Millares 2 5" xfId="887" xr:uid="{00000000-0005-0000-0000-00007A030000}"/>
    <cellStyle name="Millares 2 5 2" xfId="888" xr:uid="{00000000-0005-0000-0000-00007B030000}"/>
    <cellStyle name="Millares 2 5 3" xfId="889" xr:uid="{00000000-0005-0000-0000-00007C030000}"/>
    <cellStyle name="Millares 2 6" xfId="890" xr:uid="{00000000-0005-0000-0000-00007D030000}"/>
    <cellStyle name="Millares 2 6 2" xfId="891" xr:uid="{00000000-0005-0000-0000-00007E030000}"/>
    <cellStyle name="Millares 2 6 3" xfId="892" xr:uid="{00000000-0005-0000-0000-00007F030000}"/>
    <cellStyle name="Millares 2 7" xfId="893" xr:uid="{00000000-0005-0000-0000-000080030000}"/>
    <cellStyle name="Millares 2 7 2" xfId="894" xr:uid="{00000000-0005-0000-0000-000081030000}"/>
    <cellStyle name="Millares 2 8" xfId="895" xr:uid="{00000000-0005-0000-0000-000082030000}"/>
    <cellStyle name="Millares 2 8 2" xfId="896" xr:uid="{00000000-0005-0000-0000-000083030000}"/>
    <cellStyle name="Millares 2 9" xfId="897" xr:uid="{00000000-0005-0000-0000-000084030000}"/>
    <cellStyle name="Millares 2 9 2" xfId="898" xr:uid="{00000000-0005-0000-0000-000085030000}"/>
    <cellStyle name="Millares 2_imptos" xfId="1043" xr:uid="{00000000-0005-0000-0000-000016040000}"/>
    <cellStyle name="Millares 20" xfId="899" xr:uid="{00000000-0005-0000-0000-000086030000}"/>
    <cellStyle name="Millares 20 2" xfId="900" xr:uid="{00000000-0005-0000-0000-000087030000}"/>
    <cellStyle name="Millares 20 3" xfId="901" xr:uid="{00000000-0005-0000-0000-000088030000}"/>
    <cellStyle name="Millares 200" xfId="902" xr:uid="{00000000-0005-0000-0000-000089030000}"/>
    <cellStyle name="Millares 200 2" xfId="903" xr:uid="{00000000-0005-0000-0000-00008A030000}"/>
    <cellStyle name="Millares 201" xfId="904" xr:uid="{00000000-0005-0000-0000-00008B030000}"/>
    <cellStyle name="Millares 201 2" xfId="905" xr:uid="{00000000-0005-0000-0000-00008C030000}"/>
    <cellStyle name="Millares 202" xfId="906" xr:uid="{00000000-0005-0000-0000-00008D030000}"/>
    <cellStyle name="Millares 203" xfId="907" xr:uid="{00000000-0005-0000-0000-00008E030000}"/>
    <cellStyle name="Millares 204" xfId="908" xr:uid="{00000000-0005-0000-0000-00008F030000}"/>
    <cellStyle name="Millares 205" xfId="909" xr:uid="{00000000-0005-0000-0000-000090030000}"/>
    <cellStyle name="Millares 205 2" xfId="910" xr:uid="{00000000-0005-0000-0000-000091030000}"/>
    <cellStyle name="Millares 206" xfId="911" xr:uid="{00000000-0005-0000-0000-000092030000}"/>
    <cellStyle name="Millares 206 2" xfId="912" xr:uid="{00000000-0005-0000-0000-000093030000}"/>
    <cellStyle name="Millares 207" xfId="913" xr:uid="{00000000-0005-0000-0000-000094030000}"/>
    <cellStyle name="Millares 207 2" xfId="914" xr:uid="{00000000-0005-0000-0000-000095030000}"/>
    <cellStyle name="Millares 208" xfId="915" xr:uid="{00000000-0005-0000-0000-000096030000}"/>
    <cellStyle name="Millares 208 2" xfId="916" xr:uid="{00000000-0005-0000-0000-000097030000}"/>
    <cellStyle name="Millares 209" xfId="917" xr:uid="{00000000-0005-0000-0000-000098030000}"/>
    <cellStyle name="Millares 209 2" xfId="918" xr:uid="{00000000-0005-0000-0000-000099030000}"/>
    <cellStyle name="Millares 21" xfId="919" xr:uid="{00000000-0005-0000-0000-00009A030000}"/>
    <cellStyle name="Millares 21 2" xfId="920" xr:uid="{00000000-0005-0000-0000-00009B030000}"/>
    <cellStyle name="Millares 21 3" xfId="921" xr:uid="{00000000-0005-0000-0000-00009C030000}"/>
    <cellStyle name="Millares 210" xfId="922" xr:uid="{00000000-0005-0000-0000-00009D030000}"/>
    <cellStyle name="Millares 210 2" xfId="923" xr:uid="{00000000-0005-0000-0000-00009E030000}"/>
    <cellStyle name="Millares 211" xfId="924" xr:uid="{00000000-0005-0000-0000-00009F030000}"/>
    <cellStyle name="Millares 211 2" xfId="925" xr:uid="{00000000-0005-0000-0000-0000A0030000}"/>
    <cellStyle name="Millares 212" xfId="926" xr:uid="{00000000-0005-0000-0000-0000A1030000}"/>
    <cellStyle name="Millares 212 2" xfId="927" xr:uid="{00000000-0005-0000-0000-0000A2030000}"/>
    <cellStyle name="Millares 213" xfId="928" xr:uid="{00000000-0005-0000-0000-0000A3030000}"/>
    <cellStyle name="Millares 213 2" xfId="929" xr:uid="{00000000-0005-0000-0000-0000A4030000}"/>
    <cellStyle name="Millares 214" xfId="930" xr:uid="{00000000-0005-0000-0000-0000A5030000}"/>
    <cellStyle name="Millares 214 2" xfId="931" xr:uid="{00000000-0005-0000-0000-0000A6030000}"/>
    <cellStyle name="Millares 215" xfId="932" xr:uid="{00000000-0005-0000-0000-0000A7030000}"/>
    <cellStyle name="Millares 215 2" xfId="933" xr:uid="{00000000-0005-0000-0000-0000A8030000}"/>
    <cellStyle name="Millares 216" xfId="934" xr:uid="{00000000-0005-0000-0000-0000A9030000}"/>
    <cellStyle name="Millares 216 2" xfId="935" xr:uid="{00000000-0005-0000-0000-0000AA030000}"/>
    <cellStyle name="Millares 217" xfId="936" xr:uid="{00000000-0005-0000-0000-0000AB030000}"/>
    <cellStyle name="Millares 217 2" xfId="937" xr:uid="{00000000-0005-0000-0000-0000AC030000}"/>
    <cellStyle name="Millares 218" xfId="938" xr:uid="{00000000-0005-0000-0000-0000AD030000}"/>
    <cellStyle name="Millares 218 2" xfId="939" xr:uid="{00000000-0005-0000-0000-0000AE030000}"/>
    <cellStyle name="Millares 219" xfId="940" xr:uid="{00000000-0005-0000-0000-0000AF030000}"/>
    <cellStyle name="Millares 219 2" xfId="941" xr:uid="{00000000-0005-0000-0000-0000B0030000}"/>
    <cellStyle name="Millares 22" xfId="942" xr:uid="{00000000-0005-0000-0000-0000B1030000}"/>
    <cellStyle name="Millares 22 2" xfId="943" xr:uid="{00000000-0005-0000-0000-0000B2030000}"/>
    <cellStyle name="Millares 22 3" xfId="944" xr:uid="{00000000-0005-0000-0000-0000B3030000}"/>
    <cellStyle name="Millares 220" xfId="945" xr:uid="{00000000-0005-0000-0000-0000B4030000}"/>
    <cellStyle name="Millares 220 2" xfId="946" xr:uid="{00000000-0005-0000-0000-0000B5030000}"/>
    <cellStyle name="Millares 221" xfId="947" xr:uid="{00000000-0005-0000-0000-0000B6030000}"/>
    <cellStyle name="Millares 221 2" xfId="948" xr:uid="{00000000-0005-0000-0000-0000B7030000}"/>
    <cellStyle name="Millares 222" xfId="949" xr:uid="{00000000-0005-0000-0000-0000B8030000}"/>
    <cellStyle name="Millares 222 2" xfId="950" xr:uid="{00000000-0005-0000-0000-0000B9030000}"/>
    <cellStyle name="Millares 223" xfId="951" xr:uid="{00000000-0005-0000-0000-0000BA030000}"/>
    <cellStyle name="Millares 223 2" xfId="952" xr:uid="{00000000-0005-0000-0000-0000BB030000}"/>
    <cellStyle name="Millares 224" xfId="953" xr:uid="{00000000-0005-0000-0000-0000BC030000}"/>
    <cellStyle name="Millares 224 2" xfId="954" xr:uid="{00000000-0005-0000-0000-0000BD030000}"/>
    <cellStyle name="Millares 225" xfId="955" xr:uid="{00000000-0005-0000-0000-0000BE030000}"/>
    <cellStyle name="Millares 225 2" xfId="956" xr:uid="{00000000-0005-0000-0000-0000BF030000}"/>
    <cellStyle name="Millares 226" xfId="957" xr:uid="{00000000-0005-0000-0000-0000C0030000}"/>
    <cellStyle name="Millares 226 2" xfId="958" xr:uid="{00000000-0005-0000-0000-0000C1030000}"/>
    <cellStyle name="Millares 227" xfId="959" xr:uid="{00000000-0005-0000-0000-0000C2030000}"/>
    <cellStyle name="Millares 227 2" xfId="960" xr:uid="{00000000-0005-0000-0000-0000C3030000}"/>
    <cellStyle name="Millares 228" xfId="961" xr:uid="{00000000-0005-0000-0000-0000C4030000}"/>
    <cellStyle name="Millares 228 2" xfId="962" xr:uid="{00000000-0005-0000-0000-0000C5030000}"/>
    <cellStyle name="Millares 229" xfId="963" xr:uid="{00000000-0005-0000-0000-0000C6030000}"/>
    <cellStyle name="Millares 229 2" xfId="964" xr:uid="{00000000-0005-0000-0000-0000C7030000}"/>
    <cellStyle name="Millares 23" xfId="965" xr:uid="{00000000-0005-0000-0000-0000C8030000}"/>
    <cellStyle name="Millares 23 2" xfId="966" xr:uid="{00000000-0005-0000-0000-0000C9030000}"/>
    <cellStyle name="Millares 23 3" xfId="967" xr:uid="{00000000-0005-0000-0000-0000CA030000}"/>
    <cellStyle name="Millares 230" xfId="968" xr:uid="{00000000-0005-0000-0000-0000CB030000}"/>
    <cellStyle name="Millares 230 2" xfId="969" xr:uid="{00000000-0005-0000-0000-0000CC030000}"/>
    <cellStyle name="Millares 231" xfId="970" xr:uid="{00000000-0005-0000-0000-0000CD030000}"/>
    <cellStyle name="Millares 231 2" xfId="971" xr:uid="{00000000-0005-0000-0000-0000CE030000}"/>
    <cellStyle name="Millares 232" xfId="972" xr:uid="{00000000-0005-0000-0000-0000CF030000}"/>
    <cellStyle name="Millares 232 2" xfId="973" xr:uid="{00000000-0005-0000-0000-0000D0030000}"/>
    <cellStyle name="Millares 233" xfId="974" xr:uid="{00000000-0005-0000-0000-0000D1030000}"/>
    <cellStyle name="Millares 233 2" xfId="975" xr:uid="{00000000-0005-0000-0000-0000D2030000}"/>
    <cellStyle name="Millares 234" xfId="976" xr:uid="{00000000-0005-0000-0000-0000D3030000}"/>
    <cellStyle name="Millares 234 2" xfId="977" xr:uid="{00000000-0005-0000-0000-0000D4030000}"/>
    <cellStyle name="Millares 235" xfId="978" xr:uid="{00000000-0005-0000-0000-0000D5030000}"/>
    <cellStyle name="Millares 235 2" xfId="979" xr:uid="{00000000-0005-0000-0000-0000D6030000}"/>
    <cellStyle name="Millares 236" xfId="980" xr:uid="{00000000-0005-0000-0000-0000D7030000}"/>
    <cellStyle name="Millares 236 2" xfId="981" xr:uid="{00000000-0005-0000-0000-0000D8030000}"/>
    <cellStyle name="Millares 237" xfId="982" xr:uid="{00000000-0005-0000-0000-0000D9030000}"/>
    <cellStyle name="Millares 237 2" xfId="983" xr:uid="{00000000-0005-0000-0000-0000DA030000}"/>
    <cellStyle name="Millares 238" xfId="984" xr:uid="{00000000-0005-0000-0000-0000DB030000}"/>
    <cellStyle name="Millares 238 2" xfId="985" xr:uid="{00000000-0005-0000-0000-0000DC030000}"/>
    <cellStyle name="Millares 239" xfId="986" xr:uid="{00000000-0005-0000-0000-0000DD030000}"/>
    <cellStyle name="Millares 239 2" xfId="987" xr:uid="{00000000-0005-0000-0000-0000DE030000}"/>
    <cellStyle name="Millares 24" xfId="988" xr:uid="{00000000-0005-0000-0000-0000DF030000}"/>
    <cellStyle name="Millares 24 2" xfId="989" xr:uid="{00000000-0005-0000-0000-0000E0030000}"/>
    <cellStyle name="Millares 24 3" xfId="990" xr:uid="{00000000-0005-0000-0000-0000E1030000}"/>
    <cellStyle name="Millares 240" xfId="991" xr:uid="{00000000-0005-0000-0000-0000E2030000}"/>
    <cellStyle name="Millares 240 2" xfId="992" xr:uid="{00000000-0005-0000-0000-0000E3030000}"/>
    <cellStyle name="Millares 241" xfId="993" xr:uid="{00000000-0005-0000-0000-0000E4030000}"/>
    <cellStyle name="Millares 241 2" xfId="994" xr:uid="{00000000-0005-0000-0000-0000E5030000}"/>
    <cellStyle name="Millares 242" xfId="995" xr:uid="{00000000-0005-0000-0000-0000E6030000}"/>
    <cellStyle name="Millares 242 2" xfId="996" xr:uid="{00000000-0005-0000-0000-0000E7030000}"/>
    <cellStyle name="Millares 243" xfId="997" xr:uid="{00000000-0005-0000-0000-0000E8030000}"/>
    <cellStyle name="Millares 243 2" xfId="998" xr:uid="{00000000-0005-0000-0000-0000E9030000}"/>
    <cellStyle name="Millares 244" xfId="999" xr:uid="{00000000-0005-0000-0000-0000EA030000}"/>
    <cellStyle name="Millares 244 2" xfId="1000" xr:uid="{00000000-0005-0000-0000-0000EB030000}"/>
    <cellStyle name="Millares 245" xfId="1001" xr:uid="{00000000-0005-0000-0000-0000EC030000}"/>
    <cellStyle name="Millares 245 2" xfId="1002" xr:uid="{00000000-0005-0000-0000-0000ED030000}"/>
    <cellStyle name="Millares 246" xfId="1003" xr:uid="{00000000-0005-0000-0000-0000EE030000}"/>
    <cellStyle name="Millares 246 2" xfId="1004" xr:uid="{00000000-0005-0000-0000-0000EF030000}"/>
    <cellStyle name="Millares 247" xfId="1005" xr:uid="{00000000-0005-0000-0000-0000F0030000}"/>
    <cellStyle name="Millares 247 2" xfId="1006" xr:uid="{00000000-0005-0000-0000-0000F1030000}"/>
    <cellStyle name="Millares 248" xfId="1007" xr:uid="{00000000-0005-0000-0000-0000F2030000}"/>
    <cellStyle name="Millares 248 2" xfId="1008" xr:uid="{00000000-0005-0000-0000-0000F3030000}"/>
    <cellStyle name="Millares 249" xfId="1009" xr:uid="{00000000-0005-0000-0000-0000F4030000}"/>
    <cellStyle name="Millares 249 2" xfId="1010" xr:uid="{00000000-0005-0000-0000-0000F5030000}"/>
    <cellStyle name="Millares 25" xfId="1011" xr:uid="{00000000-0005-0000-0000-0000F6030000}"/>
    <cellStyle name="Millares 25 2" xfId="1012" xr:uid="{00000000-0005-0000-0000-0000F7030000}"/>
    <cellStyle name="Millares 25 3" xfId="1013" xr:uid="{00000000-0005-0000-0000-0000F8030000}"/>
    <cellStyle name="Millares 250" xfId="1014" xr:uid="{00000000-0005-0000-0000-0000F9030000}"/>
    <cellStyle name="Millares 250 2" xfId="1015" xr:uid="{00000000-0005-0000-0000-0000FA030000}"/>
    <cellStyle name="Millares 251" xfId="1016" xr:uid="{00000000-0005-0000-0000-0000FB030000}"/>
    <cellStyle name="Millares 251 2" xfId="1017" xr:uid="{00000000-0005-0000-0000-0000FC030000}"/>
    <cellStyle name="Millares 252" xfId="1018" xr:uid="{00000000-0005-0000-0000-0000FD030000}"/>
    <cellStyle name="Millares 252 2" xfId="1019" xr:uid="{00000000-0005-0000-0000-0000FE030000}"/>
    <cellStyle name="Millares 253" xfId="1020" xr:uid="{00000000-0005-0000-0000-0000FF030000}"/>
    <cellStyle name="Millares 254" xfId="1021" xr:uid="{00000000-0005-0000-0000-000000040000}"/>
    <cellStyle name="Millares 255" xfId="1022" xr:uid="{00000000-0005-0000-0000-000001040000}"/>
    <cellStyle name="Millares 256" xfId="1023" xr:uid="{00000000-0005-0000-0000-000002040000}"/>
    <cellStyle name="Millares 257" xfId="1024" xr:uid="{00000000-0005-0000-0000-000003040000}"/>
    <cellStyle name="Millares 258" xfId="1025" xr:uid="{00000000-0005-0000-0000-000004040000}"/>
    <cellStyle name="Millares 259" xfId="1026" xr:uid="{00000000-0005-0000-0000-000005040000}"/>
    <cellStyle name="Millares 26" xfId="1027" xr:uid="{00000000-0005-0000-0000-000006040000}"/>
    <cellStyle name="Millares 26 2" xfId="1028" xr:uid="{00000000-0005-0000-0000-000007040000}"/>
    <cellStyle name="Millares 26 3" xfId="1029" xr:uid="{00000000-0005-0000-0000-000008040000}"/>
    <cellStyle name="Millares 260" xfId="1030" xr:uid="{00000000-0005-0000-0000-000009040000}"/>
    <cellStyle name="Millares 261" xfId="1031" xr:uid="{00000000-0005-0000-0000-00000A040000}"/>
    <cellStyle name="Millares 262" xfId="1032" xr:uid="{00000000-0005-0000-0000-00000B040000}"/>
    <cellStyle name="Millares 263" xfId="1033" xr:uid="{00000000-0005-0000-0000-00000C040000}"/>
    <cellStyle name="Millares 27" xfId="1034" xr:uid="{00000000-0005-0000-0000-00000D040000}"/>
    <cellStyle name="Millares 27 2" xfId="1035" xr:uid="{00000000-0005-0000-0000-00000E040000}"/>
    <cellStyle name="Millares 27 3" xfId="1036" xr:uid="{00000000-0005-0000-0000-00000F040000}"/>
    <cellStyle name="Millares 28" xfId="1037" xr:uid="{00000000-0005-0000-0000-000010040000}"/>
    <cellStyle name="Millares 28 2" xfId="1038" xr:uid="{00000000-0005-0000-0000-000011040000}"/>
    <cellStyle name="Millares 28 3" xfId="1039" xr:uid="{00000000-0005-0000-0000-000012040000}"/>
    <cellStyle name="Millares 29" xfId="1040" xr:uid="{00000000-0005-0000-0000-000013040000}"/>
    <cellStyle name="Millares 29 2" xfId="1041" xr:uid="{00000000-0005-0000-0000-000014040000}"/>
    <cellStyle name="Millares 29 3" xfId="1042" xr:uid="{00000000-0005-0000-0000-000015040000}"/>
    <cellStyle name="Millares 3" xfId="1044" xr:uid="{00000000-0005-0000-0000-000017040000}"/>
    <cellStyle name="Millares 3 10" xfId="1045" xr:uid="{00000000-0005-0000-0000-000018040000}"/>
    <cellStyle name="Millares 3 11" xfId="1046" xr:uid="{00000000-0005-0000-0000-000019040000}"/>
    <cellStyle name="Millares 3 12" xfId="1047" xr:uid="{00000000-0005-0000-0000-00001A040000}"/>
    <cellStyle name="Millares 3 13" xfId="1048" xr:uid="{00000000-0005-0000-0000-00001B040000}"/>
    <cellStyle name="Millares 3 14" xfId="1049" xr:uid="{00000000-0005-0000-0000-00001C040000}"/>
    <cellStyle name="Millares 3 2" xfId="1050" xr:uid="{00000000-0005-0000-0000-00001D040000}"/>
    <cellStyle name="Millares 3 2 2" xfId="1051" xr:uid="{00000000-0005-0000-0000-00001E040000}"/>
    <cellStyle name="Millares 3 2 2 2" xfId="1052" xr:uid="{00000000-0005-0000-0000-00001F040000}"/>
    <cellStyle name="Millares 3 2 2 3" xfId="1053" xr:uid="{00000000-0005-0000-0000-000020040000}"/>
    <cellStyle name="Millares 3 2 2 4" xfId="1054" xr:uid="{00000000-0005-0000-0000-000021040000}"/>
    <cellStyle name="Millares 3 2 3" xfId="1055" xr:uid="{00000000-0005-0000-0000-000022040000}"/>
    <cellStyle name="Millares 3 2 3 2" xfId="1056" xr:uid="{00000000-0005-0000-0000-000023040000}"/>
    <cellStyle name="Millares 3 2 4" xfId="1057" xr:uid="{00000000-0005-0000-0000-000024040000}"/>
    <cellStyle name="Millares 3 2 5" xfId="1058" xr:uid="{00000000-0005-0000-0000-000025040000}"/>
    <cellStyle name="Millares 3 2 6" xfId="1059" xr:uid="{00000000-0005-0000-0000-000026040000}"/>
    <cellStyle name="Millares 3 3" xfId="1060" xr:uid="{00000000-0005-0000-0000-000027040000}"/>
    <cellStyle name="Millares 3 3 2" xfId="1061" xr:uid="{00000000-0005-0000-0000-000028040000}"/>
    <cellStyle name="Millares 3 3 3" xfId="1062" xr:uid="{00000000-0005-0000-0000-000029040000}"/>
    <cellStyle name="Millares 3 3 4" xfId="1063" xr:uid="{00000000-0005-0000-0000-00002A040000}"/>
    <cellStyle name="Millares 3 3 5" xfId="1064" xr:uid="{00000000-0005-0000-0000-00002B040000}"/>
    <cellStyle name="Millares 3 3 6" xfId="1065" xr:uid="{00000000-0005-0000-0000-00002C040000}"/>
    <cellStyle name="Millares 3 4" xfId="1066" xr:uid="{00000000-0005-0000-0000-00002D040000}"/>
    <cellStyle name="Millares 3 4 2" xfId="1067" xr:uid="{00000000-0005-0000-0000-00002E040000}"/>
    <cellStyle name="Millares 3 4 3" xfId="1068" xr:uid="{00000000-0005-0000-0000-00002F040000}"/>
    <cellStyle name="Millares 3 4 4" xfId="1069" xr:uid="{00000000-0005-0000-0000-000030040000}"/>
    <cellStyle name="Millares 3 4 5" xfId="1070" xr:uid="{00000000-0005-0000-0000-000031040000}"/>
    <cellStyle name="Millares 3 5" xfId="1071" xr:uid="{00000000-0005-0000-0000-000032040000}"/>
    <cellStyle name="Millares 3 5 2" xfId="1072" xr:uid="{00000000-0005-0000-0000-000033040000}"/>
    <cellStyle name="Millares 3 5 3" xfId="1073" xr:uid="{00000000-0005-0000-0000-000034040000}"/>
    <cellStyle name="Millares 3 5 4" xfId="1074" xr:uid="{00000000-0005-0000-0000-000035040000}"/>
    <cellStyle name="Millares 3 5 5" xfId="1075" xr:uid="{00000000-0005-0000-0000-000036040000}"/>
    <cellStyle name="Millares 3 5 6" xfId="1076" xr:uid="{00000000-0005-0000-0000-000037040000}"/>
    <cellStyle name="Millares 3 5_destino" xfId="1077" xr:uid="{00000000-0005-0000-0000-000038040000}"/>
    <cellStyle name="Millares 3 6" xfId="1078" xr:uid="{00000000-0005-0000-0000-000039040000}"/>
    <cellStyle name="Millares 3 6 2" xfId="1079" xr:uid="{00000000-0005-0000-0000-00003A040000}"/>
    <cellStyle name="Millares 3 6 3" xfId="1080" xr:uid="{00000000-0005-0000-0000-00003B040000}"/>
    <cellStyle name="Millares 3 6 4" xfId="1081" xr:uid="{00000000-0005-0000-0000-00003C040000}"/>
    <cellStyle name="Millares 3 7" xfId="1082" xr:uid="{00000000-0005-0000-0000-00003D040000}"/>
    <cellStyle name="Millares 3 8" xfId="1083" xr:uid="{00000000-0005-0000-0000-00003E040000}"/>
    <cellStyle name="Millares 3 9" xfId="1084" xr:uid="{00000000-0005-0000-0000-00003F040000}"/>
    <cellStyle name="Millares 3_destino" xfId="1115" xr:uid="{00000000-0005-0000-0000-00005E040000}"/>
    <cellStyle name="Millares 30" xfId="1085" xr:uid="{00000000-0005-0000-0000-000040040000}"/>
    <cellStyle name="Millares 30 2" xfId="1086" xr:uid="{00000000-0005-0000-0000-000041040000}"/>
    <cellStyle name="Millares 30 3" xfId="1087" xr:uid="{00000000-0005-0000-0000-000042040000}"/>
    <cellStyle name="Millares 31" xfId="1088" xr:uid="{00000000-0005-0000-0000-000043040000}"/>
    <cellStyle name="Millares 31 2" xfId="1089" xr:uid="{00000000-0005-0000-0000-000044040000}"/>
    <cellStyle name="Millares 31 3" xfId="1090" xr:uid="{00000000-0005-0000-0000-000045040000}"/>
    <cellStyle name="Millares 32" xfId="1091" xr:uid="{00000000-0005-0000-0000-000046040000}"/>
    <cellStyle name="Millares 32 2" xfId="1092" xr:uid="{00000000-0005-0000-0000-000047040000}"/>
    <cellStyle name="Millares 32 3" xfId="1093" xr:uid="{00000000-0005-0000-0000-000048040000}"/>
    <cellStyle name="Millares 33" xfId="1094" xr:uid="{00000000-0005-0000-0000-000049040000}"/>
    <cellStyle name="Millares 33 2" xfId="1095" xr:uid="{00000000-0005-0000-0000-00004A040000}"/>
    <cellStyle name="Millares 33 3" xfId="1096" xr:uid="{00000000-0005-0000-0000-00004B040000}"/>
    <cellStyle name="Millares 34" xfId="1097" xr:uid="{00000000-0005-0000-0000-00004C040000}"/>
    <cellStyle name="Millares 34 2" xfId="1098" xr:uid="{00000000-0005-0000-0000-00004D040000}"/>
    <cellStyle name="Millares 34 3" xfId="1099" xr:uid="{00000000-0005-0000-0000-00004E040000}"/>
    <cellStyle name="Millares 35" xfId="1100" xr:uid="{00000000-0005-0000-0000-00004F040000}"/>
    <cellStyle name="Millares 35 2" xfId="1101" xr:uid="{00000000-0005-0000-0000-000050040000}"/>
    <cellStyle name="Millares 35 3" xfId="1102" xr:uid="{00000000-0005-0000-0000-000051040000}"/>
    <cellStyle name="Millares 36" xfId="1103" xr:uid="{00000000-0005-0000-0000-000052040000}"/>
    <cellStyle name="Millares 36 2" xfId="1104" xr:uid="{00000000-0005-0000-0000-000053040000}"/>
    <cellStyle name="Millares 36 3" xfId="1105" xr:uid="{00000000-0005-0000-0000-000054040000}"/>
    <cellStyle name="Millares 37" xfId="1106" xr:uid="{00000000-0005-0000-0000-000055040000}"/>
    <cellStyle name="Millares 37 2" xfId="1107" xr:uid="{00000000-0005-0000-0000-000056040000}"/>
    <cellStyle name="Millares 37 3" xfId="1108" xr:uid="{00000000-0005-0000-0000-000057040000}"/>
    <cellStyle name="Millares 38" xfId="1109" xr:uid="{00000000-0005-0000-0000-000058040000}"/>
    <cellStyle name="Millares 38 2" xfId="1110" xr:uid="{00000000-0005-0000-0000-000059040000}"/>
    <cellStyle name="Millares 38 3" xfId="1111" xr:uid="{00000000-0005-0000-0000-00005A040000}"/>
    <cellStyle name="Millares 39" xfId="1112" xr:uid="{00000000-0005-0000-0000-00005B040000}"/>
    <cellStyle name="Millares 39 2" xfId="1113" xr:uid="{00000000-0005-0000-0000-00005C040000}"/>
    <cellStyle name="Millares 39 3" xfId="1114" xr:uid="{00000000-0005-0000-0000-00005D040000}"/>
    <cellStyle name="Millares 4" xfId="1116" xr:uid="{00000000-0005-0000-0000-00005F040000}"/>
    <cellStyle name="Millares 4 10" xfId="1117" xr:uid="{00000000-0005-0000-0000-000060040000}"/>
    <cellStyle name="Millares 4 11" xfId="1118" xr:uid="{00000000-0005-0000-0000-000061040000}"/>
    <cellStyle name="Millares 4 12" xfId="1119" xr:uid="{00000000-0005-0000-0000-000062040000}"/>
    <cellStyle name="Millares 4 13" xfId="1120" xr:uid="{00000000-0005-0000-0000-000063040000}"/>
    <cellStyle name="Millares 4 2" xfId="1121" xr:uid="{00000000-0005-0000-0000-000064040000}"/>
    <cellStyle name="Millares 4 2 2" xfId="1122" xr:uid="{00000000-0005-0000-0000-000065040000}"/>
    <cellStyle name="Millares 4 2 2 2" xfId="1123" xr:uid="{00000000-0005-0000-0000-000066040000}"/>
    <cellStyle name="Millares 4 2 2 3" xfId="1124" xr:uid="{00000000-0005-0000-0000-000067040000}"/>
    <cellStyle name="Millares 4 2 2 4" xfId="1125" xr:uid="{00000000-0005-0000-0000-000068040000}"/>
    <cellStyle name="Millares 4 2 3" xfId="1126" xr:uid="{00000000-0005-0000-0000-000069040000}"/>
    <cellStyle name="Millares 4 2 4" xfId="1127" xr:uid="{00000000-0005-0000-0000-00006A040000}"/>
    <cellStyle name="Millares 4 2 5" xfId="1128" xr:uid="{00000000-0005-0000-0000-00006B040000}"/>
    <cellStyle name="Millares 4 2 6" xfId="1129" xr:uid="{00000000-0005-0000-0000-00006C040000}"/>
    <cellStyle name="Millares 4 2_destino" xfId="1130" xr:uid="{00000000-0005-0000-0000-00006D040000}"/>
    <cellStyle name="Millares 4 3" xfId="1131" xr:uid="{00000000-0005-0000-0000-00006E040000}"/>
    <cellStyle name="Millares 4 3 2" xfId="1132" xr:uid="{00000000-0005-0000-0000-00006F040000}"/>
    <cellStyle name="Millares 4 3 2 2" xfId="1133" xr:uid="{00000000-0005-0000-0000-000070040000}"/>
    <cellStyle name="Millares 4 3 2 3" xfId="1134" xr:uid="{00000000-0005-0000-0000-000071040000}"/>
    <cellStyle name="Millares 4 3 2 4" xfId="1135" xr:uid="{00000000-0005-0000-0000-000072040000}"/>
    <cellStyle name="Millares 4 3 3" xfId="1136" xr:uid="{00000000-0005-0000-0000-000073040000}"/>
    <cellStyle name="Millares 4 3 4" xfId="1137" xr:uid="{00000000-0005-0000-0000-000074040000}"/>
    <cellStyle name="Millares 4 3 5" xfId="1138" xr:uid="{00000000-0005-0000-0000-000075040000}"/>
    <cellStyle name="Millares 4 3 6" xfId="1139" xr:uid="{00000000-0005-0000-0000-000076040000}"/>
    <cellStyle name="Millares 4 4" xfId="1140" xr:uid="{00000000-0005-0000-0000-000077040000}"/>
    <cellStyle name="Millares 4 4 2" xfId="1141" xr:uid="{00000000-0005-0000-0000-000078040000}"/>
    <cellStyle name="Millares 4 4 3" xfId="1142" xr:uid="{00000000-0005-0000-0000-000079040000}"/>
    <cellStyle name="Millares 4 4 4" xfId="1143" xr:uid="{00000000-0005-0000-0000-00007A040000}"/>
    <cellStyle name="Millares 4 5" xfId="1144" xr:uid="{00000000-0005-0000-0000-00007B040000}"/>
    <cellStyle name="Millares 4 5 2" xfId="1145" xr:uid="{00000000-0005-0000-0000-00007C040000}"/>
    <cellStyle name="Millares 4 5 3" xfId="1146" xr:uid="{00000000-0005-0000-0000-00007D040000}"/>
    <cellStyle name="Millares 4 5 4" xfId="1147" xr:uid="{00000000-0005-0000-0000-00007E040000}"/>
    <cellStyle name="Millares 4 6" xfId="1148" xr:uid="{00000000-0005-0000-0000-00007F040000}"/>
    <cellStyle name="Millares 4 6 2" xfId="1149" xr:uid="{00000000-0005-0000-0000-000080040000}"/>
    <cellStyle name="Millares 4 7" xfId="1150" xr:uid="{00000000-0005-0000-0000-000081040000}"/>
    <cellStyle name="Millares 4 7 2" xfId="1151" xr:uid="{00000000-0005-0000-0000-000082040000}"/>
    <cellStyle name="Millares 4 8" xfId="1152" xr:uid="{00000000-0005-0000-0000-000083040000}"/>
    <cellStyle name="Millares 4 8 2" xfId="1153" xr:uid="{00000000-0005-0000-0000-000084040000}"/>
    <cellStyle name="Millares 4 9" xfId="1154" xr:uid="{00000000-0005-0000-0000-000085040000}"/>
    <cellStyle name="Millares 4_destino" xfId="1179" xr:uid="{00000000-0005-0000-0000-00009E040000}"/>
    <cellStyle name="Millares 40" xfId="1155" xr:uid="{00000000-0005-0000-0000-000086040000}"/>
    <cellStyle name="Millares 40 2" xfId="1156" xr:uid="{00000000-0005-0000-0000-000087040000}"/>
    <cellStyle name="Millares 40 3" xfId="1157" xr:uid="{00000000-0005-0000-0000-000088040000}"/>
    <cellStyle name="Millares 41" xfId="1158" xr:uid="{00000000-0005-0000-0000-000089040000}"/>
    <cellStyle name="Millares 41 2" xfId="1159" xr:uid="{00000000-0005-0000-0000-00008A040000}"/>
    <cellStyle name="Millares 41 3" xfId="1160" xr:uid="{00000000-0005-0000-0000-00008B040000}"/>
    <cellStyle name="Millares 42" xfId="1161" xr:uid="{00000000-0005-0000-0000-00008C040000}"/>
    <cellStyle name="Millares 42 2" xfId="1162" xr:uid="{00000000-0005-0000-0000-00008D040000}"/>
    <cellStyle name="Millares 42 3" xfId="1163" xr:uid="{00000000-0005-0000-0000-00008E040000}"/>
    <cellStyle name="Millares 43" xfId="1164" xr:uid="{00000000-0005-0000-0000-00008F040000}"/>
    <cellStyle name="Millares 43 2" xfId="1165" xr:uid="{00000000-0005-0000-0000-000090040000}"/>
    <cellStyle name="Millares 43 3" xfId="1166" xr:uid="{00000000-0005-0000-0000-000091040000}"/>
    <cellStyle name="Millares 44" xfId="1167" xr:uid="{00000000-0005-0000-0000-000092040000}"/>
    <cellStyle name="Millares 44 2" xfId="1168" xr:uid="{00000000-0005-0000-0000-000093040000}"/>
    <cellStyle name="Millares 45" xfId="1169" xr:uid="{00000000-0005-0000-0000-000094040000}"/>
    <cellStyle name="Millares 45 2" xfId="1170" xr:uid="{00000000-0005-0000-0000-000095040000}"/>
    <cellStyle name="Millares 46" xfId="1171" xr:uid="{00000000-0005-0000-0000-000096040000}"/>
    <cellStyle name="Millares 46 2" xfId="1172" xr:uid="{00000000-0005-0000-0000-000097040000}"/>
    <cellStyle name="Millares 47" xfId="1173" xr:uid="{00000000-0005-0000-0000-000098040000}"/>
    <cellStyle name="Millares 47 2" xfId="1174" xr:uid="{00000000-0005-0000-0000-000099040000}"/>
    <cellStyle name="Millares 48" xfId="1175" xr:uid="{00000000-0005-0000-0000-00009A040000}"/>
    <cellStyle name="Millares 48 2" xfId="1176" xr:uid="{00000000-0005-0000-0000-00009B040000}"/>
    <cellStyle name="Millares 49" xfId="1177" xr:uid="{00000000-0005-0000-0000-00009C040000}"/>
    <cellStyle name="Millares 49 2" xfId="1178" xr:uid="{00000000-0005-0000-0000-00009D040000}"/>
    <cellStyle name="Millares 5" xfId="1180" xr:uid="{00000000-0005-0000-0000-00009F040000}"/>
    <cellStyle name="Millares 5 10" xfId="1181" xr:uid="{00000000-0005-0000-0000-0000A0040000}"/>
    <cellStyle name="Millares 5 10 2" xfId="1182" xr:uid="{00000000-0005-0000-0000-0000A1040000}"/>
    <cellStyle name="Millares 5 11" xfId="1183" xr:uid="{00000000-0005-0000-0000-0000A2040000}"/>
    <cellStyle name="Millares 5 11 2" xfId="1184" xr:uid="{00000000-0005-0000-0000-0000A3040000}"/>
    <cellStyle name="Millares 5 12" xfId="1185" xr:uid="{00000000-0005-0000-0000-0000A4040000}"/>
    <cellStyle name="Millares 5 13" xfId="1186" xr:uid="{00000000-0005-0000-0000-0000A5040000}"/>
    <cellStyle name="Millares 5 14" xfId="1187" xr:uid="{00000000-0005-0000-0000-0000A6040000}"/>
    <cellStyle name="Millares 5 15" xfId="1188" xr:uid="{00000000-0005-0000-0000-0000A7040000}"/>
    <cellStyle name="Millares 5 16" xfId="1189" xr:uid="{00000000-0005-0000-0000-0000A8040000}"/>
    <cellStyle name="Millares 5 17" xfId="1190" xr:uid="{00000000-0005-0000-0000-0000A9040000}"/>
    <cellStyle name="Millares 5 18" xfId="1191" xr:uid="{00000000-0005-0000-0000-0000AA040000}"/>
    <cellStyle name="Millares 5 19" xfId="1192" xr:uid="{00000000-0005-0000-0000-0000AB040000}"/>
    <cellStyle name="Millares 5 2" xfId="1193" xr:uid="{00000000-0005-0000-0000-0000AC040000}"/>
    <cellStyle name="Millares 5 2 2" xfId="1194" xr:uid="{00000000-0005-0000-0000-0000AD040000}"/>
    <cellStyle name="Millares 5 2 2 2" xfId="1195" xr:uid="{00000000-0005-0000-0000-0000AE040000}"/>
    <cellStyle name="Millares 5 2 3" xfId="1196" xr:uid="{00000000-0005-0000-0000-0000AF040000}"/>
    <cellStyle name="Millares 5 2 4" xfId="1197" xr:uid="{00000000-0005-0000-0000-0000B0040000}"/>
    <cellStyle name="Millares 5 2 5" xfId="1198" xr:uid="{00000000-0005-0000-0000-0000B1040000}"/>
    <cellStyle name="Millares 5 2 6" xfId="1199" xr:uid="{00000000-0005-0000-0000-0000B2040000}"/>
    <cellStyle name="Millares 5 2 7" xfId="1200" xr:uid="{00000000-0005-0000-0000-0000B3040000}"/>
    <cellStyle name="Millares 5 2 8" xfId="1201" xr:uid="{00000000-0005-0000-0000-0000B4040000}"/>
    <cellStyle name="Millares 5 2_destino" xfId="1210" xr:uid="{00000000-0005-0000-0000-0000BD040000}"/>
    <cellStyle name="Millares 5 20" xfId="1202" xr:uid="{00000000-0005-0000-0000-0000B5040000}"/>
    <cellStyle name="Millares 5 21" xfId="1203" xr:uid="{00000000-0005-0000-0000-0000B6040000}"/>
    <cellStyle name="Millares 5 22" xfId="1204" xr:uid="{00000000-0005-0000-0000-0000B7040000}"/>
    <cellStyle name="Millares 5 23" xfId="1205" xr:uid="{00000000-0005-0000-0000-0000B8040000}"/>
    <cellStyle name="Millares 5 24" xfId="1206" xr:uid="{00000000-0005-0000-0000-0000B9040000}"/>
    <cellStyle name="Millares 5 25" xfId="1207" xr:uid="{00000000-0005-0000-0000-0000BA040000}"/>
    <cellStyle name="Millares 5 26" xfId="1208" xr:uid="{00000000-0005-0000-0000-0000BB040000}"/>
    <cellStyle name="Millares 5 27" xfId="1209" xr:uid="{00000000-0005-0000-0000-0000BC040000}"/>
    <cellStyle name="Millares 5 3" xfId="1211" xr:uid="{00000000-0005-0000-0000-0000BE040000}"/>
    <cellStyle name="Millares 5 3 2" xfId="1212" xr:uid="{00000000-0005-0000-0000-0000BF040000}"/>
    <cellStyle name="Millares 5 3 3" xfId="1213" xr:uid="{00000000-0005-0000-0000-0000C0040000}"/>
    <cellStyle name="Millares 5 4" xfId="1214" xr:uid="{00000000-0005-0000-0000-0000C1040000}"/>
    <cellStyle name="Millares 5 4 2" xfId="1215" xr:uid="{00000000-0005-0000-0000-0000C2040000}"/>
    <cellStyle name="Millares 5 5" xfId="1216" xr:uid="{00000000-0005-0000-0000-0000C3040000}"/>
    <cellStyle name="Millares 5 5 2" xfId="1217" xr:uid="{00000000-0005-0000-0000-0000C4040000}"/>
    <cellStyle name="Millares 5 6" xfId="1218" xr:uid="{00000000-0005-0000-0000-0000C5040000}"/>
    <cellStyle name="Millares 5 6 2" xfId="1219" xr:uid="{00000000-0005-0000-0000-0000C6040000}"/>
    <cellStyle name="Millares 5 7" xfId="1220" xr:uid="{00000000-0005-0000-0000-0000C7040000}"/>
    <cellStyle name="Millares 5 7 2" xfId="1221" xr:uid="{00000000-0005-0000-0000-0000C8040000}"/>
    <cellStyle name="Millares 5 8" xfId="1222" xr:uid="{00000000-0005-0000-0000-0000C9040000}"/>
    <cellStyle name="Millares 5 8 2" xfId="1223" xr:uid="{00000000-0005-0000-0000-0000CA040000}"/>
    <cellStyle name="Millares 5 9" xfId="1224" xr:uid="{00000000-0005-0000-0000-0000CB040000}"/>
    <cellStyle name="Millares 5 9 2" xfId="1225" xr:uid="{00000000-0005-0000-0000-0000CC040000}"/>
    <cellStyle name="Millares 5_destino" xfId="1245" xr:uid="{00000000-0005-0000-0000-0000E0040000}"/>
    <cellStyle name="Millares 50" xfId="1226" xr:uid="{00000000-0005-0000-0000-0000CD040000}"/>
    <cellStyle name="Millares 51" xfId="1227" xr:uid="{00000000-0005-0000-0000-0000CE040000}"/>
    <cellStyle name="Millares 51 2" xfId="1228" xr:uid="{00000000-0005-0000-0000-0000CF040000}"/>
    <cellStyle name="Millares 52" xfId="1229" xr:uid="{00000000-0005-0000-0000-0000D0040000}"/>
    <cellStyle name="Millares 52 2" xfId="1230" xr:uid="{00000000-0005-0000-0000-0000D1040000}"/>
    <cellStyle name="Millares 53" xfId="1231" xr:uid="{00000000-0005-0000-0000-0000D2040000}"/>
    <cellStyle name="Millares 53 2" xfId="1232" xr:uid="{00000000-0005-0000-0000-0000D3040000}"/>
    <cellStyle name="Millares 54" xfId="1233" xr:uid="{00000000-0005-0000-0000-0000D4040000}"/>
    <cellStyle name="Millares 54 2" xfId="1234" xr:uid="{00000000-0005-0000-0000-0000D5040000}"/>
    <cellStyle name="Millares 55" xfId="1235" xr:uid="{00000000-0005-0000-0000-0000D6040000}"/>
    <cellStyle name="Millares 55 2" xfId="1236" xr:uid="{00000000-0005-0000-0000-0000D7040000}"/>
    <cellStyle name="Millares 56" xfId="1237" xr:uid="{00000000-0005-0000-0000-0000D8040000}"/>
    <cellStyle name="Millares 56 2" xfId="1238" xr:uid="{00000000-0005-0000-0000-0000D9040000}"/>
    <cellStyle name="Millares 57" xfId="1239" xr:uid="{00000000-0005-0000-0000-0000DA040000}"/>
    <cellStyle name="Millares 57 2" xfId="1240" xr:uid="{00000000-0005-0000-0000-0000DB040000}"/>
    <cellStyle name="Millares 58" xfId="1241" xr:uid="{00000000-0005-0000-0000-0000DC040000}"/>
    <cellStyle name="Millares 58 2" xfId="1242" xr:uid="{00000000-0005-0000-0000-0000DD040000}"/>
    <cellStyle name="Millares 59" xfId="1243" xr:uid="{00000000-0005-0000-0000-0000DE040000}"/>
    <cellStyle name="Millares 59 2" xfId="1244" xr:uid="{00000000-0005-0000-0000-0000DF040000}"/>
    <cellStyle name="Millares 6" xfId="1246" xr:uid="{00000000-0005-0000-0000-0000E1040000}"/>
    <cellStyle name="Millares 6 2" xfId="1247" xr:uid="{00000000-0005-0000-0000-0000E2040000}"/>
    <cellStyle name="Millares 6 2 2" xfId="1248" xr:uid="{00000000-0005-0000-0000-0000E3040000}"/>
    <cellStyle name="Millares 6 2 3" xfId="1249" xr:uid="{00000000-0005-0000-0000-0000E4040000}"/>
    <cellStyle name="Millares 6 2 4" xfId="1250" xr:uid="{00000000-0005-0000-0000-0000E5040000}"/>
    <cellStyle name="Millares 6 2 5" xfId="1251" xr:uid="{00000000-0005-0000-0000-0000E6040000}"/>
    <cellStyle name="Millares 6 3" xfId="1252" xr:uid="{00000000-0005-0000-0000-0000E7040000}"/>
    <cellStyle name="Millares 6 3 2" xfId="1253" xr:uid="{00000000-0005-0000-0000-0000E8040000}"/>
    <cellStyle name="Millares 6 3 3" xfId="1254" xr:uid="{00000000-0005-0000-0000-0000E9040000}"/>
    <cellStyle name="Millares 6 3 4" xfId="1255" xr:uid="{00000000-0005-0000-0000-0000EA040000}"/>
    <cellStyle name="Millares 6 4" xfId="1256" xr:uid="{00000000-0005-0000-0000-0000EB040000}"/>
    <cellStyle name="Millares 6 5" xfId="1257" xr:uid="{00000000-0005-0000-0000-0000EC040000}"/>
    <cellStyle name="Millares 6 6" xfId="1258" xr:uid="{00000000-0005-0000-0000-0000ED040000}"/>
    <cellStyle name="Millares 6 7" xfId="1259" xr:uid="{00000000-0005-0000-0000-0000EE040000}"/>
    <cellStyle name="Millares 6 8" xfId="1260" xr:uid="{00000000-0005-0000-0000-0000EF040000}"/>
    <cellStyle name="Millares 6_destino" xfId="1281" xr:uid="{00000000-0005-0000-0000-000004050000}"/>
    <cellStyle name="Millares 60" xfId="1261" xr:uid="{00000000-0005-0000-0000-0000F0040000}"/>
    <cellStyle name="Millares 60 2" xfId="1262" xr:uid="{00000000-0005-0000-0000-0000F1040000}"/>
    <cellStyle name="Millares 61" xfId="1263" xr:uid="{00000000-0005-0000-0000-0000F2040000}"/>
    <cellStyle name="Millares 61 2" xfId="1264" xr:uid="{00000000-0005-0000-0000-0000F3040000}"/>
    <cellStyle name="Millares 62" xfId="1265" xr:uid="{00000000-0005-0000-0000-0000F4040000}"/>
    <cellStyle name="Millares 62 2" xfId="1266" xr:uid="{00000000-0005-0000-0000-0000F5040000}"/>
    <cellStyle name="Millares 63" xfId="1267" xr:uid="{00000000-0005-0000-0000-0000F6040000}"/>
    <cellStyle name="Millares 63 2" xfId="1268" xr:uid="{00000000-0005-0000-0000-0000F7040000}"/>
    <cellStyle name="Millares 64" xfId="1269" xr:uid="{00000000-0005-0000-0000-0000F8040000}"/>
    <cellStyle name="Millares 64 2" xfId="1270" xr:uid="{00000000-0005-0000-0000-0000F9040000}"/>
    <cellStyle name="Millares 65" xfId="1271" xr:uid="{00000000-0005-0000-0000-0000FA040000}"/>
    <cellStyle name="Millares 65 2" xfId="1272" xr:uid="{00000000-0005-0000-0000-0000FB040000}"/>
    <cellStyle name="Millares 66" xfId="1273" xr:uid="{00000000-0005-0000-0000-0000FC040000}"/>
    <cellStyle name="Millares 66 2" xfId="1274" xr:uid="{00000000-0005-0000-0000-0000FD040000}"/>
    <cellStyle name="Millares 67" xfId="1275" xr:uid="{00000000-0005-0000-0000-0000FE040000}"/>
    <cellStyle name="Millares 67 2" xfId="1276" xr:uid="{00000000-0005-0000-0000-0000FF040000}"/>
    <cellStyle name="Millares 68" xfId="1277" xr:uid="{00000000-0005-0000-0000-000000050000}"/>
    <cellStyle name="Millares 68 2" xfId="1278" xr:uid="{00000000-0005-0000-0000-000001050000}"/>
    <cellStyle name="Millares 69" xfId="1279" xr:uid="{00000000-0005-0000-0000-000002050000}"/>
    <cellStyle name="Millares 69 2" xfId="1280" xr:uid="{00000000-0005-0000-0000-000003050000}"/>
    <cellStyle name="Millares 7" xfId="1282" xr:uid="{00000000-0005-0000-0000-000005050000}"/>
    <cellStyle name="Millares 7 2" xfId="1283" xr:uid="{00000000-0005-0000-0000-000006050000}"/>
    <cellStyle name="Millares 7 2 2" xfId="1284" xr:uid="{00000000-0005-0000-0000-000007050000}"/>
    <cellStyle name="Millares 7 3" xfId="1285" xr:uid="{00000000-0005-0000-0000-000008050000}"/>
    <cellStyle name="Millares 7 3 2" xfId="1286" xr:uid="{00000000-0005-0000-0000-000009050000}"/>
    <cellStyle name="Millares 7 4" xfId="1287" xr:uid="{00000000-0005-0000-0000-00000A050000}"/>
    <cellStyle name="Millares 7 5" xfId="1288" xr:uid="{00000000-0005-0000-0000-00000B050000}"/>
    <cellStyle name="Millares 7 6" xfId="1289" xr:uid="{00000000-0005-0000-0000-00000C050000}"/>
    <cellStyle name="Millares 70" xfId="1290" xr:uid="{00000000-0005-0000-0000-00000D050000}"/>
    <cellStyle name="Millares 70 2" xfId="1291" xr:uid="{00000000-0005-0000-0000-00000E050000}"/>
    <cellStyle name="Millares 71" xfId="1292" xr:uid="{00000000-0005-0000-0000-00000F050000}"/>
    <cellStyle name="Millares 71 2" xfId="1293" xr:uid="{00000000-0005-0000-0000-000010050000}"/>
    <cellStyle name="Millares 72" xfId="1294" xr:uid="{00000000-0005-0000-0000-000011050000}"/>
    <cellStyle name="Millares 72 2" xfId="1295" xr:uid="{00000000-0005-0000-0000-000012050000}"/>
    <cellStyle name="Millares 73" xfId="1296" xr:uid="{00000000-0005-0000-0000-000013050000}"/>
    <cellStyle name="Millares 73 2" xfId="1297" xr:uid="{00000000-0005-0000-0000-000014050000}"/>
    <cellStyle name="Millares 74" xfId="1298" xr:uid="{00000000-0005-0000-0000-000015050000}"/>
    <cellStyle name="Millares 74 2" xfId="1299" xr:uid="{00000000-0005-0000-0000-000016050000}"/>
    <cellStyle name="Millares 75" xfId="1300" xr:uid="{00000000-0005-0000-0000-000017050000}"/>
    <cellStyle name="Millares 75 2" xfId="1301" xr:uid="{00000000-0005-0000-0000-000018050000}"/>
    <cellStyle name="Millares 76" xfId="1302" xr:uid="{00000000-0005-0000-0000-000019050000}"/>
    <cellStyle name="Millares 76 2" xfId="1303" xr:uid="{00000000-0005-0000-0000-00001A050000}"/>
    <cellStyle name="Millares 77" xfId="1304" xr:uid="{00000000-0005-0000-0000-00001B050000}"/>
    <cellStyle name="Millares 77 2" xfId="1305" xr:uid="{00000000-0005-0000-0000-00001C050000}"/>
    <cellStyle name="Millares 78" xfId="1306" xr:uid="{00000000-0005-0000-0000-00001D050000}"/>
    <cellStyle name="Millares 78 2" xfId="1307" xr:uid="{00000000-0005-0000-0000-00001E050000}"/>
    <cellStyle name="Millares 79" xfId="1308" xr:uid="{00000000-0005-0000-0000-00001F050000}"/>
    <cellStyle name="Millares 79 2" xfId="1309" xr:uid="{00000000-0005-0000-0000-000020050000}"/>
    <cellStyle name="Millares 8" xfId="1310" xr:uid="{00000000-0005-0000-0000-000021050000}"/>
    <cellStyle name="Millares 8 2" xfId="1311" xr:uid="{00000000-0005-0000-0000-000022050000}"/>
    <cellStyle name="Millares 8 2 2" xfId="1312" xr:uid="{00000000-0005-0000-0000-000023050000}"/>
    <cellStyle name="Millares 8 3" xfId="1313" xr:uid="{00000000-0005-0000-0000-000024050000}"/>
    <cellStyle name="Millares 8 3 2" xfId="1314" xr:uid="{00000000-0005-0000-0000-000025050000}"/>
    <cellStyle name="Millares 8 4" xfId="1315" xr:uid="{00000000-0005-0000-0000-000026050000}"/>
    <cellStyle name="Millares 8 5" xfId="1316" xr:uid="{00000000-0005-0000-0000-000027050000}"/>
    <cellStyle name="Millares 80" xfId="1317" xr:uid="{00000000-0005-0000-0000-000028050000}"/>
    <cellStyle name="Millares 80 2" xfId="1318" xr:uid="{00000000-0005-0000-0000-000029050000}"/>
    <cellStyle name="Millares 81" xfId="1319" xr:uid="{00000000-0005-0000-0000-00002A050000}"/>
    <cellStyle name="Millares 81 2" xfId="1320" xr:uid="{00000000-0005-0000-0000-00002B050000}"/>
    <cellStyle name="Millares 82" xfId="1321" xr:uid="{00000000-0005-0000-0000-00002C050000}"/>
    <cellStyle name="Millares 82 2" xfId="1322" xr:uid="{00000000-0005-0000-0000-00002D050000}"/>
    <cellStyle name="Millares 83" xfId="1323" xr:uid="{00000000-0005-0000-0000-00002E050000}"/>
    <cellStyle name="Millares 83 2" xfId="1324" xr:uid="{00000000-0005-0000-0000-00002F050000}"/>
    <cellStyle name="Millares 84" xfId="1325" xr:uid="{00000000-0005-0000-0000-000030050000}"/>
    <cellStyle name="Millares 84 2" xfId="1326" xr:uid="{00000000-0005-0000-0000-000031050000}"/>
    <cellStyle name="Millares 85" xfId="1327" xr:uid="{00000000-0005-0000-0000-000032050000}"/>
    <cellStyle name="Millares 85 2" xfId="1328" xr:uid="{00000000-0005-0000-0000-000033050000}"/>
    <cellStyle name="Millares 86" xfId="1329" xr:uid="{00000000-0005-0000-0000-000034050000}"/>
    <cellStyle name="Millares 86 2" xfId="1330" xr:uid="{00000000-0005-0000-0000-000035050000}"/>
    <cellStyle name="Millares 87" xfId="1331" xr:uid="{00000000-0005-0000-0000-000036050000}"/>
    <cellStyle name="Millares 87 2" xfId="1332" xr:uid="{00000000-0005-0000-0000-000037050000}"/>
    <cellStyle name="Millares 88" xfId="1333" xr:uid="{00000000-0005-0000-0000-000038050000}"/>
    <cellStyle name="Millares 88 2" xfId="1334" xr:uid="{00000000-0005-0000-0000-000039050000}"/>
    <cellStyle name="Millares 89" xfId="1335" xr:uid="{00000000-0005-0000-0000-00003A050000}"/>
    <cellStyle name="Millares 89 2" xfId="1336" xr:uid="{00000000-0005-0000-0000-00003B050000}"/>
    <cellStyle name="Millares 9" xfId="1337" xr:uid="{00000000-0005-0000-0000-00003C050000}"/>
    <cellStyle name="Millares 9 2" xfId="1338" xr:uid="{00000000-0005-0000-0000-00003D050000}"/>
    <cellStyle name="Millares 9 2 2" xfId="1339" xr:uid="{00000000-0005-0000-0000-00003E050000}"/>
    <cellStyle name="Millares 9 2 3" xfId="1340" xr:uid="{00000000-0005-0000-0000-00003F050000}"/>
    <cellStyle name="Millares 9 3" xfId="1341" xr:uid="{00000000-0005-0000-0000-000040050000}"/>
    <cellStyle name="Millares 9 3 2" xfId="1342" xr:uid="{00000000-0005-0000-0000-000041050000}"/>
    <cellStyle name="Millares 9 4" xfId="1343" xr:uid="{00000000-0005-0000-0000-000042050000}"/>
    <cellStyle name="Millares 9 5" xfId="1344" xr:uid="{00000000-0005-0000-0000-000043050000}"/>
    <cellStyle name="Millares 9 6" xfId="1345" xr:uid="{00000000-0005-0000-0000-000044050000}"/>
    <cellStyle name="Millares 9_destino" xfId="1365" xr:uid="{00000000-0005-0000-0000-000058050000}"/>
    <cellStyle name="Millares 90" xfId="1346" xr:uid="{00000000-0005-0000-0000-000045050000}"/>
    <cellStyle name="Millares 90 2" xfId="1347" xr:uid="{00000000-0005-0000-0000-000046050000}"/>
    <cellStyle name="Millares 91" xfId="1348" xr:uid="{00000000-0005-0000-0000-000047050000}"/>
    <cellStyle name="Millares 91 2" xfId="1349" xr:uid="{00000000-0005-0000-0000-000048050000}"/>
    <cellStyle name="Millares 92" xfId="1350" xr:uid="{00000000-0005-0000-0000-000049050000}"/>
    <cellStyle name="Millares 92 2" xfId="1351" xr:uid="{00000000-0005-0000-0000-00004A050000}"/>
    <cellStyle name="Millares 93" xfId="1352" xr:uid="{00000000-0005-0000-0000-00004B050000}"/>
    <cellStyle name="Millares 93 2" xfId="1353" xr:uid="{00000000-0005-0000-0000-00004C050000}"/>
    <cellStyle name="Millares 94" xfId="1354" xr:uid="{00000000-0005-0000-0000-00004D050000}"/>
    <cellStyle name="Millares 94 2" xfId="1355" xr:uid="{00000000-0005-0000-0000-00004E050000}"/>
    <cellStyle name="Millares 95" xfId="1356" xr:uid="{00000000-0005-0000-0000-00004F050000}"/>
    <cellStyle name="Millares 95 2" xfId="1357" xr:uid="{00000000-0005-0000-0000-000050050000}"/>
    <cellStyle name="Millares 96" xfId="1358" xr:uid="{00000000-0005-0000-0000-000051050000}"/>
    <cellStyle name="Millares 96 2" xfId="1359" xr:uid="{00000000-0005-0000-0000-000052050000}"/>
    <cellStyle name="Millares 97" xfId="1360" xr:uid="{00000000-0005-0000-0000-000053050000}"/>
    <cellStyle name="Millares 97 2" xfId="1361" xr:uid="{00000000-0005-0000-0000-000054050000}"/>
    <cellStyle name="Millares 98" xfId="1362" xr:uid="{00000000-0005-0000-0000-000055050000}"/>
    <cellStyle name="Millares 98 2" xfId="1363" xr:uid="{00000000-0005-0000-0000-000056050000}"/>
    <cellStyle name="Millares 99" xfId="1364" xr:uid="{00000000-0005-0000-0000-000057050000}"/>
    <cellStyle name="Milliers [0]_AGF International 3Q2003" xfId="1415" xr:uid="{00000000-0005-0000-0000-00008A050000}"/>
    <cellStyle name="Milliers_AGF International 3Q2003" xfId="1416" xr:uid="{00000000-0005-0000-0000-00008B050000}"/>
    <cellStyle name="Monétaire [0]_AGF International 3Q2003" xfId="1418" xr:uid="{00000000-0005-0000-0000-00008D050000}"/>
    <cellStyle name="Monétaire_AGF International 3Q2003" xfId="1419" xr:uid="{00000000-0005-0000-0000-00008E050000}"/>
    <cellStyle name="Monetario" xfId="1417" xr:uid="{00000000-0005-0000-0000-00008C050000}"/>
    <cellStyle name="Neutral 2" xfId="1420" xr:uid="{00000000-0005-0000-0000-00008F050000}"/>
    <cellStyle name="Neutral 2 2" xfId="1421" xr:uid="{00000000-0005-0000-0000-000090050000}"/>
    <cellStyle name="Neutral 2 3" xfId="1422" xr:uid="{00000000-0005-0000-0000-000091050000}"/>
    <cellStyle name="Neutral 2 4" xfId="1423" xr:uid="{00000000-0005-0000-0000-000092050000}"/>
    <cellStyle name="Neutral 2 5" xfId="1424" xr:uid="{00000000-0005-0000-0000-000093050000}"/>
    <cellStyle name="Neutral 3" xfId="1425" xr:uid="{00000000-0005-0000-0000-000094050000}"/>
    <cellStyle name="Neutral 4" xfId="1426" xr:uid="{00000000-0005-0000-0000-000095050000}"/>
    <cellStyle name="Neutral 5" xfId="1427" xr:uid="{00000000-0005-0000-0000-000096050000}"/>
    <cellStyle name="no shading" xfId="1428" xr:uid="{00000000-0005-0000-0000-000097050000}"/>
    <cellStyle name="No-definido" xfId="1429" xr:uid="{00000000-0005-0000-0000-000098050000}"/>
    <cellStyle name="Normal" xfId="0" builtinId="0"/>
    <cellStyle name="Normal 10" xfId="1430" xr:uid="{00000000-0005-0000-0000-000099050000}"/>
    <cellStyle name="Normal 10 2" xfId="1431" xr:uid="{00000000-0005-0000-0000-00009A050000}"/>
    <cellStyle name="Normal 10 2 2" xfId="1432" xr:uid="{00000000-0005-0000-0000-00009B050000}"/>
    <cellStyle name="Normal 10 2 3" xfId="1433" xr:uid="{00000000-0005-0000-0000-00009C050000}"/>
    <cellStyle name="Normal 10 3" xfId="1434" xr:uid="{00000000-0005-0000-0000-00009D050000}"/>
    <cellStyle name="Normal 11" xfId="1435" xr:uid="{00000000-0005-0000-0000-00009E050000}"/>
    <cellStyle name="Normal 11 10" xfId="1436" xr:uid="{00000000-0005-0000-0000-00009F050000}"/>
    <cellStyle name="Normal 11 11" xfId="1437" xr:uid="{00000000-0005-0000-0000-0000A0050000}"/>
    <cellStyle name="Normal 11 12" xfId="1438" xr:uid="{00000000-0005-0000-0000-0000A1050000}"/>
    <cellStyle name="Normal 11 13" xfId="1439" xr:uid="{00000000-0005-0000-0000-0000A2050000}"/>
    <cellStyle name="Normal 11 14" xfId="1440" xr:uid="{00000000-0005-0000-0000-0000A3050000}"/>
    <cellStyle name="Normal 11 2" xfId="1441" xr:uid="{00000000-0005-0000-0000-0000A4050000}"/>
    <cellStyle name="Normal 11 2 2" xfId="1442" xr:uid="{00000000-0005-0000-0000-0000A5050000}"/>
    <cellStyle name="Normal 11 2 3" xfId="1443" xr:uid="{00000000-0005-0000-0000-0000A6050000}"/>
    <cellStyle name="Normal 11 2 4" xfId="1444" xr:uid="{00000000-0005-0000-0000-0000A7050000}"/>
    <cellStyle name="Normal 11 2 5" xfId="1445" xr:uid="{00000000-0005-0000-0000-0000A8050000}"/>
    <cellStyle name="Normal 11 2 6" xfId="1446" xr:uid="{00000000-0005-0000-0000-0000A9050000}"/>
    <cellStyle name="Normal 11 2 7" xfId="1447" xr:uid="{00000000-0005-0000-0000-0000AA050000}"/>
    <cellStyle name="Normal 11 2 8" xfId="1448" xr:uid="{00000000-0005-0000-0000-0000AB050000}"/>
    <cellStyle name="Normal 11 3" xfId="1449" xr:uid="{00000000-0005-0000-0000-0000AC050000}"/>
    <cellStyle name="Normal 11 3 2" xfId="1450" xr:uid="{00000000-0005-0000-0000-0000AD050000}"/>
    <cellStyle name="Normal 11 3 3" xfId="1451" xr:uid="{00000000-0005-0000-0000-0000AE050000}"/>
    <cellStyle name="Normal 11 3 4" xfId="1452" xr:uid="{00000000-0005-0000-0000-0000AF050000}"/>
    <cellStyle name="Normal 11 3 5" xfId="1453" xr:uid="{00000000-0005-0000-0000-0000B0050000}"/>
    <cellStyle name="Normal 11 3 6" xfId="1454" xr:uid="{00000000-0005-0000-0000-0000B1050000}"/>
    <cellStyle name="Normal 11 3 7" xfId="1455" xr:uid="{00000000-0005-0000-0000-0000B2050000}"/>
    <cellStyle name="Normal 11 4" xfId="1456" xr:uid="{00000000-0005-0000-0000-0000B3050000}"/>
    <cellStyle name="Normal 11 4 2" xfId="1457" xr:uid="{00000000-0005-0000-0000-0000B4050000}"/>
    <cellStyle name="Normal 11 4 3" xfId="1458" xr:uid="{00000000-0005-0000-0000-0000B5050000}"/>
    <cellStyle name="Normal 11 4 4" xfId="1459" xr:uid="{00000000-0005-0000-0000-0000B6050000}"/>
    <cellStyle name="Normal 11 4 5" xfId="1460" xr:uid="{00000000-0005-0000-0000-0000B7050000}"/>
    <cellStyle name="Normal 11 4 6" xfId="1461" xr:uid="{00000000-0005-0000-0000-0000B8050000}"/>
    <cellStyle name="Normal 11 4 7" xfId="1462" xr:uid="{00000000-0005-0000-0000-0000B9050000}"/>
    <cellStyle name="Normal 11 5" xfId="1463" xr:uid="{00000000-0005-0000-0000-0000BA050000}"/>
    <cellStyle name="Normal 11 5 2" xfId="1464" xr:uid="{00000000-0005-0000-0000-0000BB050000}"/>
    <cellStyle name="Normal 11 5 3" xfId="1465" xr:uid="{00000000-0005-0000-0000-0000BC050000}"/>
    <cellStyle name="Normal 11 5 4" xfId="1466" xr:uid="{00000000-0005-0000-0000-0000BD050000}"/>
    <cellStyle name="Normal 11 5 5" xfId="1467" xr:uid="{00000000-0005-0000-0000-0000BE050000}"/>
    <cellStyle name="Normal 11 5 6" xfId="1468" xr:uid="{00000000-0005-0000-0000-0000BF050000}"/>
    <cellStyle name="Normal 11 5 7" xfId="1469" xr:uid="{00000000-0005-0000-0000-0000C0050000}"/>
    <cellStyle name="Normal 11 6" xfId="1470" xr:uid="{00000000-0005-0000-0000-0000C1050000}"/>
    <cellStyle name="Normal 11 7" xfId="1471" xr:uid="{00000000-0005-0000-0000-0000C2050000}"/>
    <cellStyle name="Normal 11 8" xfId="1472" xr:uid="{00000000-0005-0000-0000-0000C3050000}"/>
    <cellStyle name="Normal 11 9" xfId="1473" xr:uid="{00000000-0005-0000-0000-0000C4050000}"/>
    <cellStyle name="Normal 12" xfId="1474" xr:uid="{00000000-0005-0000-0000-0000C5050000}"/>
    <cellStyle name="Normal 12 10" xfId="1475" xr:uid="{00000000-0005-0000-0000-0000C6050000}"/>
    <cellStyle name="Normal 12 11" xfId="1476" xr:uid="{00000000-0005-0000-0000-0000C7050000}"/>
    <cellStyle name="Normal 12 12" xfId="1477" xr:uid="{00000000-0005-0000-0000-0000C8050000}"/>
    <cellStyle name="Normal 12 2" xfId="1478" xr:uid="{00000000-0005-0000-0000-0000C9050000}"/>
    <cellStyle name="Normal 12 2 2" xfId="1479" xr:uid="{00000000-0005-0000-0000-0000CA050000}"/>
    <cellStyle name="Normal 12 2 2 2" xfId="1480" xr:uid="{00000000-0005-0000-0000-0000CB050000}"/>
    <cellStyle name="Normal 12 2 3" xfId="1481" xr:uid="{00000000-0005-0000-0000-0000CC050000}"/>
    <cellStyle name="Normal 12 2 3 2" xfId="1482" xr:uid="{00000000-0005-0000-0000-0000CD050000}"/>
    <cellStyle name="Normal 12 2 4" xfId="1483" xr:uid="{00000000-0005-0000-0000-0000CE050000}"/>
    <cellStyle name="Normal 12 3" xfId="1484" xr:uid="{00000000-0005-0000-0000-0000CF050000}"/>
    <cellStyle name="Normal 12 4" xfId="1485" xr:uid="{00000000-0005-0000-0000-0000D0050000}"/>
    <cellStyle name="Normal 12 4 2" xfId="1486" xr:uid="{00000000-0005-0000-0000-0000D1050000}"/>
    <cellStyle name="Normal 12 5" xfId="1487" xr:uid="{00000000-0005-0000-0000-0000D2050000}"/>
    <cellStyle name="Normal 12 5 2" xfId="1488" xr:uid="{00000000-0005-0000-0000-0000D3050000}"/>
    <cellStyle name="Normal 12 6" xfId="1489" xr:uid="{00000000-0005-0000-0000-0000D4050000}"/>
    <cellStyle name="Normal 12 7" xfId="1490" xr:uid="{00000000-0005-0000-0000-0000D5050000}"/>
    <cellStyle name="Normal 12 8" xfId="1491" xr:uid="{00000000-0005-0000-0000-0000D6050000}"/>
    <cellStyle name="Normal 12 8 2" xfId="1492" xr:uid="{00000000-0005-0000-0000-0000D7050000}"/>
    <cellStyle name="Normal 12 9" xfId="1493" xr:uid="{00000000-0005-0000-0000-0000D8050000}"/>
    <cellStyle name="Normal 13" xfId="1494" xr:uid="{00000000-0005-0000-0000-0000D9050000}"/>
    <cellStyle name="Normal 13 10" xfId="1495" xr:uid="{00000000-0005-0000-0000-0000DA050000}"/>
    <cellStyle name="Normal 13 11" xfId="1496" xr:uid="{00000000-0005-0000-0000-0000DB050000}"/>
    <cellStyle name="Normal 13 12" xfId="1497" xr:uid="{00000000-0005-0000-0000-0000DC050000}"/>
    <cellStyle name="Normal 13 13" xfId="1498" xr:uid="{00000000-0005-0000-0000-0000DD050000}"/>
    <cellStyle name="Normal 13 14" xfId="1499" xr:uid="{00000000-0005-0000-0000-0000DE050000}"/>
    <cellStyle name="Normal 13 2" xfId="1500" xr:uid="{00000000-0005-0000-0000-0000DF050000}"/>
    <cellStyle name="Normal 13 2 2" xfId="1501" xr:uid="{00000000-0005-0000-0000-0000E0050000}"/>
    <cellStyle name="Normal 13 2 3" xfId="1502" xr:uid="{00000000-0005-0000-0000-0000E1050000}"/>
    <cellStyle name="Normal 13 2 4" xfId="1503" xr:uid="{00000000-0005-0000-0000-0000E2050000}"/>
    <cellStyle name="Normal 13 2 5" xfId="1504" xr:uid="{00000000-0005-0000-0000-0000E3050000}"/>
    <cellStyle name="Normal 13 2 6" xfId="1505" xr:uid="{00000000-0005-0000-0000-0000E4050000}"/>
    <cellStyle name="Normal 13 2 7" xfId="1506" xr:uid="{00000000-0005-0000-0000-0000E5050000}"/>
    <cellStyle name="Normal 13 2 8" xfId="1507" xr:uid="{00000000-0005-0000-0000-0000E6050000}"/>
    <cellStyle name="Normal 13 3" xfId="1508" xr:uid="{00000000-0005-0000-0000-0000E7050000}"/>
    <cellStyle name="Normal 13 4" xfId="1509" xr:uid="{00000000-0005-0000-0000-0000E8050000}"/>
    <cellStyle name="Normal 13 5" xfId="1510" xr:uid="{00000000-0005-0000-0000-0000E9050000}"/>
    <cellStyle name="Normal 13 6" xfId="1511" xr:uid="{00000000-0005-0000-0000-0000EA050000}"/>
    <cellStyle name="Normal 13 7" xfId="1512" xr:uid="{00000000-0005-0000-0000-0000EB050000}"/>
    <cellStyle name="Normal 13 8" xfId="1513" xr:uid="{00000000-0005-0000-0000-0000EC050000}"/>
    <cellStyle name="Normal 13 9" xfId="1514" xr:uid="{00000000-0005-0000-0000-0000ED050000}"/>
    <cellStyle name="Normal 14" xfId="1515" xr:uid="{00000000-0005-0000-0000-0000EE050000}"/>
    <cellStyle name="Normal 14 10" xfId="1516" xr:uid="{00000000-0005-0000-0000-0000EF050000}"/>
    <cellStyle name="Normal 14 11" xfId="1517" xr:uid="{00000000-0005-0000-0000-0000F0050000}"/>
    <cellStyle name="Normal 14 12" xfId="1518" xr:uid="{00000000-0005-0000-0000-0000F1050000}"/>
    <cellStyle name="Normal 14 13" xfId="1519" xr:uid="{00000000-0005-0000-0000-0000F2050000}"/>
    <cellStyle name="Normal 14 14" xfId="1520" xr:uid="{00000000-0005-0000-0000-0000F3050000}"/>
    <cellStyle name="Normal 14 15" xfId="1521" xr:uid="{00000000-0005-0000-0000-0000F4050000}"/>
    <cellStyle name="Normal 14 2" xfId="1522" xr:uid="{00000000-0005-0000-0000-0000F5050000}"/>
    <cellStyle name="Normal 14 2 2" xfId="1523" xr:uid="{00000000-0005-0000-0000-0000F6050000}"/>
    <cellStyle name="Normal 14 3" xfId="1524" xr:uid="{00000000-0005-0000-0000-0000F7050000}"/>
    <cellStyle name="Normal 14 4" xfId="1525" xr:uid="{00000000-0005-0000-0000-0000F8050000}"/>
    <cellStyle name="Normal 14 5" xfId="1526" xr:uid="{00000000-0005-0000-0000-0000F9050000}"/>
    <cellStyle name="Normal 14 6" xfId="1527" xr:uid="{00000000-0005-0000-0000-0000FA050000}"/>
    <cellStyle name="Normal 14 7" xfId="1528" xr:uid="{00000000-0005-0000-0000-0000FB050000}"/>
    <cellStyle name="Normal 14 8" xfId="1529" xr:uid="{00000000-0005-0000-0000-0000FC050000}"/>
    <cellStyle name="Normal 14 9" xfId="1530" xr:uid="{00000000-0005-0000-0000-0000FD050000}"/>
    <cellStyle name="Normal 15" xfId="1531" xr:uid="{00000000-0005-0000-0000-0000FE050000}"/>
    <cellStyle name="Normal 15 2" xfId="1532" xr:uid="{00000000-0005-0000-0000-0000FF050000}"/>
    <cellStyle name="Normal 15 2 2" xfId="1533" xr:uid="{00000000-0005-0000-0000-000000060000}"/>
    <cellStyle name="Normal 15 3" xfId="1534" xr:uid="{00000000-0005-0000-0000-000001060000}"/>
    <cellStyle name="Normal 15 3 2" xfId="1535" xr:uid="{00000000-0005-0000-0000-000002060000}"/>
    <cellStyle name="Normal 15 4" xfId="1536" xr:uid="{00000000-0005-0000-0000-000003060000}"/>
    <cellStyle name="Normal 16" xfId="1537" xr:uid="{00000000-0005-0000-0000-000004060000}"/>
    <cellStyle name="Normal 16 2" xfId="1538" xr:uid="{00000000-0005-0000-0000-000005060000}"/>
    <cellStyle name="Normal 16 2 2" xfId="1539" xr:uid="{00000000-0005-0000-0000-000006060000}"/>
    <cellStyle name="Normal 16 3" xfId="1540" xr:uid="{00000000-0005-0000-0000-000007060000}"/>
    <cellStyle name="Normal 16 4" xfId="1541" xr:uid="{00000000-0005-0000-0000-000008060000}"/>
    <cellStyle name="Normal 17" xfId="1542" xr:uid="{00000000-0005-0000-0000-000009060000}"/>
    <cellStyle name="Normal 17 2" xfId="1543" xr:uid="{00000000-0005-0000-0000-00000A060000}"/>
    <cellStyle name="Normal 17 3" xfId="1544" xr:uid="{00000000-0005-0000-0000-00000B060000}"/>
    <cellStyle name="Normal 17 4" xfId="1545" xr:uid="{00000000-0005-0000-0000-00000C060000}"/>
    <cellStyle name="Normal 17 5" xfId="1546" xr:uid="{00000000-0005-0000-0000-00000D060000}"/>
    <cellStyle name="Normal 18" xfId="1547" xr:uid="{00000000-0005-0000-0000-00000E060000}"/>
    <cellStyle name="Normal 19" xfId="1548" xr:uid="{00000000-0005-0000-0000-00000F060000}"/>
    <cellStyle name="Normal 19 2" xfId="1549" xr:uid="{00000000-0005-0000-0000-000010060000}"/>
    <cellStyle name="Normal 19 3" xfId="1550" xr:uid="{00000000-0005-0000-0000-000011060000}"/>
    <cellStyle name="Normal 2" xfId="1551" xr:uid="{00000000-0005-0000-0000-000012060000}"/>
    <cellStyle name="Normal 2 10" xfId="1552" xr:uid="{00000000-0005-0000-0000-000013060000}"/>
    <cellStyle name="Normal 2 10 2" xfId="1553" xr:uid="{00000000-0005-0000-0000-000014060000}"/>
    <cellStyle name="Normal 2 11" xfId="1554" xr:uid="{00000000-0005-0000-0000-000015060000}"/>
    <cellStyle name="Normal 2 12" xfId="1555" xr:uid="{00000000-0005-0000-0000-000016060000}"/>
    <cellStyle name="Normal 2 12 2" xfId="1556" xr:uid="{00000000-0005-0000-0000-000017060000}"/>
    <cellStyle name="Normal 2 12 3" xfId="1557" xr:uid="{00000000-0005-0000-0000-000018060000}"/>
    <cellStyle name="Normal 2 13" xfId="1558" xr:uid="{00000000-0005-0000-0000-000019060000}"/>
    <cellStyle name="Normal 2 14" xfId="1559" xr:uid="{00000000-0005-0000-0000-00001A060000}"/>
    <cellStyle name="Normal 2 15" xfId="1560" xr:uid="{00000000-0005-0000-0000-00001B060000}"/>
    <cellStyle name="Normal 2 16" xfId="1561" xr:uid="{00000000-0005-0000-0000-00001C060000}"/>
    <cellStyle name="Normal 2 17" xfId="1562" xr:uid="{00000000-0005-0000-0000-00001D060000}"/>
    <cellStyle name="Normal 2 18" xfId="1563" xr:uid="{00000000-0005-0000-0000-00001E060000}"/>
    <cellStyle name="Normal 2 19" xfId="1564" xr:uid="{00000000-0005-0000-0000-00001F060000}"/>
    <cellStyle name="Normal 2 2" xfId="1565" xr:uid="{00000000-0005-0000-0000-000020060000}"/>
    <cellStyle name="Normal 2 2 10" xfId="1566" xr:uid="{00000000-0005-0000-0000-000021060000}"/>
    <cellStyle name="Normal 2 2 2" xfId="1567" xr:uid="{00000000-0005-0000-0000-000022060000}"/>
    <cellStyle name="Normal 2 2 2 2" xfId="1568" xr:uid="{00000000-0005-0000-0000-000023060000}"/>
    <cellStyle name="Normal 2 2 2 2 2" xfId="1569" xr:uid="{00000000-0005-0000-0000-000024060000}"/>
    <cellStyle name="Normal 2 2 2 3" xfId="1570" xr:uid="{00000000-0005-0000-0000-000025060000}"/>
    <cellStyle name="Normal 2 2 2 4" xfId="1571" xr:uid="{00000000-0005-0000-0000-000026060000}"/>
    <cellStyle name="Normal 2 2 3" xfId="1572" xr:uid="{00000000-0005-0000-0000-000027060000}"/>
    <cellStyle name="Normal 2 2 4" xfId="1573" xr:uid="{00000000-0005-0000-0000-000028060000}"/>
    <cellStyle name="Normal 2 2 5" xfId="1574" xr:uid="{00000000-0005-0000-0000-000029060000}"/>
    <cellStyle name="Normal 2 2 6" xfId="1575" xr:uid="{00000000-0005-0000-0000-00002A060000}"/>
    <cellStyle name="Normal 2 2 7" xfId="1576" xr:uid="{00000000-0005-0000-0000-00002B060000}"/>
    <cellStyle name="Normal 2 2 8" xfId="1577" xr:uid="{00000000-0005-0000-0000-00002C060000}"/>
    <cellStyle name="Normal 2 2 8 2" xfId="1578" xr:uid="{00000000-0005-0000-0000-00002D060000}"/>
    <cellStyle name="Normal 2 2 9" xfId="1579" xr:uid="{00000000-0005-0000-0000-00002E060000}"/>
    <cellStyle name="Normal 2 2 9 2" xfId="1580" xr:uid="{00000000-0005-0000-0000-00002F060000}"/>
    <cellStyle name="Normal 2 2_destino" xfId="1586" xr:uid="{00000000-0005-0000-0000-000035060000}"/>
    <cellStyle name="Normal 2 20" xfId="1581" xr:uid="{00000000-0005-0000-0000-000030060000}"/>
    <cellStyle name="Normal 2 21" xfId="1582" xr:uid="{00000000-0005-0000-0000-000031060000}"/>
    <cellStyle name="Normal 2 21 2" xfId="1583" xr:uid="{00000000-0005-0000-0000-000032060000}"/>
    <cellStyle name="Normal 2 22" xfId="1584" xr:uid="{00000000-0005-0000-0000-000033060000}"/>
    <cellStyle name="Normal 2 23" xfId="1585" xr:uid="{00000000-0005-0000-0000-000034060000}"/>
    <cellStyle name="Normal 2 3" xfId="1587" xr:uid="{00000000-0005-0000-0000-000036060000}"/>
    <cellStyle name="Normal 2 3 2" xfId="1588" xr:uid="{00000000-0005-0000-0000-000037060000}"/>
    <cellStyle name="Normal 2 3 2 2" xfId="1589" xr:uid="{00000000-0005-0000-0000-000038060000}"/>
    <cellStyle name="Normal 2 3 2 2 2" xfId="1590" xr:uid="{00000000-0005-0000-0000-000039060000}"/>
    <cellStyle name="Normal 2 3 3" xfId="1591" xr:uid="{00000000-0005-0000-0000-00003A060000}"/>
    <cellStyle name="Normal 2 3 3 2" xfId="1592" xr:uid="{00000000-0005-0000-0000-00003B060000}"/>
    <cellStyle name="Normal 2 3 4" xfId="1593" xr:uid="{00000000-0005-0000-0000-00003C060000}"/>
    <cellStyle name="Normal 2 3 5" xfId="1594" xr:uid="{00000000-0005-0000-0000-00003D060000}"/>
    <cellStyle name="Normal 2 3 6" xfId="1595" xr:uid="{00000000-0005-0000-0000-00003E060000}"/>
    <cellStyle name="Normal 2 3 7" xfId="1596" xr:uid="{00000000-0005-0000-0000-00003F060000}"/>
    <cellStyle name="Normal 2 4" xfId="1597" xr:uid="{00000000-0005-0000-0000-000040060000}"/>
    <cellStyle name="Normal 2 4 2" xfId="1598" xr:uid="{00000000-0005-0000-0000-000041060000}"/>
    <cellStyle name="Normal 2 4 2 2" xfId="1599" xr:uid="{00000000-0005-0000-0000-000042060000}"/>
    <cellStyle name="Normal 2 4 3" xfId="1600" xr:uid="{00000000-0005-0000-0000-000043060000}"/>
    <cellStyle name="Normal 2 5" xfId="1601" xr:uid="{00000000-0005-0000-0000-000044060000}"/>
    <cellStyle name="Normal 2 5 2" xfId="1602" xr:uid="{00000000-0005-0000-0000-000045060000}"/>
    <cellStyle name="Normal 2 5 2 2" xfId="1603" xr:uid="{00000000-0005-0000-0000-000046060000}"/>
    <cellStyle name="Normal 2 5 3" xfId="1604" xr:uid="{00000000-0005-0000-0000-000047060000}"/>
    <cellStyle name="Normal 2 6" xfId="1605" xr:uid="{00000000-0005-0000-0000-000048060000}"/>
    <cellStyle name="Normal 2 6 2" xfId="1606" xr:uid="{00000000-0005-0000-0000-000049060000}"/>
    <cellStyle name="Normal 2 6 2 2" xfId="1607" xr:uid="{00000000-0005-0000-0000-00004A060000}"/>
    <cellStyle name="Normal 2 6 2 3" xfId="1608" xr:uid="{00000000-0005-0000-0000-00004B060000}"/>
    <cellStyle name="Normal 2 6 3" xfId="1609" xr:uid="{00000000-0005-0000-0000-00004C060000}"/>
    <cellStyle name="Normal 2 7" xfId="1610" xr:uid="{00000000-0005-0000-0000-00004D060000}"/>
    <cellStyle name="Normal 2 7 2" xfId="1611" xr:uid="{00000000-0005-0000-0000-00004E060000}"/>
    <cellStyle name="Normal 2 7 2 2" xfId="1612" xr:uid="{00000000-0005-0000-0000-00004F060000}"/>
    <cellStyle name="Normal 2 7 3" xfId="1613" xr:uid="{00000000-0005-0000-0000-000050060000}"/>
    <cellStyle name="Normal 2 8" xfId="1614" xr:uid="{00000000-0005-0000-0000-000051060000}"/>
    <cellStyle name="Normal 2 8 2" xfId="1615" xr:uid="{00000000-0005-0000-0000-000052060000}"/>
    <cellStyle name="Normal 2 8 2 2" xfId="1616" xr:uid="{00000000-0005-0000-0000-000053060000}"/>
    <cellStyle name="Normal 2 8 3" xfId="1617" xr:uid="{00000000-0005-0000-0000-000054060000}"/>
    <cellStyle name="Normal 2 9" xfId="1618" xr:uid="{00000000-0005-0000-0000-000055060000}"/>
    <cellStyle name="Normal 2 9 2" xfId="1619" xr:uid="{00000000-0005-0000-0000-000056060000}"/>
    <cellStyle name="Normal 2 9 3" xfId="1620" xr:uid="{00000000-0005-0000-0000-000057060000}"/>
    <cellStyle name="Normal 2_destino" xfId="1649" xr:uid="{00000000-0005-0000-0000-000074060000}"/>
    <cellStyle name="Normal 20" xfId="1621" xr:uid="{00000000-0005-0000-0000-000058060000}"/>
    <cellStyle name="Normal 20 2" xfId="1622" xr:uid="{00000000-0005-0000-0000-000059060000}"/>
    <cellStyle name="Normal 21" xfId="1623" xr:uid="{00000000-0005-0000-0000-00005A060000}"/>
    <cellStyle name="Normal 21 2" xfId="1624" xr:uid="{00000000-0005-0000-0000-00005B060000}"/>
    <cellStyle name="Normal 21 2 2" xfId="1625" xr:uid="{00000000-0005-0000-0000-00005C060000}"/>
    <cellStyle name="Normal 21 3" xfId="1626" xr:uid="{00000000-0005-0000-0000-00005D060000}"/>
    <cellStyle name="Normal 22" xfId="1627" xr:uid="{00000000-0005-0000-0000-00005E060000}"/>
    <cellStyle name="Normal 22 2" xfId="1628" xr:uid="{00000000-0005-0000-0000-00005F060000}"/>
    <cellStyle name="Normal 22 3" xfId="1629" xr:uid="{00000000-0005-0000-0000-000060060000}"/>
    <cellStyle name="Normal 23" xfId="1630" xr:uid="{00000000-0005-0000-0000-000061060000}"/>
    <cellStyle name="Normal 23 2" xfId="1631" xr:uid="{00000000-0005-0000-0000-000062060000}"/>
    <cellStyle name="Normal 23 3" xfId="1632" xr:uid="{00000000-0005-0000-0000-000063060000}"/>
    <cellStyle name="Normal 24" xfId="1633" xr:uid="{00000000-0005-0000-0000-000064060000}"/>
    <cellStyle name="Normal 24 2" xfId="1634" xr:uid="{00000000-0005-0000-0000-000065060000}"/>
    <cellStyle name="Normal 24 3" xfId="1635" xr:uid="{00000000-0005-0000-0000-000066060000}"/>
    <cellStyle name="Normal 25" xfId="1636" xr:uid="{00000000-0005-0000-0000-000067060000}"/>
    <cellStyle name="Normal 25 2" xfId="1637" xr:uid="{00000000-0005-0000-0000-000068060000}"/>
    <cellStyle name="Normal 25 3" xfId="1638" xr:uid="{00000000-0005-0000-0000-000069060000}"/>
    <cellStyle name="Normal 25 4" xfId="1639" xr:uid="{00000000-0005-0000-0000-00006A060000}"/>
    <cellStyle name="Normal 26" xfId="1640" xr:uid="{00000000-0005-0000-0000-00006B060000}"/>
    <cellStyle name="Normal 26 2" xfId="1641" xr:uid="{00000000-0005-0000-0000-00006C060000}"/>
    <cellStyle name="Normal 26 3" xfId="1642" xr:uid="{00000000-0005-0000-0000-00006D060000}"/>
    <cellStyle name="Normal 27" xfId="1643" xr:uid="{00000000-0005-0000-0000-00006E060000}"/>
    <cellStyle name="Normal 27 2" xfId="1644" xr:uid="{00000000-0005-0000-0000-00006F060000}"/>
    <cellStyle name="Normal 28" xfId="1645" xr:uid="{00000000-0005-0000-0000-000070060000}"/>
    <cellStyle name="Normal 28 2" xfId="1646" xr:uid="{00000000-0005-0000-0000-000071060000}"/>
    <cellStyle name="Normal 29" xfId="1647" xr:uid="{00000000-0005-0000-0000-000072060000}"/>
    <cellStyle name="Normal 29 2" xfId="1648" xr:uid="{00000000-0005-0000-0000-000073060000}"/>
    <cellStyle name="Normal 3" xfId="1650" xr:uid="{00000000-0005-0000-0000-000075060000}"/>
    <cellStyle name="Normal 3 2" xfId="1651" xr:uid="{00000000-0005-0000-0000-000076060000}"/>
    <cellStyle name="Normal 3 2 2" xfId="1652" xr:uid="{00000000-0005-0000-0000-000077060000}"/>
    <cellStyle name="Normal 3 2 2 2" xfId="1653" xr:uid="{00000000-0005-0000-0000-000078060000}"/>
    <cellStyle name="Normal 3 2 3" xfId="1654" xr:uid="{00000000-0005-0000-0000-000079060000}"/>
    <cellStyle name="Normal 3 2 4" xfId="1655" xr:uid="{00000000-0005-0000-0000-00007A060000}"/>
    <cellStyle name="Normal 3 2 4 2" xfId="1656" xr:uid="{00000000-0005-0000-0000-00007B060000}"/>
    <cellStyle name="Normal 3 2 5" xfId="1657" xr:uid="{00000000-0005-0000-0000-00007C060000}"/>
    <cellStyle name="Normal 3 2 6" xfId="1658" xr:uid="{00000000-0005-0000-0000-00007D060000}"/>
    <cellStyle name="Normal 3 2 6 2" xfId="1659" xr:uid="{00000000-0005-0000-0000-00007E060000}"/>
    <cellStyle name="Normal 3 3" xfId="1660" xr:uid="{00000000-0005-0000-0000-00007F060000}"/>
    <cellStyle name="Normal 3 3 2" xfId="1661" xr:uid="{00000000-0005-0000-0000-000080060000}"/>
    <cellStyle name="Normal 3 3 3" xfId="1662" xr:uid="{00000000-0005-0000-0000-000081060000}"/>
    <cellStyle name="Normal 3 4" xfId="1663" xr:uid="{00000000-0005-0000-0000-000082060000}"/>
    <cellStyle name="Normal 3 4 2" xfId="1664" xr:uid="{00000000-0005-0000-0000-000083060000}"/>
    <cellStyle name="Normal 3 4 3" xfId="1665" xr:uid="{00000000-0005-0000-0000-000084060000}"/>
    <cellStyle name="Normal 3 5" xfId="1666" xr:uid="{00000000-0005-0000-0000-000085060000}"/>
    <cellStyle name="Normal 3 5 2" xfId="1667" xr:uid="{00000000-0005-0000-0000-000086060000}"/>
    <cellStyle name="Normal 3 5 3" xfId="1668" xr:uid="{00000000-0005-0000-0000-000087060000}"/>
    <cellStyle name="Normal 3 6" xfId="1669" xr:uid="{00000000-0005-0000-0000-000088060000}"/>
    <cellStyle name="Normal 3 6 2" xfId="1670" xr:uid="{00000000-0005-0000-0000-000089060000}"/>
    <cellStyle name="Normal 3 6 3" xfId="1671" xr:uid="{00000000-0005-0000-0000-00008A060000}"/>
    <cellStyle name="Normal 3 7" xfId="1672" xr:uid="{00000000-0005-0000-0000-00008B060000}"/>
    <cellStyle name="Normal 3 8" xfId="1673" xr:uid="{00000000-0005-0000-0000-00008C060000}"/>
    <cellStyle name="Normal 3_destino" xfId="1679" xr:uid="{00000000-0005-0000-0000-000092060000}"/>
    <cellStyle name="Normal 30" xfId="1674" xr:uid="{00000000-0005-0000-0000-00008D060000}"/>
    <cellStyle name="Normal 30 2" xfId="1675" xr:uid="{00000000-0005-0000-0000-00008E060000}"/>
    <cellStyle name="Normal 31" xfId="1676" xr:uid="{00000000-0005-0000-0000-00008F060000}"/>
    <cellStyle name="Normal 31 2" xfId="1677" xr:uid="{00000000-0005-0000-0000-000090060000}"/>
    <cellStyle name="Normal 32" xfId="1678" xr:uid="{00000000-0005-0000-0000-000091060000}"/>
    <cellStyle name="Normal 4" xfId="1680" xr:uid="{00000000-0005-0000-0000-000093060000}"/>
    <cellStyle name="Normal 4 10" xfId="1681" xr:uid="{00000000-0005-0000-0000-000094060000}"/>
    <cellStyle name="Normal 4 10 2" xfId="1682" xr:uid="{00000000-0005-0000-0000-000095060000}"/>
    <cellStyle name="Normal 4 11" xfId="1683" xr:uid="{00000000-0005-0000-0000-000096060000}"/>
    <cellStyle name="Normal 4 11 2" xfId="1684" xr:uid="{00000000-0005-0000-0000-000097060000}"/>
    <cellStyle name="Normal 4 12" xfId="1685" xr:uid="{00000000-0005-0000-0000-000098060000}"/>
    <cellStyle name="Normal 4 12 2" xfId="1686" xr:uid="{00000000-0005-0000-0000-000099060000}"/>
    <cellStyle name="Normal 4 13" xfId="1687" xr:uid="{00000000-0005-0000-0000-00009A060000}"/>
    <cellStyle name="Normal 4 14" xfId="1688" xr:uid="{00000000-0005-0000-0000-00009B060000}"/>
    <cellStyle name="Normal 4 15" xfId="1689" xr:uid="{00000000-0005-0000-0000-00009C060000}"/>
    <cellStyle name="Normal 4 2" xfId="1690" xr:uid="{00000000-0005-0000-0000-00009D060000}"/>
    <cellStyle name="Normal 4 2 2" xfId="1691" xr:uid="{00000000-0005-0000-0000-00009E060000}"/>
    <cellStyle name="Normal 4 2 2 2" xfId="1692" xr:uid="{00000000-0005-0000-0000-00009F060000}"/>
    <cellStyle name="Normal 4 2 2 2 2" xfId="1693" xr:uid="{00000000-0005-0000-0000-0000A0060000}"/>
    <cellStyle name="Normal 4 2 2 2 2 2" xfId="1694" xr:uid="{00000000-0005-0000-0000-0000A1060000}"/>
    <cellStyle name="Normal 4 2 2 3" xfId="1695" xr:uid="{00000000-0005-0000-0000-0000A2060000}"/>
    <cellStyle name="Normal 4 2 2 3 2" xfId="1696" xr:uid="{00000000-0005-0000-0000-0000A3060000}"/>
    <cellStyle name="Normal 4 2 2 4" xfId="1697" xr:uid="{00000000-0005-0000-0000-0000A4060000}"/>
    <cellStyle name="Normal 4 2 2 5" xfId="1698" xr:uid="{00000000-0005-0000-0000-0000A5060000}"/>
    <cellStyle name="Normal 4 2 2 6" xfId="1699" xr:uid="{00000000-0005-0000-0000-0000A6060000}"/>
    <cellStyle name="Normal 4 2 3" xfId="1700" xr:uid="{00000000-0005-0000-0000-0000A7060000}"/>
    <cellStyle name="Normal 4 2 3 2" xfId="1701" xr:uid="{00000000-0005-0000-0000-0000A8060000}"/>
    <cellStyle name="Normal 4 2 4" xfId="1702" xr:uid="{00000000-0005-0000-0000-0000A9060000}"/>
    <cellStyle name="Normal 4 2 5" xfId="1703" xr:uid="{00000000-0005-0000-0000-0000AA060000}"/>
    <cellStyle name="Normal 4 2 5 2" xfId="1704" xr:uid="{00000000-0005-0000-0000-0000AB060000}"/>
    <cellStyle name="Normal 4 2 5 2 2" xfId="1705" xr:uid="{00000000-0005-0000-0000-0000AC060000}"/>
    <cellStyle name="Normal 4 2 6" xfId="1706" xr:uid="{00000000-0005-0000-0000-0000AD060000}"/>
    <cellStyle name="Normal 4 2 7" xfId="1707" xr:uid="{00000000-0005-0000-0000-0000AE060000}"/>
    <cellStyle name="Normal 4 3" xfId="1708" xr:uid="{00000000-0005-0000-0000-0000AF060000}"/>
    <cellStyle name="Normal 4 3 2" xfId="1709" xr:uid="{00000000-0005-0000-0000-0000B0060000}"/>
    <cellStyle name="Normal 4 3 2 2" xfId="1710" xr:uid="{00000000-0005-0000-0000-0000B1060000}"/>
    <cellStyle name="Normal 4 3 3" xfId="1711" xr:uid="{00000000-0005-0000-0000-0000B2060000}"/>
    <cellStyle name="Normal 4 4" xfId="1712" xr:uid="{00000000-0005-0000-0000-0000B3060000}"/>
    <cellStyle name="Normal 4 4 2" xfId="1713" xr:uid="{00000000-0005-0000-0000-0000B4060000}"/>
    <cellStyle name="Normal 4 4 2 2" xfId="1714" xr:uid="{00000000-0005-0000-0000-0000B5060000}"/>
    <cellStyle name="Normal 4 4 2 3" xfId="1715" xr:uid="{00000000-0005-0000-0000-0000B6060000}"/>
    <cellStyle name="Normal 4 4 3" xfId="1716" xr:uid="{00000000-0005-0000-0000-0000B7060000}"/>
    <cellStyle name="Normal 4 4 3 2" xfId="1717" xr:uid="{00000000-0005-0000-0000-0000B8060000}"/>
    <cellStyle name="Normal 4 4 4" xfId="1718" xr:uid="{00000000-0005-0000-0000-0000B9060000}"/>
    <cellStyle name="Normal 4 4 5" xfId="1719" xr:uid="{00000000-0005-0000-0000-0000BA060000}"/>
    <cellStyle name="Normal 4 4 6" xfId="1720" xr:uid="{00000000-0005-0000-0000-0000BB060000}"/>
    <cellStyle name="Normal 4 4 7" xfId="1721" xr:uid="{00000000-0005-0000-0000-0000BC060000}"/>
    <cellStyle name="Normal 4 4 8" xfId="1722" xr:uid="{00000000-0005-0000-0000-0000BD060000}"/>
    <cellStyle name="Normal 4 4 9" xfId="1723" xr:uid="{00000000-0005-0000-0000-0000BE060000}"/>
    <cellStyle name="Normal 4 5" xfId="1724" xr:uid="{00000000-0005-0000-0000-0000BF060000}"/>
    <cellStyle name="Normal 4 5 2" xfId="1725" xr:uid="{00000000-0005-0000-0000-0000C0060000}"/>
    <cellStyle name="Normal 4 5 3" xfId="1726" xr:uid="{00000000-0005-0000-0000-0000C1060000}"/>
    <cellStyle name="Normal 4 5 4" xfId="1727" xr:uid="{00000000-0005-0000-0000-0000C2060000}"/>
    <cellStyle name="Normal 4 5 5" xfId="1728" xr:uid="{00000000-0005-0000-0000-0000C3060000}"/>
    <cellStyle name="Normal 4 5 6" xfId="1729" xr:uid="{00000000-0005-0000-0000-0000C4060000}"/>
    <cellStyle name="Normal 4 5 7" xfId="1730" xr:uid="{00000000-0005-0000-0000-0000C5060000}"/>
    <cellStyle name="Normal 4 5 8" xfId="1731" xr:uid="{00000000-0005-0000-0000-0000C6060000}"/>
    <cellStyle name="Normal 4 6" xfId="1732" xr:uid="{00000000-0005-0000-0000-0000C7060000}"/>
    <cellStyle name="Normal 4 6 2" xfId="1733" xr:uid="{00000000-0005-0000-0000-0000C8060000}"/>
    <cellStyle name="Normal 4 6 3" xfId="1734" xr:uid="{00000000-0005-0000-0000-0000C9060000}"/>
    <cellStyle name="Normal 4 6 4" xfId="1735" xr:uid="{00000000-0005-0000-0000-0000CA060000}"/>
    <cellStyle name="Normal 4 6 5" xfId="1736" xr:uid="{00000000-0005-0000-0000-0000CB060000}"/>
    <cellStyle name="Normal 4 6 6" xfId="1737" xr:uid="{00000000-0005-0000-0000-0000CC060000}"/>
    <cellStyle name="Normal 4 6 7" xfId="1738" xr:uid="{00000000-0005-0000-0000-0000CD060000}"/>
    <cellStyle name="Normal 4 6 8" xfId="1739" xr:uid="{00000000-0005-0000-0000-0000CE060000}"/>
    <cellStyle name="Normal 4 7" xfId="1740" xr:uid="{00000000-0005-0000-0000-0000CF060000}"/>
    <cellStyle name="Normal 4 7 2" xfId="1741" xr:uid="{00000000-0005-0000-0000-0000D0060000}"/>
    <cellStyle name="Normal 4 7 3" xfId="1742" xr:uid="{00000000-0005-0000-0000-0000D1060000}"/>
    <cellStyle name="Normal 4 7 4" xfId="1743" xr:uid="{00000000-0005-0000-0000-0000D2060000}"/>
    <cellStyle name="Normal 4 7 5" xfId="1744" xr:uid="{00000000-0005-0000-0000-0000D3060000}"/>
    <cellStyle name="Normal 4 7 6" xfId="1745" xr:uid="{00000000-0005-0000-0000-0000D4060000}"/>
    <cellStyle name="Normal 4 7 7" xfId="1746" xr:uid="{00000000-0005-0000-0000-0000D5060000}"/>
    <cellStyle name="Normal 4 7 8" xfId="1747" xr:uid="{00000000-0005-0000-0000-0000D6060000}"/>
    <cellStyle name="Normal 4 8" xfId="1748" xr:uid="{00000000-0005-0000-0000-0000D7060000}"/>
    <cellStyle name="Normal 4 8 2" xfId="1749" xr:uid="{00000000-0005-0000-0000-0000D8060000}"/>
    <cellStyle name="Normal 4 9" xfId="1750" xr:uid="{00000000-0005-0000-0000-0000D9060000}"/>
    <cellStyle name="Normal 4 9 2" xfId="1751" xr:uid="{00000000-0005-0000-0000-0000DA060000}"/>
    <cellStyle name="Normal 4_imptos" xfId="1752" xr:uid="{00000000-0005-0000-0000-0000DB060000}"/>
    <cellStyle name="Normal 5" xfId="1753" xr:uid="{00000000-0005-0000-0000-0000DC060000}"/>
    <cellStyle name="Normal 5 2" xfId="1754" xr:uid="{00000000-0005-0000-0000-0000DD060000}"/>
    <cellStyle name="Normal 5 2 2" xfId="1755" xr:uid="{00000000-0005-0000-0000-0000DE060000}"/>
    <cellStyle name="Normal 5 2 2 2" xfId="1756" xr:uid="{00000000-0005-0000-0000-0000DF060000}"/>
    <cellStyle name="Normal 5 2 3" xfId="1757" xr:uid="{00000000-0005-0000-0000-0000E0060000}"/>
    <cellStyle name="Normal 5 2 4" xfId="1758" xr:uid="{00000000-0005-0000-0000-0000E1060000}"/>
    <cellStyle name="Normal 5 3" xfId="1759" xr:uid="{00000000-0005-0000-0000-0000E2060000}"/>
    <cellStyle name="Normal 5 3 2" xfId="1760" xr:uid="{00000000-0005-0000-0000-0000E3060000}"/>
    <cellStyle name="Normal 5 3 3" xfId="1761" xr:uid="{00000000-0005-0000-0000-0000E4060000}"/>
    <cellStyle name="Normal 5 3 4" xfId="1762" xr:uid="{00000000-0005-0000-0000-0000E5060000}"/>
    <cellStyle name="Normal 5 4" xfId="1763" xr:uid="{00000000-0005-0000-0000-0000E6060000}"/>
    <cellStyle name="Normal 5 5" xfId="1764" xr:uid="{00000000-0005-0000-0000-0000E7060000}"/>
    <cellStyle name="Normal 5 6" xfId="1765" xr:uid="{00000000-0005-0000-0000-0000E8060000}"/>
    <cellStyle name="Normal 5 7" xfId="1766" xr:uid="{00000000-0005-0000-0000-0000E9060000}"/>
    <cellStyle name="Normal 5 7 2" xfId="1767" xr:uid="{00000000-0005-0000-0000-0000EA060000}"/>
    <cellStyle name="Normal 5 8" xfId="1768" xr:uid="{00000000-0005-0000-0000-0000EB060000}"/>
    <cellStyle name="Normal 5_CCNN2003-2010_Cap_1" xfId="1769" xr:uid="{00000000-0005-0000-0000-0000EC060000}"/>
    <cellStyle name="Normal 6" xfId="1770" xr:uid="{00000000-0005-0000-0000-0000ED060000}"/>
    <cellStyle name="Normal 6 10" xfId="1771" xr:uid="{00000000-0005-0000-0000-0000EE060000}"/>
    <cellStyle name="Normal 6 10 2" xfId="1772" xr:uid="{00000000-0005-0000-0000-0000EF060000}"/>
    <cellStyle name="Normal 6 11" xfId="1773" xr:uid="{00000000-0005-0000-0000-0000F0060000}"/>
    <cellStyle name="Normal 6 12" xfId="1774" xr:uid="{00000000-0005-0000-0000-0000F1060000}"/>
    <cellStyle name="Normal 6 13" xfId="1775" xr:uid="{00000000-0005-0000-0000-0000F2060000}"/>
    <cellStyle name="Normal 6 14" xfId="1776" xr:uid="{00000000-0005-0000-0000-0000F3060000}"/>
    <cellStyle name="Normal 6 15" xfId="1777" xr:uid="{00000000-0005-0000-0000-0000F4060000}"/>
    <cellStyle name="Normal 6 2" xfId="1778" xr:uid="{00000000-0005-0000-0000-0000F5060000}"/>
    <cellStyle name="Normal 6 2 2" xfId="1779" xr:uid="{00000000-0005-0000-0000-0000F6060000}"/>
    <cellStyle name="Normal 6 2 2 2" xfId="1780" xr:uid="{00000000-0005-0000-0000-0000F7060000}"/>
    <cellStyle name="Normal 6 2 2 3" xfId="1781" xr:uid="{00000000-0005-0000-0000-0000F8060000}"/>
    <cellStyle name="Normal 6 2 3" xfId="1782" xr:uid="{00000000-0005-0000-0000-0000F9060000}"/>
    <cellStyle name="Normal 6 2 3 2" xfId="1783" xr:uid="{00000000-0005-0000-0000-0000FA060000}"/>
    <cellStyle name="Normal 6 2 4" xfId="1784" xr:uid="{00000000-0005-0000-0000-0000FB060000}"/>
    <cellStyle name="Normal 6 2 4 2" xfId="1785" xr:uid="{00000000-0005-0000-0000-0000FC060000}"/>
    <cellStyle name="Normal 6 2 5" xfId="1786" xr:uid="{00000000-0005-0000-0000-0000FD060000}"/>
    <cellStyle name="Normal 6 2 6" xfId="1787" xr:uid="{00000000-0005-0000-0000-0000FE060000}"/>
    <cellStyle name="Normal 6 2 7" xfId="1788" xr:uid="{00000000-0005-0000-0000-0000FF060000}"/>
    <cellStyle name="Normal 6 3" xfId="1789" xr:uid="{00000000-0005-0000-0000-000000070000}"/>
    <cellStyle name="Normal 6 3 2" xfId="1790" xr:uid="{00000000-0005-0000-0000-000001070000}"/>
    <cellStyle name="Normal 6 3 2 2" xfId="1791" xr:uid="{00000000-0005-0000-0000-000002070000}"/>
    <cellStyle name="Normal 6 3 2 3" xfId="1792" xr:uid="{00000000-0005-0000-0000-000003070000}"/>
    <cellStyle name="Normal 6 3 3" xfId="1793" xr:uid="{00000000-0005-0000-0000-000004070000}"/>
    <cellStyle name="Normal 6 3 4" xfId="1794" xr:uid="{00000000-0005-0000-0000-000005070000}"/>
    <cellStyle name="Normal 6 3 5" xfId="1795" xr:uid="{00000000-0005-0000-0000-000006070000}"/>
    <cellStyle name="Normal 6 3 6" xfId="1796" xr:uid="{00000000-0005-0000-0000-000007070000}"/>
    <cellStyle name="Normal 6 3 7" xfId="1797" xr:uid="{00000000-0005-0000-0000-000008070000}"/>
    <cellStyle name="Normal 6 4" xfId="1798" xr:uid="{00000000-0005-0000-0000-000009070000}"/>
    <cellStyle name="Normal 6 4 2" xfId="1799" xr:uid="{00000000-0005-0000-0000-00000A070000}"/>
    <cellStyle name="Normal 6 4 2 2" xfId="1800" xr:uid="{00000000-0005-0000-0000-00000B070000}"/>
    <cellStyle name="Normal 6 4 2 3" xfId="1801" xr:uid="{00000000-0005-0000-0000-00000C070000}"/>
    <cellStyle name="Normal 6 4 3" xfId="1802" xr:uid="{00000000-0005-0000-0000-00000D070000}"/>
    <cellStyle name="Normal 6 4 3 2" xfId="1803" xr:uid="{00000000-0005-0000-0000-00000E070000}"/>
    <cellStyle name="Normal 6 4 4" xfId="1804" xr:uid="{00000000-0005-0000-0000-00000F070000}"/>
    <cellStyle name="Normal 6 4 5" xfId="1805" xr:uid="{00000000-0005-0000-0000-000010070000}"/>
    <cellStyle name="Normal 6 4 6" xfId="1806" xr:uid="{00000000-0005-0000-0000-000011070000}"/>
    <cellStyle name="Normal 6 4 7" xfId="1807" xr:uid="{00000000-0005-0000-0000-000012070000}"/>
    <cellStyle name="Normal 6 5" xfId="1808" xr:uid="{00000000-0005-0000-0000-000013070000}"/>
    <cellStyle name="Normal 6 5 2" xfId="1809" xr:uid="{00000000-0005-0000-0000-000014070000}"/>
    <cellStyle name="Normal 6 5 3" xfId="1810" xr:uid="{00000000-0005-0000-0000-000015070000}"/>
    <cellStyle name="Normal 6 5 4" xfId="1811" xr:uid="{00000000-0005-0000-0000-000016070000}"/>
    <cellStyle name="Normal 6 5 5" xfId="1812" xr:uid="{00000000-0005-0000-0000-000017070000}"/>
    <cellStyle name="Normal 6 5 6" xfId="1813" xr:uid="{00000000-0005-0000-0000-000018070000}"/>
    <cellStyle name="Normal 6 5 7" xfId="1814" xr:uid="{00000000-0005-0000-0000-000019070000}"/>
    <cellStyle name="Normal 6 6" xfId="1815" xr:uid="{00000000-0005-0000-0000-00001A070000}"/>
    <cellStyle name="Normal 6 6 2" xfId="1816" xr:uid="{00000000-0005-0000-0000-00001B070000}"/>
    <cellStyle name="Normal 6 6 3" xfId="1817" xr:uid="{00000000-0005-0000-0000-00001C070000}"/>
    <cellStyle name="Normal 6 6 4" xfId="1818" xr:uid="{00000000-0005-0000-0000-00001D070000}"/>
    <cellStyle name="Normal 6 6 5" xfId="1819" xr:uid="{00000000-0005-0000-0000-00001E070000}"/>
    <cellStyle name="Normal 6 6 6" xfId="1820" xr:uid="{00000000-0005-0000-0000-00001F070000}"/>
    <cellStyle name="Normal 6 6 7" xfId="1821" xr:uid="{00000000-0005-0000-0000-000020070000}"/>
    <cellStyle name="Normal 6 7" xfId="1822" xr:uid="{00000000-0005-0000-0000-000021070000}"/>
    <cellStyle name="Normal 6 7 10" xfId="1823" xr:uid="{00000000-0005-0000-0000-000022070000}"/>
    <cellStyle name="Normal 6 7 2" xfId="1824" xr:uid="{00000000-0005-0000-0000-000023070000}"/>
    <cellStyle name="Normal 6 7 3" xfId="1825" xr:uid="{00000000-0005-0000-0000-000024070000}"/>
    <cellStyle name="Normal 6 7 4" xfId="1826" xr:uid="{00000000-0005-0000-0000-000025070000}"/>
    <cellStyle name="Normal 6 7 5" xfId="1827" xr:uid="{00000000-0005-0000-0000-000026070000}"/>
    <cellStyle name="Normal 6 7 6" xfId="1828" xr:uid="{00000000-0005-0000-0000-000027070000}"/>
    <cellStyle name="Normal 6 7 7" xfId="1829" xr:uid="{00000000-0005-0000-0000-000028070000}"/>
    <cellStyle name="Normal 6 7 8" xfId="1830" xr:uid="{00000000-0005-0000-0000-000029070000}"/>
    <cellStyle name="Normal 6 7 9" xfId="1831" xr:uid="{00000000-0005-0000-0000-00002A070000}"/>
    <cellStyle name="Normal 6 8" xfId="1832" xr:uid="{00000000-0005-0000-0000-00002B070000}"/>
    <cellStyle name="Normal 6 8 2" xfId="1833" xr:uid="{00000000-0005-0000-0000-00002C070000}"/>
    <cellStyle name="Normal 6 8 3" xfId="1834" xr:uid="{00000000-0005-0000-0000-00002D070000}"/>
    <cellStyle name="Normal 6 8 4" xfId="1835" xr:uid="{00000000-0005-0000-0000-00002E070000}"/>
    <cellStyle name="Normal 6 9" xfId="1836" xr:uid="{00000000-0005-0000-0000-00002F070000}"/>
    <cellStyle name="Normal 6 9 2" xfId="1837" xr:uid="{00000000-0005-0000-0000-000030070000}"/>
    <cellStyle name="Normal 6_destino" xfId="1838" xr:uid="{00000000-0005-0000-0000-000031070000}"/>
    <cellStyle name="Normal 7" xfId="1839" xr:uid="{00000000-0005-0000-0000-000032070000}"/>
    <cellStyle name="Normal 7 2" xfId="1840" xr:uid="{00000000-0005-0000-0000-000033070000}"/>
    <cellStyle name="Normal 7 2 2" xfId="1841" xr:uid="{00000000-0005-0000-0000-000034070000}"/>
    <cellStyle name="Normal 7 2 2 2" xfId="1842" xr:uid="{00000000-0005-0000-0000-000035070000}"/>
    <cellStyle name="Normal 7 2 2 2 2" xfId="1843" xr:uid="{00000000-0005-0000-0000-000036070000}"/>
    <cellStyle name="Normal 7 2 3" xfId="1844" xr:uid="{00000000-0005-0000-0000-000037070000}"/>
    <cellStyle name="Normal 7 2 3 2" xfId="1845" xr:uid="{00000000-0005-0000-0000-000038070000}"/>
    <cellStyle name="Normal 7 2 4" xfId="1846" xr:uid="{00000000-0005-0000-0000-000039070000}"/>
    <cellStyle name="Normal 7 2 5" xfId="1847" xr:uid="{00000000-0005-0000-0000-00003A070000}"/>
    <cellStyle name="Normal 7 2_destino" xfId="1848" xr:uid="{00000000-0005-0000-0000-00003B070000}"/>
    <cellStyle name="Normal 7 3" xfId="1849" xr:uid="{00000000-0005-0000-0000-00003C070000}"/>
    <cellStyle name="Normal 7 3 2" xfId="1850" xr:uid="{00000000-0005-0000-0000-00003D070000}"/>
    <cellStyle name="Normal 7 4" xfId="1851" xr:uid="{00000000-0005-0000-0000-00003E070000}"/>
    <cellStyle name="Normal 7 5" xfId="1852" xr:uid="{00000000-0005-0000-0000-00003F070000}"/>
    <cellStyle name="Normal 8" xfId="1853" xr:uid="{00000000-0005-0000-0000-000040070000}"/>
    <cellStyle name="Normal 8 2" xfId="1854" xr:uid="{00000000-0005-0000-0000-000041070000}"/>
    <cellStyle name="Normal 8 2 2" xfId="1855" xr:uid="{00000000-0005-0000-0000-000042070000}"/>
    <cellStyle name="Normal 8 2 3" xfId="1856" xr:uid="{00000000-0005-0000-0000-000043070000}"/>
    <cellStyle name="Normal 8 3" xfId="1857" xr:uid="{00000000-0005-0000-0000-000044070000}"/>
    <cellStyle name="Normal 8 3 2" xfId="1858" xr:uid="{00000000-0005-0000-0000-000045070000}"/>
    <cellStyle name="Normal 8 3 3" xfId="1859" xr:uid="{00000000-0005-0000-0000-000046070000}"/>
    <cellStyle name="Normal 8 3 4" xfId="1860" xr:uid="{00000000-0005-0000-0000-000047070000}"/>
    <cellStyle name="Normal 8 4" xfId="1861" xr:uid="{00000000-0005-0000-0000-000048070000}"/>
    <cellStyle name="Normal 8 5" xfId="1862" xr:uid="{00000000-0005-0000-0000-000049070000}"/>
    <cellStyle name="Normal 8 6" xfId="1863" xr:uid="{00000000-0005-0000-0000-00004A070000}"/>
    <cellStyle name="Normal 8 7" xfId="1864" xr:uid="{00000000-0005-0000-0000-00004B070000}"/>
    <cellStyle name="Normal 8_destino" xfId="1865" xr:uid="{00000000-0005-0000-0000-00004C070000}"/>
    <cellStyle name="Normal 9" xfId="1866" xr:uid="{00000000-0005-0000-0000-00004D070000}"/>
    <cellStyle name="Normal 9 2" xfId="1867" xr:uid="{00000000-0005-0000-0000-00004E070000}"/>
    <cellStyle name="Normal 9 2 2" xfId="1868" xr:uid="{00000000-0005-0000-0000-00004F070000}"/>
    <cellStyle name="Normal 9 3" xfId="1869" xr:uid="{00000000-0005-0000-0000-000050070000}"/>
    <cellStyle name="Normal 9 3 2" xfId="1870" xr:uid="{00000000-0005-0000-0000-000051070000}"/>
    <cellStyle name="Normal 9 4" xfId="1871" xr:uid="{00000000-0005-0000-0000-000052070000}"/>
    <cellStyle name="Normal 9 5" xfId="1872" xr:uid="{00000000-0005-0000-0000-000053070000}"/>
    <cellStyle name="normální_Allianz Pojistovna" xfId="1873" xr:uid="{00000000-0005-0000-0000-000059070000}"/>
    <cellStyle name="Notas 2" xfId="1874" xr:uid="{00000000-0005-0000-0000-00005A070000}"/>
    <cellStyle name="Notas 2 2" xfId="1875" xr:uid="{00000000-0005-0000-0000-00005B070000}"/>
    <cellStyle name="Notas 2 2 2" xfId="1876" xr:uid="{00000000-0005-0000-0000-00005C070000}"/>
    <cellStyle name="Notas 2 3" xfId="1877" xr:uid="{00000000-0005-0000-0000-00005D070000}"/>
    <cellStyle name="Notas 2 3 2" xfId="1878" xr:uid="{00000000-0005-0000-0000-00005E070000}"/>
    <cellStyle name="Notas 2 4" xfId="1879" xr:uid="{00000000-0005-0000-0000-00005F070000}"/>
    <cellStyle name="Notas 2 5" xfId="1880" xr:uid="{00000000-0005-0000-0000-000060070000}"/>
    <cellStyle name="Notas 3" xfId="1881" xr:uid="{00000000-0005-0000-0000-000061070000}"/>
    <cellStyle name="Notas 3 2" xfId="1882" xr:uid="{00000000-0005-0000-0000-000062070000}"/>
    <cellStyle name="Notas 3 3" xfId="1883" xr:uid="{00000000-0005-0000-0000-000063070000}"/>
    <cellStyle name="Notas 4" xfId="1884" xr:uid="{00000000-0005-0000-0000-000064070000}"/>
    <cellStyle name="Notas 4 2" xfId="1885" xr:uid="{00000000-0005-0000-0000-000065070000}"/>
    <cellStyle name="Notas 5" xfId="1886" xr:uid="{00000000-0005-0000-0000-000066070000}"/>
    <cellStyle name="Notas 5 2" xfId="1887" xr:uid="{00000000-0005-0000-0000-000067070000}"/>
    <cellStyle name="Note 5" xfId="1888" xr:uid="{00000000-0005-0000-0000-000068070000}"/>
    <cellStyle name="Output" xfId="1889" xr:uid="{00000000-0005-0000-0000-000069070000}"/>
    <cellStyle name="pablo" xfId="1890" xr:uid="{00000000-0005-0000-0000-00006A070000}"/>
    <cellStyle name="Porcentaje 2" xfId="1891" xr:uid="{00000000-0005-0000-0000-00006B070000}"/>
    <cellStyle name="Porcentaje 2 2" xfId="1892" xr:uid="{00000000-0005-0000-0000-00006C070000}"/>
    <cellStyle name="Porcentaje 2 2 2" xfId="1893" xr:uid="{00000000-0005-0000-0000-00006D070000}"/>
    <cellStyle name="Porcentaje 2 2 3" xfId="1894" xr:uid="{00000000-0005-0000-0000-00006E070000}"/>
    <cellStyle name="Porcentaje 2 3" xfId="1895" xr:uid="{00000000-0005-0000-0000-00006F070000}"/>
    <cellStyle name="Porcentaje 2 4" xfId="1896" xr:uid="{00000000-0005-0000-0000-000070070000}"/>
    <cellStyle name="Porcentaje 3" xfId="1897" xr:uid="{00000000-0005-0000-0000-000071070000}"/>
    <cellStyle name="Porcentaje 3 2" xfId="1898" xr:uid="{00000000-0005-0000-0000-000072070000}"/>
    <cellStyle name="Porcentaje 3 3" xfId="1899" xr:uid="{00000000-0005-0000-0000-000073070000}"/>
    <cellStyle name="Porcentaje 3 4" xfId="1900" xr:uid="{00000000-0005-0000-0000-000074070000}"/>
    <cellStyle name="Porcentaje 3 5" xfId="1901" xr:uid="{00000000-0005-0000-0000-000075070000}"/>
    <cellStyle name="Porcentaje 3 6" xfId="1902" xr:uid="{00000000-0005-0000-0000-000076070000}"/>
    <cellStyle name="Porcentaje 4" xfId="1903" xr:uid="{00000000-0005-0000-0000-000077070000}"/>
    <cellStyle name="Porcentaje 4 2" xfId="1904" xr:uid="{00000000-0005-0000-0000-000078070000}"/>
    <cellStyle name="Porcentaje 5" xfId="1905" xr:uid="{00000000-0005-0000-0000-000079070000}"/>
    <cellStyle name="Porcentaje 5 2" xfId="1906" xr:uid="{00000000-0005-0000-0000-00007A070000}"/>
    <cellStyle name="Porcentaje 5 3" xfId="1907" xr:uid="{00000000-0005-0000-0000-00007B070000}"/>
    <cellStyle name="Porcentaje 6" xfId="1908" xr:uid="{00000000-0005-0000-0000-00007C070000}"/>
    <cellStyle name="Porcentaje 6 2" xfId="1909" xr:uid="{00000000-0005-0000-0000-00007D070000}"/>
    <cellStyle name="Porcentaje 7" xfId="1910" xr:uid="{00000000-0005-0000-0000-00007E070000}"/>
    <cellStyle name="Porcentual" xfId="1911" xr:uid="{00000000-0005-0000-0000-00007F070000}"/>
    <cellStyle name="Porcentual 2" xfId="1912" xr:uid="{00000000-0005-0000-0000-000080070000}"/>
    <cellStyle name="Porcentual 2 2" xfId="1913" xr:uid="{00000000-0005-0000-0000-000081070000}"/>
    <cellStyle name="Porcentual 2 2 2" xfId="1914" xr:uid="{00000000-0005-0000-0000-000082070000}"/>
    <cellStyle name="Porcentual 2 2 2 2" xfId="1915" xr:uid="{00000000-0005-0000-0000-000083070000}"/>
    <cellStyle name="Porcentual 2 2 2 3" xfId="1916" xr:uid="{00000000-0005-0000-0000-000084070000}"/>
    <cellStyle name="Porcentual 2 2 3" xfId="1917" xr:uid="{00000000-0005-0000-0000-000085070000}"/>
    <cellStyle name="Porcentual 2 2 3 2" xfId="1918" xr:uid="{00000000-0005-0000-0000-000086070000}"/>
    <cellStyle name="Porcentual 2 2 3 3" xfId="1919" xr:uid="{00000000-0005-0000-0000-000087070000}"/>
    <cellStyle name="Porcentual 2 2 4" xfId="1920" xr:uid="{00000000-0005-0000-0000-000088070000}"/>
    <cellStyle name="Porcentual 2 2 5" xfId="1921" xr:uid="{00000000-0005-0000-0000-000089070000}"/>
    <cellStyle name="Porcentual 2 2 6" xfId="1922" xr:uid="{00000000-0005-0000-0000-00008A070000}"/>
    <cellStyle name="Porcentual 2 3" xfId="1923" xr:uid="{00000000-0005-0000-0000-00008B070000}"/>
    <cellStyle name="Porcentual 2 3 2" xfId="1924" xr:uid="{00000000-0005-0000-0000-00008C070000}"/>
    <cellStyle name="Porcentual 2 3 3" xfId="1925" xr:uid="{00000000-0005-0000-0000-00008D070000}"/>
    <cellStyle name="Porcentual 2 4" xfId="1926" xr:uid="{00000000-0005-0000-0000-00008E070000}"/>
    <cellStyle name="Porcentual 2 4 2" xfId="1927" xr:uid="{00000000-0005-0000-0000-00008F070000}"/>
    <cellStyle name="Porcentual 2 4 3" xfId="1928" xr:uid="{00000000-0005-0000-0000-000090070000}"/>
    <cellStyle name="Porcentual 2 5" xfId="1929" xr:uid="{00000000-0005-0000-0000-000091070000}"/>
    <cellStyle name="Porcentual 2 5 2" xfId="1930" xr:uid="{00000000-0005-0000-0000-000092070000}"/>
    <cellStyle name="Porcentual 2 5 3" xfId="1931" xr:uid="{00000000-0005-0000-0000-000093070000}"/>
    <cellStyle name="Porcentual 2 6" xfId="1932" xr:uid="{00000000-0005-0000-0000-000094070000}"/>
    <cellStyle name="Porcentual 2 6 2" xfId="1933" xr:uid="{00000000-0005-0000-0000-000095070000}"/>
    <cellStyle name="Porcentual 2 6 3" xfId="1934" xr:uid="{00000000-0005-0000-0000-000096070000}"/>
    <cellStyle name="Porcentual 2 7" xfId="1935" xr:uid="{00000000-0005-0000-0000-000097070000}"/>
    <cellStyle name="Porcentual 3" xfId="1936" xr:uid="{00000000-0005-0000-0000-000098070000}"/>
    <cellStyle name="Porcentual 3 2" xfId="1937" xr:uid="{00000000-0005-0000-0000-000099070000}"/>
    <cellStyle name="Porcentual 4" xfId="1938" xr:uid="{00000000-0005-0000-0000-00009A070000}"/>
    <cellStyle name="Porcentual 4 2" xfId="1939" xr:uid="{00000000-0005-0000-0000-00009B070000}"/>
    <cellStyle name="Porcentual 4 2 2" xfId="1940" xr:uid="{00000000-0005-0000-0000-00009C070000}"/>
    <cellStyle name="Porcentual 4 3" xfId="1941" xr:uid="{00000000-0005-0000-0000-00009D070000}"/>
    <cellStyle name="Porcentual 4 3 2" xfId="1942" xr:uid="{00000000-0005-0000-0000-00009E070000}"/>
    <cellStyle name="Porcentual 4 4" xfId="1943" xr:uid="{00000000-0005-0000-0000-00009F070000}"/>
    <cellStyle name="Porcentual 5" xfId="1944" xr:uid="{00000000-0005-0000-0000-0000A0070000}"/>
    <cellStyle name="Salida 2" xfId="1945" xr:uid="{00000000-0005-0000-0000-0000A1070000}"/>
    <cellStyle name="Salida 2 2" xfId="1946" xr:uid="{00000000-0005-0000-0000-0000A2070000}"/>
    <cellStyle name="Salida 2 3" xfId="1947" xr:uid="{00000000-0005-0000-0000-0000A3070000}"/>
    <cellStyle name="Salida 2 4" xfId="1948" xr:uid="{00000000-0005-0000-0000-0000A4070000}"/>
    <cellStyle name="Salida 2 5" xfId="1949" xr:uid="{00000000-0005-0000-0000-0000A5070000}"/>
    <cellStyle name="Salida 3" xfId="1950" xr:uid="{00000000-0005-0000-0000-0000A6070000}"/>
    <cellStyle name="Salida 4" xfId="1951" xr:uid="{00000000-0005-0000-0000-0000A7070000}"/>
    <cellStyle name="Salida 5" xfId="1952" xr:uid="{00000000-0005-0000-0000-0000A8070000}"/>
    <cellStyle name="SAPBEXstdItem" xfId="1953" xr:uid="{00000000-0005-0000-0000-0000A9070000}"/>
    <cellStyle name="SAPBEXtitle" xfId="1954" xr:uid="{00000000-0005-0000-0000-0000AA070000}"/>
    <cellStyle name="standard" xfId="1955" xr:uid="{00000000-0005-0000-0000-0000AB070000}"/>
    <cellStyle name="Texto de advertencia 2" xfId="1956" xr:uid="{00000000-0005-0000-0000-0000AC070000}"/>
    <cellStyle name="Texto de advertencia 2 2" xfId="1957" xr:uid="{00000000-0005-0000-0000-0000AD070000}"/>
    <cellStyle name="Texto de advertencia 2 3" xfId="1958" xr:uid="{00000000-0005-0000-0000-0000AE070000}"/>
    <cellStyle name="Texto de advertencia 2 4" xfId="1959" xr:uid="{00000000-0005-0000-0000-0000AF070000}"/>
    <cellStyle name="Texto de advertencia 2 5" xfId="1960" xr:uid="{00000000-0005-0000-0000-0000B0070000}"/>
    <cellStyle name="Texto de advertencia 3" xfId="1961" xr:uid="{00000000-0005-0000-0000-0000B1070000}"/>
    <cellStyle name="Texto de advertencia 4" xfId="1962" xr:uid="{00000000-0005-0000-0000-0000B2070000}"/>
    <cellStyle name="Texto de advertencia 5" xfId="1963" xr:uid="{00000000-0005-0000-0000-0000B3070000}"/>
    <cellStyle name="Texto explicativo 2" xfId="1964" xr:uid="{00000000-0005-0000-0000-0000B4070000}"/>
    <cellStyle name="Texto explicativo 2 2" xfId="1965" xr:uid="{00000000-0005-0000-0000-0000B5070000}"/>
    <cellStyle name="Texto explicativo 2 3" xfId="1966" xr:uid="{00000000-0005-0000-0000-0000B6070000}"/>
    <cellStyle name="Texto explicativo 2 4" xfId="1967" xr:uid="{00000000-0005-0000-0000-0000B7070000}"/>
    <cellStyle name="Texto explicativo 2 5" xfId="1968" xr:uid="{00000000-0005-0000-0000-0000B8070000}"/>
    <cellStyle name="Texto explicativo 3" xfId="1969" xr:uid="{00000000-0005-0000-0000-0000B9070000}"/>
    <cellStyle name="Texto explicativo 4" xfId="1970" xr:uid="{00000000-0005-0000-0000-0000BA070000}"/>
    <cellStyle name="Texto explicativo 5" xfId="1971" xr:uid="{00000000-0005-0000-0000-0000BB070000}"/>
    <cellStyle name="Title" xfId="1972" xr:uid="{00000000-0005-0000-0000-0000BC070000}"/>
    <cellStyle name="Título 1 2" xfId="1981" xr:uid="{00000000-0005-0000-0000-0000C5070000}"/>
    <cellStyle name="Título 1 2 2" xfId="1982" xr:uid="{00000000-0005-0000-0000-0000C6070000}"/>
    <cellStyle name="Título 1 2 3" xfId="1983" xr:uid="{00000000-0005-0000-0000-0000C7070000}"/>
    <cellStyle name="Título 1 2 4" xfId="1984" xr:uid="{00000000-0005-0000-0000-0000C8070000}"/>
    <cellStyle name="Título 1 2 5" xfId="1985" xr:uid="{00000000-0005-0000-0000-0000C9070000}"/>
    <cellStyle name="Título 1 3" xfId="1986" xr:uid="{00000000-0005-0000-0000-0000CA070000}"/>
    <cellStyle name="Título 1 3 2" xfId="1987" xr:uid="{00000000-0005-0000-0000-0000CB070000}"/>
    <cellStyle name="Título 1 4" xfId="1988" xr:uid="{00000000-0005-0000-0000-0000CC070000}"/>
    <cellStyle name="Título 1 4 2" xfId="1989" xr:uid="{00000000-0005-0000-0000-0000CD070000}"/>
    <cellStyle name="Título 1 5" xfId="1990" xr:uid="{00000000-0005-0000-0000-0000CE070000}"/>
    <cellStyle name="Título 1 5 2" xfId="1991" xr:uid="{00000000-0005-0000-0000-0000CF070000}"/>
    <cellStyle name="Título 1 6" xfId="1992" xr:uid="{00000000-0005-0000-0000-0000D0070000}"/>
    <cellStyle name="Título 2 2" xfId="1993" xr:uid="{00000000-0005-0000-0000-0000D1070000}"/>
    <cellStyle name="Título 2 2 2" xfId="1994" xr:uid="{00000000-0005-0000-0000-0000D2070000}"/>
    <cellStyle name="Título 2 2 3" xfId="1995" xr:uid="{00000000-0005-0000-0000-0000D3070000}"/>
    <cellStyle name="Título 2 2 4" xfId="1996" xr:uid="{00000000-0005-0000-0000-0000D4070000}"/>
    <cellStyle name="Título 2 2 5" xfId="1997" xr:uid="{00000000-0005-0000-0000-0000D5070000}"/>
    <cellStyle name="Título 2 3" xfId="1998" xr:uid="{00000000-0005-0000-0000-0000D6070000}"/>
    <cellStyle name="Título 2 4" xfId="1999" xr:uid="{00000000-0005-0000-0000-0000D7070000}"/>
    <cellStyle name="Título 2 5" xfId="2000" xr:uid="{00000000-0005-0000-0000-0000D8070000}"/>
    <cellStyle name="Título 3 2" xfId="2001" xr:uid="{00000000-0005-0000-0000-0000D9070000}"/>
    <cellStyle name="Título 3 2 2" xfId="2002" xr:uid="{00000000-0005-0000-0000-0000DA070000}"/>
    <cellStyle name="Título 3 2 3" xfId="2003" xr:uid="{00000000-0005-0000-0000-0000DB070000}"/>
    <cellStyle name="Título 3 2 4" xfId="2004" xr:uid="{00000000-0005-0000-0000-0000DC070000}"/>
    <cellStyle name="Título 3 2 5" xfId="2005" xr:uid="{00000000-0005-0000-0000-0000DD070000}"/>
    <cellStyle name="Título 3 3" xfId="2006" xr:uid="{00000000-0005-0000-0000-0000DE070000}"/>
    <cellStyle name="Título 3 4" xfId="2007" xr:uid="{00000000-0005-0000-0000-0000DF070000}"/>
    <cellStyle name="Título 3 5" xfId="2008" xr:uid="{00000000-0005-0000-0000-0000E0070000}"/>
    <cellStyle name="Título 4" xfId="2009" xr:uid="{00000000-0005-0000-0000-0000E1070000}"/>
    <cellStyle name="Título 4 2" xfId="2010" xr:uid="{00000000-0005-0000-0000-0000E2070000}"/>
    <cellStyle name="Título 4 3" xfId="2011" xr:uid="{00000000-0005-0000-0000-0000E3070000}"/>
    <cellStyle name="Título 4 4" xfId="2012" xr:uid="{00000000-0005-0000-0000-0000E4070000}"/>
    <cellStyle name="Título 4 5" xfId="2013" xr:uid="{00000000-0005-0000-0000-0000E5070000}"/>
    <cellStyle name="Título 5" xfId="2014" xr:uid="{00000000-0005-0000-0000-0000E6070000}"/>
    <cellStyle name="Título 6" xfId="2015" xr:uid="{00000000-0005-0000-0000-0000E7070000}"/>
    <cellStyle name="Título 7" xfId="2016" xr:uid="{00000000-0005-0000-0000-0000E8070000}"/>
    <cellStyle name="Total 2" xfId="1973" xr:uid="{00000000-0005-0000-0000-0000BD070000}"/>
    <cellStyle name="Total 2 2" xfId="1974" xr:uid="{00000000-0005-0000-0000-0000BE070000}"/>
    <cellStyle name="Total 2 3" xfId="1975" xr:uid="{00000000-0005-0000-0000-0000BF070000}"/>
    <cellStyle name="Total 2 4" xfId="1976" xr:uid="{00000000-0005-0000-0000-0000C0070000}"/>
    <cellStyle name="Total 2 5" xfId="1977" xr:uid="{00000000-0005-0000-0000-0000C1070000}"/>
    <cellStyle name="Total 3" xfId="1978" xr:uid="{00000000-0005-0000-0000-0000C2070000}"/>
    <cellStyle name="Total 4" xfId="1979" xr:uid="{00000000-0005-0000-0000-0000C3070000}"/>
    <cellStyle name="Total 5" xfId="1980" xr:uid="{00000000-0005-0000-0000-0000C4070000}"/>
    <cellStyle name="Undefiniert" xfId="2017" xr:uid="{00000000-0005-0000-0000-0000E9070000}"/>
    <cellStyle name="Währung [0]_Tax Losses 00-01 February 1" xfId="2019" xr:uid="{00000000-0005-0000-0000-0000EB070000}"/>
    <cellStyle name="Währung_Tax Losses 00-01 February 1" xfId="2020" xr:uid="{00000000-0005-0000-0000-0000EC070000}"/>
    <cellStyle name="Warning Text" xfId="2018" xr:uid="{00000000-0005-0000-0000-0000EA07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D5B5"/>
      <rgbColor rgb="FFFDEADA"/>
      <rgbColor rgb="FFB9CDE5"/>
      <rgbColor rgb="FF800000"/>
      <rgbColor rgb="FF008000"/>
      <rgbColor rgb="FF000080"/>
      <rgbColor rgb="FFCCC1DA"/>
      <rgbColor rgb="FF800080"/>
      <rgbColor rgb="FF1F497D"/>
      <rgbColor rgb="FFC0C0C0"/>
      <rgbColor rgb="FF808080"/>
      <rgbColor rgb="FFB2B2B2"/>
      <rgbColor rgb="FFF2DCD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D7E4BD"/>
      <rgbColor rgb="FFDCE6F2"/>
      <rgbColor rgb="FF800080"/>
      <rgbColor rgb="FF800000"/>
      <rgbColor rgb="FFEBF1DE"/>
      <rgbColor rgb="FF0000FF"/>
      <rgbColor rgb="FFB7DEE8"/>
      <rgbColor rgb="FFDBEE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E6B9B8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E6E0EC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9"/>
  <sheetViews>
    <sheetView showGridLines="0" zoomScale="80" zoomScaleNormal="80" workbookViewId="0"/>
  </sheetViews>
  <sheetFormatPr baseColWidth="10" defaultColWidth="11.3984375" defaultRowHeight="14.25"/>
  <cols>
    <col min="1" max="1" width="9.265625" customWidth="1"/>
    <col min="2" max="2" width="4.73046875" customWidth="1"/>
    <col min="3" max="3" width="68.265625" customWidth="1"/>
  </cols>
  <sheetData>
    <row r="3" spans="2:6" ht="15.4">
      <c r="B3" s="3" t="s">
        <v>0</v>
      </c>
    </row>
    <row r="4" spans="2:6" ht="15.4">
      <c r="B4" s="3" t="s">
        <v>1</v>
      </c>
      <c r="C4" s="4"/>
      <c r="D4" s="5"/>
      <c r="E4" s="5"/>
      <c r="F4" s="5"/>
    </row>
    <row r="5" spans="2:6" ht="15.4">
      <c r="B5" s="6"/>
      <c r="C5" s="6"/>
      <c r="D5" s="5"/>
      <c r="E5" s="5"/>
      <c r="F5" s="5"/>
    </row>
    <row r="6" spans="2:6" ht="15.4">
      <c r="B6" s="4"/>
      <c r="C6" s="4"/>
      <c r="D6" s="5"/>
      <c r="E6" s="5"/>
      <c r="F6" s="5"/>
    </row>
    <row r="7" spans="2:6" ht="15.4">
      <c r="B7" s="3" t="s">
        <v>2</v>
      </c>
      <c r="C7" s="7" t="s">
        <v>3</v>
      </c>
      <c r="D7" s="5"/>
      <c r="E7" s="5"/>
      <c r="F7" s="5"/>
    </row>
    <row r="8" spans="2:6" ht="15.4">
      <c r="B8" s="8"/>
      <c r="C8" s="9"/>
      <c r="D8" s="5"/>
      <c r="E8" s="5"/>
      <c r="F8" s="5"/>
    </row>
    <row r="9" spans="2:6" ht="15.4">
      <c r="B9" s="10"/>
      <c r="C9" s="10"/>
      <c r="D9" s="5"/>
      <c r="E9" s="5"/>
      <c r="F9" s="5"/>
    </row>
    <row r="10" spans="2:6" ht="15.4">
      <c r="B10" s="10"/>
      <c r="C10" s="10"/>
      <c r="D10" s="5"/>
      <c r="E10" s="5"/>
      <c r="F10" s="5"/>
    </row>
    <row r="11" spans="2:6" ht="15.4">
      <c r="B11" s="10">
        <v>1</v>
      </c>
      <c r="C11" s="11" t="s">
        <v>4</v>
      </c>
      <c r="D11" s="5"/>
      <c r="E11" s="5"/>
      <c r="F11" s="5"/>
    </row>
    <row r="12" spans="2:6" ht="15.4">
      <c r="B12" s="10">
        <v>2</v>
      </c>
      <c r="C12" s="11" t="s">
        <v>5</v>
      </c>
      <c r="D12" s="5"/>
      <c r="E12" s="5"/>
      <c r="F12" s="5"/>
    </row>
    <row r="13" spans="2:6" ht="15.4">
      <c r="B13" s="10">
        <v>3</v>
      </c>
      <c r="C13" s="11" t="s">
        <v>6</v>
      </c>
      <c r="D13" s="5"/>
      <c r="E13" s="5"/>
      <c r="F13" s="5"/>
    </row>
    <row r="14" spans="2:6" ht="15.4">
      <c r="B14" s="10"/>
      <c r="C14" s="4"/>
      <c r="D14" s="5"/>
      <c r="E14" s="5"/>
      <c r="F14" s="5"/>
    </row>
    <row r="15" spans="2:6" ht="15.4">
      <c r="B15" s="10"/>
      <c r="C15" s="10"/>
      <c r="D15" s="5"/>
      <c r="E15" s="5"/>
      <c r="F15" s="5"/>
    </row>
    <row r="16" spans="2:6" ht="15.75">
      <c r="B16" s="12"/>
      <c r="C16" s="12"/>
    </row>
    <row r="17" spans="2:3" ht="15.75">
      <c r="B17" s="12"/>
      <c r="C17" s="12"/>
    </row>
    <row r="18" spans="2:3" ht="15.75">
      <c r="B18" s="12"/>
      <c r="C18" s="12"/>
    </row>
    <row r="19" spans="2:3" ht="15.75">
      <c r="B19" s="12"/>
      <c r="C19" s="12"/>
    </row>
  </sheetData>
  <hyperlinks>
    <hyperlink ref="C11" location="'1'!A1" display="Matriz de insumo producto doméstica a precio básico" xr:uid="{00000000-0004-0000-0000-000000000000}"/>
    <hyperlink ref="C12" location="'2'!A1" display="Matriz de coeficientes directos" xr:uid="{00000000-0004-0000-0000-000001000000}"/>
    <hyperlink ref="C13" location="'3'!A1" display="Matriz de coeficientes directos e indirectos (matriz inversa de Leontief)" xr:uid="{00000000-0004-0000-00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E120"/>
  <sheetViews>
    <sheetView showGridLines="0" zoomScale="80" zoomScaleNormal="80" workbookViewId="0">
      <selection activeCell="B10" sqref="B10"/>
    </sheetView>
  </sheetViews>
  <sheetFormatPr baseColWidth="10" defaultColWidth="10.265625" defaultRowHeight="13.15"/>
  <cols>
    <col min="1" max="1" width="9.265625" style="13" customWidth="1"/>
    <col min="2" max="2" width="4.3984375" style="13" customWidth="1"/>
    <col min="3" max="3" width="50.73046875" style="13" customWidth="1"/>
    <col min="4" max="4" width="29.3984375" style="13" customWidth="1"/>
    <col min="5" max="16384" width="10.265625" style="13"/>
  </cols>
  <sheetData>
    <row r="4" spans="1:5" ht="15">
      <c r="B4" s="3" t="s">
        <v>7</v>
      </c>
    </row>
    <row r="6" spans="1:5">
      <c r="B6" s="14"/>
      <c r="C6" s="14"/>
    </row>
    <row r="7" spans="1:5">
      <c r="C7" s="15"/>
    </row>
    <row r="8" spans="1:5">
      <c r="B8" s="16" t="s">
        <v>8</v>
      </c>
      <c r="C8" s="17"/>
    </row>
    <row r="9" spans="1:5">
      <c r="B9" s="18"/>
      <c r="C9" s="15"/>
    </row>
    <row r="10" spans="1:5" s="21" customFormat="1">
      <c r="A10" s="15"/>
      <c r="B10" s="19">
        <v>1</v>
      </c>
      <c r="C10" s="20" t="s">
        <v>9</v>
      </c>
      <c r="D10" s="13"/>
    </row>
    <row r="11" spans="1:5" s="21" customFormat="1">
      <c r="A11" s="15"/>
      <c r="B11" s="19">
        <v>2</v>
      </c>
      <c r="C11" s="20" t="s">
        <v>10</v>
      </c>
      <c r="D11" s="13"/>
    </row>
    <row r="12" spans="1:5" s="15" customFormat="1">
      <c r="B12" s="19">
        <v>3</v>
      </c>
      <c r="C12" s="20" t="s">
        <v>11</v>
      </c>
      <c r="D12" s="13"/>
      <c r="E12" s="21"/>
    </row>
    <row r="13" spans="1:5" s="15" customFormat="1">
      <c r="B13" s="19">
        <v>4</v>
      </c>
      <c r="C13" s="20" t="s">
        <v>12</v>
      </c>
      <c r="D13" s="13"/>
      <c r="E13" s="21"/>
    </row>
    <row r="14" spans="1:5" s="15" customFormat="1">
      <c r="A14" s="13"/>
      <c r="B14" s="19">
        <v>5</v>
      </c>
      <c r="C14" s="20" t="s">
        <v>13</v>
      </c>
      <c r="D14" s="13"/>
      <c r="E14" s="21"/>
    </row>
    <row r="15" spans="1:5" s="15" customFormat="1">
      <c r="A15" s="13"/>
      <c r="B15" s="19">
        <v>6</v>
      </c>
      <c r="C15" s="20" t="s">
        <v>14</v>
      </c>
      <c r="D15" s="13"/>
      <c r="E15" s="21"/>
    </row>
    <row r="16" spans="1:5" s="15" customFormat="1">
      <c r="A16" s="13"/>
      <c r="B16" s="19">
        <v>7</v>
      </c>
      <c r="C16" s="20" t="s">
        <v>15</v>
      </c>
      <c r="D16" s="13"/>
      <c r="E16" s="21"/>
    </row>
    <row r="17" spans="1:5" s="15" customFormat="1">
      <c r="A17" s="13"/>
      <c r="B17" s="19">
        <v>8</v>
      </c>
      <c r="C17" s="20" t="s">
        <v>16</v>
      </c>
      <c r="D17" s="13"/>
      <c r="E17" s="21"/>
    </row>
    <row r="18" spans="1:5" s="15" customFormat="1">
      <c r="A18" s="13"/>
      <c r="B18" s="19">
        <v>9</v>
      </c>
      <c r="C18" s="20" t="s">
        <v>17</v>
      </c>
      <c r="D18" s="13"/>
      <c r="E18" s="21"/>
    </row>
    <row r="19" spans="1:5" s="15" customFormat="1">
      <c r="A19" s="13"/>
      <c r="B19" s="19">
        <v>10</v>
      </c>
      <c r="C19" s="19" t="s">
        <v>18</v>
      </c>
      <c r="D19" s="13"/>
      <c r="E19" s="21"/>
    </row>
    <row r="20" spans="1:5" s="15" customFormat="1">
      <c r="A20" s="13"/>
      <c r="B20" s="19">
        <v>11</v>
      </c>
      <c r="C20" s="20" t="s">
        <v>19</v>
      </c>
      <c r="D20" s="13"/>
      <c r="E20" s="21"/>
    </row>
    <row r="21" spans="1:5" s="15" customFormat="1">
      <c r="A21" s="13"/>
      <c r="B21" s="19">
        <v>12</v>
      </c>
      <c r="C21" s="20" t="s">
        <v>20</v>
      </c>
      <c r="D21" s="13"/>
      <c r="E21" s="21"/>
    </row>
    <row r="22" spans="1:5" s="15" customFormat="1">
      <c r="A22" s="13"/>
      <c r="B22" s="19"/>
      <c r="C22" s="19"/>
      <c r="D22" s="13"/>
      <c r="E22" s="21"/>
    </row>
    <row r="23" spans="1:5" s="15" customFormat="1">
      <c r="A23" s="13"/>
      <c r="B23" s="14"/>
      <c r="C23" s="14"/>
      <c r="D23" s="13"/>
      <c r="E23" s="21"/>
    </row>
    <row r="24" spans="1:5" s="15" customFormat="1">
      <c r="A24" s="13"/>
      <c r="B24" s="13"/>
      <c r="C24" s="13"/>
      <c r="D24" s="13"/>
      <c r="E24" s="21"/>
    </row>
    <row r="25" spans="1:5" s="15" customFormat="1">
      <c r="A25" s="13"/>
      <c r="B25" s="13"/>
      <c r="C25" s="13"/>
      <c r="D25" s="13"/>
      <c r="E25" s="21"/>
    </row>
    <row r="26" spans="1:5" s="15" customFormat="1">
      <c r="A26" s="13"/>
      <c r="B26" s="13"/>
      <c r="C26" s="13"/>
      <c r="D26" s="13"/>
      <c r="E26" s="21"/>
    </row>
    <row r="27" spans="1:5" s="15" customFormat="1">
      <c r="A27" s="13"/>
      <c r="B27" s="13"/>
      <c r="C27" s="13"/>
      <c r="D27" s="13"/>
      <c r="E27" s="21"/>
    </row>
    <row r="28" spans="1:5" s="15" customFormat="1">
      <c r="A28" s="13"/>
      <c r="B28" s="13"/>
      <c r="C28" s="13"/>
      <c r="D28" s="13"/>
      <c r="E28" s="21"/>
    </row>
    <row r="29" spans="1:5" s="15" customFormat="1">
      <c r="A29" s="13"/>
      <c r="B29" s="13"/>
      <c r="C29" s="13"/>
      <c r="D29" s="13"/>
      <c r="E29" s="21"/>
    </row>
    <row r="30" spans="1:5" s="15" customFormat="1">
      <c r="A30" s="13"/>
      <c r="B30" s="13"/>
      <c r="C30" s="13"/>
      <c r="D30" s="13"/>
      <c r="E30" s="21"/>
    </row>
    <row r="31" spans="1:5" s="15" customFormat="1">
      <c r="A31" s="13"/>
      <c r="B31" s="13"/>
      <c r="C31" s="13"/>
      <c r="D31" s="13"/>
      <c r="E31" s="21"/>
    </row>
    <row r="32" spans="1:5" s="15" customFormat="1">
      <c r="A32" s="13"/>
      <c r="B32" s="13"/>
      <c r="C32" s="13"/>
      <c r="D32" s="13"/>
      <c r="E32" s="21"/>
    </row>
    <row r="33" spans="1:5" s="15" customFormat="1">
      <c r="A33" s="13"/>
      <c r="B33" s="13"/>
      <c r="C33" s="13"/>
      <c r="D33" s="13"/>
      <c r="E33" s="21"/>
    </row>
    <row r="34" spans="1:5" s="15" customFormat="1">
      <c r="A34" s="13"/>
      <c r="B34" s="13"/>
      <c r="C34" s="13"/>
      <c r="D34" s="13"/>
      <c r="E34" s="21"/>
    </row>
    <row r="35" spans="1:5" s="15" customFormat="1">
      <c r="A35" s="13"/>
      <c r="B35" s="13"/>
      <c r="C35" s="13"/>
      <c r="D35" s="13"/>
      <c r="E35" s="21"/>
    </row>
    <row r="36" spans="1:5" s="15" customFormat="1">
      <c r="A36" s="13"/>
      <c r="B36" s="13"/>
      <c r="C36" s="13"/>
      <c r="D36" s="13"/>
      <c r="E36" s="21"/>
    </row>
    <row r="37" spans="1:5" s="15" customFormat="1">
      <c r="A37" s="13"/>
      <c r="B37" s="13"/>
      <c r="C37" s="13"/>
      <c r="D37" s="13"/>
      <c r="E37" s="21"/>
    </row>
    <row r="38" spans="1:5" s="15" customFormat="1">
      <c r="A38" s="13"/>
      <c r="B38" s="13"/>
      <c r="C38" s="13"/>
      <c r="D38" s="13"/>
      <c r="E38" s="21"/>
    </row>
    <row r="39" spans="1:5" s="15" customFormat="1">
      <c r="A39" s="13"/>
      <c r="B39" s="13"/>
      <c r="C39" s="13"/>
      <c r="D39" s="13"/>
      <c r="E39" s="21"/>
    </row>
    <row r="40" spans="1:5" s="15" customFormat="1">
      <c r="A40" s="13"/>
      <c r="B40" s="13"/>
      <c r="C40" s="13"/>
      <c r="D40" s="13"/>
      <c r="E40" s="21"/>
    </row>
    <row r="41" spans="1:5" s="15" customFormat="1">
      <c r="A41" s="13"/>
      <c r="B41" s="13"/>
      <c r="C41" s="13"/>
      <c r="D41" s="13"/>
      <c r="E41" s="21"/>
    </row>
    <row r="42" spans="1:5" s="15" customFormat="1">
      <c r="A42" s="13"/>
      <c r="B42" s="13"/>
      <c r="C42" s="13"/>
      <c r="D42" s="13"/>
      <c r="E42" s="21"/>
    </row>
    <row r="43" spans="1:5" s="15" customFormat="1">
      <c r="A43" s="13"/>
      <c r="B43" s="13"/>
      <c r="C43" s="13"/>
      <c r="D43" s="13"/>
      <c r="E43" s="21"/>
    </row>
    <row r="44" spans="1:5" s="15" customFormat="1">
      <c r="A44" s="13"/>
      <c r="B44" s="13"/>
      <c r="C44" s="13"/>
      <c r="D44" s="13"/>
      <c r="E44" s="21"/>
    </row>
    <row r="45" spans="1:5" s="15" customFormat="1">
      <c r="A45" s="13"/>
      <c r="B45" s="13"/>
      <c r="C45" s="13"/>
      <c r="D45" s="13"/>
      <c r="E45" s="21"/>
    </row>
    <row r="46" spans="1:5" s="15" customFormat="1">
      <c r="A46" s="13"/>
      <c r="B46" s="13"/>
      <c r="C46" s="13"/>
      <c r="D46" s="13"/>
      <c r="E46" s="21"/>
    </row>
    <row r="47" spans="1:5" s="15" customFormat="1">
      <c r="A47" s="13"/>
      <c r="B47" s="13"/>
      <c r="C47" s="13"/>
      <c r="D47" s="13"/>
      <c r="E47" s="21"/>
    </row>
    <row r="48" spans="1:5" s="15" customFormat="1">
      <c r="A48" s="13"/>
      <c r="B48" s="13"/>
      <c r="C48" s="13"/>
      <c r="D48" s="13"/>
      <c r="E48" s="21"/>
    </row>
    <row r="49" spans="1:5" s="15" customFormat="1">
      <c r="A49" s="13"/>
      <c r="B49" s="13"/>
      <c r="C49" s="13"/>
      <c r="D49" s="13"/>
      <c r="E49" s="21"/>
    </row>
    <row r="50" spans="1:5" s="15" customFormat="1">
      <c r="A50" s="13"/>
      <c r="B50" s="13"/>
      <c r="C50" s="13"/>
      <c r="D50" s="13"/>
      <c r="E50" s="21"/>
    </row>
    <row r="51" spans="1:5" s="15" customFormat="1">
      <c r="A51" s="13"/>
      <c r="B51" s="13"/>
      <c r="C51" s="13"/>
      <c r="D51" s="13"/>
      <c r="E51" s="21"/>
    </row>
    <row r="52" spans="1:5" s="15" customFormat="1">
      <c r="A52" s="13"/>
      <c r="B52" s="13"/>
      <c r="C52" s="13"/>
      <c r="D52" s="13"/>
      <c r="E52" s="21"/>
    </row>
    <row r="53" spans="1:5" s="15" customFormat="1">
      <c r="A53" s="13"/>
      <c r="B53" s="13"/>
      <c r="C53" s="13"/>
      <c r="D53" s="13"/>
      <c r="E53" s="21"/>
    </row>
    <row r="54" spans="1:5" s="15" customFormat="1">
      <c r="A54" s="13"/>
      <c r="B54" s="13"/>
      <c r="C54" s="13"/>
      <c r="D54" s="13"/>
      <c r="E54" s="21"/>
    </row>
    <row r="55" spans="1:5" s="15" customFormat="1">
      <c r="A55" s="13"/>
      <c r="B55" s="13"/>
      <c r="C55" s="13"/>
      <c r="D55" s="13"/>
      <c r="E55" s="21"/>
    </row>
    <row r="56" spans="1:5" s="15" customFormat="1">
      <c r="A56" s="13"/>
      <c r="B56" s="13"/>
      <c r="C56" s="13"/>
      <c r="D56" s="13"/>
      <c r="E56" s="21"/>
    </row>
    <row r="57" spans="1:5" s="15" customFormat="1">
      <c r="A57" s="13"/>
      <c r="B57" s="13"/>
      <c r="C57" s="13"/>
      <c r="D57" s="13"/>
      <c r="E57" s="21"/>
    </row>
    <row r="58" spans="1:5" s="15" customFormat="1">
      <c r="A58" s="13"/>
      <c r="B58" s="13"/>
      <c r="C58" s="13"/>
      <c r="D58" s="13"/>
      <c r="E58" s="21"/>
    </row>
    <row r="59" spans="1:5" s="15" customFormat="1">
      <c r="A59" s="13"/>
      <c r="B59" s="13"/>
      <c r="C59" s="13"/>
      <c r="D59" s="13"/>
      <c r="E59" s="21"/>
    </row>
    <row r="60" spans="1:5" s="15" customFormat="1">
      <c r="A60" s="13"/>
      <c r="B60" s="13"/>
      <c r="C60" s="13"/>
      <c r="D60" s="13"/>
      <c r="E60" s="21"/>
    </row>
    <row r="61" spans="1:5" s="15" customFormat="1">
      <c r="A61" s="13"/>
      <c r="B61" s="13"/>
      <c r="C61" s="13"/>
      <c r="D61" s="13"/>
      <c r="E61" s="21"/>
    </row>
    <row r="62" spans="1:5" s="15" customFormat="1">
      <c r="A62" s="13"/>
      <c r="B62" s="13"/>
      <c r="C62" s="13"/>
      <c r="D62" s="13"/>
      <c r="E62" s="21"/>
    </row>
    <row r="63" spans="1:5" s="15" customFormat="1">
      <c r="A63" s="13"/>
      <c r="B63" s="13"/>
      <c r="C63" s="13"/>
      <c r="D63" s="13"/>
      <c r="E63" s="21"/>
    </row>
    <row r="64" spans="1:5" s="15" customFormat="1">
      <c r="A64" s="13"/>
      <c r="B64" s="13"/>
      <c r="C64" s="13"/>
      <c r="D64" s="13"/>
      <c r="E64" s="21"/>
    </row>
    <row r="65" spans="1:5" s="15" customFormat="1">
      <c r="A65" s="13"/>
      <c r="B65" s="13"/>
      <c r="C65" s="13"/>
      <c r="D65" s="13"/>
      <c r="E65" s="21"/>
    </row>
    <row r="66" spans="1:5" s="15" customFormat="1">
      <c r="A66" s="13"/>
      <c r="B66" s="13"/>
      <c r="C66" s="13"/>
      <c r="D66" s="13"/>
      <c r="E66" s="21"/>
    </row>
    <row r="67" spans="1:5" s="15" customFormat="1">
      <c r="A67" s="13"/>
      <c r="B67" s="13"/>
      <c r="C67" s="13"/>
      <c r="D67" s="13"/>
      <c r="E67" s="21"/>
    </row>
    <row r="68" spans="1:5" s="15" customFormat="1">
      <c r="A68" s="13"/>
      <c r="B68" s="13"/>
      <c r="C68" s="13"/>
      <c r="D68" s="13"/>
      <c r="E68" s="21"/>
    </row>
    <row r="69" spans="1:5" s="15" customFormat="1">
      <c r="A69" s="13"/>
      <c r="B69" s="13"/>
      <c r="C69" s="13"/>
      <c r="D69" s="13"/>
      <c r="E69" s="21"/>
    </row>
    <row r="70" spans="1:5" s="15" customFormat="1">
      <c r="A70" s="13"/>
      <c r="B70" s="13"/>
      <c r="C70" s="13"/>
      <c r="D70" s="13"/>
      <c r="E70" s="21"/>
    </row>
    <row r="71" spans="1:5" s="15" customFormat="1">
      <c r="A71" s="13"/>
      <c r="B71" s="13"/>
      <c r="C71" s="13"/>
      <c r="D71" s="13"/>
      <c r="E71" s="21"/>
    </row>
    <row r="72" spans="1:5" s="15" customFormat="1">
      <c r="A72" s="13"/>
      <c r="B72" s="13"/>
      <c r="C72" s="13"/>
      <c r="D72" s="13"/>
      <c r="E72" s="21"/>
    </row>
    <row r="73" spans="1:5" s="15" customFormat="1">
      <c r="A73" s="13"/>
      <c r="B73" s="13"/>
      <c r="C73" s="13"/>
      <c r="D73" s="13"/>
      <c r="E73" s="21"/>
    </row>
    <row r="74" spans="1:5" s="15" customFormat="1">
      <c r="A74" s="13"/>
      <c r="B74" s="13"/>
      <c r="C74" s="13"/>
      <c r="D74" s="13"/>
      <c r="E74" s="21"/>
    </row>
    <row r="75" spans="1:5" s="15" customFormat="1">
      <c r="A75" s="13"/>
      <c r="B75" s="13"/>
      <c r="C75" s="13"/>
      <c r="D75" s="13"/>
      <c r="E75" s="21"/>
    </row>
    <row r="76" spans="1:5" s="15" customFormat="1">
      <c r="A76" s="13"/>
      <c r="B76" s="13"/>
      <c r="C76" s="13"/>
      <c r="D76" s="13"/>
      <c r="E76" s="21"/>
    </row>
    <row r="77" spans="1:5" s="15" customFormat="1">
      <c r="A77" s="13"/>
      <c r="B77" s="13"/>
      <c r="C77" s="13"/>
      <c r="D77" s="13"/>
      <c r="E77" s="21"/>
    </row>
    <row r="78" spans="1:5" s="15" customFormat="1">
      <c r="A78" s="13"/>
      <c r="B78" s="13"/>
      <c r="C78" s="13"/>
      <c r="D78" s="13"/>
      <c r="E78" s="21"/>
    </row>
    <row r="79" spans="1:5" s="15" customFormat="1">
      <c r="A79" s="13"/>
      <c r="B79" s="13"/>
      <c r="C79" s="13"/>
      <c r="D79" s="13"/>
      <c r="E79" s="21"/>
    </row>
    <row r="80" spans="1:5" s="15" customFormat="1">
      <c r="A80" s="13"/>
      <c r="B80" s="13"/>
      <c r="C80" s="13"/>
      <c r="D80" s="13"/>
      <c r="E80" s="21"/>
    </row>
    <row r="81" spans="1:5" s="15" customFormat="1">
      <c r="A81" s="13"/>
      <c r="B81" s="13"/>
      <c r="C81" s="13"/>
      <c r="D81" s="13"/>
      <c r="E81" s="21"/>
    </row>
    <row r="82" spans="1:5" s="15" customFormat="1">
      <c r="A82" s="13"/>
      <c r="B82" s="13"/>
      <c r="C82" s="13"/>
      <c r="D82" s="13"/>
      <c r="E82" s="21"/>
    </row>
    <row r="83" spans="1:5" s="15" customFormat="1">
      <c r="A83" s="13"/>
      <c r="B83" s="13"/>
      <c r="C83" s="13"/>
      <c r="D83" s="13"/>
      <c r="E83" s="21"/>
    </row>
    <row r="84" spans="1:5" s="15" customFormat="1">
      <c r="A84" s="13"/>
      <c r="B84" s="13"/>
      <c r="C84" s="13"/>
      <c r="D84" s="13"/>
      <c r="E84" s="21"/>
    </row>
    <row r="85" spans="1:5" s="15" customFormat="1">
      <c r="A85" s="13"/>
      <c r="B85" s="13"/>
      <c r="C85" s="13"/>
      <c r="D85" s="13"/>
      <c r="E85" s="21"/>
    </row>
    <row r="86" spans="1:5" s="15" customFormat="1">
      <c r="A86" s="13"/>
      <c r="B86" s="13"/>
      <c r="C86" s="13"/>
      <c r="D86" s="13"/>
      <c r="E86" s="21"/>
    </row>
    <row r="87" spans="1:5" s="15" customFormat="1">
      <c r="A87" s="13"/>
      <c r="B87" s="13"/>
      <c r="C87" s="13"/>
      <c r="D87" s="13"/>
      <c r="E87" s="21"/>
    </row>
    <row r="88" spans="1:5" s="15" customFormat="1">
      <c r="A88" s="13"/>
      <c r="B88" s="13"/>
      <c r="C88" s="13"/>
      <c r="D88" s="13"/>
      <c r="E88" s="21"/>
    </row>
    <row r="89" spans="1:5" s="15" customFormat="1">
      <c r="A89" s="13"/>
      <c r="B89" s="13"/>
      <c r="C89" s="13"/>
      <c r="D89" s="13"/>
      <c r="E89" s="21"/>
    </row>
    <row r="90" spans="1:5" s="15" customFormat="1">
      <c r="A90" s="13"/>
      <c r="B90" s="13"/>
      <c r="C90" s="13"/>
      <c r="D90" s="13"/>
      <c r="E90" s="21"/>
    </row>
    <row r="91" spans="1:5" s="15" customFormat="1">
      <c r="A91" s="13"/>
      <c r="B91" s="13"/>
      <c r="C91" s="13"/>
      <c r="D91" s="13"/>
      <c r="E91" s="21"/>
    </row>
    <row r="92" spans="1:5" s="15" customFormat="1">
      <c r="A92" s="13"/>
      <c r="B92" s="13"/>
      <c r="C92" s="13"/>
      <c r="D92" s="13"/>
      <c r="E92" s="21"/>
    </row>
    <row r="93" spans="1:5" s="15" customFormat="1">
      <c r="A93" s="13"/>
      <c r="B93" s="13"/>
      <c r="C93" s="13"/>
      <c r="D93" s="13"/>
      <c r="E93" s="21"/>
    </row>
    <row r="94" spans="1:5" s="15" customFormat="1">
      <c r="A94" s="13"/>
      <c r="B94" s="13"/>
      <c r="C94" s="13"/>
      <c r="D94" s="13"/>
      <c r="E94" s="21"/>
    </row>
    <row r="95" spans="1:5" s="15" customFormat="1">
      <c r="A95" s="13"/>
      <c r="B95" s="13"/>
      <c r="C95" s="13"/>
      <c r="D95" s="13"/>
      <c r="E95" s="21"/>
    </row>
    <row r="96" spans="1:5" s="15" customFormat="1">
      <c r="A96" s="13"/>
      <c r="B96" s="13"/>
      <c r="C96" s="13"/>
      <c r="D96" s="13"/>
      <c r="E96" s="21"/>
    </row>
    <row r="97" spans="1:5" s="15" customFormat="1">
      <c r="A97" s="13"/>
      <c r="B97" s="13"/>
      <c r="C97" s="13"/>
      <c r="D97" s="13"/>
      <c r="E97" s="21"/>
    </row>
    <row r="98" spans="1:5" s="15" customFormat="1">
      <c r="A98" s="13"/>
      <c r="B98" s="13"/>
      <c r="C98" s="13"/>
      <c r="D98" s="13"/>
      <c r="E98" s="21"/>
    </row>
    <row r="99" spans="1:5" s="15" customFormat="1">
      <c r="A99" s="13"/>
      <c r="B99" s="13"/>
      <c r="C99" s="13"/>
      <c r="D99" s="13"/>
      <c r="E99" s="21"/>
    </row>
    <row r="100" spans="1:5" s="15" customFormat="1">
      <c r="A100" s="13"/>
      <c r="B100" s="13"/>
      <c r="C100" s="13"/>
      <c r="D100" s="13"/>
      <c r="E100" s="21"/>
    </row>
    <row r="101" spans="1:5" s="15" customFormat="1">
      <c r="A101" s="13"/>
      <c r="B101" s="13"/>
      <c r="C101" s="13"/>
      <c r="D101" s="13"/>
      <c r="E101" s="21"/>
    </row>
    <row r="102" spans="1:5" s="15" customFormat="1">
      <c r="A102" s="13"/>
      <c r="B102" s="13"/>
      <c r="C102" s="13"/>
      <c r="D102" s="13"/>
      <c r="E102" s="21"/>
    </row>
    <row r="103" spans="1:5" s="15" customFormat="1">
      <c r="A103" s="13"/>
      <c r="B103" s="13"/>
      <c r="C103" s="13"/>
      <c r="D103" s="13"/>
      <c r="E103" s="21"/>
    </row>
    <row r="104" spans="1:5" s="15" customFormat="1">
      <c r="A104" s="13"/>
      <c r="B104" s="13"/>
      <c r="C104" s="13"/>
      <c r="D104" s="13"/>
      <c r="E104" s="21"/>
    </row>
    <row r="105" spans="1:5" s="15" customFormat="1">
      <c r="A105" s="13"/>
      <c r="B105" s="13"/>
      <c r="C105" s="13"/>
      <c r="D105" s="13"/>
      <c r="E105" s="21"/>
    </row>
    <row r="106" spans="1:5" s="15" customFormat="1">
      <c r="A106" s="13"/>
      <c r="B106" s="13"/>
      <c r="C106" s="13"/>
      <c r="D106" s="13"/>
      <c r="E106" s="21"/>
    </row>
    <row r="107" spans="1:5" s="15" customFormat="1">
      <c r="A107" s="13"/>
      <c r="B107" s="13"/>
      <c r="C107" s="13"/>
      <c r="D107" s="13"/>
      <c r="E107" s="21"/>
    </row>
    <row r="108" spans="1:5" s="15" customFormat="1">
      <c r="A108" s="13"/>
      <c r="B108" s="13"/>
      <c r="C108" s="13"/>
      <c r="D108" s="13"/>
      <c r="E108" s="21"/>
    </row>
    <row r="109" spans="1:5" s="15" customFormat="1">
      <c r="A109" s="13"/>
      <c r="B109" s="13"/>
      <c r="C109" s="13"/>
      <c r="D109" s="13"/>
      <c r="E109" s="21"/>
    </row>
    <row r="110" spans="1:5" s="15" customFormat="1">
      <c r="A110" s="13"/>
      <c r="B110" s="13"/>
      <c r="C110" s="13"/>
      <c r="D110" s="13"/>
      <c r="E110" s="21"/>
    </row>
    <row r="111" spans="1:5" s="15" customFormat="1">
      <c r="A111" s="13"/>
      <c r="B111" s="13"/>
      <c r="C111" s="13"/>
      <c r="D111" s="13"/>
      <c r="E111" s="21"/>
    </row>
    <row r="112" spans="1:5" s="15" customFormat="1">
      <c r="A112" s="13"/>
      <c r="B112" s="13"/>
      <c r="C112" s="13"/>
      <c r="D112" s="13"/>
      <c r="E112" s="21"/>
    </row>
    <row r="113" spans="1:5" s="15" customFormat="1">
      <c r="A113" s="13"/>
      <c r="B113" s="13"/>
      <c r="C113" s="13"/>
      <c r="D113" s="13"/>
      <c r="E113" s="21"/>
    </row>
    <row r="114" spans="1:5" s="15" customFormat="1">
      <c r="A114" s="13"/>
      <c r="B114" s="13"/>
      <c r="C114" s="13"/>
      <c r="D114" s="13"/>
      <c r="E114" s="21"/>
    </row>
    <row r="115" spans="1:5" s="15" customFormat="1">
      <c r="A115" s="13"/>
      <c r="B115" s="13"/>
      <c r="C115" s="13"/>
      <c r="D115" s="13"/>
      <c r="E115" s="21"/>
    </row>
    <row r="116" spans="1:5" s="15" customFormat="1">
      <c r="A116" s="13"/>
      <c r="B116" s="13"/>
      <c r="C116" s="13"/>
      <c r="D116" s="13"/>
      <c r="E116" s="21"/>
    </row>
    <row r="117" spans="1:5" s="15" customFormat="1">
      <c r="A117" s="13"/>
      <c r="B117" s="13"/>
      <c r="C117" s="13"/>
      <c r="D117" s="13"/>
      <c r="E117" s="21"/>
    </row>
    <row r="118" spans="1:5" s="15" customFormat="1">
      <c r="A118" s="13"/>
      <c r="B118" s="13"/>
      <c r="C118" s="13"/>
      <c r="D118" s="13"/>
      <c r="E118" s="21"/>
    </row>
    <row r="119" spans="1:5" s="15" customFormat="1">
      <c r="A119" s="13"/>
      <c r="B119" s="13"/>
      <c r="C119" s="13"/>
      <c r="D119" s="13"/>
      <c r="E119" s="21"/>
    </row>
    <row r="120" spans="1:5" s="15" customFormat="1">
      <c r="A120" s="13"/>
      <c r="B120" s="13"/>
      <c r="C120" s="13"/>
      <c r="D120" s="13"/>
      <c r="E120" s="21"/>
    </row>
  </sheetData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Z357"/>
  <sheetViews>
    <sheetView showGridLines="0" tabSelected="1" topLeftCell="A45" zoomScale="72" zoomScaleNormal="72" workbookViewId="0">
      <selection activeCell="C62" sqref="C62"/>
    </sheetView>
  </sheetViews>
  <sheetFormatPr baseColWidth="10" defaultColWidth="11.3984375" defaultRowHeight="14.25"/>
  <cols>
    <col min="2" max="2" width="9.265625" customWidth="1"/>
    <col min="3" max="3" width="52.73046875" customWidth="1"/>
    <col min="4" max="15" width="15" customWidth="1"/>
    <col min="16" max="16" width="12.265625" customWidth="1"/>
    <col min="17" max="25" width="11.59765625" customWidth="1"/>
  </cols>
  <sheetData>
    <row r="1" spans="2:26" s="22" customFormat="1"/>
    <row r="2" spans="2:26" s="22" customFormat="1">
      <c r="C2" s="23" t="s">
        <v>21</v>
      </c>
    </row>
    <row r="3" spans="2:26" s="22" customFormat="1">
      <c r="C3" s="22" t="s">
        <v>22</v>
      </c>
    </row>
    <row r="4" spans="2:26" s="22" customFormat="1">
      <c r="C4" s="22" t="s">
        <v>23</v>
      </c>
    </row>
    <row r="5" spans="2:26" s="22" customFormat="1">
      <c r="C5" s="22" t="s">
        <v>24</v>
      </c>
    </row>
    <row r="6" spans="2:26" ht="12.75" customHeight="1">
      <c r="C6" s="24"/>
    </row>
    <row r="7" spans="2:26" ht="15" customHeight="1">
      <c r="B7" s="22"/>
      <c r="C7" s="25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</row>
    <row r="8" spans="2:26" ht="51.75" customHeight="1">
      <c r="B8" s="22"/>
      <c r="C8" s="27" t="s">
        <v>25</v>
      </c>
      <c r="D8" s="28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2"/>
      <c r="Q8" s="30" t="s">
        <v>26</v>
      </c>
      <c r="R8" s="30" t="s">
        <v>27</v>
      </c>
      <c r="S8" s="30" t="s">
        <v>28</v>
      </c>
      <c r="T8" s="30" t="s">
        <v>29</v>
      </c>
      <c r="U8" s="30" t="s">
        <v>30</v>
      </c>
      <c r="V8" s="30" t="s">
        <v>31</v>
      </c>
      <c r="W8" s="31" t="s">
        <v>32</v>
      </c>
      <c r="X8" s="31" t="s">
        <v>33</v>
      </c>
      <c r="Y8" s="30" t="s">
        <v>34</v>
      </c>
      <c r="Z8" s="30" t="s">
        <v>35</v>
      </c>
    </row>
    <row r="9" spans="2:26" ht="12.75" customHeight="1">
      <c r="B9" s="22"/>
      <c r="C9" s="22"/>
      <c r="D9" s="22">
        <v>1</v>
      </c>
      <c r="E9" s="22">
        <v>2</v>
      </c>
      <c r="F9" s="22">
        <v>3</v>
      </c>
      <c r="G9" s="22">
        <v>4</v>
      </c>
      <c r="H9" s="22">
        <v>5</v>
      </c>
      <c r="I9" s="22">
        <v>6</v>
      </c>
      <c r="J9" s="22">
        <v>7</v>
      </c>
      <c r="K9" s="22">
        <v>8</v>
      </c>
      <c r="L9" s="22">
        <v>9</v>
      </c>
      <c r="M9" s="22">
        <v>10</v>
      </c>
      <c r="N9" s="22">
        <v>11</v>
      </c>
      <c r="O9" s="22">
        <v>12</v>
      </c>
      <c r="P9" s="27" t="s">
        <v>36</v>
      </c>
      <c r="Q9" s="30"/>
      <c r="R9" s="30"/>
      <c r="S9" s="30"/>
      <c r="T9" s="30"/>
      <c r="U9" s="30"/>
      <c r="V9" s="30"/>
      <c r="W9" s="31"/>
    </row>
    <row r="10" spans="2:26">
      <c r="B10" s="2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3"/>
      <c r="Q10" s="33"/>
      <c r="R10" s="33"/>
      <c r="S10" s="33"/>
      <c r="T10" s="33"/>
      <c r="U10" s="33"/>
      <c r="V10" s="33"/>
      <c r="W10" s="33"/>
      <c r="Y10" s="34">
        <f>E33</f>
        <v>3769.3373881962302</v>
      </c>
    </row>
    <row r="11" spans="2:26"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7"/>
      <c r="R11" s="27"/>
      <c r="S11" s="27"/>
      <c r="T11" s="27"/>
      <c r="U11" s="27"/>
      <c r="V11" s="27"/>
      <c r="W11" s="27"/>
    </row>
    <row r="12" spans="2:26">
      <c r="B12">
        <v>1</v>
      </c>
      <c r="C12" s="35" t="s">
        <v>9</v>
      </c>
      <c r="D12" s="36">
        <v>4115.25324179359</v>
      </c>
      <c r="E12" s="36">
        <v>0.64223706650561796</v>
      </c>
      <c r="F12" s="36">
        <v>11866.038642245499</v>
      </c>
      <c r="G12" s="36">
        <v>41.408529901637003</v>
      </c>
      <c r="H12" s="36">
        <v>13.540523211729299</v>
      </c>
      <c r="I12" s="36">
        <v>323.509731222791</v>
      </c>
      <c r="J12" s="36">
        <v>3.7189800027750799</v>
      </c>
      <c r="K12" s="36">
        <v>1.1738699574293501</v>
      </c>
      <c r="L12" s="36">
        <v>4.6620560822918801E-2</v>
      </c>
      <c r="M12" s="36">
        <v>6.0921412337751102</v>
      </c>
      <c r="N12" s="36">
        <v>59.351152722115202</v>
      </c>
      <c r="O12" s="36">
        <v>62.713022185845801</v>
      </c>
      <c r="P12" s="37">
        <v>16493.4886921045</v>
      </c>
      <c r="Q12" s="38">
        <v>2783.6759149078298</v>
      </c>
      <c r="R12" s="38">
        <v>0</v>
      </c>
      <c r="S12" s="38">
        <v>2.66875104684202E-2</v>
      </c>
      <c r="T12" s="38">
        <v>790.68687043852901</v>
      </c>
      <c r="U12" s="38">
        <v>-133.35791971044401</v>
      </c>
      <c r="V12" s="38">
        <v>3460.4746110713099</v>
      </c>
      <c r="W12" s="37">
        <v>23394.994856322199</v>
      </c>
      <c r="X12" s="39">
        <f t="shared" ref="X12:X23" si="0">Q12/Q$25</f>
        <v>2.3354252310215581E-2</v>
      </c>
      <c r="Y12" s="40">
        <f t="shared" ref="Y12:Y23" si="1">$Y$10*X12</f>
        <v>88.030056406263782</v>
      </c>
      <c r="Z12">
        <f t="array" ref="Z12:Z23">MMULT(LCHL,Y12:Y23)</f>
        <v>292.59303255269407</v>
      </c>
    </row>
    <row r="13" spans="2:26">
      <c r="B13">
        <v>2</v>
      </c>
      <c r="C13" s="35" t="s">
        <v>10</v>
      </c>
      <c r="D13" s="36">
        <v>17.284374579552299</v>
      </c>
      <c r="E13" s="36">
        <v>5176.8488401808499</v>
      </c>
      <c r="F13" s="36">
        <v>3249.0835489237802</v>
      </c>
      <c r="G13" s="36">
        <v>69.390608604191996</v>
      </c>
      <c r="H13" s="36">
        <v>194.009306839316</v>
      </c>
      <c r="I13" s="36">
        <v>47.012198735913401</v>
      </c>
      <c r="J13" s="36">
        <v>26.834354104437399</v>
      </c>
      <c r="K13" s="36">
        <v>26.634541079722599</v>
      </c>
      <c r="L13" s="36">
        <v>5.9874064065828296</v>
      </c>
      <c r="M13" s="36">
        <v>48.327516181388397</v>
      </c>
      <c r="N13" s="36">
        <v>28.725164915130499</v>
      </c>
      <c r="O13" s="36">
        <v>9.61881187454585</v>
      </c>
      <c r="P13" s="37">
        <v>8899.7566724254102</v>
      </c>
      <c r="Q13" s="38">
        <v>46.319552771228203</v>
      </c>
      <c r="R13" s="38">
        <v>0</v>
      </c>
      <c r="S13" s="38">
        <v>2.72281232119271</v>
      </c>
      <c r="T13" s="38">
        <v>704.96650590998104</v>
      </c>
      <c r="U13" s="38">
        <v>-315.191664454614</v>
      </c>
      <c r="V13" s="38">
        <v>50201.314984253899</v>
      </c>
      <c r="W13" s="37">
        <v>59539.888863227097</v>
      </c>
      <c r="X13" s="39">
        <f t="shared" si="0"/>
        <v>3.8860792541341036E-4</v>
      </c>
      <c r="Y13" s="40">
        <f t="shared" si="1"/>
        <v>1.4647943826101397</v>
      </c>
      <c r="Z13">
        <v>50.404996904136993</v>
      </c>
    </row>
    <row r="14" spans="2:26">
      <c r="B14">
        <v>3</v>
      </c>
      <c r="C14" s="35" t="s">
        <v>11</v>
      </c>
      <c r="D14" s="36">
        <v>4649.3295943695402</v>
      </c>
      <c r="E14" s="36">
        <v>3599.66673294051</v>
      </c>
      <c r="F14" s="36">
        <v>12335.8393584939</v>
      </c>
      <c r="G14" s="36">
        <v>629.308291008693</v>
      </c>
      <c r="H14" s="36">
        <v>6599.0788607576997</v>
      </c>
      <c r="I14" s="36">
        <v>4798.4363534631502</v>
      </c>
      <c r="J14" s="36">
        <v>2849.6015364058599</v>
      </c>
      <c r="K14" s="36">
        <v>175.114884241901</v>
      </c>
      <c r="L14" s="36">
        <v>62.121383774444297</v>
      </c>
      <c r="M14" s="36">
        <v>724.34215505105794</v>
      </c>
      <c r="N14" s="36">
        <v>2143.2518453646298</v>
      </c>
      <c r="O14" s="36">
        <v>363.03962712611002</v>
      </c>
      <c r="P14" s="37">
        <v>38929.130622997502</v>
      </c>
      <c r="Q14" s="38">
        <v>22272.4960828564</v>
      </c>
      <c r="R14" s="38">
        <v>0</v>
      </c>
      <c r="S14" s="38">
        <v>86.443491400629199</v>
      </c>
      <c r="T14" s="38">
        <v>4045.8566431774598</v>
      </c>
      <c r="U14" s="38">
        <v>-300.63449098921097</v>
      </c>
      <c r="V14" s="38">
        <v>27660.472046589199</v>
      </c>
      <c r="W14" s="37">
        <v>92693.764396031998</v>
      </c>
      <c r="X14" s="39">
        <f t="shared" si="0"/>
        <v>0.18685993233322903</v>
      </c>
      <c r="Y14" s="40">
        <f t="shared" si="1"/>
        <v>704.33812929945782</v>
      </c>
      <c r="Z14">
        <v>1131.5576410721696</v>
      </c>
    </row>
    <row r="15" spans="2:26">
      <c r="B15">
        <v>4</v>
      </c>
      <c r="C15" s="35" t="s">
        <v>12</v>
      </c>
      <c r="D15" s="36">
        <v>245.39146240155199</v>
      </c>
      <c r="E15" s="36">
        <v>3380.9071105102398</v>
      </c>
      <c r="F15" s="36">
        <v>2940.48988717869</v>
      </c>
      <c r="G15" s="36">
        <v>2005.31790103347</v>
      </c>
      <c r="H15" s="36">
        <v>268.213885924826</v>
      </c>
      <c r="I15" s="36">
        <v>987.68203986104697</v>
      </c>
      <c r="J15" s="36">
        <v>498.25204850716</v>
      </c>
      <c r="K15" s="36">
        <v>134.92253182901899</v>
      </c>
      <c r="L15" s="36">
        <v>217.21723463459799</v>
      </c>
      <c r="M15" s="36">
        <v>231.67899014737</v>
      </c>
      <c r="N15" s="36">
        <v>487.05717689247598</v>
      </c>
      <c r="O15" s="36">
        <v>578.822278306935</v>
      </c>
      <c r="P15" s="37">
        <v>11975.9525472274</v>
      </c>
      <c r="Q15" s="38">
        <v>3763.8962261861502</v>
      </c>
      <c r="R15" s="38">
        <v>0</v>
      </c>
      <c r="S15" s="38">
        <v>83.1896652725015</v>
      </c>
      <c r="T15" s="38">
        <v>55.968353856951701</v>
      </c>
      <c r="U15" s="38">
        <v>0.45411780960103598</v>
      </c>
      <c r="V15" s="38">
        <v>81.481389629637704</v>
      </c>
      <c r="W15" s="37">
        <v>15960.9422999822</v>
      </c>
      <c r="X15" s="39">
        <f t="shared" si="0"/>
        <v>3.1578023025259444E-2</v>
      </c>
      <c r="Y15" s="40">
        <f t="shared" si="1"/>
        <v>119.02822283443186</v>
      </c>
      <c r="Z15">
        <v>238.99276831185469</v>
      </c>
    </row>
    <row r="16" spans="2:26">
      <c r="B16">
        <v>5</v>
      </c>
      <c r="C16" s="35" t="s">
        <v>13</v>
      </c>
      <c r="D16" s="36">
        <v>1.0332716340274699</v>
      </c>
      <c r="E16" s="36">
        <v>3.03562657661349</v>
      </c>
      <c r="F16" s="36">
        <v>10.808026343273401</v>
      </c>
      <c r="G16" s="36">
        <v>1.6691959202417901</v>
      </c>
      <c r="H16" s="36">
        <v>5292.5470910371196</v>
      </c>
      <c r="I16" s="36">
        <v>59.406447949104297</v>
      </c>
      <c r="J16" s="36">
        <v>30.303136590841198</v>
      </c>
      <c r="K16" s="36">
        <v>15.0793254022885</v>
      </c>
      <c r="L16" s="36">
        <v>2916.63553991872</v>
      </c>
      <c r="M16" s="36">
        <v>17.9963327689116</v>
      </c>
      <c r="N16" s="36">
        <v>20.730084837589899</v>
      </c>
      <c r="O16" s="36">
        <v>5.9405624169232096</v>
      </c>
      <c r="P16" s="37">
        <v>8375.18464139565</v>
      </c>
      <c r="Q16" s="38">
        <v>11.8029683309727</v>
      </c>
      <c r="R16" s="38">
        <v>0</v>
      </c>
      <c r="S16" s="38">
        <v>0.1294447411289</v>
      </c>
      <c r="T16" s="38">
        <v>28753.102909771202</v>
      </c>
      <c r="U16" s="38">
        <v>0</v>
      </c>
      <c r="V16" s="38">
        <v>5.6507347800817103</v>
      </c>
      <c r="W16" s="37">
        <v>37145.870699018997</v>
      </c>
      <c r="X16" s="39">
        <f t="shared" si="0"/>
        <v>9.9023560513921224E-5</v>
      </c>
      <c r="Y16" s="40">
        <f t="shared" si="1"/>
        <v>0.37325320895743519</v>
      </c>
      <c r="Z16">
        <v>98.009624404352479</v>
      </c>
    </row>
    <row r="17" spans="2:182">
      <c r="B17">
        <v>6</v>
      </c>
      <c r="C17" s="35" t="s">
        <v>14</v>
      </c>
      <c r="D17" s="36">
        <v>966.828337867551</v>
      </c>
      <c r="E17" s="36">
        <v>1770.78173229098</v>
      </c>
      <c r="F17" s="36">
        <v>4469.3141975411399</v>
      </c>
      <c r="G17" s="36">
        <v>315.07180350471401</v>
      </c>
      <c r="H17" s="36">
        <v>2349.13994433893</v>
      </c>
      <c r="I17" s="36">
        <v>4647.6657757804296</v>
      </c>
      <c r="J17" s="36">
        <v>2529.3725339900798</v>
      </c>
      <c r="K17" s="36">
        <v>350.694546136817</v>
      </c>
      <c r="L17" s="36">
        <v>60.121738354849597</v>
      </c>
      <c r="M17" s="36">
        <v>1133.36712202734</v>
      </c>
      <c r="N17" s="36">
        <v>1800.08683464193</v>
      </c>
      <c r="O17" s="36">
        <v>305.19939715018103</v>
      </c>
      <c r="P17" s="37">
        <v>20697.643963624902</v>
      </c>
      <c r="Q17" s="38">
        <v>30901.887330009002</v>
      </c>
      <c r="R17" s="38">
        <v>0</v>
      </c>
      <c r="S17" s="38">
        <v>715.54930083129898</v>
      </c>
      <c r="T17" s="38">
        <v>6164.3481824745704</v>
      </c>
      <c r="U17" s="38">
        <v>-2.5610536651533802</v>
      </c>
      <c r="V17" s="38">
        <v>3003.0162638239999</v>
      </c>
      <c r="W17" s="37">
        <v>61479.883987098598</v>
      </c>
      <c r="X17" s="39">
        <f t="shared" si="0"/>
        <v>0.25925808018882834</v>
      </c>
      <c r="Y17" s="40">
        <f t="shared" si="1"/>
        <v>977.23117484772706</v>
      </c>
      <c r="Z17">
        <v>1240.2855730446483</v>
      </c>
    </row>
    <row r="18" spans="2:182">
      <c r="B18">
        <v>7</v>
      </c>
      <c r="C18" s="35" t="s">
        <v>15</v>
      </c>
      <c r="D18" s="36">
        <v>1062.41337373839</v>
      </c>
      <c r="E18" s="36">
        <v>1833.5671296604201</v>
      </c>
      <c r="F18" s="36">
        <v>4744.7545438125098</v>
      </c>
      <c r="G18" s="36">
        <v>530.47941388537799</v>
      </c>
      <c r="H18" s="36">
        <v>1031.9693618789399</v>
      </c>
      <c r="I18" s="36">
        <v>7309.3569906340599</v>
      </c>
      <c r="J18" s="36">
        <v>8000.1396888265999</v>
      </c>
      <c r="K18" s="36">
        <v>904.076990242634</v>
      </c>
      <c r="L18" s="36">
        <v>77.339440803232705</v>
      </c>
      <c r="M18" s="36">
        <v>1471.00347319191</v>
      </c>
      <c r="N18" s="36">
        <v>863.62840417231996</v>
      </c>
      <c r="O18" s="36">
        <v>594.23803054473694</v>
      </c>
      <c r="P18" s="37">
        <v>28422.966841391099</v>
      </c>
      <c r="Q18" s="38">
        <v>11716.7713165484</v>
      </c>
      <c r="R18" s="38">
        <v>0</v>
      </c>
      <c r="S18" s="38">
        <v>10.022818548600499</v>
      </c>
      <c r="T18" s="38">
        <v>2908.8034916749398</v>
      </c>
      <c r="U18" s="38">
        <v>0</v>
      </c>
      <c r="V18" s="38">
        <v>4108.0305736087203</v>
      </c>
      <c r="W18" s="37">
        <v>47166.595041771798</v>
      </c>
      <c r="X18" s="39">
        <f t="shared" si="0"/>
        <v>9.8300391982530225E-2</v>
      </c>
      <c r="Y18" s="40">
        <f t="shared" si="1"/>
        <v>370.5273427740961</v>
      </c>
      <c r="Z18">
        <v>786.95162643646779</v>
      </c>
    </row>
    <row r="19" spans="2:182">
      <c r="B19">
        <v>8</v>
      </c>
      <c r="C19" s="35" t="s">
        <v>16</v>
      </c>
      <c r="D19" s="36">
        <v>310.096457400519</v>
      </c>
      <c r="E19" s="36">
        <v>274.665285257866</v>
      </c>
      <c r="F19" s="36">
        <v>810.19138986447899</v>
      </c>
      <c r="G19" s="36">
        <v>363.093240764916</v>
      </c>
      <c r="H19" s="36">
        <v>584.48260935479095</v>
      </c>
      <c r="I19" s="36">
        <v>1750.6706525790901</v>
      </c>
      <c r="J19" s="36">
        <v>635.75459166565099</v>
      </c>
      <c r="K19" s="36">
        <v>5982.5788079375097</v>
      </c>
      <c r="L19" s="36">
        <v>617.145346931993</v>
      </c>
      <c r="M19" s="36">
        <v>898.43815273963605</v>
      </c>
      <c r="N19" s="36">
        <v>327.83810411520699</v>
      </c>
      <c r="O19" s="36">
        <v>248.25606623159601</v>
      </c>
      <c r="P19" s="37">
        <v>12803.210704843301</v>
      </c>
      <c r="Q19" s="38">
        <v>7988.7193001477599</v>
      </c>
      <c r="R19" s="38">
        <v>0</v>
      </c>
      <c r="S19" s="38">
        <v>228.71296489010601</v>
      </c>
      <c r="T19" s="38">
        <v>61.206592899449099</v>
      </c>
      <c r="U19" s="38">
        <v>0</v>
      </c>
      <c r="V19" s="38">
        <v>723.43574874002195</v>
      </c>
      <c r="W19" s="37">
        <v>21805.285311520602</v>
      </c>
      <c r="X19" s="39">
        <f t="shared" si="0"/>
        <v>6.7023091722700462E-2</v>
      </c>
      <c r="Y19" s="40">
        <f t="shared" si="1"/>
        <v>252.63264550288014</v>
      </c>
      <c r="Z19">
        <v>485.04137038908527</v>
      </c>
    </row>
    <row r="20" spans="2:182">
      <c r="B20">
        <v>9</v>
      </c>
      <c r="C20" s="35" t="s">
        <v>17</v>
      </c>
      <c r="D20" s="36">
        <v>52.019252663173702</v>
      </c>
      <c r="E20" s="36">
        <v>56.805470824236501</v>
      </c>
      <c r="F20" s="36">
        <v>456.05277774667599</v>
      </c>
      <c r="G20" s="36">
        <v>48.7222917329726</v>
      </c>
      <c r="H20" s="36">
        <v>112.41270105040699</v>
      </c>
      <c r="I20" s="36">
        <v>2527.8830313909998</v>
      </c>
      <c r="J20" s="36">
        <v>644.81757888727202</v>
      </c>
      <c r="K20" s="36">
        <v>458.16230248225997</v>
      </c>
      <c r="L20" s="36">
        <v>332.54365020357102</v>
      </c>
      <c r="M20" s="36">
        <v>654.14719439340104</v>
      </c>
      <c r="N20" s="36">
        <v>893.16879355697404</v>
      </c>
      <c r="O20" s="36">
        <v>167.63692544160099</v>
      </c>
      <c r="P20" s="37">
        <v>6404.3719703735396</v>
      </c>
      <c r="Q20" s="38">
        <v>19091.525196647301</v>
      </c>
      <c r="R20" s="38">
        <v>0</v>
      </c>
      <c r="S20" s="38">
        <v>0.13745594412125101</v>
      </c>
      <c r="T20" s="38">
        <v>121.534460152824</v>
      </c>
      <c r="U20" s="38">
        <v>0</v>
      </c>
      <c r="V20" s="38">
        <v>49.574675015200199</v>
      </c>
      <c r="W20" s="37">
        <v>25667.143758132999</v>
      </c>
      <c r="X20" s="39">
        <f t="shared" si="0"/>
        <v>0.1601724877675289</v>
      </c>
      <c r="Y20" s="40">
        <f t="shared" si="1"/>
        <v>603.74414670254998</v>
      </c>
      <c r="Z20">
        <v>712.43101527525141</v>
      </c>
    </row>
    <row r="21" spans="2:182">
      <c r="B21">
        <v>10</v>
      </c>
      <c r="C21" s="35" t="s">
        <v>18</v>
      </c>
      <c r="D21" s="36">
        <v>749.34541065891801</v>
      </c>
      <c r="E21" s="36">
        <v>4370.2376709270902</v>
      </c>
      <c r="F21" s="36">
        <v>3411.4399274628299</v>
      </c>
      <c r="G21" s="36">
        <v>1061.47736964773</v>
      </c>
      <c r="H21" s="36">
        <v>1714.9704099583801</v>
      </c>
      <c r="I21" s="36">
        <v>5489.83292149107</v>
      </c>
      <c r="J21" s="36">
        <v>2646.5876239547902</v>
      </c>
      <c r="K21" s="36">
        <v>2399.67285664564</v>
      </c>
      <c r="L21" s="36">
        <v>453.41048516707002</v>
      </c>
      <c r="M21" s="36">
        <v>4585.6626193253796</v>
      </c>
      <c r="N21" s="36">
        <v>2007.4007782251001</v>
      </c>
      <c r="O21" s="36">
        <v>950.45330643330306</v>
      </c>
      <c r="P21" s="37">
        <v>29840.491379897299</v>
      </c>
      <c r="Q21" s="38">
        <v>1570.0364102033</v>
      </c>
      <c r="R21" s="38">
        <v>0</v>
      </c>
      <c r="S21" s="38">
        <v>73.2895736651829</v>
      </c>
      <c r="T21" s="38">
        <v>4072.6307240642</v>
      </c>
      <c r="U21" s="38">
        <v>5.1274777730822097E-4</v>
      </c>
      <c r="V21" s="38">
        <v>1232.2600711523</v>
      </c>
      <c r="W21" s="37">
        <v>36788.708671729997</v>
      </c>
      <c r="X21" s="39">
        <f t="shared" si="0"/>
        <v>1.3172160690023096E-2</v>
      </c>
      <c r="Y21" s="40">
        <f t="shared" si="1"/>
        <v>49.650317772232711</v>
      </c>
      <c r="Z21">
        <v>428.00635934043265</v>
      </c>
    </row>
    <row r="22" spans="2:182">
      <c r="B22">
        <v>11</v>
      </c>
      <c r="C22" s="35" t="s">
        <v>19</v>
      </c>
      <c r="D22" s="36">
        <v>26.146010446501101</v>
      </c>
      <c r="E22" s="36">
        <v>71.001522643679905</v>
      </c>
      <c r="F22" s="36">
        <v>104.661339389506</v>
      </c>
      <c r="G22" s="36">
        <v>18.745371145685699</v>
      </c>
      <c r="H22" s="36">
        <v>86.166105260201803</v>
      </c>
      <c r="I22" s="36">
        <v>172.29881171122699</v>
      </c>
      <c r="J22" s="36">
        <v>243.829670314428</v>
      </c>
      <c r="K22" s="36">
        <v>75.432657765664501</v>
      </c>
      <c r="L22" s="36">
        <v>10.201213527496</v>
      </c>
      <c r="M22" s="36">
        <v>92.444838416256303</v>
      </c>
      <c r="N22" s="36">
        <v>2107.4689255578901</v>
      </c>
      <c r="O22" s="36">
        <v>59.6508120616501</v>
      </c>
      <c r="P22" s="37">
        <v>3068.0472782401798</v>
      </c>
      <c r="Q22" s="38">
        <v>18747.7430455514</v>
      </c>
      <c r="R22" s="38">
        <v>1392.2380252579901</v>
      </c>
      <c r="S22" s="38">
        <v>21792.013073454</v>
      </c>
      <c r="T22" s="38">
        <v>642.23938588891895</v>
      </c>
      <c r="U22" s="38">
        <v>-8.2204399908404596E-3</v>
      </c>
      <c r="V22" s="38">
        <v>47.1601854889932</v>
      </c>
      <c r="W22" s="37">
        <v>45689.432773441498</v>
      </c>
      <c r="X22" s="39">
        <f t="shared" si="0"/>
        <v>0.15728825291337628</v>
      </c>
      <c r="Y22" s="40">
        <f t="shared" si="1"/>
        <v>592.8724924304538</v>
      </c>
      <c r="Z22">
        <v>634.98426088137069</v>
      </c>
    </row>
    <row r="23" spans="2:182">
      <c r="B23">
        <v>12</v>
      </c>
      <c r="C23" s="35" t="s">
        <v>20</v>
      </c>
      <c r="D23" s="36">
        <v>45.019161136860198</v>
      </c>
      <c r="E23" s="36">
        <v>105.958262841565</v>
      </c>
      <c r="F23" s="36">
        <v>162.04710559391401</v>
      </c>
      <c r="G23" s="36">
        <v>22.240215143348902</v>
      </c>
      <c r="H23" s="36">
        <v>24.677827243492299</v>
      </c>
      <c r="I23" s="36">
        <v>126.681653724993</v>
      </c>
      <c r="J23" s="36">
        <v>161.788940707075</v>
      </c>
      <c r="K23" s="36">
        <v>15.357297307656101</v>
      </c>
      <c r="L23" s="36">
        <v>5.3999492217985097</v>
      </c>
      <c r="M23" s="36">
        <v>24.258369001658</v>
      </c>
      <c r="N23" s="36">
        <v>36.656948973033401</v>
      </c>
      <c r="O23" s="36">
        <v>59.206027614482899</v>
      </c>
      <c r="P23" s="37">
        <v>789.29175850987804</v>
      </c>
      <c r="Q23" s="38">
        <v>298.66271651688101</v>
      </c>
      <c r="R23" s="38">
        <v>3.5741953963919302E-32</v>
      </c>
      <c r="S23" s="38">
        <v>15301.7421392264</v>
      </c>
      <c r="T23" s="38">
        <v>57.798044834621997</v>
      </c>
      <c r="U23" s="38">
        <v>-0.56305630084890801</v>
      </c>
      <c r="V23" s="38">
        <v>48.890801325195199</v>
      </c>
      <c r="W23" s="37">
        <v>16495.822404112201</v>
      </c>
      <c r="X23" s="39">
        <f t="shared" si="0"/>
        <v>2.5056955803781419E-3</v>
      </c>
      <c r="Y23" s="40">
        <f t="shared" si="1"/>
        <v>9.4448120345573834</v>
      </c>
      <c r="Z23">
        <v>19.080550486114344</v>
      </c>
    </row>
    <row r="24" spans="2:182">
      <c r="C24" s="22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Y24" s="42"/>
    </row>
    <row r="25" spans="2:182" ht="12.75" customHeight="1">
      <c r="B25" s="22"/>
      <c r="C25" s="28" t="s">
        <v>36</v>
      </c>
      <c r="D25" s="43">
        <v>12240.1599486902</v>
      </c>
      <c r="E25" s="43">
        <v>20644.117621720601</v>
      </c>
      <c r="F25" s="43">
        <v>44560.720744596198</v>
      </c>
      <c r="G25" s="43">
        <v>5106.9242322929804</v>
      </c>
      <c r="H25" s="43">
        <v>18271.208626855801</v>
      </c>
      <c r="I25" s="43">
        <v>28240.4366085439</v>
      </c>
      <c r="J25" s="43">
        <v>18271.000683957001</v>
      </c>
      <c r="K25" s="43">
        <v>10538.900611028501</v>
      </c>
      <c r="L25" s="43">
        <v>4758.1700095051801</v>
      </c>
      <c r="M25" s="43">
        <v>9887.7589044780907</v>
      </c>
      <c r="N25" s="43">
        <v>10775.364213974401</v>
      </c>
      <c r="O25" s="43">
        <v>3404.77486738791</v>
      </c>
      <c r="P25" s="43">
        <v>186699.53707303101</v>
      </c>
      <c r="Q25" s="43">
        <v>119193.536060677</v>
      </c>
      <c r="R25" s="43">
        <v>1392.2380252579901</v>
      </c>
      <c r="S25" s="43">
        <v>38293.979427805702</v>
      </c>
      <c r="T25" s="43">
        <v>48379.142165143698</v>
      </c>
      <c r="U25" s="43">
        <v>-751.86177500288397</v>
      </c>
      <c r="V25" s="43">
        <v>90621.762085478593</v>
      </c>
      <c r="W25" s="43">
        <v>483828.33306238998</v>
      </c>
      <c r="X25" s="39">
        <f>Q25/Q$25</f>
        <v>1</v>
      </c>
      <c r="Y25" s="42"/>
    </row>
    <row r="26" spans="2:182"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2:182"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42"/>
      <c r="Q27" s="42"/>
      <c r="R27" s="42"/>
      <c r="S27" s="42"/>
      <c r="T27" s="42"/>
      <c r="U27" s="42"/>
      <c r="V27" s="42"/>
      <c r="W27" s="42"/>
      <c r="X27" s="42"/>
    </row>
    <row r="28" spans="2:182" s="22" customFormat="1" ht="33" customHeight="1">
      <c r="C28" s="44" t="s">
        <v>37</v>
      </c>
      <c r="D28" s="43">
        <v>2621.9280808395702</v>
      </c>
      <c r="E28" s="43">
        <v>3729.7252105234402</v>
      </c>
      <c r="F28" s="43">
        <v>22990.792093446998</v>
      </c>
      <c r="G28" s="43">
        <v>4723.5612116698603</v>
      </c>
      <c r="H28" s="43">
        <v>3217.1655567732801</v>
      </c>
      <c r="I28" s="43">
        <v>4586.7670869257299</v>
      </c>
      <c r="J28" s="43">
        <v>8548.9234724597609</v>
      </c>
      <c r="K28" s="43">
        <v>2005.0088812497299</v>
      </c>
      <c r="L28" s="43">
        <v>63.643435442523</v>
      </c>
      <c r="M28" s="43">
        <v>1472.4797247086899</v>
      </c>
      <c r="N28" s="43">
        <v>1702.14424357346</v>
      </c>
      <c r="O28" s="43">
        <v>864.20392109573595</v>
      </c>
      <c r="P28" s="43">
        <v>56526.342918708797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</row>
    <row r="29" spans="2:182" s="22" customFormat="1" ht="33" customHeight="1">
      <c r="C29" s="45" t="s">
        <v>38</v>
      </c>
      <c r="D29" s="38">
        <v>-6.1578671835141803</v>
      </c>
      <c r="E29" s="38">
        <v>-25.855656096195101</v>
      </c>
      <c r="F29" s="38">
        <v>33.943738380840003</v>
      </c>
      <c r="G29" s="38">
        <v>-4.7832725479421603</v>
      </c>
      <c r="H29" s="38">
        <v>203.445339010206</v>
      </c>
      <c r="I29" s="38">
        <v>116.202501051558</v>
      </c>
      <c r="J29" s="38">
        <v>917.55740939538396</v>
      </c>
      <c r="K29" s="38">
        <v>580.02991606453895</v>
      </c>
      <c r="L29" s="38">
        <v>94.178253444138804</v>
      </c>
      <c r="M29" s="38">
        <v>339.14555392314799</v>
      </c>
      <c r="N29" s="38">
        <v>1463.9756721097399</v>
      </c>
      <c r="O29" s="38">
        <v>581.571134921929</v>
      </c>
      <c r="P29" s="38">
        <v>4293.2527224738296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</row>
    <row r="30" spans="2:182" s="22" customFormat="1" ht="33" customHeight="1">
      <c r="C30" s="46" t="s">
        <v>39</v>
      </c>
      <c r="D30" s="38">
        <v>29.741378628641701</v>
      </c>
      <c r="E30" s="38">
        <v>17.183697078207199</v>
      </c>
      <c r="F30" s="38">
        <v>181.622113509879</v>
      </c>
      <c r="G30" s="38">
        <v>27.4836054695878</v>
      </c>
      <c r="H30" s="38">
        <v>25.987829273780701</v>
      </c>
      <c r="I30" s="38">
        <v>50.736194820624398</v>
      </c>
      <c r="J30" s="38">
        <v>99.295578080373005</v>
      </c>
      <c r="K30" s="38">
        <v>2.6035014420280098</v>
      </c>
      <c r="L30" s="38">
        <v>0.85384691330617102</v>
      </c>
      <c r="M30" s="38">
        <v>16.745443087527502</v>
      </c>
      <c r="N30" s="38">
        <v>37.971329317198297</v>
      </c>
      <c r="O30" s="38">
        <v>7.59845604139137</v>
      </c>
      <c r="P30" s="38">
        <v>497.822973662545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</row>
    <row r="31" spans="2:182" s="22" customFormat="1">
      <c r="C31" s="46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</row>
    <row r="32" spans="2:182" s="22" customFormat="1">
      <c r="C32" s="47" t="s">
        <v>40</v>
      </c>
      <c r="D32" s="43">
        <v>8509.3233153470701</v>
      </c>
      <c r="E32" s="43">
        <v>35174.717990001103</v>
      </c>
      <c r="F32" s="43">
        <v>24926.685706098498</v>
      </c>
      <c r="G32" s="43">
        <v>6107.7565230977398</v>
      </c>
      <c r="H32" s="43">
        <v>15428.063347105901</v>
      </c>
      <c r="I32" s="43">
        <v>28485.741595756601</v>
      </c>
      <c r="J32" s="43">
        <v>19329.8178978793</v>
      </c>
      <c r="K32" s="43">
        <v>8678.7424017357498</v>
      </c>
      <c r="L32" s="43">
        <v>20750.2982128279</v>
      </c>
      <c r="M32" s="43">
        <v>25072.579045532701</v>
      </c>
      <c r="N32" s="43">
        <v>31709.9773144666</v>
      </c>
      <c r="O32" s="43">
        <v>11637.674024665101</v>
      </c>
      <c r="P32" s="43">
        <v>235811.37737451401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</row>
    <row r="33" spans="1:182" s="22" customFormat="1">
      <c r="C33" s="45" t="s">
        <v>41</v>
      </c>
      <c r="D33" s="38">
        <v>2645.6813348509299</v>
      </c>
      <c r="E33" s="38">
        <v>3769.3373881962302</v>
      </c>
      <c r="F33" s="38">
        <v>8599.0722529684699</v>
      </c>
      <c r="G33" s="38">
        <v>1424.91286425877</v>
      </c>
      <c r="H33" s="38">
        <v>8252.3108205320405</v>
      </c>
      <c r="I33" s="38">
        <v>17055.341752458899</v>
      </c>
      <c r="J33" s="38">
        <v>8964.3480012126893</v>
      </c>
      <c r="K33" s="38">
        <v>6293.9209253899198</v>
      </c>
      <c r="L33" s="38">
        <v>727.11375330752799</v>
      </c>
      <c r="M33" s="38">
        <v>11502.8835275453</v>
      </c>
      <c r="N33" s="38">
        <v>24353.8076407548</v>
      </c>
      <c r="O33" s="38">
        <v>9302.24205413864</v>
      </c>
      <c r="P33" s="38">
        <v>102890.972315614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</row>
    <row r="34" spans="1:182" s="22" customFormat="1">
      <c r="C34" s="45" t="s">
        <v>42</v>
      </c>
      <c r="D34" s="38">
        <v>5751.1043366804597</v>
      </c>
      <c r="E34" s="38">
        <v>31179.317011507101</v>
      </c>
      <c r="F34" s="38">
        <v>15959.068409142201</v>
      </c>
      <c r="G34" s="38">
        <v>4355.3374963269898</v>
      </c>
      <c r="H34" s="38">
        <v>6990.6379361599402</v>
      </c>
      <c r="I34" s="38">
        <v>10834.6186036074</v>
      </c>
      <c r="J34" s="38">
        <v>11032.4770171089</v>
      </c>
      <c r="K34" s="38">
        <v>1921.8604936491899</v>
      </c>
      <c r="L34" s="38">
        <v>18450.283562764202</v>
      </c>
      <c r="M34" s="38">
        <v>13396.4536596208</v>
      </c>
      <c r="N34" s="38">
        <v>7029.9534310788003</v>
      </c>
      <c r="O34" s="38">
        <v>2305.9620037279501</v>
      </c>
      <c r="P34" s="38">
        <v>129207.073961374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</row>
    <row r="35" spans="1:182" s="22" customFormat="1">
      <c r="C35" s="45" t="s">
        <v>43</v>
      </c>
      <c r="D35" s="38">
        <v>112.53764381568099</v>
      </c>
      <c r="E35" s="38">
        <v>226.06359029772699</v>
      </c>
      <c r="F35" s="38">
        <v>368.54504398785002</v>
      </c>
      <c r="G35" s="38">
        <v>327.50616251198198</v>
      </c>
      <c r="H35" s="38">
        <v>185.11459041396299</v>
      </c>
      <c r="I35" s="38">
        <v>595.78123969042099</v>
      </c>
      <c r="J35" s="38">
        <v>-667.00712044225997</v>
      </c>
      <c r="K35" s="38">
        <v>462.96098269664998</v>
      </c>
      <c r="L35" s="38">
        <v>1572.9008967561399</v>
      </c>
      <c r="M35" s="38">
        <v>173.24185836658299</v>
      </c>
      <c r="N35" s="38">
        <v>326.21624263303602</v>
      </c>
      <c r="O35" s="38">
        <v>29.4699667984614</v>
      </c>
      <c r="P35" s="38">
        <v>3713.3310975262302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</row>
    <row r="36" spans="1:182">
      <c r="C36" s="45" t="s">
        <v>108</v>
      </c>
      <c r="D36" s="1">
        <v>543414.2552600354</v>
      </c>
      <c r="E36" s="1">
        <v>270705.29433329316</v>
      </c>
      <c r="F36" s="1">
        <v>876618.95846015716</v>
      </c>
      <c r="G36" s="1">
        <v>102509.3552747238</v>
      </c>
      <c r="H36" s="1">
        <v>770153.95297323493</v>
      </c>
      <c r="I36" s="1">
        <v>2077617.9792199985</v>
      </c>
      <c r="J36" s="1">
        <v>754330.2698865257</v>
      </c>
      <c r="K36" s="1">
        <v>175600.15716049989</v>
      </c>
      <c r="L36" s="1">
        <v>106323.34188079527</v>
      </c>
      <c r="M36" s="1">
        <v>607315.50318981719</v>
      </c>
      <c r="N36" s="1">
        <v>2082106.8924713645</v>
      </c>
      <c r="O36" s="1">
        <v>496000.2635557754</v>
      </c>
    </row>
    <row r="37" spans="1:182" s="22" customFormat="1">
      <c r="C37" s="46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</row>
    <row r="38" spans="1:182" s="22" customFormat="1" ht="33" customHeight="1">
      <c r="C38" s="47" t="s">
        <v>109</v>
      </c>
      <c r="D38" s="43">
        <v>23394.9948563219</v>
      </c>
      <c r="E38" s="43">
        <v>59539.888863227097</v>
      </c>
      <c r="F38" s="43">
        <v>92693.764396032406</v>
      </c>
      <c r="G38" s="43">
        <v>15960.9422999822</v>
      </c>
      <c r="H38" s="43">
        <v>37145.870699018997</v>
      </c>
      <c r="I38" s="43">
        <v>61479.883987098401</v>
      </c>
      <c r="J38" s="43">
        <v>47166.595041771798</v>
      </c>
      <c r="K38" s="43">
        <v>21805.285311520602</v>
      </c>
      <c r="L38" s="43">
        <v>25667.143758132999</v>
      </c>
      <c r="M38" s="43">
        <v>36788.708671730099</v>
      </c>
      <c r="N38" s="43">
        <v>45689.432773441396</v>
      </c>
      <c r="O38" s="43">
        <v>16495.822404112001</v>
      </c>
      <c r="P38" s="43">
        <v>483828.33306238998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</row>
    <row r="39" spans="1:182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82">
      <c r="A40" t="s">
        <v>93</v>
      </c>
    </row>
    <row r="41" spans="1:182">
      <c r="C41" t="s">
        <v>40</v>
      </c>
      <c r="D41" s="48">
        <f t="shared" ref="D41:O41" si="2">D32/D$38</f>
        <v>0.36372409430334379</v>
      </c>
      <c r="E41" s="48">
        <f t="shared" si="2"/>
        <v>0.5907756742845659</v>
      </c>
      <c r="F41" s="48">
        <f t="shared" si="2"/>
        <v>0.26891437486128722</v>
      </c>
      <c r="G41" s="48">
        <f t="shared" si="2"/>
        <v>0.38266891818188903</v>
      </c>
      <c r="H41" s="48">
        <f t="shared" si="2"/>
        <v>0.41533723821187341</v>
      </c>
      <c r="I41" s="48">
        <f t="shared" si="2"/>
        <v>0.46333434203835444</v>
      </c>
      <c r="J41" s="48">
        <f t="shared" si="2"/>
        <v>0.40982008306430384</v>
      </c>
      <c r="K41" s="48">
        <f t="shared" si="2"/>
        <v>0.39801095366316641</v>
      </c>
      <c r="L41" s="48">
        <f t="shared" si="2"/>
        <v>0.80843814989164398</v>
      </c>
      <c r="M41" s="48">
        <f t="shared" si="2"/>
        <v>0.68152919607095275</v>
      </c>
      <c r="N41" s="48">
        <f t="shared" si="2"/>
        <v>0.69403307044116225</v>
      </c>
      <c r="O41" s="48">
        <f t="shared" si="2"/>
        <v>0.70549219915001726</v>
      </c>
    </row>
    <row r="42" spans="1:182">
      <c r="C42" t="s">
        <v>41</v>
      </c>
      <c r="D42" s="48">
        <f t="shared" ref="D42:O42" si="3">D33/D$38</f>
        <v>0.11308749376091451</v>
      </c>
      <c r="E42" s="48">
        <f t="shared" si="3"/>
        <v>6.3307766610969277E-2</v>
      </c>
      <c r="F42" s="48">
        <f t="shared" si="3"/>
        <v>9.2768616195465878E-2</v>
      </c>
      <c r="G42" s="48">
        <f t="shared" si="3"/>
        <v>8.9274983737041583E-2</v>
      </c>
      <c r="H42" s="48">
        <f t="shared" si="3"/>
        <v>0.22215957427402502</v>
      </c>
      <c r="I42" s="48">
        <f t="shared" si="3"/>
        <v>0.27741336916052045</v>
      </c>
      <c r="J42" s="48">
        <f t="shared" si="3"/>
        <v>0.19005713669332419</v>
      </c>
      <c r="K42" s="48">
        <f t="shared" si="3"/>
        <v>0.28864198910823652</v>
      </c>
      <c r="L42" s="48">
        <f t="shared" si="3"/>
        <v>2.832858070065282E-2</v>
      </c>
      <c r="M42" s="48">
        <f t="shared" si="3"/>
        <v>0.31267429444688749</v>
      </c>
      <c r="N42" s="48">
        <f t="shared" si="3"/>
        <v>0.53302932784298684</v>
      </c>
      <c r="O42" s="48">
        <f t="shared" si="3"/>
        <v>0.56391502201307775</v>
      </c>
    </row>
    <row r="43" spans="1:182">
      <c r="C43" t="s">
        <v>42</v>
      </c>
      <c r="D43" s="48">
        <f t="shared" ref="D43:O43" si="4">D34/D$38</f>
        <v>0.2458262706190068</v>
      </c>
      <c r="E43" s="48">
        <f t="shared" si="4"/>
        <v>0.52367106500872229</v>
      </c>
      <c r="F43" s="48">
        <f t="shared" si="4"/>
        <v>0.17216981652570904</v>
      </c>
      <c r="G43" s="48">
        <f t="shared" si="4"/>
        <v>0.27287470968000727</v>
      </c>
      <c r="H43" s="48">
        <f t="shared" si="4"/>
        <v>0.18819421390880359</v>
      </c>
      <c r="I43" s="48">
        <f t="shared" si="4"/>
        <v>0.17623030332785034</v>
      </c>
      <c r="J43" s="48">
        <f t="shared" si="4"/>
        <v>0.23390446156518804</v>
      </c>
      <c r="K43" s="48">
        <f t="shared" si="4"/>
        <v>8.8137369733648677E-2</v>
      </c>
      <c r="L43" s="48">
        <f t="shared" si="4"/>
        <v>0.71882885515525918</v>
      </c>
      <c r="M43" s="48">
        <f t="shared" si="4"/>
        <v>0.3641457975369265</v>
      </c>
      <c r="N43" s="48">
        <f t="shared" si="4"/>
        <v>0.15386388064693179</v>
      </c>
      <c r="O43" s="48">
        <f t="shared" si="4"/>
        <v>0.1397906662206263</v>
      </c>
    </row>
    <row r="44" spans="1:182">
      <c r="C44" t="s">
        <v>43</v>
      </c>
      <c r="D44" s="48">
        <f t="shared" ref="D44:O44" si="5">D35/D$38</f>
        <v>4.8103299234225124E-3</v>
      </c>
      <c r="E44" s="48">
        <f t="shared" si="5"/>
        <v>3.7968426648734965E-3</v>
      </c>
      <c r="F44" s="48">
        <f t="shared" si="5"/>
        <v>3.9759421401125549E-3</v>
      </c>
      <c r="G44" s="48">
        <f t="shared" si="5"/>
        <v>2.0519224764840308E-2</v>
      </c>
      <c r="H44" s="48">
        <f t="shared" si="5"/>
        <v>4.9834500290459414E-3</v>
      </c>
      <c r="I44" s="48">
        <f t="shared" si="5"/>
        <v>9.6906695499855873E-3</v>
      </c>
      <c r="J44" s="48">
        <f t="shared" si="5"/>
        <v>-1.4141515194207754E-2</v>
      </c>
      <c r="K44" s="48">
        <f t="shared" si="5"/>
        <v>2.1231594821281667E-2</v>
      </c>
      <c r="L44" s="48">
        <f t="shared" si="5"/>
        <v>6.1280714035730752E-2</v>
      </c>
      <c r="M44" s="48">
        <f t="shared" si="5"/>
        <v>4.7091040871382606E-3</v>
      </c>
      <c r="N44" s="48">
        <f t="shared" si="5"/>
        <v>7.1398619512444634E-3</v>
      </c>
      <c r="O44" s="48">
        <f t="shared" si="5"/>
        <v>1.7865109163102571E-3</v>
      </c>
    </row>
    <row r="45" spans="1:182">
      <c r="C45" t="s">
        <v>108</v>
      </c>
      <c r="D45" s="48">
        <f t="shared" ref="D45:O45" si="6">D36/D$38</f>
        <v>23.227799732265876</v>
      </c>
      <c r="E45" s="48">
        <f t="shared" si="6"/>
        <v>4.5466207529400613</v>
      </c>
      <c r="F45" s="48">
        <f t="shared" si="6"/>
        <v>9.4571513431563616</v>
      </c>
      <c r="G45" s="48">
        <f t="shared" si="6"/>
        <v>6.422512740669335</v>
      </c>
      <c r="H45" s="48">
        <f t="shared" si="6"/>
        <v>20.733231944232614</v>
      </c>
      <c r="I45" s="48">
        <f t="shared" si="6"/>
        <v>33.793459656755175</v>
      </c>
      <c r="J45" s="48">
        <f t="shared" si="6"/>
        <v>15.992892198779112</v>
      </c>
      <c r="K45" s="48">
        <f t="shared" si="6"/>
        <v>8.0531006428851146</v>
      </c>
      <c r="L45" s="48">
        <f t="shared" si="6"/>
        <v>4.1423908668102269</v>
      </c>
      <c r="M45" s="48">
        <f t="shared" si="6"/>
        <v>16.508203878776058</v>
      </c>
      <c r="N45" s="48">
        <f t="shared" si="6"/>
        <v>45.570863240868746</v>
      </c>
      <c r="O45" s="48">
        <f t="shared" si="6"/>
        <v>30.068234938813042</v>
      </c>
    </row>
    <row r="46" spans="1:182"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</row>
    <row r="47" spans="1:182">
      <c r="A47" t="s">
        <v>94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</row>
    <row r="48" spans="1:182">
      <c r="C48" t="s">
        <v>40</v>
      </c>
      <c r="D48" s="48">
        <f t="shared" ref="D48:O48" si="7">D281</f>
        <v>0.73193113208873084</v>
      </c>
      <c r="E48" s="48">
        <f t="shared" si="7"/>
        <v>0.85675379655339357</v>
      </c>
      <c r="F48" s="48">
        <f t="shared" si="7"/>
        <v>0.61688099580479638</v>
      </c>
      <c r="G48" s="48">
        <f t="shared" si="7"/>
        <v>0.61227973894550802</v>
      </c>
      <c r="H48" s="48">
        <f t="shared" si="7"/>
        <v>0.77544101944205168</v>
      </c>
      <c r="I48" s="48">
        <f t="shared" si="7"/>
        <v>0.81832400674658401</v>
      </c>
      <c r="J48" s="48">
        <f t="shared" si="7"/>
        <v>0.69902313771203883</v>
      </c>
      <c r="K48" s="48">
        <f t="shared" si="7"/>
        <v>0.79068434283248712</v>
      </c>
      <c r="L48" s="48">
        <f t="shared" si="7"/>
        <v>0.95534498197187245</v>
      </c>
      <c r="M48" s="48">
        <f t="shared" si="7"/>
        <v>0.90409635930933896</v>
      </c>
      <c r="N48" s="48">
        <f t="shared" si="7"/>
        <v>0.88225194902975523</v>
      </c>
      <c r="O48" s="48">
        <f t="shared" si="7"/>
        <v>0.86442890967275776</v>
      </c>
      <c r="R48">
        <v>250</v>
      </c>
    </row>
    <row r="49" spans="1:18">
      <c r="C49" t="s">
        <v>41</v>
      </c>
      <c r="D49" s="48">
        <f t="shared" ref="D49:O49" si="8">D300</f>
        <v>0.26002093128868831</v>
      </c>
      <c r="E49" s="48">
        <f t="shared" si="8"/>
        <v>0.15820581144558865</v>
      </c>
      <c r="F49" s="48">
        <f t="shared" si="8"/>
        <v>0.226381810661754</v>
      </c>
      <c r="G49" s="48">
        <f t="shared" si="8"/>
        <v>0.18224138734473516</v>
      </c>
      <c r="H49" s="48">
        <f t="shared" si="8"/>
        <v>0.38437904144964552</v>
      </c>
      <c r="I49" s="48">
        <f t="shared" si="8"/>
        <v>0.42829938270797546</v>
      </c>
      <c r="J49" s="48">
        <f t="shared" si="8"/>
        <v>0.31977747890351566</v>
      </c>
      <c r="K49" s="48">
        <f t="shared" si="8"/>
        <v>0.49911655042429748</v>
      </c>
      <c r="L49" s="48">
        <f t="shared" si="8"/>
        <v>9.7016097053622283E-2</v>
      </c>
      <c r="M49" s="48">
        <f t="shared" si="8"/>
        <v>0.41194151582071042</v>
      </c>
      <c r="N49" s="48">
        <f t="shared" si="8"/>
        <v>0.62189164276386233</v>
      </c>
      <c r="O49" s="48">
        <f t="shared" si="8"/>
        <v>0.63270718247112512</v>
      </c>
      <c r="R49">
        <v>269</v>
      </c>
    </row>
    <row r="50" spans="1:18">
      <c r="C50" t="s">
        <v>42</v>
      </c>
      <c r="D50" s="48">
        <f t="shared" ref="D50:O50" si="9">D319</f>
        <v>0.46269711671691621</v>
      </c>
      <c r="E50" s="48">
        <f t="shared" si="9"/>
        <v>0.6913264251136968</v>
      </c>
      <c r="F50" s="48">
        <f t="shared" si="9"/>
        <v>0.3822248207106565</v>
      </c>
      <c r="G50" s="48">
        <f t="shared" si="9"/>
        <v>0.40460356775900636</v>
      </c>
      <c r="H50" s="48">
        <f t="shared" si="9"/>
        <v>0.38133093315904265</v>
      </c>
      <c r="I50" s="48">
        <f t="shared" si="9"/>
        <v>0.37533001713559905</v>
      </c>
      <c r="J50" s="48">
        <f t="shared" si="9"/>
        <v>0.39218426289192598</v>
      </c>
      <c r="K50" s="48">
        <f t="shared" si="9"/>
        <v>0.25926987137131202</v>
      </c>
      <c r="L50" s="48">
        <f t="shared" si="9"/>
        <v>0.79395411827556839</v>
      </c>
      <c r="M50" s="48">
        <f t="shared" si="9"/>
        <v>0.48421979241308089</v>
      </c>
      <c r="N50" s="48">
        <f t="shared" si="9"/>
        <v>0.24988013199521603</v>
      </c>
      <c r="O50" s="48">
        <f t="shared" si="9"/>
        <v>0.22736108984804132</v>
      </c>
      <c r="R50">
        <v>288</v>
      </c>
    </row>
    <row r="51" spans="1:18">
      <c r="C51" t="s">
        <v>43</v>
      </c>
      <c r="D51" s="48">
        <f t="shared" ref="D51:O51" si="10">D338</f>
        <v>9.2130840831265159E-3</v>
      </c>
      <c r="E51" s="48">
        <f t="shared" si="10"/>
        <v>7.2215599941074151E-3</v>
      </c>
      <c r="F51" s="48">
        <f t="shared" si="10"/>
        <v>8.2743644323863396E-3</v>
      </c>
      <c r="G51" s="48">
        <f t="shared" si="10"/>
        <v>2.5434783841766773E-2</v>
      </c>
      <c r="H51" s="48">
        <f t="shared" si="10"/>
        <v>9.731044833365253E-3</v>
      </c>
      <c r="I51" s="48">
        <f t="shared" si="10"/>
        <v>1.4694606903011612E-2</v>
      </c>
      <c r="J51" s="48">
        <f t="shared" si="10"/>
        <v>-1.293860408340174E-2</v>
      </c>
      <c r="K51" s="48">
        <f t="shared" si="10"/>
        <v>3.2297921036878216E-2</v>
      </c>
      <c r="L51" s="48">
        <f t="shared" si="10"/>
        <v>6.4374766642680811E-2</v>
      </c>
      <c r="M51" s="48">
        <f t="shared" si="10"/>
        <v>7.9350510755472736E-3</v>
      </c>
      <c r="N51" s="48">
        <f t="shared" si="10"/>
        <v>1.0480174270677807E-2</v>
      </c>
      <c r="O51" s="48">
        <f t="shared" si="10"/>
        <v>4.3606373535883831E-3</v>
      </c>
      <c r="R51">
        <v>307</v>
      </c>
    </row>
    <row r="52" spans="1:18">
      <c r="C52" t="s">
        <v>108</v>
      </c>
      <c r="D52" s="48">
        <f t="shared" ref="D52:O52" si="11">D357</f>
        <v>39.081490480466229</v>
      </c>
      <c r="E52" s="48">
        <f t="shared" si="11"/>
        <v>11.820802285645961</v>
      </c>
      <c r="F52" s="48">
        <f t="shared" si="11"/>
        <v>23.124415773174519</v>
      </c>
      <c r="G52" s="48">
        <f t="shared" si="11"/>
        <v>13.013174807662319</v>
      </c>
      <c r="H52" s="48">
        <f t="shared" si="11"/>
        <v>35.200627962364756</v>
      </c>
      <c r="I52" s="48">
        <f t="shared" si="11"/>
        <v>45.889959387585662</v>
      </c>
      <c r="J52" s="48">
        <f t="shared" si="11"/>
        <v>26.605058190445199</v>
      </c>
      <c r="K52" s="48">
        <f t="shared" si="11"/>
        <v>18.142464990836519</v>
      </c>
      <c r="L52" s="48">
        <f t="shared" si="11"/>
        <v>9.4968965679826685</v>
      </c>
      <c r="M52" s="48">
        <f t="shared" si="11"/>
        <v>23.225445865040271</v>
      </c>
      <c r="N52" s="48">
        <f t="shared" si="11"/>
        <v>52.987865786889934</v>
      </c>
      <c r="O52" s="48">
        <f t="shared" si="11"/>
        <v>35.034473094064715</v>
      </c>
      <c r="R52">
        <v>326</v>
      </c>
    </row>
    <row r="53" spans="1:18"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</row>
    <row r="54" spans="1:18">
      <c r="A54" t="s">
        <v>95</v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</row>
    <row r="55" spans="1:18">
      <c r="C55" t="s">
        <v>40</v>
      </c>
      <c r="D55" s="49">
        <f t="shared" ref="D55:O55" si="12">D48/D41</f>
        <v>2.0123251210251265</v>
      </c>
      <c r="E55" s="49">
        <f t="shared" si="12"/>
        <v>1.4502184735194612</v>
      </c>
      <c r="F55" s="49">
        <f t="shared" si="12"/>
        <v>2.2939680934609727</v>
      </c>
      <c r="G55" s="49">
        <f t="shared" si="12"/>
        <v>1.600024746860891</v>
      </c>
      <c r="H55" s="49">
        <f t="shared" si="12"/>
        <v>1.8670153988130502</v>
      </c>
      <c r="I55" s="49">
        <f t="shared" si="12"/>
        <v>1.7661630759906932</v>
      </c>
      <c r="J55" s="49">
        <f t="shared" si="12"/>
        <v>1.7056829730873801</v>
      </c>
      <c r="K55" s="49">
        <f t="shared" si="12"/>
        <v>1.986589403018383</v>
      </c>
      <c r="L55" s="49">
        <f t="shared" si="12"/>
        <v>1.1817168476028979</v>
      </c>
      <c r="M55" s="49">
        <f t="shared" si="12"/>
        <v>1.3265702548350036</v>
      </c>
      <c r="N55" s="49">
        <f t="shared" si="12"/>
        <v>1.2711958357675257</v>
      </c>
      <c r="O55" s="49">
        <f t="shared" si="12"/>
        <v>1.2252848588747385</v>
      </c>
    </row>
    <row r="56" spans="1:18">
      <c r="C56" t="s">
        <v>41</v>
      </c>
      <c r="D56" s="49">
        <f t="shared" ref="D56:O56" si="13">D49/D42</f>
        <v>2.2992898917577498</v>
      </c>
      <c r="E56" s="49">
        <f t="shared" si="13"/>
        <v>2.4989953036532562</v>
      </c>
      <c r="F56" s="49">
        <f t="shared" si="13"/>
        <v>2.4402844404271553</v>
      </c>
      <c r="G56" s="49">
        <f t="shared" si="13"/>
        <v>2.0413488719474318</v>
      </c>
      <c r="H56" s="49">
        <f t="shared" si="13"/>
        <v>1.7301934553382301</v>
      </c>
      <c r="I56" s="49">
        <f t="shared" si="13"/>
        <v>1.5439031795909859</v>
      </c>
      <c r="J56" s="49">
        <f t="shared" si="13"/>
        <v>1.6825333921530552</v>
      </c>
      <c r="K56" s="49">
        <f t="shared" si="13"/>
        <v>1.7291889927945865</v>
      </c>
      <c r="L56" s="49">
        <f t="shared" si="13"/>
        <v>3.4246719974709707</v>
      </c>
      <c r="M56" s="49">
        <f t="shared" si="13"/>
        <v>1.3174780374876163</v>
      </c>
      <c r="N56" s="49">
        <f t="shared" si="13"/>
        <v>1.1667118679575759</v>
      </c>
      <c r="O56" s="49">
        <f t="shared" si="13"/>
        <v>1.1219902960067838</v>
      </c>
    </row>
    <row r="57" spans="1:18">
      <c r="C57" t="s">
        <v>42</v>
      </c>
      <c r="D57" s="49">
        <f t="shared" ref="D57:O57" si="14">D50/D43</f>
        <v>1.8822118382702315</v>
      </c>
      <c r="E57" s="49">
        <f t="shared" si="14"/>
        <v>1.3201539502706381</v>
      </c>
      <c r="F57" s="49">
        <f t="shared" si="14"/>
        <v>2.2200454668753236</v>
      </c>
      <c r="G57" s="49">
        <f t="shared" si="14"/>
        <v>1.4827448400530556</v>
      </c>
      <c r="H57" s="49">
        <f t="shared" si="14"/>
        <v>2.0262627911814044</v>
      </c>
      <c r="I57" s="49">
        <f t="shared" si="14"/>
        <v>2.1297700227942822</v>
      </c>
      <c r="J57" s="49">
        <f t="shared" si="14"/>
        <v>1.6766856872570861</v>
      </c>
      <c r="K57" s="49">
        <f t="shared" si="14"/>
        <v>2.9416565544765647</v>
      </c>
      <c r="L57" s="49">
        <f t="shared" si="14"/>
        <v>1.1045106391897457</v>
      </c>
      <c r="M57" s="49">
        <f t="shared" si="14"/>
        <v>1.3297415367370213</v>
      </c>
      <c r="N57" s="49">
        <f t="shared" si="14"/>
        <v>1.6240337299733827</v>
      </c>
      <c r="O57" s="49">
        <f t="shared" si="14"/>
        <v>1.6264397044163588</v>
      </c>
    </row>
    <row r="58" spans="1:18">
      <c r="C58" t="s">
        <v>43</v>
      </c>
      <c r="D58" s="49">
        <f t="shared" ref="D58:O58" si="15">D51/D44</f>
        <v>1.9152707256660428</v>
      </c>
      <c r="E58" s="49">
        <f t="shared" si="15"/>
        <v>1.901990846478234</v>
      </c>
      <c r="F58" s="49">
        <f t="shared" si="15"/>
        <v>2.0811078584136791</v>
      </c>
      <c r="G58" s="49">
        <f t="shared" si="15"/>
        <v>1.2395587130245425</v>
      </c>
      <c r="H58" s="49">
        <f t="shared" si="15"/>
        <v>1.9526723006447437</v>
      </c>
      <c r="I58" s="49">
        <f t="shared" si="15"/>
        <v>1.5163665242339697</v>
      </c>
      <c r="J58" s="49">
        <f t="shared" si="15"/>
        <v>0.91493760786689127</v>
      </c>
      <c r="K58" s="49">
        <f t="shared" si="15"/>
        <v>1.5212197344923013</v>
      </c>
      <c r="L58" s="49">
        <f t="shared" si="15"/>
        <v>1.0504898262958557</v>
      </c>
      <c r="M58" s="49">
        <f t="shared" si="15"/>
        <v>1.6850447407225251</v>
      </c>
      <c r="N58" s="49">
        <f t="shared" si="15"/>
        <v>1.4678399025419719</v>
      </c>
      <c r="O58" s="49">
        <f t="shared" si="15"/>
        <v>2.4408680147303876</v>
      </c>
    </row>
    <row r="59" spans="1:18">
      <c r="C59" t="s">
        <v>108</v>
      </c>
      <c r="D59" s="49">
        <f t="shared" ref="D59:O59" si="16">D52/D45</f>
        <v>1.6825308867364608</v>
      </c>
      <c r="E59" s="49">
        <f t="shared" si="16"/>
        <v>2.5999094553910322</v>
      </c>
      <c r="F59" s="49">
        <f t="shared" si="16"/>
        <v>2.4451777215036778</v>
      </c>
      <c r="G59" s="49">
        <f t="shared" si="16"/>
        <v>2.0261812367080059</v>
      </c>
      <c r="H59" s="49">
        <f t="shared" si="16"/>
        <v>1.6977877861515245</v>
      </c>
      <c r="I59" s="49">
        <f t="shared" si="16"/>
        <v>1.3579538719532211</v>
      </c>
      <c r="J59" s="49">
        <f t="shared" si="16"/>
        <v>1.6635551506109829</v>
      </c>
      <c r="K59" s="49">
        <f t="shared" si="16"/>
        <v>2.2528546202716742</v>
      </c>
      <c r="L59" s="49">
        <f t="shared" si="16"/>
        <v>2.2926123761217112</v>
      </c>
      <c r="M59" s="49">
        <f t="shared" si="16"/>
        <v>1.4069032606812122</v>
      </c>
      <c r="N59" s="49">
        <f t="shared" si="16"/>
        <v>1.1627575608304364</v>
      </c>
      <c r="O59" s="49">
        <f t="shared" si="16"/>
        <v>1.1651656030145319</v>
      </c>
    </row>
    <row r="60" spans="1:18"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</row>
    <row r="61" spans="1:18">
      <c r="A61" t="s">
        <v>92</v>
      </c>
    </row>
    <row r="63" spans="1:18">
      <c r="C63" t="s">
        <v>61</v>
      </c>
      <c r="D63" s="1">
        <v>4680.6456875782596</v>
      </c>
      <c r="E63" s="1">
        <v>658.13612473577905</v>
      </c>
      <c r="F63" s="1">
        <v>4383.9338102347801</v>
      </c>
      <c r="G63" s="1">
        <v>1147.61355359138</v>
      </c>
      <c r="H63" s="1">
        <v>6474.9191487382604</v>
      </c>
      <c r="I63" s="1">
        <v>11567.4533569096</v>
      </c>
      <c r="J63" s="1">
        <v>4146.2864089107597</v>
      </c>
      <c r="K63" s="1">
        <v>396.66654979592698</v>
      </c>
      <c r="L63" s="1">
        <v>132.397142794628</v>
      </c>
      <c r="M63" s="1">
        <v>3130.2629027166499</v>
      </c>
      <c r="N63" s="1">
        <v>12877.2281816782</v>
      </c>
      <c r="O63" s="1">
        <v>8350.8409451797306</v>
      </c>
    </row>
    <row r="64" spans="1:18">
      <c r="C64" t="s">
        <v>63</v>
      </c>
      <c r="D64" s="1">
        <v>3688.3357945412799</v>
      </c>
      <c r="E64" s="1">
        <v>62335.322398645498</v>
      </c>
      <c r="F64" s="1">
        <v>25159.967175539099</v>
      </c>
      <c r="G64" s="1">
        <v>7051.1443307507598</v>
      </c>
      <c r="H64" s="1">
        <v>22220.189567155099</v>
      </c>
      <c r="I64" s="1">
        <v>71590.978431043797</v>
      </c>
      <c r="J64" s="1">
        <v>29650.8479177341</v>
      </c>
      <c r="K64" s="1">
        <v>2405.2359950329501</v>
      </c>
      <c r="L64" s="1">
        <v>3980.9754286257298</v>
      </c>
      <c r="M64" s="1">
        <v>20650.627629610099</v>
      </c>
      <c r="N64" s="1">
        <v>60312.630792870703</v>
      </c>
      <c r="O64" s="1">
        <v>18831.328814358101</v>
      </c>
    </row>
    <row r="65" spans="3:15">
      <c r="C65" t="s">
        <v>65</v>
      </c>
      <c r="D65" s="1">
        <v>7611.0193392362798</v>
      </c>
      <c r="E65" s="1">
        <v>5669.1629720466499</v>
      </c>
      <c r="F65" s="1">
        <v>7198.2748028083997</v>
      </c>
      <c r="G65" s="1">
        <v>773.50841743292301</v>
      </c>
      <c r="H65" s="1">
        <v>10466.9657456935</v>
      </c>
      <c r="I65" s="1">
        <v>27275.164794996399</v>
      </c>
      <c r="J65" s="1">
        <v>8099.8233531343403</v>
      </c>
      <c r="K65" s="1">
        <v>958.82884918134505</v>
      </c>
      <c r="L65" s="1">
        <v>671.28028240857304</v>
      </c>
      <c r="M65" s="1">
        <v>5403.1958874270804</v>
      </c>
      <c r="N65" s="1">
        <v>21806.504028585001</v>
      </c>
      <c r="O65" s="1">
        <v>14903.9933683735</v>
      </c>
    </row>
    <row r="66" spans="3:15">
      <c r="C66" t="s">
        <v>67</v>
      </c>
      <c r="D66" s="1">
        <v>54945.858335374302</v>
      </c>
      <c r="E66" s="1">
        <v>1392.0087063767</v>
      </c>
      <c r="F66" s="1">
        <v>38803.962469711303</v>
      </c>
      <c r="G66" s="1">
        <v>3714.0325129277799</v>
      </c>
      <c r="H66" s="1">
        <v>45442.289171254597</v>
      </c>
      <c r="I66" s="1">
        <v>81881.518404898306</v>
      </c>
      <c r="J66" s="1">
        <v>21926.19952722</v>
      </c>
      <c r="K66" s="1">
        <v>4516.4581352103196</v>
      </c>
      <c r="L66" s="1">
        <v>1694.6279067349501</v>
      </c>
      <c r="M66" s="1">
        <v>18917.541229029699</v>
      </c>
      <c r="N66" s="1">
        <v>104238.182761816</v>
      </c>
      <c r="O66" s="1">
        <v>30052.634131250099</v>
      </c>
    </row>
    <row r="67" spans="3:15">
      <c r="C67" t="s">
        <v>69</v>
      </c>
      <c r="D67" s="1">
        <v>6061.0875664048899</v>
      </c>
      <c r="E67" s="1">
        <v>27829.454444911298</v>
      </c>
      <c r="F67" s="1">
        <v>12074.2795692125</v>
      </c>
      <c r="G67" s="1">
        <v>3759.9837619608602</v>
      </c>
      <c r="H67" s="1">
        <v>9482.5732760697592</v>
      </c>
      <c r="I67" s="1">
        <v>31158.537538229299</v>
      </c>
      <c r="J67" s="1">
        <v>7970.1387426441997</v>
      </c>
      <c r="K67" s="1">
        <v>1602.2824874600699</v>
      </c>
      <c r="L67" s="1">
        <v>559.857950510617</v>
      </c>
      <c r="M67" s="1">
        <v>5288.0676388718903</v>
      </c>
      <c r="N67" s="1">
        <v>25170.486892958601</v>
      </c>
      <c r="O67" s="1">
        <v>11438.051516277201</v>
      </c>
    </row>
    <row r="68" spans="3:15">
      <c r="C68" t="s">
        <v>71</v>
      </c>
      <c r="D68" s="1">
        <v>42479.533961399298</v>
      </c>
      <c r="E68" s="1">
        <v>12226.4282949565</v>
      </c>
      <c r="F68" s="1">
        <v>95419.579669618397</v>
      </c>
      <c r="G68" s="1">
        <v>8517.5463698094209</v>
      </c>
      <c r="H68" s="1">
        <v>59602.3131100713</v>
      </c>
      <c r="I68" s="1">
        <v>150018.778145786</v>
      </c>
      <c r="J68" s="1">
        <v>50451.652426651497</v>
      </c>
      <c r="K68" s="1">
        <v>6804.3729500413601</v>
      </c>
      <c r="L68" s="1">
        <v>4124.0251998799304</v>
      </c>
      <c r="M68" s="1">
        <v>31122.071592543201</v>
      </c>
      <c r="N68" s="1">
        <v>180092.501833149</v>
      </c>
      <c r="O68" s="1">
        <v>44372.568487923301</v>
      </c>
    </row>
    <row r="69" spans="3:15">
      <c r="C69" t="s">
        <v>73</v>
      </c>
      <c r="D69" s="1">
        <v>29405.315136905901</v>
      </c>
      <c r="E69" s="1">
        <v>39397.023294844999</v>
      </c>
      <c r="F69" s="1">
        <v>20684.639763642299</v>
      </c>
      <c r="G69" s="1">
        <v>4945.0597835870503</v>
      </c>
      <c r="H69" s="1">
        <v>32377.744761990802</v>
      </c>
      <c r="I69" s="1">
        <v>87439.888748014302</v>
      </c>
      <c r="J69" s="1">
        <v>19244.333634086601</v>
      </c>
      <c r="K69" s="1">
        <v>2398.1914269767499</v>
      </c>
      <c r="L69" s="1">
        <v>5165.9852624102996</v>
      </c>
      <c r="M69" s="1">
        <v>16941.852420626499</v>
      </c>
      <c r="N69" s="1">
        <v>77029.840743031906</v>
      </c>
      <c r="O69" s="1">
        <v>19203.469775297501</v>
      </c>
    </row>
    <row r="70" spans="3:15">
      <c r="C70" t="s">
        <v>75</v>
      </c>
      <c r="D70" s="1">
        <v>79018.695517829605</v>
      </c>
      <c r="E70" s="1">
        <v>18724.797145853201</v>
      </c>
      <c r="F70" s="1">
        <v>46180.568174705302</v>
      </c>
      <c r="G70" s="1">
        <v>4911.6295459790999</v>
      </c>
      <c r="H70" s="1">
        <v>35758.2043447416</v>
      </c>
      <c r="I70" s="1">
        <v>95828.586412282195</v>
      </c>
      <c r="J70" s="1">
        <v>21462.581825368299</v>
      </c>
      <c r="K70" s="1">
        <v>3637.5664446257601</v>
      </c>
      <c r="L70" s="1">
        <v>2781.2382072400201</v>
      </c>
      <c r="M70" s="1">
        <v>17729.268484889599</v>
      </c>
      <c r="N70" s="1">
        <v>82137.972025819996</v>
      </c>
      <c r="O70" s="1">
        <v>20738.639813173999</v>
      </c>
    </row>
    <row r="71" spans="3:15">
      <c r="C71" t="s">
        <v>77</v>
      </c>
      <c r="D71" s="1">
        <v>40790.275632111698</v>
      </c>
      <c r="E71" s="1">
        <v>290.04236158900301</v>
      </c>
      <c r="F71" s="1">
        <v>52446.389393872902</v>
      </c>
      <c r="G71" s="1">
        <v>4474.6587686010198</v>
      </c>
      <c r="H71" s="1">
        <v>32779.3808299675</v>
      </c>
      <c r="I71" s="1">
        <v>71032.331363808204</v>
      </c>
      <c r="J71" s="1">
        <v>27891.592475498801</v>
      </c>
      <c r="K71" s="1">
        <v>2093.0816280927902</v>
      </c>
      <c r="L71" s="1">
        <v>2947.90580565252</v>
      </c>
      <c r="M71" s="1">
        <v>19013.853271641699</v>
      </c>
      <c r="N71" s="1">
        <v>66635.415211788699</v>
      </c>
      <c r="O71" s="1">
        <v>22069.674848951101</v>
      </c>
    </row>
    <row r="72" spans="3:15">
      <c r="C72" t="s">
        <v>79</v>
      </c>
      <c r="D72" s="1">
        <v>22353.287009738298</v>
      </c>
      <c r="E72" s="1">
        <v>424.72311720340599</v>
      </c>
      <c r="F72" s="1">
        <v>19995.168674223201</v>
      </c>
      <c r="G72" s="1">
        <v>1783.96528944281</v>
      </c>
      <c r="H72" s="1">
        <v>16368.981607202701</v>
      </c>
      <c r="I72" s="1">
        <v>35724.897577352298</v>
      </c>
      <c r="J72" s="1">
        <v>10054.340122785999</v>
      </c>
      <c r="K72" s="1">
        <v>1827.1994513073701</v>
      </c>
      <c r="L72" s="1">
        <v>1177.1603387428299</v>
      </c>
      <c r="M72" s="1">
        <v>10092.913614814601</v>
      </c>
      <c r="N72" s="1">
        <v>43996.1005708296</v>
      </c>
      <c r="O72" s="1">
        <v>12493.406184314599</v>
      </c>
    </row>
    <row r="73" spans="3:15">
      <c r="C73" t="s">
        <v>81</v>
      </c>
      <c r="D73" s="1">
        <v>6314.2001776664201</v>
      </c>
      <c r="E73" s="1">
        <v>2211.5886850391498</v>
      </c>
      <c r="F73" s="1">
        <v>8093.7828409862104</v>
      </c>
      <c r="G73" s="1">
        <v>786.77055431847805</v>
      </c>
      <c r="H73" s="1">
        <v>9332.8477666585095</v>
      </c>
      <c r="I73" s="1">
        <v>20502.0295938538</v>
      </c>
      <c r="J73" s="1">
        <v>8030.3690837341201</v>
      </c>
      <c r="K73" s="1">
        <v>1361.4831706059099</v>
      </c>
      <c r="L73" s="1">
        <v>525.14418983697101</v>
      </c>
      <c r="M73" s="1">
        <v>4074.5585667189398</v>
      </c>
      <c r="N73" s="1">
        <v>20094.7384493725</v>
      </c>
      <c r="O73" s="1">
        <v>11636.393231828601</v>
      </c>
    </row>
    <row r="74" spans="3:15">
      <c r="C74" t="s">
        <v>83</v>
      </c>
      <c r="D74" s="1">
        <v>96132.735669921996</v>
      </c>
      <c r="E74" s="1">
        <v>5086.9832866896104</v>
      </c>
      <c r="F74" s="1">
        <v>50710.644722513702</v>
      </c>
      <c r="G74" s="1">
        <v>6094.63635226116</v>
      </c>
      <c r="H74" s="1">
        <v>41191.477171995801</v>
      </c>
      <c r="I74" s="1">
        <v>102413.545801523</v>
      </c>
      <c r="J74" s="1">
        <v>25303.850542636999</v>
      </c>
      <c r="K74" s="1">
        <v>4583.68376705421</v>
      </c>
      <c r="L74" s="1">
        <v>1481.0798372827701</v>
      </c>
      <c r="M74" s="1">
        <v>22498.8966961308</v>
      </c>
      <c r="N74" s="1">
        <v>110419.853720969</v>
      </c>
      <c r="O74" s="1">
        <v>23993.6773747884</v>
      </c>
    </row>
    <row r="75" spans="3:15">
      <c r="C75" t="s">
        <v>85</v>
      </c>
      <c r="D75" s="1">
        <v>36099.851444995104</v>
      </c>
      <c r="E75" s="1">
        <v>1966.3481066586901</v>
      </c>
      <c r="F75" s="1">
        <v>21296.784819529199</v>
      </c>
      <c r="G75" s="1">
        <v>2602.7314622170402</v>
      </c>
      <c r="H75" s="1">
        <v>18410.614254429802</v>
      </c>
      <c r="I75" s="1">
        <v>45425.357035017703</v>
      </c>
      <c r="J75" s="1">
        <v>15513.824947670801</v>
      </c>
      <c r="K75" s="1">
        <v>1396.1869277929</v>
      </c>
      <c r="L75" s="1">
        <v>484.81524776250001</v>
      </c>
      <c r="M75" s="1">
        <v>5593.6357764124596</v>
      </c>
      <c r="N75" s="1">
        <v>50671.572014966499</v>
      </c>
      <c r="O75" s="1">
        <v>12465.412173852101</v>
      </c>
    </row>
    <row r="76" spans="3:15">
      <c r="C76" t="s">
        <v>87</v>
      </c>
      <c r="D76" s="1">
        <v>62240.430818778601</v>
      </c>
      <c r="E76" s="1">
        <v>35033.195961612597</v>
      </c>
      <c r="F76" s="1">
        <v>396397.99277452898</v>
      </c>
      <c r="G76" s="1">
        <v>39263.655221200897</v>
      </c>
      <c r="H76" s="1">
        <v>331951.970754184</v>
      </c>
      <c r="I76" s="1">
        <v>978534.216102059</v>
      </c>
      <c r="J76" s="1">
        <v>410441.429265905</v>
      </c>
      <c r="K76" s="1">
        <v>127878.63680393</v>
      </c>
      <c r="L76" s="1">
        <v>64612.931843340702</v>
      </c>
      <c r="M76" s="1">
        <v>371110.87329363503</v>
      </c>
      <c r="N76" s="1">
        <v>978549.82807721</v>
      </c>
      <c r="O76" s="1">
        <v>174748.50877832001</v>
      </c>
    </row>
    <row r="77" spans="3:15">
      <c r="C77" t="s">
        <v>89</v>
      </c>
      <c r="D77" s="1">
        <v>4421.0518209105903</v>
      </c>
      <c r="E77" s="1">
        <v>20013.4229113328</v>
      </c>
      <c r="F77" s="1">
        <v>10406.7687783946</v>
      </c>
      <c r="G77" s="1">
        <v>1012.5188861246299</v>
      </c>
      <c r="H77" s="1">
        <v>14628.0150908041</v>
      </c>
      <c r="I77" s="1">
        <v>58182.4910150426</v>
      </c>
      <c r="J77" s="1">
        <v>15774.399735844199</v>
      </c>
      <c r="K77" s="1">
        <v>2334.6028912370498</v>
      </c>
      <c r="L77" s="1">
        <v>2857.45493739943</v>
      </c>
      <c r="M77" s="1">
        <v>8866.7137648015996</v>
      </c>
      <c r="N77" s="1">
        <v>33315.346179321597</v>
      </c>
      <c r="O77" s="1">
        <v>13474.212361718901</v>
      </c>
    </row>
    <row r="78" spans="3:15">
      <c r="C78" t="s">
        <v>91</v>
      </c>
      <c r="D78" s="1">
        <v>47171.931346642901</v>
      </c>
      <c r="E78" s="1">
        <v>37446.656520797304</v>
      </c>
      <c r="F78" s="1">
        <v>67366.221020636396</v>
      </c>
      <c r="G78" s="1">
        <v>11669.9004645185</v>
      </c>
      <c r="H78" s="1">
        <v>83665.466372277602</v>
      </c>
      <c r="I78" s="1">
        <v>209042.20489918199</v>
      </c>
      <c r="J78" s="1">
        <v>78368.599876699998</v>
      </c>
      <c r="K78" s="1">
        <v>11405.6796821552</v>
      </c>
      <c r="L78" s="1">
        <v>13126.4623001728</v>
      </c>
      <c r="M78" s="1">
        <v>46881.170419947397</v>
      </c>
      <c r="N78" s="1">
        <v>214758.69098699701</v>
      </c>
      <c r="O78" s="1">
        <v>57227.451750168198</v>
      </c>
    </row>
    <row r="79" spans="3:15">
      <c r="C79" t="s">
        <v>36</v>
      </c>
      <c r="D79" s="1">
        <f>SUM(D63:D78)</f>
        <v>543414.2552600354</v>
      </c>
      <c r="E79" s="1">
        <f t="shared" ref="E79:O79" si="17">SUM(E63:E78)</f>
        <v>270705.29433329316</v>
      </c>
      <c r="F79" s="1">
        <f t="shared" si="17"/>
        <v>876618.95846015716</v>
      </c>
      <c r="G79" s="1">
        <f t="shared" si="17"/>
        <v>102509.3552747238</v>
      </c>
      <c r="H79" s="1">
        <f t="shared" si="17"/>
        <v>770153.95297323493</v>
      </c>
      <c r="I79" s="1">
        <f t="shared" si="17"/>
        <v>2077617.9792199985</v>
      </c>
      <c r="J79" s="1">
        <f t="shared" si="17"/>
        <v>754330.2698865257</v>
      </c>
      <c r="K79" s="1">
        <f t="shared" si="17"/>
        <v>175600.15716049989</v>
      </c>
      <c r="L79" s="1">
        <f t="shared" si="17"/>
        <v>106323.34188079527</v>
      </c>
      <c r="M79" s="1">
        <f t="shared" si="17"/>
        <v>607315.50318981719</v>
      </c>
      <c r="N79" s="1">
        <f t="shared" si="17"/>
        <v>2082106.8924713645</v>
      </c>
      <c r="O79" s="1">
        <f t="shared" si="17"/>
        <v>496000.2635557754</v>
      </c>
    </row>
    <row r="81" spans="1:15">
      <c r="A81" t="s">
        <v>96</v>
      </c>
    </row>
    <row r="83" spans="1:15">
      <c r="C83" t="s">
        <v>61</v>
      </c>
      <c r="D83" s="2">
        <f t="shared" ref="D83:O83" si="18">D63/D$79*D$59</f>
        <v>1.4492315692844173E-2</v>
      </c>
      <c r="E83" s="2">
        <f t="shared" si="18"/>
        <v>6.3208750233316804E-3</v>
      </c>
      <c r="F83" s="2">
        <f t="shared" si="18"/>
        <v>1.2228228903653153E-2</v>
      </c>
      <c r="G83" s="2">
        <f t="shared" si="18"/>
        <v>2.2683520377695762E-2</v>
      </c>
      <c r="H83" s="2">
        <f t="shared" si="18"/>
        <v>1.4273819675412981E-2</v>
      </c>
      <c r="I83" s="2">
        <f t="shared" si="18"/>
        <v>7.5606142379221076E-3</v>
      </c>
      <c r="J83" s="2">
        <f t="shared" si="18"/>
        <v>9.1439736502810856E-3</v>
      </c>
      <c r="K83" s="2">
        <f t="shared" si="18"/>
        <v>5.0890163418144986E-3</v>
      </c>
      <c r="L83" s="2">
        <f t="shared" si="18"/>
        <v>2.854832464487686E-3</v>
      </c>
      <c r="M83" s="2">
        <f t="shared" si="18"/>
        <v>7.2515472789520122E-3</v>
      </c>
      <c r="N83" s="2">
        <f t="shared" si="18"/>
        <v>7.1913187958437281E-3</v>
      </c>
      <c r="O83" s="2">
        <f t="shared" si="18"/>
        <v>1.9617152127731945E-2</v>
      </c>
    </row>
    <row r="84" spans="1:15">
      <c r="C84" t="s">
        <v>63</v>
      </c>
      <c r="D84" s="2">
        <f t="shared" ref="D84:O84" si="19">D64/D$79*D$59</f>
        <v>1.1419904492571305E-2</v>
      </c>
      <c r="E84" s="2">
        <f t="shared" si="19"/>
        <v>0.59868128736909909</v>
      </c>
      <c r="F84" s="2">
        <f t="shared" si="19"/>
        <v>7.0179398491971093E-2</v>
      </c>
      <c r="G84" s="2">
        <f t="shared" si="19"/>
        <v>0.13937163395475968</v>
      </c>
      <c r="H84" s="2">
        <f t="shared" si="19"/>
        <v>4.8983928872203701E-2</v>
      </c>
      <c r="I84" s="2">
        <f t="shared" si="19"/>
        <v>4.6792647796518302E-2</v>
      </c>
      <c r="J84" s="2">
        <f t="shared" si="19"/>
        <v>6.5390217975674778E-2</v>
      </c>
      <c r="K84" s="2">
        <f t="shared" si="19"/>
        <v>3.0857871153845459E-2</v>
      </c>
      <c r="L84" s="2">
        <f t="shared" si="19"/>
        <v>8.5840356174435903E-2</v>
      </c>
      <c r="M84" s="2">
        <f t="shared" si="19"/>
        <v>4.7839113598473863E-2</v>
      </c>
      <c r="N84" s="2">
        <f t="shared" si="19"/>
        <v>3.3681732538114399E-2</v>
      </c>
      <c r="O84" s="2">
        <f t="shared" si="19"/>
        <v>4.4237106722986939E-2</v>
      </c>
    </row>
    <row r="85" spans="1:15">
      <c r="C85" t="s">
        <v>65</v>
      </c>
      <c r="D85" s="2">
        <f t="shared" ref="D85:O85" si="20">D65/D$79*D$59</f>
        <v>2.3565401521691277E-2</v>
      </c>
      <c r="E85" s="2">
        <f t="shared" si="20"/>
        <v>5.4447809938396437E-2</v>
      </c>
      <c r="F85" s="2">
        <f t="shared" si="20"/>
        <v>2.0078348763989635E-2</v>
      </c>
      <c r="G85" s="2">
        <f t="shared" si="20"/>
        <v>1.5289026427276154E-2</v>
      </c>
      <c r="H85" s="2">
        <f t="shared" si="20"/>
        <v>2.3074200336828488E-2</v>
      </c>
      <c r="I85" s="2">
        <f t="shared" si="20"/>
        <v>1.7827346515085947E-2</v>
      </c>
      <c r="J85" s="2">
        <f t="shared" si="20"/>
        <v>1.7862869085410998E-2</v>
      </c>
      <c r="K85" s="2">
        <f t="shared" si="20"/>
        <v>1.2301253244059547E-2</v>
      </c>
      <c r="L85" s="2">
        <f t="shared" si="20"/>
        <v>1.4474577793292184E-2</v>
      </c>
      <c r="M85" s="2">
        <f t="shared" si="20"/>
        <v>1.2517009482210652E-2</v>
      </c>
      <c r="N85" s="2">
        <f t="shared" si="20"/>
        <v>1.2177894192752307E-2</v>
      </c>
      <c r="O85" s="2">
        <f t="shared" si="20"/>
        <v>3.5011312889015676E-2</v>
      </c>
    </row>
    <row r="86" spans="1:15">
      <c r="C86" t="s">
        <v>67</v>
      </c>
      <c r="D86" s="2">
        <f t="shared" ref="D86:O86" si="21">D66/D$79*D$59</f>
        <v>0.17012454651796882</v>
      </c>
      <c r="E86" s="2">
        <f t="shared" si="21"/>
        <v>1.3369138592611267E-2</v>
      </c>
      <c r="F86" s="2">
        <f t="shared" si="21"/>
        <v>0.10823697528019567</v>
      </c>
      <c r="G86" s="2">
        <f t="shared" si="21"/>
        <v>7.3410889865125312E-2</v>
      </c>
      <c r="H86" s="2">
        <f t="shared" si="21"/>
        <v>0.10017654682141582</v>
      </c>
      <c r="I86" s="2">
        <f t="shared" si="21"/>
        <v>5.351865745842517E-2</v>
      </c>
      <c r="J86" s="2">
        <f t="shared" si="21"/>
        <v>4.8354737457795442E-2</v>
      </c>
      <c r="K86" s="2">
        <f t="shared" si="21"/>
        <v>5.7943704275117476E-2</v>
      </c>
      <c r="L86" s="2">
        <f t="shared" si="21"/>
        <v>3.6540658365099121E-2</v>
      </c>
      <c r="M86" s="2">
        <f t="shared" si="21"/>
        <v>4.3824256583936655E-2</v>
      </c>
      <c r="N86" s="2">
        <f t="shared" si="21"/>
        <v>5.8212061816702979E-2</v>
      </c>
      <c r="O86" s="2">
        <f t="shared" si="21"/>
        <v>7.0597332587456443E-2</v>
      </c>
    </row>
    <row r="87" spans="1:15">
      <c r="C87" t="s">
        <v>69</v>
      </c>
      <c r="D87" s="2">
        <f t="shared" ref="D87:O87" si="22">D67/D$79*D$59</f>
        <v>1.8766469482495652E-2</v>
      </c>
      <c r="E87" s="2">
        <f t="shared" si="22"/>
        <v>0.26727981781034671</v>
      </c>
      <c r="F87" s="2">
        <f t="shared" si="22"/>
        <v>3.3679124916150556E-2</v>
      </c>
      <c r="G87" s="2">
        <f t="shared" si="22"/>
        <v>7.431915388009841E-2</v>
      </c>
      <c r="H87" s="2">
        <f t="shared" si="22"/>
        <v>2.0904128359330237E-2</v>
      </c>
      <c r="I87" s="2">
        <f t="shared" si="22"/>
        <v>2.0365561483215232E-2</v>
      </c>
      <c r="J87" s="2">
        <f t="shared" si="22"/>
        <v>1.7576870352033501E-2</v>
      </c>
      <c r="K87" s="2">
        <f t="shared" si="22"/>
        <v>2.0556413862178421E-2</v>
      </c>
      <c r="L87" s="2">
        <f t="shared" si="22"/>
        <v>1.2072017710370867E-2</v>
      </c>
      <c r="M87" s="2">
        <f t="shared" si="22"/>
        <v>1.2250304108417175E-2</v>
      </c>
      <c r="N87" s="2">
        <f t="shared" si="22"/>
        <v>1.405651844792283E-2</v>
      </c>
      <c r="O87" s="2">
        <f t="shared" si="22"/>
        <v>2.6869389336071907E-2</v>
      </c>
    </row>
    <row r="88" spans="1:15">
      <c r="C88" t="s">
        <v>71</v>
      </c>
      <c r="D88" s="2">
        <f t="shared" ref="D88:O88" si="23">D68/D$79*D$59</f>
        <v>0.13152604528201664</v>
      </c>
      <c r="E88" s="2">
        <f t="shared" si="23"/>
        <v>0.11742513794569849</v>
      </c>
      <c r="F88" s="2">
        <f t="shared" si="23"/>
        <v>0.2661564961054862</v>
      </c>
      <c r="G88" s="2">
        <f t="shared" si="23"/>
        <v>0.16835626944532783</v>
      </c>
      <c r="H88" s="2">
        <f t="shared" si="23"/>
        <v>0.13139201432908137</v>
      </c>
      <c r="I88" s="2">
        <f t="shared" si="23"/>
        <v>9.8053916882854267E-2</v>
      </c>
      <c r="J88" s="2">
        <f t="shared" si="23"/>
        <v>0.11126307613748111</v>
      </c>
      <c r="K88" s="2">
        <f t="shared" si="23"/>
        <v>8.7296408422580268E-2</v>
      </c>
      <c r="L88" s="2">
        <f t="shared" si="23"/>
        <v>8.8924887474688394E-2</v>
      </c>
      <c r="M88" s="2">
        <f t="shared" si="23"/>
        <v>7.2097194576338466E-2</v>
      </c>
      <c r="N88" s="2">
        <f t="shared" si="23"/>
        <v>0.10057308724760547</v>
      </c>
      <c r="O88" s="2">
        <f t="shared" si="23"/>
        <v>0.10423661904712059</v>
      </c>
    </row>
    <row r="89" spans="1:15">
      <c r="C89" t="s">
        <v>73</v>
      </c>
      <c r="D89" s="2">
        <f t="shared" ref="D89:O89" si="24">D69/D$79*D$59</f>
        <v>9.1045368194083057E-2</v>
      </c>
      <c r="E89" s="2">
        <f t="shared" si="24"/>
        <v>0.37837713381555721</v>
      </c>
      <c r="F89" s="2">
        <f t="shared" si="24"/>
        <v>5.7696242865007616E-2</v>
      </c>
      <c r="G89" s="2">
        <f t="shared" si="24"/>
        <v>9.7743150574414045E-2</v>
      </c>
      <c r="H89" s="2">
        <f t="shared" si="24"/>
        <v>7.1376040320018805E-2</v>
      </c>
      <c r="I89" s="2">
        <f t="shared" si="24"/>
        <v>5.715166920778348E-2</v>
      </c>
      <c r="J89" s="2">
        <f t="shared" si="24"/>
        <v>4.2440309788810179E-2</v>
      </c>
      <c r="K89" s="2">
        <f t="shared" si="24"/>
        <v>3.0767493172698647E-2</v>
      </c>
      <c r="L89" s="2">
        <f t="shared" si="24"/>
        <v>0.11139230142655512</v>
      </c>
      <c r="M89" s="2">
        <f t="shared" si="24"/>
        <v>3.9247388362996363E-2</v>
      </c>
      <c r="N89" s="2">
        <f t="shared" si="24"/>
        <v>4.3017498312592793E-2</v>
      </c>
      <c r="O89" s="2">
        <f t="shared" si="24"/>
        <v>4.5111311595482144E-2</v>
      </c>
    </row>
    <row r="90" spans="1:15">
      <c r="C90" t="s">
        <v>75</v>
      </c>
      <c r="D90" s="2">
        <f t="shared" ref="D90:O90" si="25">D70/D$79*D$59</f>
        <v>0.24465938195668449</v>
      </c>
      <c r="E90" s="2">
        <f t="shared" si="25"/>
        <v>0.17983681209368729</v>
      </c>
      <c r="F90" s="2">
        <f t="shared" si="25"/>
        <v>0.12881274740569443</v>
      </c>
      <c r="G90" s="2">
        <f t="shared" si="25"/>
        <v>9.708237458964282E-2</v>
      </c>
      <c r="H90" s="2">
        <f t="shared" si="25"/>
        <v>7.8828190593371539E-2</v>
      </c>
      <c r="I90" s="2">
        <f t="shared" si="25"/>
        <v>6.2634613901068351E-2</v>
      </c>
      <c r="J90" s="2">
        <f t="shared" si="25"/>
        <v>4.7332302528933522E-2</v>
      </c>
      <c r="K90" s="2">
        <f t="shared" si="25"/>
        <v>4.6668001349395957E-2</v>
      </c>
      <c r="L90" s="2">
        <f t="shared" si="25"/>
        <v>5.9970849505556742E-2</v>
      </c>
      <c r="M90" s="2">
        <f t="shared" si="25"/>
        <v>4.107151144647752E-2</v>
      </c>
      <c r="N90" s="2">
        <f t="shared" si="25"/>
        <v>4.587014641257886E-2</v>
      </c>
      <c r="O90" s="2">
        <f t="shared" si="25"/>
        <v>4.8717614765744613E-2</v>
      </c>
    </row>
    <row r="91" spans="1:15">
      <c r="C91" t="s">
        <v>77</v>
      </c>
      <c r="D91" s="2">
        <f t="shared" ref="D91:O91" si="26">D71/D$79*D$59</f>
        <v>0.12629572736674008</v>
      </c>
      <c r="E91" s="2">
        <f t="shared" si="26"/>
        <v>2.7856266358454122E-3</v>
      </c>
      <c r="F91" s="2">
        <f t="shared" si="26"/>
        <v>0.14629017737018679</v>
      </c>
      <c r="G91" s="2">
        <f t="shared" si="26"/>
        <v>8.8445289830497043E-2</v>
      </c>
      <c r="H91" s="2">
        <f t="shared" si="26"/>
        <v>7.2261438373299278E-2</v>
      </c>
      <c r="I91" s="2">
        <f t="shared" si="26"/>
        <v>4.6427509953278857E-2</v>
      </c>
      <c r="J91" s="2">
        <f t="shared" si="26"/>
        <v>6.151046056833756E-2</v>
      </c>
      <c r="K91" s="2">
        <f t="shared" si="26"/>
        <v>2.6853100206195604E-2</v>
      </c>
      <c r="L91" s="2">
        <f t="shared" si="26"/>
        <v>6.3564643606266791E-2</v>
      </c>
      <c r="M91" s="2">
        <f t="shared" si="26"/>
        <v>4.4047372453829642E-2</v>
      </c>
      <c r="N91" s="2">
        <f t="shared" si="26"/>
        <v>3.7212706579447807E-2</v>
      </c>
      <c r="O91" s="2">
        <f t="shared" si="26"/>
        <v>5.1844379717393273E-2</v>
      </c>
    </row>
    <row r="92" spans="1:15">
      <c r="C92" t="s">
        <v>79</v>
      </c>
      <c r="D92" s="2">
        <f t="shared" ref="D92:O92" si="27">D72/D$79*D$59</f>
        <v>6.9210727267307981E-2</v>
      </c>
      <c r="E92" s="2">
        <f t="shared" si="27"/>
        <v>4.0791283785559925E-3</v>
      </c>
      <c r="F92" s="2">
        <f t="shared" si="27"/>
        <v>5.5773081916686569E-2</v>
      </c>
      <c r="G92" s="2">
        <f t="shared" si="27"/>
        <v>3.5261532830054454E-2</v>
      </c>
      <c r="H92" s="2">
        <f t="shared" si="27"/>
        <v>3.6085067066342146E-2</v>
      </c>
      <c r="I92" s="2">
        <f t="shared" si="27"/>
        <v>2.3350184430205489E-2</v>
      </c>
      <c r="J92" s="2">
        <f t="shared" si="27"/>
        <v>2.2173244220693153E-2</v>
      </c>
      <c r="K92" s="2">
        <f t="shared" si="27"/>
        <v>2.3441976320517994E-2</v>
      </c>
      <c r="L92" s="2">
        <f t="shared" si="27"/>
        <v>2.5382689384492584E-2</v>
      </c>
      <c r="M92" s="2">
        <f t="shared" si="27"/>
        <v>2.3381179963091296E-2</v>
      </c>
      <c r="N92" s="2">
        <f t="shared" si="27"/>
        <v>2.4569727313599948E-2</v>
      </c>
      <c r="O92" s="2">
        <f t="shared" si="27"/>
        <v>2.9348547208615496E-2</v>
      </c>
    </row>
    <row r="93" spans="1:15">
      <c r="C93" t="s">
        <v>81</v>
      </c>
      <c r="D93" s="2">
        <f t="shared" ref="D93:O93" si="28">D73/D$79*D$59</f>
        <v>1.9550162184974088E-2</v>
      </c>
      <c r="E93" s="2">
        <f t="shared" si="28"/>
        <v>2.1240553672325944E-2</v>
      </c>
      <c r="F93" s="2">
        <f t="shared" si="28"/>
        <v>2.2576214322619775E-2</v>
      </c>
      <c r="G93" s="2">
        <f t="shared" si="28"/>
        <v>1.5551163408278029E-2</v>
      </c>
      <c r="H93" s="2">
        <f t="shared" si="28"/>
        <v>2.0574061701654368E-2</v>
      </c>
      <c r="I93" s="2">
        <f t="shared" si="28"/>
        <v>1.3400351146520974E-2</v>
      </c>
      <c r="J93" s="2">
        <f t="shared" si="28"/>
        <v>1.7709698767043633E-2</v>
      </c>
      <c r="K93" s="2">
        <f t="shared" si="28"/>
        <v>1.7467089442967789E-2</v>
      </c>
      <c r="L93" s="2">
        <f t="shared" si="28"/>
        <v>1.1323497245021356E-2</v>
      </c>
      <c r="M93" s="2">
        <f t="shared" si="28"/>
        <v>9.4390966528014684E-3</v>
      </c>
      <c r="N93" s="2">
        <f t="shared" si="28"/>
        <v>1.1221954621736261E-2</v>
      </c>
      <c r="O93" s="2">
        <f t="shared" si="28"/>
        <v>2.7335318412291833E-2</v>
      </c>
    </row>
    <row r="94" spans="1:15">
      <c r="C94" t="s">
        <v>83</v>
      </c>
      <c r="D94" s="2">
        <f t="shared" ref="D94:O94" si="29">D74/D$79*D$59</f>
        <v>0.29764824059265166</v>
      </c>
      <c r="E94" s="2">
        <f t="shared" si="29"/>
        <v>4.8856436218040686E-2</v>
      </c>
      <c r="F94" s="2">
        <f t="shared" si="29"/>
        <v>0.14144861632514449</v>
      </c>
      <c r="G94" s="2">
        <f t="shared" si="29"/>
        <v>0.12046547155052684</v>
      </c>
      <c r="H94" s="2">
        <f t="shared" si="29"/>
        <v>9.0805723409153535E-2</v>
      </c>
      <c r="I94" s="2">
        <f t="shared" si="29"/>
        <v>6.6938615497469336E-2</v>
      </c>
      <c r="J94" s="2">
        <f t="shared" si="29"/>
        <v>5.5803608287953992E-2</v>
      </c>
      <c r="K94" s="2">
        <f t="shared" si="29"/>
        <v>5.8806172610847751E-2</v>
      </c>
      <c r="L94" s="2">
        <f t="shared" si="29"/>
        <v>3.193599735404979E-2</v>
      </c>
      <c r="M94" s="2">
        <f t="shared" si="29"/>
        <v>5.2120802049775351E-2</v>
      </c>
      <c r="N94" s="2">
        <f t="shared" si="29"/>
        <v>6.1664230709813701E-2</v>
      </c>
      <c r="O94" s="2">
        <f t="shared" si="29"/>
        <v>5.6364098209370661E-2</v>
      </c>
    </row>
    <row r="95" spans="1:15">
      <c r="C95" t="s">
        <v>85</v>
      </c>
      <c r="D95" s="2">
        <f t="shared" ref="D95:O95" si="30">D75/D$79*D$59</f>
        <v>0.11177313527363603</v>
      </c>
      <c r="E95" s="2">
        <f t="shared" si="30"/>
        <v>1.8885212598752761E-2</v>
      </c>
      <c r="F95" s="2">
        <f t="shared" si="30"/>
        <v>5.9403716150336183E-2</v>
      </c>
      <c r="G95" s="2">
        <f t="shared" si="30"/>
        <v>5.1445115802363224E-2</v>
      </c>
      <c r="H95" s="2">
        <f t="shared" si="30"/>
        <v>4.058580222311E-2</v>
      </c>
      <c r="I95" s="2">
        <f t="shared" si="30"/>
        <v>2.9690511002276959E-2</v>
      </c>
      <c r="J95" s="2">
        <f t="shared" si="30"/>
        <v>3.4213267619841434E-2</v>
      </c>
      <c r="K95" s="2">
        <f t="shared" si="30"/>
        <v>1.7912319794601457E-2</v>
      </c>
      <c r="L95" s="2">
        <f t="shared" si="30"/>
        <v>1.0453898621800052E-2</v>
      </c>
      <c r="M95" s="2">
        <f t="shared" si="30"/>
        <v>1.2958181326779153E-2</v>
      </c>
      <c r="N95" s="2">
        <f t="shared" si="30"/>
        <v>2.8297660265478693E-2</v>
      </c>
      <c r="O95" s="2">
        <f t="shared" si="30"/>
        <v>2.9282785836136579E-2</v>
      </c>
    </row>
    <row r="96" spans="1:15">
      <c r="C96" t="s">
        <v>87</v>
      </c>
      <c r="D96" s="2">
        <f t="shared" ref="D96:O96" si="31">D76/D$79*D$59</f>
        <v>0.19271015848906548</v>
      </c>
      <c r="E96" s="2">
        <f t="shared" si="31"/>
        <v>0.33646603646037931</v>
      </c>
      <c r="F96" s="2">
        <f t="shared" si="31"/>
        <v>1.1056839821073843</v>
      </c>
      <c r="G96" s="2">
        <f t="shared" si="31"/>
        <v>0.77607825432676281</v>
      </c>
      <c r="H96" s="2">
        <f t="shared" si="31"/>
        <v>0.731780963221217</v>
      </c>
      <c r="I96" s="2">
        <f t="shared" si="31"/>
        <v>0.63958068368920018</v>
      </c>
      <c r="J96" s="2">
        <f t="shared" si="31"/>
        <v>0.90516313733789633</v>
      </c>
      <c r="K96" s="2">
        <f t="shared" si="31"/>
        <v>1.6406134391694125</v>
      </c>
      <c r="L96" s="2">
        <f t="shared" si="31"/>
        <v>1.3932256509359027</v>
      </c>
      <c r="M96" s="2">
        <f t="shared" si="31"/>
        <v>0.85971310623348107</v>
      </c>
      <c r="N96" s="2">
        <f t="shared" si="31"/>
        <v>0.54647348575632659</v>
      </c>
      <c r="O96" s="2">
        <f t="shared" si="31"/>
        <v>0.41050573269238866</v>
      </c>
    </row>
    <row r="97" spans="1:15">
      <c r="C97" t="s">
        <v>89</v>
      </c>
      <c r="D97" s="2">
        <f t="shared" ref="D97:O97" si="32">D77/D$79*D$59</f>
        <v>1.3688555588194925E-2</v>
      </c>
      <c r="E97" s="2">
        <f t="shared" si="32"/>
        <v>0.19221303960849165</v>
      </c>
      <c r="F97" s="2">
        <f t="shared" si="32"/>
        <v>2.9027890538061041E-2</v>
      </c>
      <c r="G97" s="2">
        <f t="shared" si="32"/>
        <v>2.0013263798022096E-2</v>
      </c>
      <c r="H97" s="2">
        <f t="shared" si="32"/>
        <v>3.2247143913147557E-2</v>
      </c>
      <c r="I97" s="2">
        <f t="shared" si="32"/>
        <v>3.8028713528664715E-2</v>
      </c>
      <c r="J97" s="2">
        <f t="shared" si="32"/>
        <v>3.4787923772842469E-2</v>
      </c>
      <c r="K97" s="2">
        <f t="shared" si="32"/>
        <v>2.9951686804105499E-2</v>
      </c>
      <c r="L97" s="2">
        <f t="shared" si="32"/>
        <v>6.1614283729312581E-2</v>
      </c>
      <c r="M97" s="2">
        <f t="shared" si="32"/>
        <v>2.0540573131602412E-2</v>
      </c>
      <c r="N97" s="2">
        <f t="shared" si="32"/>
        <v>1.8605034545421322E-2</v>
      </c>
      <c r="O97" s="2">
        <f t="shared" si="32"/>
        <v>3.165258151082137E-2</v>
      </c>
    </row>
    <row r="98" spans="1:15">
      <c r="C98" t="s">
        <v>91</v>
      </c>
      <c r="D98" s="2">
        <f t="shared" ref="D98:O98" si="33">D78/D$79*D$59</f>
        <v>0.14605474683353517</v>
      </c>
      <c r="E98" s="2">
        <f t="shared" si="33"/>
        <v>0.35964540922991256</v>
      </c>
      <c r="F98" s="2">
        <f t="shared" si="33"/>
        <v>0.1879064800411108</v>
      </c>
      <c r="G98" s="2">
        <f t="shared" si="33"/>
        <v>0.23066512604716152</v>
      </c>
      <c r="H98" s="2">
        <f t="shared" si="33"/>
        <v>0.18443871693593777</v>
      </c>
      <c r="I98" s="2">
        <f t="shared" si="33"/>
        <v>0.13663227522273183</v>
      </c>
      <c r="J98" s="2">
        <f t="shared" si="33"/>
        <v>0.17282945305995373</v>
      </c>
      <c r="K98" s="2">
        <f t="shared" si="33"/>
        <v>0.1463286741013356</v>
      </c>
      <c r="L98" s="2">
        <f t="shared" si="33"/>
        <v>0.28304123433037948</v>
      </c>
      <c r="M98" s="2">
        <f t="shared" si="33"/>
        <v>0.10860462343204923</v>
      </c>
      <c r="N98" s="2">
        <f t="shared" si="33"/>
        <v>0.11993250327449861</v>
      </c>
      <c r="O98" s="2">
        <f t="shared" si="33"/>
        <v>0.13443432035590366</v>
      </c>
    </row>
    <row r="100" spans="1:15">
      <c r="A100" t="s">
        <v>97</v>
      </c>
    </row>
    <row r="102" spans="1:15">
      <c r="A102" t="s">
        <v>98</v>
      </c>
    </row>
    <row r="104" spans="1:15">
      <c r="D104">
        <v>1</v>
      </c>
      <c r="E104">
        <v>2</v>
      </c>
      <c r="F104">
        <v>3</v>
      </c>
      <c r="G104">
        <v>4</v>
      </c>
      <c r="H104">
        <v>5</v>
      </c>
      <c r="I104">
        <v>6</v>
      </c>
      <c r="J104">
        <v>7</v>
      </c>
      <c r="K104">
        <v>8</v>
      </c>
      <c r="L104">
        <v>9</v>
      </c>
      <c r="M104">
        <v>10</v>
      </c>
      <c r="N104">
        <v>11</v>
      </c>
      <c r="O104">
        <v>12</v>
      </c>
    </row>
    <row r="107" spans="1:15">
      <c r="C107" t="s">
        <v>9</v>
      </c>
      <c r="D107">
        <f t="shared" ref="D107:O107" si="34">D12/D$38</f>
        <v>0.17590314796250309</v>
      </c>
      <c r="E107">
        <f t="shared" si="34"/>
        <v>1.0786668883123749E-5</v>
      </c>
      <c r="F107">
        <f t="shared" si="34"/>
        <v>0.12801334285603147</v>
      </c>
      <c r="G107">
        <f t="shared" si="34"/>
        <v>2.5943662425045658E-3</v>
      </c>
      <c r="H107">
        <f t="shared" si="34"/>
        <v>3.6452297272673427E-4</v>
      </c>
      <c r="I107">
        <f t="shared" si="34"/>
        <v>5.2620419923154011E-3</v>
      </c>
      <c r="J107">
        <f t="shared" si="34"/>
        <v>7.884775230184556E-5</v>
      </c>
      <c r="K107">
        <f t="shared" si="34"/>
        <v>5.3834193896520482E-5</v>
      </c>
      <c r="L107">
        <f t="shared" si="34"/>
        <v>1.8163517242991408E-6</v>
      </c>
      <c r="M107">
        <f t="shared" si="34"/>
        <v>1.655981265375741E-4</v>
      </c>
      <c r="N107">
        <f t="shared" si="34"/>
        <v>1.2990126845395017E-3</v>
      </c>
      <c r="O107">
        <f t="shared" si="34"/>
        <v>3.8017517799059835E-3</v>
      </c>
    </row>
    <row r="108" spans="1:15">
      <c r="C108" t="s">
        <v>10</v>
      </c>
      <c r="D108">
        <f t="shared" ref="D108:O108" si="35">D13/D$38</f>
        <v>7.3880651334623558E-4</v>
      </c>
      <c r="E108">
        <f t="shared" si="35"/>
        <v>8.694757311477222E-2</v>
      </c>
      <c r="F108">
        <f t="shared" si="35"/>
        <v>3.5051802784080821E-2</v>
      </c>
      <c r="G108">
        <f t="shared" si="35"/>
        <v>4.347525810194138E-3</v>
      </c>
      <c r="H108">
        <f t="shared" si="35"/>
        <v>5.2229037356887071E-3</v>
      </c>
      <c r="I108">
        <f t="shared" si="35"/>
        <v>7.6467611334105556E-4</v>
      </c>
      <c r="J108">
        <f t="shared" si="35"/>
        <v>5.6892709937345044E-4</v>
      </c>
      <c r="K108">
        <f t="shared" si="35"/>
        <v>1.2214717991170015E-3</v>
      </c>
      <c r="L108">
        <f t="shared" si="35"/>
        <v>2.3327123824152171E-4</v>
      </c>
      <c r="M108">
        <f t="shared" si="35"/>
        <v>1.3136507892304787E-3</v>
      </c>
      <c r="N108">
        <f t="shared" si="35"/>
        <v>6.2870478295427694E-4</v>
      </c>
      <c r="O108">
        <f t="shared" si="35"/>
        <v>5.8310593063539036E-4</v>
      </c>
    </row>
    <row r="109" spans="1:15">
      <c r="C109" t="s">
        <v>11</v>
      </c>
      <c r="D109">
        <f t="shared" ref="D109:O109" si="36">D14/D$38</f>
        <v>0.19873180665022364</v>
      </c>
      <c r="E109">
        <f t="shared" si="36"/>
        <v>6.0458069399651308E-2</v>
      </c>
      <c r="F109">
        <f t="shared" si="36"/>
        <v>0.13308165267503058</v>
      </c>
      <c r="G109">
        <f t="shared" si="36"/>
        <v>3.9428016164772102E-2</v>
      </c>
      <c r="H109">
        <f t="shared" si="36"/>
        <v>0.17765309404719318</v>
      </c>
      <c r="I109">
        <f t="shared" si="36"/>
        <v>7.8048884322392431E-2</v>
      </c>
      <c r="J109">
        <f t="shared" si="36"/>
        <v>6.0415672021314842E-2</v>
      </c>
      <c r="K109">
        <f t="shared" si="36"/>
        <v>8.0308458128443214E-3</v>
      </c>
      <c r="L109">
        <f t="shared" si="36"/>
        <v>2.4202686656461434E-3</v>
      </c>
      <c r="M109">
        <f t="shared" si="36"/>
        <v>1.9689251979851937E-2</v>
      </c>
      <c r="N109">
        <f t="shared" si="36"/>
        <v>4.690913664856157E-2</v>
      </c>
      <c r="O109">
        <f t="shared" si="36"/>
        <v>2.2007973790722505E-2</v>
      </c>
    </row>
    <row r="110" spans="1:15">
      <c r="C110" t="s">
        <v>12</v>
      </c>
      <c r="D110">
        <f t="shared" ref="D110:O110" si="37">D15/D$38</f>
        <v>1.0489058189950455E-2</v>
      </c>
      <c r="E110">
        <f t="shared" si="37"/>
        <v>5.6783900256796561E-2</v>
      </c>
      <c r="F110">
        <f t="shared" si="37"/>
        <v>3.1722628877337435E-2</v>
      </c>
      <c r="G110">
        <f t="shared" si="37"/>
        <v>0.12563906712673889</v>
      </c>
      <c r="H110">
        <f t="shared" si="37"/>
        <v>7.2205572484240997E-3</v>
      </c>
      <c r="I110">
        <f t="shared" si="37"/>
        <v>1.6065125302909041E-2</v>
      </c>
      <c r="J110">
        <f t="shared" si="37"/>
        <v>1.0563663712970944E-2</v>
      </c>
      <c r="K110">
        <f t="shared" si="37"/>
        <v>6.1876068073153821E-3</v>
      </c>
      <c r="L110">
        <f t="shared" si="37"/>
        <v>8.4628518342937803E-3</v>
      </c>
      <c r="M110">
        <f t="shared" si="37"/>
        <v>6.2975570089906776E-3</v>
      </c>
      <c r="N110">
        <f t="shared" si="37"/>
        <v>1.066017123275812E-2</v>
      </c>
      <c r="O110">
        <f t="shared" si="37"/>
        <v>3.5089022185559475E-2</v>
      </c>
    </row>
    <row r="111" spans="1:15">
      <c r="C111" t="s">
        <v>13</v>
      </c>
      <c r="D111">
        <f t="shared" ref="D111:O111" si="38">D16/D$38</f>
        <v>4.4166354400725784E-5</v>
      </c>
      <c r="E111">
        <f t="shared" si="38"/>
        <v>5.0984753827586458E-5</v>
      </c>
      <c r="F111">
        <f t="shared" si="38"/>
        <v>1.1659928166361123E-4</v>
      </c>
      <c r="G111">
        <f t="shared" si="38"/>
        <v>1.0458003599472016E-4</v>
      </c>
      <c r="H111">
        <f t="shared" si="38"/>
        <v>0.14248009244206228</v>
      </c>
      <c r="I111">
        <f t="shared" si="38"/>
        <v>9.6627456163662874E-4</v>
      </c>
      <c r="J111">
        <f t="shared" si="38"/>
        <v>6.4247030263694168E-4</v>
      </c>
      <c r="K111">
        <f t="shared" si="38"/>
        <v>6.9154451257381585E-4</v>
      </c>
      <c r="L111">
        <f t="shared" si="38"/>
        <v>0.11363303869736353</v>
      </c>
      <c r="M111">
        <f t="shared" si="38"/>
        <v>4.89180876923269E-4</v>
      </c>
      <c r="N111">
        <f t="shared" si="38"/>
        <v>4.5371727288415794E-4</v>
      </c>
      <c r="O111">
        <f t="shared" si="38"/>
        <v>3.6012526513636413E-4</v>
      </c>
    </row>
    <row r="112" spans="1:15">
      <c r="C112" t="s">
        <v>14</v>
      </c>
      <c r="D112">
        <f t="shared" ref="D112:O112" si="39">D17/D$38</f>
        <v>4.132628982417965E-2</v>
      </c>
      <c r="E112">
        <f t="shared" si="39"/>
        <v>2.9741099053086185E-2</v>
      </c>
      <c r="F112">
        <f t="shared" si="39"/>
        <v>4.8215909955345831E-2</v>
      </c>
      <c r="G112">
        <f t="shared" si="39"/>
        <v>1.9740175585063382E-2</v>
      </c>
      <c r="H112">
        <f t="shared" si="39"/>
        <v>6.3240944420801248E-2</v>
      </c>
      <c r="I112">
        <f t="shared" si="39"/>
        <v>7.5596528073406027E-2</v>
      </c>
      <c r="J112">
        <f t="shared" si="39"/>
        <v>5.3626354239690414E-2</v>
      </c>
      <c r="K112">
        <f t="shared" si="39"/>
        <v>1.6083006533811832E-2</v>
      </c>
      <c r="L112">
        <f t="shared" si="39"/>
        <v>2.3423618506753082E-3</v>
      </c>
      <c r="M112">
        <f t="shared" si="39"/>
        <v>3.0807472263854267E-2</v>
      </c>
      <c r="N112">
        <f t="shared" si="39"/>
        <v>3.9398318722142119E-2</v>
      </c>
      <c r="O112">
        <f t="shared" si="39"/>
        <v>1.850161754130563E-2</v>
      </c>
    </row>
    <row r="113" spans="1:15">
      <c r="C113" t="s">
        <v>15</v>
      </c>
      <c r="D113">
        <f t="shared" ref="D113:O113" si="40">D18/D$38</f>
        <v>4.5411994328833964E-2</v>
      </c>
      <c r="E113">
        <f t="shared" si="40"/>
        <v>3.0795608871095222E-2</v>
      </c>
      <c r="F113">
        <f t="shared" si="40"/>
        <v>5.1187418859596996E-2</v>
      </c>
      <c r="G113">
        <f t="shared" si="40"/>
        <v>3.3236096210057069E-2</v>
      </c>
      <c r="H113">
        <f t="shared" si="40"/>
        <v>2.7781536479267229E-2</v>
      </c>
      <c r="I113">
        <f t="shared" si="40"/>
        <v>0.11889022094068906</v>
      </c>
      <c r="J113">
        <f t="shared" si="40"/>
        <v>0.16961452658902973</v>
      </c>
      <c r="K113">
        <f t="shared" si="40"/>
        <v>4.1461369449037846E-2</v>
      </c>
      <c r="L113">
        <f t="shared" si="40"/>
        <v>3.0131689576377817E-3</v>
      </c>
      <c r="M113">
        <f t="shared" si="40"/>
        <v>3.998518910565315E-2</v>
      </c>
      <c r="N113">
        <f t="shared" si="40"/>
        <v>1.8902147646585241E-2</v>
      </c>
      <c r="O113">
        <f t="shared" si="40"/>
        <v>3.6023546810046166E-2</v>
      </c>
    </row>
    <row r="114" spans="1:15">
      <c r="C114" t="s">
        <v>16</v>
      </c>
      <c r="D114">
        <f t="shared" ref="D114:O114" si="41">D19/D$38</f>
        <v>1.3254820499211324E-2</v>
      </c>
      <c r="E114">
        <f t="shared" si="41"/>
        <v>4.6131306339656977E-3</v>
      </c>
      <c r="F114">
        <f t="shared" si="41"/>
        <v>8.7405166371596604E-3</v>
      </c>
      <c r="G114">
        <f t="shared" si="41"/>
        <v>2.274885993199292E-2</v>
      </c>
      <c r="H114">
        <f t="shared" si="41"/>
        <v>1.5734793621898512E-2</v>
      </c>
      <c r="I114">
        <f t="shared" si="41"/>
        <v>2.8475503515043549E-2</v>
      </c>
      <c r="J114">
        <f t="shared" si="41"/>
        <v>1.3478916404769359E-2</v>
      </c>
      <c r="K114">
        <f t="shared" si="41"/>
        <v>0.27436370230737933</v>
      </c>
      <c r="L114">
        <f t="shared" si="41"/>
        <v>2.404417697377963E-2</v>
      </c>
      <c r="M114">
        <f t="shared" si="41"/>
        <v>2.4421573498447677E-2</v>
      </c>
      <c r="N114">
        <f t="shared" si="41"/>
        <v>7.1753594696797049E-3</v>
      </c>
      <c r="O114">
        <f t="shared" si="41"/>
        <v>1.5049632576652372E-2</v>
      </c>
    </row>
    <row r="115" spans="1:15">
      <c r="C115" t="s">
        <v>17</v>
      </c>
      <c r="D115">
        <f t="shared" ref="D115:O115" si="42">D20/D$38</f>
        <v>2.2235205856058066E-3</v>
      </c>
      <c r="E115">
        <f t="shared" si="42"/>
        <v>9.540741830191856E-4</v>
      </c>
      <c r="F115">
        <f t="shared" si="42"/>
        <v>4.9199941411182616E-3</v>
      </c>
      <c r="G115">
        <f t="shared" si="42"/>
        <v>3.0525949419055874E-3</v>
      </c>
      <c r="H115">
        <f t="shared" si="42"/>
        <v>3.0262502651035115E-3</v>
      </c>
      <c r="I115">
        <f t="shared" si="42"/>
        <v>4.1117238150961341E-2</v>
      </c>
      <c r="J115">
        <f t="shared" si="42"/>
        <v>1.3671064835530466E-2</v>
      </c>
      <c r="K115">
        <f t="shared" si="42"/>
        <v>2.1011525230545575E-2</v>
      </c>
      <c r="L115">
        <f t="shared" si="42"/>
        <v>1.2956005285870573E-2</v>
      </c>
      <c r="M115">
        <f t="shared" si="42"/>
        <v>1.7781194774473659E-2</v>
      </c>
      <c r="N115">
        <f t="shared" si="42"/>
        <v>1.9548695165157753E-2</v>
      </c>
      <c r="O115">
        <f t="shared" si="42"/>
        <v>1.0162386653715019E-2</v>
      </c>
    </row>
    <row r="116" spans="1:15">
      <c r="C116" t="s">
        <v>18</v>
      </c>
      <c r="D116">
        <f t="shared" ref="D116:O116" si="43">D21/D$38</f>
        <v>3.2030159239655763E-2</v>
      </c>
      <c r="E116">
        <f t="shared" si="43"/>
        <v>7.3400165071961149E-2</v>
      </c>
      <c r="F116">
        <f t="shared" si="43"/>
        <v>3.6803337847921627E-2</v>
      </c>
      <c r="G116">
        <f t="shared" si="43"/>
        <v>6.6504680594510632E-2</v>
      </c>
      <c r="H116">
        <f t="shared" si="43"/>
        <v>4.6168534420803646E-2</v>
      </c>
      <c r="I116">
        <f t="shared" si="43"/>
        <v>8.9294783357807175E-2</v>
      </c>
      <c r="J116">
        <f t="shared" si="43"/>
        <v>5.6111483595771811E-2</v>
      </c>
      <c r="K116">
        <f t="shared" si="43"/>
        <v>0.11005005540458565</v>
      </c>
      <c r="L116">
        <f t="shared" si="43"/>
        <v>1.766501522100216E-2</v>
      </c>
      <c r="M116">
        <f t="shared" si="43"/>
        <v>0.12464864315417476</v>
      </c>
      <c r="N116">
        <f t="shared" si="43"/>
        <v>4.3935778064462493E-2</v>
      </c>
      <c r="O116">
        <f t="shared" si="43"/>
        <v>5.7617818811893762E-2</v>
      </c>
    </row>
    <row r="117" spans="1:15">
      <c r="C117" t="s">
        <v>19</v>
      </c>
      <c r="D117">
        <f t="shared" ref="D117:O117" si="44">D22/D$38</f>
        <v>1.1175899207105751E-3</v>
      </c>
      <c r="E117">
        <f t="shared" si="44"/>
        <v>1.1925034459970537E-3</v>
      </c>
      <c r="F117">
        <f t="shared" si="44"/>
        <v>1.1291087385591802E-3</v>
      </c>
      <c r="G117">
        <f t="shared" si="44"/>
        <v>1.1744526603361385E-3</v>
      </c>
      <c r="H117">
        <f t="shared" si="44"/>
        <v>2.3196684756262129E-3</v>
      </c>
      <c r="I117">
        <f t="shared" si="44"/>
        <v>2.8025233708538558E-3</v>
      </c>
      <c r="J117">
        <f t="shared" si="44"/>
        <v>5.1695414964444001E-3</v>
      </c>
      <c r="K117">
        <f t="shared" si="44"/>
        <v>3.459374949146408E-3</v>
      </c>
      <c r="L117">
        <f t="shared" si="44"/>
        <v>3.9744249004190817E-4</v>
      </c>
      <c r="M117">
        <f t="shared" si="44"/>
        <v>2.5128590199007062E-3</v>
      </c>
      <c r="N117">
        <f t="shared" si="44"/>
        <v>4.6125959497201968E-2</v>
      </c>
      <c r="O117">
        <f t="shared" si="44"/>
        <v>3.6161162869200523E-3</v>
      </c>
    </row>
    <row r="118" spans="1:15">
      <c r="C118" t="s">
        <v>20</v>
      </c>
      <c r="D118">
        <f t="shared" ref="D118:O118" si="45">D23/D$38</f>
        <v>1.9243073748612053E-3</v>
      </c>
      <c r="E118">
        <f t="shared" si="45"/>
        <v>1.7796180823408745E-3</v>
      </c>
      <c r="F118">
        <f t="shared" si="45"/>
        <v>1.7481985616807053E-3</v>
      </c>
      <c r="G118">
        <f t="shared" si="45"/>
        <v>1.3934149203317216E-3</v>
      </c>
      <c r="H118">
        <f t="shared" si="45"/>
        <v>6.6434913973207872E-4</v>
      </c>
      <c r="I118">
        <f t="shared" si="45"/>
        <v>2.0605382689332535E-3</v>
      </c>
      <c r="J118">
        <f t="shared" si="45"/>
        <v>3.430159428803183E-3</v>
      </c>
      <c r="K118">
        <f t="shared" si="45"/>
        <v>7.0429242673299153E-4</v>
      </c>
      <c r="L118">
        <f t="shared" si="45"/>
        <v>2.1038372140988454E-4</v>
      </c>
      <c r="M118">
        <f t="shared" si="45"/>
        <v>6.5939713236792927E-4</v>
      </c>
      <c r="N118">
        <f t="shared" si="45"/>
        <v>8.0230693943614793E-4</v>
      </c>
      <c r="O118">
        <f t="shared" si="45"/>
        <v>3.589152826943887E-3</v>
      </c>
    </row>
    <row r="120" spans="1:15">
      <c r="A120" t="s">
        <v>99</v>
      </c>
    </row>
    <row r="122" spans="1:15">
      <c r="D122">
        <v>1</v>
      </c>
      <c r="E122">
        <v>2</v>
      </c>
      <c r="F122">
        <v>3</v>
      </c>
      <c r="G122">
        <v>4</v>
      </c>
      <c r="H122">
        <v>5</v>
      </c>
      <c r="I122">
        <v>6</v>
      </c>
      <c r="J122">
        <v>7</v>
      </c>
      <c r="K122">
        <v>8</v>
      </c>
      <c r="L122">
        <v>9</v>
      </c>
      <c r="M122">
        <v>10</v>
      </c>
      <c r="N122">
        <v>11</v>
      </c>
      <c r="O122">
        <v>12</v>
      </c>
    </row>
    <row r="125" spans="1:15">
      <c r="C125" t="s">
        <v>9</v>
      </c>
      <c r="D125">
        <f t="array" ref="D125:O136">_xlfn.MUNIT(12)</f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C126" t="s">
        <v>10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C127" t="s">
        <v>11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C128" t="s">
        <v>12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C129" t="s">
        <v>13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C130" t="s">
        <v>14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C131" t="s">
        <v>15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C132" t="s">
        <v>16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C133" t="s">
        <v>17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</row>
    <row r="134" spans="1:15">
      <c r="C134" t="s">
        <v>18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</row>
    <row r="135" spans="1:15">
      <c r="C135" t="s">
        <v>19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</row>
    <row r="136" spans="1:15">
      <c r="C136" t="s">
        <v>20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</row>
    <row r="138" spans="1:15">
      <c r="A138" s="50" t="s">
        <v>100</v>
      </c>
    </row>
    <row r="140" spans="1:15">
      <c r="D140">
        <v>1</v>
      </c>
      <c r="E140">
        <v>2</v>
      </c>
      <c r="F140">
        <v>3</v>
      </c>
      <c r="G140">
        <v>4</v>
      </c>
      <c r="H140">
        <v>5</v>
      </c>
      <c r="I140">
        <v>6</v>
      </c>
      <c r="J140">
        <v>7</v>
      </c>
      <c r="K140">
        <v>8</v>
      </c>
      <c r="L140">
        <v>9</v>
      </c>
      <c r="M140">
        <v>10</v>
      </c>
      <c r="N140">
        <v>11</v>
      </c>
      <c r="O140">
        <v>12</v>
      </c>
    </row>
    <row r="143" spans="1:15">
      <c r="C143" t="s">
        <v>9</v>
      </c>
      <c r="D143">
        <f t="shared" ref="D143:O143" si="46">D125-D107</f>
        <v>0.82409685203749694</v>
      </c>
      <c r="E143">
        <f t="shared" si="46"/>
        <v>-1.0786668883123749E-5</v>
      </c>
      <c r="F143">
        <f t="shared" si="46"/>
        <v>-0.12801334285603147</v>
      </c>
      <c r="G143">
        <f t="shared" si="46"/>
        <v>-2.5943662425045658E-3</v>
      </c>
      <c r="H143">
        <f t="shared" si="46"/>
        <v>-3.6452297272673427E-4</v>
      </c>
      <c r="I143">
        <f t="shared" si="46"/>
        <v>-5.2620419923154011E-3</v>
      </c>
      <c r="J143">
        <f t="shared" si="46"/>
        <v>-7.884775230184556E-5</v>
      </c>
      <c r="K143">
        <f t="shared" si="46"/>
        <v>-5.3834193896520482E-5</v>
      </c>
      <c r="L143">
        <f t="shared" si="46"/>
        <v>-1.8163517242991408E-6</v>
      </c>
      <c r="M143">
        <f t="shared" si="46"/>
        <v>-1.655981265375741E-4</v>
      </c>
      <c r="N143">
        <f t="shared" si="46"/>
        <v>-1.2990126845395017E-3</v>
      </c>
      <c r="O143">
        <f t="shared" si="46"/>
        <v>-3.8017517799059835E-3</v>
      </c>
    </row>
    <row r="144" spans="1:15">
      <c r="C144" t="s">
        <v>10</v>
      </c>
      <c r="D144">
        <f t="shared" ref="D144:O144" si="47">D126-D108</f>
        <v>-7.3880651334623558E-4</v>
      </c>
      <c r="E144">
        <f t="shared" si="47"/>
        <v>0.91305242688522781</v>
      </c>
      <c r="F144">
        <f t="shared" si="47"/>
        <v>-3.5051802784080821E-2</v>
      </c>
      <c r="G144">
        <f t="shared" si="47"/>
        <v>-4.347525810194138E-3</v>
      </c>
      <c r="H144">
        <f t="shared" si="47"/>
        <v>-5.2229037356887071E-3</v>
      </c>
      <c r="I144">
        <f t="shared" si="47"/>
        <v>-7.6467611334105556E-4</v>
      </c>
      <c r="J144">
        <f t="shared" si="47"/>
        <v>-5.6892709937345044E-4</v>
      </c>
      <c r="K144">
        <f t="shared" si="47"/>
        <v>-1.2214717991170015E-3</v>
      </c>
      <c r="L144">
        <f t="shared" si="47"/>
        <v>-2.3327123824152171E-4</v>
      </c>
      <c r="M144">
        <f t="shared" si="47"/>
        <v>-1.3136507892304787E-3</v>
      </c>
      <c r="N144">
        <f t="shared" si="47"/>
        <v>-6.2870478295427694E-4</v>
      </c>
      <c r="O144">
        <f t="shared" si="47"/>
        <v>-5.8310593063539036E-4</v>
      </c>
    </row>
    <row r="145" spans="1:15">
      <c r="C145" t="s">
        <v>11</v>
      </c>
      <c r="D145">
        <f t="shared" ref="D145:O145" si="48">D127-D109</f>
        <v>-0.19873180665022364</v>
      </c>
      <c r="E145">
        <f t="shared" si="48"/>
        <v>-6.0458069399651308E-2</v>
      </c>
      <c r="F145">
        <f t="shared" si="48"/>
        <v>0.86691834732496942</v>
      </c>
      <c r="G145">
        <f t="shared" si="48"/>
        <v>-3.9428016164772102E-2</v>
      </c>
      <c r="H145">
        <f t="shared" si="48"/>
        <v>-0.17765309404719318</v>
      </c>
      <c r="I145">
        <f t="shared" si="48"/>
        <v>-7.8048884322392431E-2</v>
      </c>
      <c r="J145">
        <f t="shared" si="48"/>
        <v>-6.0415672021314842E-2</v>
      </c>
      <c r="K145">
        <f t="shared" si="48"/>
        <v>-8.0308458128443214E-3</v>
      </c>
      <c r="L145">
        <f t="shared" si="48"/>
        <v>-2.4202686656461434E-3</v>
      </c>
      <c r="M145">
        <f t="shared" si="48"/>
        <v>-1.9689251979851937E-2</v>
      </c>
      <c r="N145">
        <f t="shared" si="48"/>
        <v>-4.690913664856157E-2</v>
      </c>
      <c r="O145">
        <f t="shared" si="48"/>
        <v>-2.2007973790722505E-2</v>
      </c>
    </row>
    <row r="146" spans="1:15">
      <c r="C146" t="s">
        <v>12</v>
      </c>
      <c r="D146">
        <f t="shared" ref="D146:O146" si="49">D128-D110</f>
        <v>-1.0489058189950455E-2</v>
      </c>
      <c r="E146">
        <f t="shared" si="49"/>
        <v>-5.6783900256796561E-2</v>
      </c>
      <c r="F146">
        <f t="shared" si="49"/>
        <v>-3.1722628877337435E-2</v>
      </c>
      <c r="G146">
        <f t="shared" si="49"/>
        <v>0.87436093287326111</v>
      </c>
      <c r="H146">
        <f t="shared" si="49"/>
        <v>-7.2205572484240997E-3</v>
      </c>
      <c r="I146">
        <f t="shared" si="49"/>
        <v>-1.6065125302909041E-2</v>
      </c>
      <c r="J146">
        <f t="shared" si="49"/>
        <v>-1.0563663712970944E-2</v>
      </c>
      <c r="K146">
        <f t="shared" si="49"/>
        <v>-6.1876068073153821E-3</v>
      </c>
      <c r="L146">
        <f t="shared" si="49"/>
        <v>-8.4628518342937803E-3</v>
      </c>
      <c r="M146">
        <f t="shared" si="49"/>
        <v>-6.2975570089906776E-3</v>
      </c>
      <c r="N146">
        <f t="shared" si="49"/>
        <v>-1.066017123275812E-2</v>
      </c>
      <c r="O146">
        <f t="shared" si="49"/>
        <v>-3.5089022185559475E-2</v>
      </c>
    </row>
    <row r="147" spans="1:15">
      <c r="C147" t="s">
        <v>13</v>
      </c>
      <c r="D147">
        <f t="shared" ref="D147:O147" si="50">D129-D111</f>
        <v>-4.4166354400725784E-5</v>
      </c>
      <c r="E147">
        <f t="shared" si="50"/>
        <v>-5.0984753827586458E-5</v>
      </c>
      <c r="F147">
        <f t="shared" si="50"/>
        <v>-1.1659928166361123E-4</v>
      </c>
      <c r="G147">
        <f t="shared" si="50"/>
        <v>-1.0458003599472016E-4</v>
      </c>
      <c r="H147">
        <f t="shared" si="50"/>
        <v>0.85751990755793772</v>
      </c>
      <c r="I147">
        <f t="shared" si="50"/>
        <v>-9.6627456163662874E-4</v>
      </c>
      <c r="J147">
        <f t="shared" si="50"/>
        <v>-6.4247030263694168E-4</v>
      </c>
      <c r="K147">
        <f t="shared" si="50"/>
        <v>-6.9154451257381585E-4</v>
      </c>
      <c r="L147">
        <f t="shared" si="50"/>
        <v>-0.11363303869736353</v>
      </c>
      <c r="M147">
        <f t="shared" si="50"/>
        <v>-4.89180876923269E-4</v>
      </c>
      <c r="N147">
        <f t="shared" si="50"/>
        <v>-4.5371727288415794E-4</v>
      </c>
      <c r="O147">
        <f t="shared" si="50"/>
        <v>-3.6012526513636413E-4</v>
      </c>
    </row>
    <row r="148" spans="1:15">
      <c r="C148" t="s">
        <v>14</v>
      </c>
      <c r="D148">
        <f t="shared" ref="D148:O148" si="51">D130-D112</f>
        <v>-4.132628982417965E-2</v>
      </c>
      <c r="E148">
        <f t="shared" si="51"/>
        <v>-2.9741099053086185E-2</v>
      </c>
      <c r="F148">
        <f t="shared" si="51"/>
        <v>-4.8215909955345831E-2</v>
      </c>
      <c r="G148">
        <f t="shared" si="51"/>
        <v>-1.9740175585063382E-2</v>
      </c>
      <c r="H148">
        <f t="shared" si="51"/>
        <v>-6.3240944420801248E-2</v>
      </c>
      <c r="I148">
        <f t="shared" si="51"/>
        <v>0.924403471926594</v>
      </c>
      <c r="J148">
        <f t="shared" si="51"/>
        <v>-5.3626354239690414E-2</v>
      </c>
      <c r="K148">
        <f t="shared" si="51"/>
        <v>-1.6083006533811832E-2</v>
      </c>
      <c r="L148">
        <f t="shared" si="51"/>
        <v>-2.3423618506753082E-3</v>
      </c>
      <c r="M148">
        <f t="shared" si="51"/>
        <v>-3.0807472263854267E-2</v>
      </c>
      <c r="N148">
        <f t="shared" si="51"/>
        <v>-3.9398318722142119E-2</v>
      </c>
      <c r="O148">
        <f t="shared" si="51"/>
        <v>-1.850161754130563E-2</v>
      </c>
    </row>
    <row r="149" spans="1:15">
      <c r="C149" t="s">
        <v>15</v>
      </c>
      <c r="D149">
        <f t="shared" ref="D149:O149" si="52">D131-D113</f>
        <v>-4.5411994328833964E-2</v>
      </c>
      <c r="E149">
        <f t="shared" si="52"/>
        <v>-3.0795608871095222E-2</v>
      </c>
      <c r="F149">
        <f t="shared" si="52"/>
        <v>-5.1187418859596996E-2</v>
      </c>
      <c r="G149">
        <f t="shared" si="52"/>
        <v>-3.3236096210057069E-2</v>
      </c>
      <c r="H149">
        <f t="shared" si="52"/>
        <v>-2.7781536479267229E-2</v>
      </c>
      <c r="I149">
        <f t="shared" si="52"/>
        <v>-0.11889022094068906</v>
      </c>
      <c r="J149">
        <f t="shared" si="52"/>
        <v>0.83038547341097024</v>
      </c>
      <c r="K149">
        <f t="shared" si="52"/>
        <v>-4.1461369449037846E-2</v>
      </c>
      <c r="L149">
        <f t="shared" si="52"/>
        <v>-3.0131689576377817E-3</v>
      </c>
      <c r="M149">
        <f t="shared" si="52"/>
        <v>-3.998518910565315E-2</v>
      </c>
      <c r="N149">
        <f t="shared" si="52"/>
        <v>-1.8902147646585241E-2</v>
      </c>
      <c r="O149">
        <f t="shared" si="52"/>
        <v>-3.6023546810046166E-2</v>
      </c>
    </row>
    <row r="150" spans="1:15">
      <c r="C150" t="s">
        <v>16</v>
      </c>
      <c r="D150">
        <f t="shared" ref="D150:O150" si="53">D132-D114</f>
        <v>-1.3254820499211324E-2</v>
      </c>
      <c r="E150">
        <f t="shared" si="53"/>
        <v>-4.6131306339656977E-3</v>
      </c>
      <c r="F150">
        <f t="shared" si="53"/>
        <v>-8.7405166371596604E-3</v>
      </c>
      <c r="G150">
        <f t="shared" si="53"/>
        <v>-2.274885993199292E-2</v>
      </c>
      <c r="H150">
        <f t="shared" si="53"/>
        <v>-1.5734793621898512E-2</v>
      </c>
      <c r="I150">
        <f t="shared" si="53"/>
        <v>-2.8475503515043549E-2</v>
      </c>
      <c r="J150">
        <f t="shared" si="53"/>
        <v>-1.3478916404769359E-2</v>
      </c>
      <c r="K150">
        <f t="shared" si="53"/>
        <v>0.72563629769262072</v>
      </c>
      <c r="L150">
        <f t="shared" si="53"/>
        <v>-2.404417697377963E-2</v>
      </c>
      <c r="M150">
        <f t="shared" si="53"/>
        <v>-2.4421573498447677E-2</v>
      </c>
      <c r="N150">
        <f t="shared" si="53"/>
        <v>-7.1753594696797049E-3</v>
      </c>
      <c r="O150">
        <f t="shared" si="53"/>
        <v>-1.5049632576652372E-2</v>
      </c>
    </row>
    <row r="151" spans="1:15">
      <c r="C151" t="s">
        <v>17</v>
      </c>
      <c r="D151">
        <f t="shared" ref="D151:O151" si="54">D133-D115</f>
        <v>-2.2235205856058066E-3</v>
      </c>
      <c r="E151">
        <f t="shared" si="54"/>
        <v>-9.540741830191856E-4</v>
      </c>
      <c r="F151">
        <f t="shared" si="54"/>
        <v>-4.9199941411182616E-3</v>
      </c>
      <c r="G151">
        <f t="shared" si="54"/>
        <v>-3.0525949419055874E-3</v>
      </c>
      <c r="H151">
        <f t="shared" si="54"/>
        <v>-3.0262502651035115E-3</v>
      </c>
      <c r="I151">
        <f t="shared" si="54"/>
        <v>-4.1117238150961341E-2</v>
      </c>
      <c r="J151">
        <f t="shared" si="54"/>
        <v>-1.3671064835530466E-2</v>
      </c>
      <c r="K151">
        <f t="shared" si="54"/>
        <v>-2.1011525230545575E-2</v>
      </c>
      <c r="L151">
        <f t="shared" si="54"/>
        <v>0.9870439947141294</v>
      </c>
      <c r="M151">
        <f t="shared" si="54"/>
        <v>-1.7781194774473659E-2</v>
      </c>
      <c r="N151">
        <f t="shared" si="54"/>
        <v>-1.9548695165157753E-2</v>
      </c>
      <c r="O151">
        <f t="shared" si="54"/>
        <v>-1.0162386653715019E-2</v>
      </c>
    </row>
    <row r="152" spans="1:15">
      <c r="C152" t="s">
        <v>18</v>
      </c>
      <c r="D152">
        <f t="shared" ref="D152:O152" si="55">D134-D116</f>
        <v>-3.2030159239655763E-2</v>
      </c>
      <c r="E152">
        <f t="shared" si="55"/>
        <v>-7.3400165071961149E-2</v>
      </c>
      <c r="F152">
        <f t="shared" si="55"/>
        <v>-3.6803337847921627E-2</v>
      </c>
      <c r="G152">
        <f t="shared" si="55"/>
        <v>-6.6504680594510632E-2</v>
      </c>
      <c r="H152">
        <f t="shared" si="55"/>
        <v>-4.6168534420803646E-2</v>
      </c>
      <c r="I152">
        <f t="shared" si="55"/>
        <v>-8.9294783357807175E-2</v>
      </c>
      <c r="J152">
        <f t="shared" si="55"/>
        <v>-5.6111483595771811E-2</v>
      </c>
      <c r="K152">
        <f t="shared" si="55"/>
        <v>-0.11005005540458565</v>
      </c>
      <c r="L152">
        <f t="shared" si="55"/>
        <v>-1.766501522100216E-2</v>
      </c>
      <c r="M152">
        <f t="shared" si="55"/>
        <v>0.87535135684582521</v>
      </c>
      <c r="N152">
        <f t="shared" si="55"/>
        <v>-4.3935778064462493E-2</v>
      </c>
      <c r="O152">
        <f t="shared" si="55"/>
        <v>-5.7617818811893762E-2</v>
      </c>
    </row>
    <row r="153" spans="1:15">
      <c r="C153" t="s">
        <v>19</v>
      </c>
      <c r="D153">
        <f t="shared" ref="D153:O153" si="56">D135-D117</f>
        <v>-1.1175899207105751E-3</v>
      </c>
      <c r="E153">
        <f t="shared" si="56"/>
        <v>-1.1925034459970537E-3</v>
      </c>
      <c r="F153">
        <f t="shared" si="56"/>
        <v>-1.1291087385591802E-3</v>
      </c>
      <c r="G153">
        <f t="shared" si="56"/>
        <v>-1.1744526603361385E-3</v>
      </c>
      <c r="H153">
        <f t="shared" si="56"/>
        <v>-2.3196684756262129E-3</v>
      </c>
      <c r="I153">
        <f t="shared" si="56"/>
        <v>-2.8025233708538558E-3</v>
      </c>
      <c r="J153">
        <f t="shared" si="56"/>
        <v>-5.1695414964444001E-3</v>
      </c>
      <c r="K153">
        <f t="shared" si="56"/>
        <v>-3.459374949146408E-3</v>
      </c>
      <c r="L153">
        <f t="shared" si="56"/>
        <v>-3.9744249004190817E-4</v>
      </c>
      <c r="M153">
        <f t="shared" si="56"/>
        <v>-2.5128590199007062E-3</v>
      </c>
      <c r="N153">
        <f t="shared" si="56"/>
        <v>0.953874040502798</v>
      </c>
      <c r="O153">
        <f t="shared" si="56"/>
        <v>-3.6161162869200523E-3</v>
      </c>
    </row>
    <row r="154" spans="1:15">
      <c r="C154" t="s">
        <v>20</v>
      </c>
      <c r="D154">
        <f t="shared" ref="D154:O154" si="57">D136-D118</f>
        <v>-1.9243073748612053E-3</v>
      </c>
      <c r="E154">
        <f t="shared" si="57"/>
        <v>-1.7796180823408745E-3</v>
      </c>
      <c r="F154">
        <f t="shared" si="57"/>
        <v>-1.7481985616807053E-3</v>
      </c>
      <c r="G154">
        <f t="shared" si="57"/>
        <v>-1.3934149203317216E-3</v>
      </c>
      <c r="H154">
        <f t="shared" si="57"/>
        <v>-6.6434913973207872E-4</v>
      </c>
      <c r="I154">
        <f t="shared" si="57"/>
        <v>-2.0605382689332535E-3</v>
      </c>
      <c r="J154">
        <f t="shared" si="57"/>
        <v>-3.430159428803183E-3</v>
      </c>
      <c r="K154">
        <f t="shared" si="57"/>
        <v>-7.0429242673299153E-4</v>
      </c>
      <c r="L154">
        <f t="shared" si="57"/>
        <v>-2.1038372140988454E-4</v>
      </c>
      <c r="M154">
        <f t="shared" si="57"/>
        <v>-6.5939713236792927E-4</v>
      </c>
      <c r="N154">
        <f t="shared" si="57"/>
        <v>-8.0230693943614793E-4</v>
      </c>
      <c r="O154">
        <f t="shared" si="57"/>
        <v>0.99641084717305606</v>
      </c>
    </row>
    <row r="156" spans="1:15">
      <c r="A156" t="s">
        <v>101</v>
      </c>
    </row>
    <row r="158" spans="1:15">
      <c r="D158">
        <v>1</v>
      </c>
      <c r="E158">
        <v>2</v>
      </c>
      <c r="F158">
        <v>3</v>
      </c>
      <c r="G158">
        <v>4</v>
      </c>
      <c r="H158">
        <v>5</v>
      </c>
      <c r="I158">
        <v>6</v>
      </c>
      <c r="J158">
        <v>7</v>
      </c>
      <c r="K158">
        <v>8</v>
      </c>
      <c r="L158">
        <v>9</v>
      </c>
      <c r="M158">
        <v>10</v>
      </c>
      <c r="N158">
        <v>11</v>
      </c>
      <c r="O158">
        <v>12</v>
      </c>
    </row>
    <row r="161" spans="1:15">
      <c r="C161" t="s">
        <v>9</v>
      </c>
      <c r="D161">
        <f t="array" ref="D161:O172">MINVERSE(D143:O154)</f>
        <v>1.2622442815371089</v>
      </c>
      <c r="E161">
        <v>1.556797624597463E-2</v>
      </c>
      <c r="F161">
        <v>0.19043957995655275</v>
      </c>
      <c r="G161">
        <v>1.4357362509676581E-2</v>
      </c>
      <c r="H161">
        <v>4.3248601013991438E-2</v>
      </c>
      <c r="I161">
        <v>2.6855891622312736E-2</v>
      </c>
      <c r="J161">
        <v>1.6699747139903073E-2</v>
      </c>
      <c r="K161">
        <v>5.2016043878789558E-3</v>
      </c>
      <c r="L161">
        <v>5.9439619667673617E-3</v>
      </c>
      <c r="M161">
        <v>6.6933680530118786E-3</v>
      </c>
      <c r="N161">
        <v>1.3194441880426799E-2</v>
      </c>
      <c r="O161">
        <v>1.1229189045674918E-2</v>
      </c>
    </row>
    <row r="162" spans="1:15">
      <c r="C162" t="s">
        <v>10</v>
      </c>
      <c r="D162">
        <v>1.3384818224199317E-2</v>
      </c>
      <c r="E162">
        <v>1.0995876037032726</v>
      </c>
      <c r="F162">
        <v>4.7608186129281346E-2</v>
      </c>
      <c r="G162">
        <v>8.3650694712639907E-3</v>
      </c>
      <c r="H162">
        <v>1.75444604521716E-2</v>
      </c>
      <c r="I162">
        <v>6.4009668050851194E-3</v>
      </c>
      <c r="J162">
        <v>5.1179152172900217E-3</v>
      </c>
      <c r="K162">
        <v>3.5167789673444167E-3</v>
      </c>
      <c r="L162">
        <v>2.6478833434809904E-3</v>
      </c>
      <c r="M162">
        <v>3.4173705971531966E-3</v>
      </c>
      <c r="N162">
        <v>3.7922028143460244E-3</v>
      </c>
      <c r="O162">
        <v>2.6423890017501423E-3</v>
      </c>
    </row>
    <row r="163" spans="1:15">
      <c r="C163" t="s">
        <v>11</v>
      </c>
      <c r="D163">
        <v>0.30970659676539053</v>
      </c>
      <c r="E163">
        <v>9.6149173426184301E-2</v>
      </c>
      <c r="F163">
        <v>1.2210638854908329</v>
      </c>
      <c r="G163">
        <v>6.7309284694798549E-2</v>
      </c>
      <c r="H163">
        <v>0.26991459468636575</v>
      </c>
      <c r="I163">
        <v>0.12625262856790562</v>
      </c>
      <c r="J163">
        <v>0.10251940720221581</v>
      </c>
      <c r="K163">
        <v>3.0585210399641537E-2</v>
      </c>
      <c r="L163">
        <v>3.676598020780316E-2</v>
      </c>
      <c r="M163">
        <v>3.9265246227012551E-2</v>
      </c>
      <c r="N163">
        <v>7.1486681504526209E-2</v>
      </c>
      <c r="O163">
        <v>4.0093354766963671E-2</v>
      </c>
    </row>
    <row r="164" spans="1:15">
      <c r="C164" t="s">
        <v>12</v>
      </c>
      <c r="D164">
        <v>3.1267951005764169E-2</v>
      </c>
      <c r="E164">
        <v>7.7979829202011727E-2</v>
      </c>
      <c r="F164">
        <v>5.3689849489889245E-2</v>
      </c>
      <c r="G164">
        <v>1.1495964047489438</v>
      </c>
      <c r="H164">
        <v>2.5301920669117812E-2</v>
      </c>
      <c r="I164">
        <v>3.0055061124173728E-2</v>
      </c>
      <c r="J164">
        <v>2.2153733754484917E-2</v>
      </c>
      <c r="K164">
        <v>1.4902720999141875E-2</v>
      </c>
      <c r="L164">
        <v>1.3661439026245819E-2</v>
      </c>
      <c r="M164">
        <v>1.2464181014018685E-2</v>
      </c>
      <c r="N164">
        <v>1.8277716588874979E-2</v>
      </c>
      <c r="O164">
        <v>4.4353956915113131E-2</v>
      </c>
    </row>
    <row r="165" spans="1:15">
      <c r="C165" t="s">
        <v>13</v>
      </c>
      <c r="D165">
        <v>1.9399749537060502E-3</v>
      </c>
      <c r="E165">
        <v>1.254613397565176E-3</v>
      </c>
      <c r="F165">
        <v>2.29633057992964E-3</v>
      </c>
      <c r="G165">
        <v>1.5672048781295146E-3</v>
      </c>
      <c r="H165">
        <v>1.168248944425808</v>
      </c>
      <c r="I165">
        <v>8.6071250732131961E-3</v>
      </c>
      <c r="J165">
        <v>4.2823733891175202E-3</v>
      </c>
      <c r="K165">
        <v>6.142311238741407E-3</v>
      </c>
      <c r="L165">
        <v>0.13477297094762833</v>
      </c>
      <c r="M165">
        <v>4.1394106212570957E-3</v>
      </c>
      <c r="N165">
        <v>4.1310304221195302E-3</v>
      </c>
      <c r="O165">
        <v>2.5725942209640575E-3</v>
      </c>
    </row>
    <row r="166" spans="1:15">
      <c r="C166" t="s">
        <v>14</v>
      </c>
      <c r="D166">
        <v>8.3736453971453559E-2</v>
      </c>
      <c r="E166">
        <v>5.0916326678817132E-2</v>
      </c>
      <c r="F166">
        <v>8.489841244348266E-2</v>
      </c>
      <c r="G166">
        <v>3.7238466139988421E-2</v>
      </c>
      <c r="H166">
        <v>0.1060723677763564</v>
      </c>
      <c r="I166">
        <v>1.1075905896624811</v>
      </c>
      <c r="J166">
        <v>8.2843398729847334E-2</v>
      </c>
      <c r="K166">
        <v>3.8612890476085307E-2</v>
      </c>
      <c r="L166">
        <v>1.7437729765635967E-2</v>
      </c>
      <c r="M166">
        <v>4.6706831777845036E-2</v>
      </c>
      <c r="N166">
        <v>5.5003356055209771E-2</v>
      </c>
      <c r="O166">
        <v>3.0796765466137934E-2</v>
      </c>
    </row>
    <row r="167" spans="1:15">
      <c r="C167" t="s">
        <v>15</v>
      </c>
      <c r="D167">
        <v>0.10803912341889274</v>
      </c>
      <c r="E167">
        <v>6.4656795289314367E-2</v>
      </c>
      <c r="F167">
        <v>0.10770118059129036</v>
      </c>
      <c r="G167">
        <v>6.4082377192434481E-2</v>
      </c>
      <c r="H167">
        <v>8.196372592105125E-2</v>
      </c>
      <c r="I167">
        <v>0.17971895480992184</v>
      </c>
      <c r="J167">
        <v>1.2314891242542363</v>
      </c>
      <c r="K167">
        <v>8.7459325048388561E-2</v>
      </c>
      <c r="L167">
        <v>1.7838544989968882E-2</v>
      </c>
      <c r="M167">
        <v>6.8593108837578312E-2</v>
      </c>
      <c r="N167">
        <v>4.2300000274943635E-2</v>
      </c>
      <c r="O167">
        <v>5.8597502421272776E-2</v>
      </c>
    </row>
    <row r="168" spans="1:15">
      <c r="C168" t="s">
        <v>16</v>
      </c>
      <c r="D168">
        <v>3.6498186660513354E-2</v>
      </c>
      <c r="E168">
        <v>1.829564507139568E-2</v>
      </c>
      <c r="F168">
        <v>2.9023993919407732E-2</v>
      </c>
      <c r="G168">
        <v>4.3773676338526281E-2</v>
      </c>
      <c r="H168">
        <v>3.9847579015122585E-2</v>
      </c>
      <c r="I168">
        <v>5.6676479665952836E-2</v>
      </c>
      <c r="J168">
        <v>3.2812957216563438E-2</v>
      </c>
      <c r="K168">
        <v>1.3899700703642965</v>
      </c>
      <c r="L168">
        <v>3.9936546141961973E-2</v>
      </c>
      <c r="M168">
        <v>4.4182338681026403E-2</v>
      </c>
      <c r="N168">
        <v>1.8321803451877158E-2</v>
      </c>
      <c r="O168">
        <v>2.8608168233103741E-2</v>
      </c>
    </row>
    <row r="169" spans="1:15">
      <c r="C169" t="s">
        <v>17</v>
      </c>
      <c r="D169">
        <v>1.1868082016808817E-2</v>
      </c>
      <c r="E169">
        <v>7.3750145710824618E-3</v>
      </c>
      <c r="F169">
        <v>1.4029632801031392E-2</v>
      </c>
      <c r="G169">
        <v>9.2748938108202037E-3</v>
      </c>
      <c r="H169">
        <v>1.3425757563990294E-2</v>
      </c>
      <c r="I169">
        <v>5.3357249697068072E-2</v>
      </c>
      <c r="J169">
        <v>2.3839873678879554E-2</v>
      </c>
      <c r="K169">
        <v>3.617962440512968E-2</v>
      </c>
      <c r="L169">
        <v>1.0163310725449022</v>
      </c>
      <c r="M169">
        <v>2.5109565762655914E-2</v>
      </c>
      <c r="N169">
        <v>2.5767277984284759E-2</v>
      </c>
      <c r="O169">
        <v>1.5001074262900893E-2</v>
      </c>
    </row>
    <row r="170" spans="1:15">
      <c r="C170" t="s">
        <v>18</v>
      </c>
      <c r="D170">
        <v>8.3502474452E-2</v>
      </c>
      <c r="E170">
        <v>0.11489541772607287</v>
      </c>
      <c r="F170">
        <v>8.636260312922947E-2</v>
      </c>
      <c r="G170">
        <v>0.10534170900804943</v>
      </c>
      <c r="H170">
        <v>9.9650991664201077E-2</v>
      </c>
      <c r="I170">
        <v>0.14275184242975744</v>
      </c>
      <c r="J170">
        <v>9.9948107778425915E-2</v>
      </c>
      <c r="K170">
        <v>0.18866866790528034</v>
      </c>
      <c r="L170">
        <v>3.8682577994163456E-2</v>
      </c>
      <c r="M170">
        <v>1.1612432427380597</v>
      </c>
      <c r="N170">
        <v>6.9306977228968669E-2</v>
      </c>
      <c r="O170">
        <v>8.2948107246271219E-2</v>
      </c>
    </row>
    <row r="171" spans="1:15">
      <c r="C171" t="s">
        <v>19</v>
      </c>
      <c r="D171">
        <v>3.1082232882818387E-3</v>
      </c>
      <c r="E171">
        <v>2.4881002053866127E-3</v>
      </c>
      <c r="F171">
        <v>2.9839723954272349E-3</v>
      </c>
      <c r="G171">
        <v>2.4312624632347735E-3</v>
      </c>
      <c r="H171">
        <v>4.4403266446284813E-3</v>
      </c>
      <c r="I171">
        <v>5.0916873334494236E-3</v>
      </c>
      <c r="J171">
        <v>7.5127919155877831E-3</v>
      </c>
      <c r="K171">
        <v>6.2265090132446275E-3</v>
      </c>
      <c r="L171">
        <v>1.2185869104196115E-3</v>
      </c>
      <c r="M171">
        <v>3.8275521695729318E-3</v>
      </c>
      <c r="N171">
        <v>1.0491495626632048</v>
      </c>
      <c r="O171">
        <v>4.6679165835274879E-3</v>
      </c>
    </row>
    <row r="172" spans="1:15">
      <c r="C172" t="s">
        <v>20</v>
      </c>
      <c r="D172">
        <v>3.6811556264774326E-3</v>
      </c>
      <c r="E172">
        <v>2.6929416909110791E-3</v>
      </c>
      <c r="F172">
        <v>3.3011398514258697E-3</v>
      </c>
      <c r="G172">
        <v>2.1716222902750256E-3</v>
      </c>
      <c r="H172">
        <v>2.0047628146275293E-3</v>
      </c>
      <c r="I172">
        <v>3.3916102720479438E-3</v>
      </c>
      <c r="J172">
        <v>4.7662533309001864E-3</v>
      </c>
      <c r="K172">
        <v>1.5958339497596883E-3</v>
      </c>
      <c r="L172">
        <v>5.5654589796769616E-4</v>
      </c>
      <c r="M172">
        <v>1.2489233049397335E-3</v>
      </c>
      <c r="N172">
        <v>1.3543837127166169E-3</v>
      </c>
      <c r="O172">
        <v>1.0041100209191387</v>
      </c>
    </row>
    <row r="174" spans="1:15">
      <c r="A174" t="s">
        <v>102</v>
      </c>
    </row>
    <row r="176" spans="1:15">
      <c r="D176">
        <v>1</v>
      </c>
      <c r="E176">
        <v>2</v>
      </c>
      <c r="F176">
        <v>3</v>
      </c>
      <c r="G176">
        <v>4</v>
      </c>
      <c r="H176">
        <v>5</v>
      </c>
      <c r="I176">
        <v>6</v>
      </c>
      <c r="J176">
        <v>7</v>
      </c>
      <c r="K176">
        <v>8</v>
      </c>
      <c r="L176">
        <v>9</v>
      </c>
      <c r="M176">
        <v>10</v>
      </c>
      <c r="N176">
        <v>11</v>
      </c>
      <c r="O176">
        <v>12</v>
      </c>
    </row>
    <row r="179" spans="1:15">
      <c r="C179" t="s">
        <v>9</v>
      </c>
      <c r="D179">
        <f t="array" ref="D179:O190">IF(D41:O41=TRANSPOSE(D41:O41),D41:O41,0)</f>
        <v>0.36372409430334379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C180" t="s">
        <v>10</v>
      </c>
      <c r="D180">
        <v>0</v>
      </c>
      <c r="E180">
        <v>0.5907756742845659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C181" t="s">
        <v>11</v>
      </c>
      <c r="D181">
        <v>0</v>
      </c>
      <c r="E181">
        <v>0</v>
      </c>
      <c r="F181">
        <v>0.26891437486128722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C182" t="s">
        <v>12</v>
      </c>
      <c r="D182">
        <v>0</v>
      </c>
      <c r="E182">
        <v>0</v>
      </c>
      <c r="F182">
        <v>0</v>
      </c>
      <c r="G182">
        <v>0.38266891818188903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C183" t="s">
        <v>13</v>
      </c>
      <c r="D183">
        <v>0</v>
      </c>
      <c r="E183">
        <v>0</v>
      </c>
      <c r="F183">
        <v>0</v>
      </c>
      <c r="G183">
        <v>0</v>
      </c>
      <c r="H183">
        <v>0.41533723821187341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C184" t="s">
        <v>14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0.46333434203835444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C185" t="s">
        <v>15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0.40982008306430384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C186" t="s">
        <v>16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0.39801095366316641</v>
      </c>
      <c r="L186">
        <v>0</v>
      </c>
      <c r="M186">
        <v>0</v>
      </c>
      <c r="N186">
        <v>0</v>
      </c>
      <c r="O186">
        <v>0</v>
      </c>
    </row>
    <row r="187" spans="1:15">
      <c r="C187" t="s">
        <v>17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0.80843814989164398</v>
      </c>
      <c r="M187">
        <v>0</v>
      </c>
      <c r="N187">
        <v>0</v>
      </c>
      <c r="O187">
        <v>0</v>
      </c>
    </row>
    <row r="188" spans="1:15">
      <c r="C188" t="s">
        <v>18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0.68152919607095275</v>
      </c>
      <c r="N188">
        <v>0</v>
      </c>
      <c r="O188">
        <v>0</v>
      </c>
    </row>
    <row r="189" spans="1:15">
      <c r="C189" t="s">
        <v>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0.69403307044116225</v>
      </c>
      <c r="O189">
        <v>0</v>
      </c>
    </row>
    <row r="190" spans="1:15">
      <c r="C190" t="s">
        <v>20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0.70549219915001726</v>
      </c>
    </row>
    <row r="192" spans="1:15">
      <c r="A192" t="s">
        <v>103</v>
      </c>
    </row>
    <row r="194" spans="3:15">
      <c r="D194">
        <v>1</v>
      </c>
      <c r="E194">
        <v>2</v>
      </c>
      <c r="F194">
        <v>3</v>
      </c>
      <c r="G194">
        <v>4</v>
      </c>
      <c r="H194">
        <v>5</v>
      </c>
      <c r="I194">
        <v>6</v>
      </c>
      <c r="J194">
        <v>7</v>
      </c>
      <c r="K194">
        <v>8</v>
      </c>
      <c r="L194">
        <v>9</v>
      </c>
      <c r="M194">
        <v>10</v>
      </c>
      <c r="N194">
        <v>11</v>
      </c>
      <c r="O194">
        <v>12</v>
      </c>
    </row>
    <row r="197" spans="3:15">
      <c r="C197" t="s">
        <v>9</v>
      </c>
      <c r="D197">
        <f t="array" ref="D197:O208">IF(D42:O42=TRANSPOSE(D42:O42),D42:O42,0)</f>
        <v>0.11308749376091451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3:15">
      <c r="C198" t="s">
        <v>10</v>
      </c>
      <c r="D198">
        <v>0</v>
      </c>
      <c r="E198">
        <v>6.3307766610969277E-2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3:15">
      <c r="C199" t="s">
        <v>11</v>
      </c>
      <c r="D199">
        <v>0</v>
      </c>
      <c r="E199">
        <v>0</v>
      </c>
      <c r="F199">
        <v>9.2768616195465878E-2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3:15">
      <c r="C200" t="s">
        <v>12</v>
      </c>
      <c r="D200">
        <v>0</v>
      </c>
      <c r="E200">
        <v>0</v>
      </c>
      <c r="F200">
        <v>0</v>
      </c>
      <c r="G200">
        <v>8.9274983737041583E-2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3:15">
      <c r="C201" t="s">
        <v>13</v>
      </c>
      <c r="D201">
        <v>0</v>
      </c>
      <c r="E201">
        <v>0</v>
      </c>
      <c r="F201">
        <v>0</v>
      </c>
      <c r="G201">
        <v>0</v>
      </c>
      <c r="H201">
        <v>0.22215957427402502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3:15">
      <c r="C202" t="s">
        <v>14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0.27741336916052045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3:15">
      <c r="C203" t="s">
        <v>15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0.19005713669332419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3:15">
      <c r="C204" t="s">
        <v>16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0.28864198910823652</v>
      </c>
      <c r="L204">
        <v>0</v>
      </c>
      <c r="M204">
        <v>0</v>
      </c>
      <c r="N204">
        <v>0</v>
      </c>
      <c r="O204">
        <v>0</v>
      </c>
    </row>
    <row r="205" spans="3:15">
      <c r="C205" t="s">
        <v>17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2.832858070065282E-2</v>
      </c>
      <c r="M205">
        <v>0</v>
      </c>
      <c r="N205">
        <v>0</v>
      </c>
      <c r="O205">
        <v>0</v>
      </c>
    </row>
    <row r="206" spans="3:15">
      <c r="C206" t="s">
        <v>18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0.31267429444688749</v>
      </c>
      <c r="N206">
        <v>0</v>
      </c>
      <c r="O206">
        <v>0</v>
      </c>
    </row>
    <row r="207" spans="3:15">
      <c r="C207" t="s">
        <v>19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0.53302932784298684</v>
      </c>
      <c r="O207">
        <v>0</v>
      </c>
    </row>
    <row r="208" spans="3:15">
      <c r="C208" t="s">
        <v>20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0.56391502201307775</v>
      </c>
    </row>
    <row r="210" spans="1:15">
      <c r="A210" t="s">
        <v>104</v>
      </c>
    </row>
    <row r="212" spans="1:15">
      <c r="D212">
        <v>1</v>
      </c>
      <c r="E212">
        <v>2</v>
      </c>
      <c r="F212">
        <v>3</v>
      </c>
      <c r="G212">
        <v>4</v>
      </c>
      <c r="H212">
        <v>5</v>
      </c>
      <c r="I212">
        <v>6</v>
      </c>
      <c r="J212">
        <v>7</v>
      </c>
      <c r="K212">
        <v>8</v>
      </c>
      <c r="L212">
        <v>9</v>
      </c>
      <c r="M212">
        <v>10</v>
      </c>
      <c r="N212">
        <v>11</v>
      </c>
      <c r="O212">
        <v>12</v>
      </c>
    </row>
    <row r="215" spans="1:15">
      <c r="C215" t="s">
        <v>9</v>
      </c>
      <c r="D215">
        <f t="array" ref="D215:O226">IF(D43:O43=TRANSPOSE(D43:O43),D43:O43,0)</f>
        <v>0.2458262706190068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C216" t="s">
        <v>10</v>
      </c>
      <c r="D216">
        <v>0</v>
      </c>
      <c r="E216">
        <v>0.52367106500872229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C217" t="s">
        <v>11</v>
      </c>
      <c r="D217">
        <v>0</v>
      </c>
      <c r="E217">
        <v>0</v>
      </c>
      <c r="F217">
        <v>0.17216981652570904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C218" t="s">
        <v>12</v>
      </c>
      <c r="D218">
        <v>0</v>
      </c>
      <c r="E218">
        <v>0</v>
      </c>
      <c r="F218">
        <v>0</v>
      </c>
      <c r="G218">
        <v>0.27287470968000727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C219" t="s">
        <v>13</v>
      </c>
      <c r="D219">
        <v>0</v>
      </c>
      <c r="E219">
        <v>0</v>
      </c>
      <c r="F219">
        <v>0</v>
      </c>
      <c r="G219">
        <v>0</v>
      </c>
      <c r="H219">
        <v>0.18819421390880359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C220" t="s">
        <v>14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0.17623030332785034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C221" t="s">
        <v>15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0.23390446156518804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C222" t="s">
        <v>16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8.8137369733648677E-2</v>
      </c>
      <c r="L222">
        <v>0</v>
      </c>
      <c r="M222">
        <v>0</v>
      </c>
      <c r="N222">
        <v>0</v>
      </c>
      <c r="O222">
        <v>0</v>
      </c>
    </row>
    <row r="223" spans="1:15">
      <c r="C223" t="s">
        <v>17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0.71882885515525918</v>
      </c>
      <c r="M223">
        <v>0</v>
      </c>
      <c r="N223">
        <v>0</v>
      </c>
      <c r="O223">
        <v>0</v>
      </c>
    </row>
    <row r="224" spans="1:15">
      <c r="C224" t="s">
        <v>18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0.3641457975369265</v>
      </c>
      <c r="N224">
        <v>0</v>
      </c>
      <c r="O224">
        <v>0</v>
      </c>
    </row>
    <row r="225" spans="1:15">
      <c r="C225" t="s">
        <v>19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0.15386388064693179</v>
      </c>
      <c r="O225">
        <v>0</v>
      </c>
    </row>
    <row r="226" spans="1:15">
      <c r="C226" t="s">
        <v>20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0.1397906662206263</v>
      </c>
    </row>
    <row r="228" spans="1:15">
      <c r="A228" t="s">
        <v>105</v>
      </c>
    </row>
    <row r="230" spans="1:15">
      <c r="D230">
        <v>1</v>
      </c>
      <c r="E230">
        <v>2</v>
      </c>
      <c r="F230">
        <v>3</v>
      </c>
      <c r="G230">
        <v>4</v>
      </c>
      <c r="H230">
        <v>5</v>
      </c>
      <c r="I230">
        <v>6</v>
      </c>
      <c r="J230">
        <v>7</v>
      </c>
      <c r="K230">
        <v>8</v>
      </c>
      <c r="L230">
        <v>9</v>
      </c>
      <c r="M230">
        <v>10</v>
      </c>
      <c r="N230">
        <v>11</v>
      </c>
      <c r="O230">
        <v>12</v>
      </c>
    </row>
    <row r="233" spans="1:15">
      <c r="C233" t="s">
        <v>9</v>
      </c>
      <c r="D233">
        <f t="array" ref="D233:O244">IF(D44:O44=TRANSPOSE(D44:O44),D44:O44,0)</f>
        <v>4.8103299234225124E-3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C234" t="s">
        <v>10</v>
      </c>
      <c r="D234">
        <v>0</v>
      </c>
      <c r="E234">
        <v>3.7968426648734965E-3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C235" t="s">
        <v>11</v>
      </c>
      <c r="D235">
        <v>0</v>
      </c>
      <c r="E235">
        <v>0</v>
      </c>
      <c r="F235">
        <v>3.9759421401125549E-3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C236" t="s">
        <v>12</v>
      </c>
      <c r="D236">
        <v>0</v>
      </c>
      <c r="E236">
        <v>0</v>
      </c>
      <c r="F236">
        <v>0</v>
      </c>
      <c r="G236">
        <v>2.0519224764840308E-2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C237" t="s">
        <v>13</v>
      </c>
      <c r="D237">
        <v>0</v>
      </c>
      <c r="E237">
        <v>0</v>
      </c>
      <c r="F237">
        <v>0</v>
      </c>
      <c r="G237">
        <v>0</v>
      </c>
      <c r="H237">
        <v>4.9834500290459414E-3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C238" t="s">
        <v>14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9.6906695499855873E-3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C239" t="s">
        <v>15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-1.4141515194207754E-2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C240" t="s">
        <v>16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2.1231594821281667E-2</v>
      </c>
      <c r="L240">
        <v>0</v>
      </c>
      <c r="M240">
        <v>0</v>
      </c>
      <c r="N240">
        <v>0</v>
      </c>
      <c r="O240">
        <v>0</v>
      </c>
    </row>
    <row r="241" spans="1:15">
      <c r="C241" t="s">
        <v>17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6.1280714035730752E-2</v>
      </c>
      <c r="M241">
        <v>0</v>
      </c>
      <c r="N241">
        <v>0</v>
      </c>
      <c r="O241">
        <v>0</v>
      </c>
    </row>
    <row r="242" spans="1:15">
      <c r="C242" t="s">
        <v>18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4.7091040871382606E-3</v>
      </c>
      <c r="N242">
        <v>0</v>
      </c>
      <c r="O242">
        <v>0</v>
      </c>
    </row>
    <row r="243" spans="1:15">
      <c r="C243" t="s">
        <v>19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7.1398619512444634E-3</v>
      </c>
      <c r="O243">
        <v>0</v>
      </c>
    </row>
    <row r="244" spans="1:15">
      <c r="C244" t="s">
        <v>20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1.7865109163102571E-3</v>
      </c>
    </row>
    <row r="246" spans="1:15">
      <c r="A246" t="s">
        <v>106</v>
      </c>
    </row>
    <row r="248" spans="1:15">
      <c r="D248">
        <v>1</v>
      </c>
      <c r="E248">
        <v>2</v>
      </c>
      <c r="F248">
        <v>3</v>
      </c>
      <c r="G248">
        <v>4</v>
      </c>
      <c r="H248">
        <v>5</v>
      </c>
      <c r="I248">
        <v>6</v>
      </c>
      <c r="J248">
        <v>7</v>
      </c>
      <c r="K248">
        <v>8</v>
      </c>
      <c r="L248">
        <v>9</v>
      </c>
      <c r="M248">
        <v>10</v>
      </c>
      <c r="N248">
        <v>11</v>
      </c>
      <c r="O248">
        <v>12</v>
      </c>
    </row>
    <row r="251" spans="1:15">
      <c r="C251" t="s">
        <v>9</v>
      </c>
      <c r="D251">
        <f t="array" ref="D251:O262">IF(D45:O45=TRANSPOSE(D45:O45),D45:O45,0)</f>
        <v>23.227799732265876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C252" t="s">
        <v>10</v>
      </c>
      <c r="D252">
        <v>0</v>
      </c>
      <c r="E252">
        <v>4.5466207529400613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C253" t="s">
        <v>11</v>
      </c>
      <c r="D253">
        <v>0</v>
      </c>
      <c r="E253">
        <v>0</v>
      </c>
      <c r="F253">
        <v>9.4571513431563616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C254" t="s">
        <v>12</v>
      </c>
      <c r="D254">
        <v>0</v>
      </c>
      <c r="E254">
        <v>0</v>
      </c>
      <c r="F254">
        <v>0</v>
      </c>
      <c r="G254">
        <v>6.422512740669335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C255" t="s">
        <v>13</v>
      </c>
      <c r="D255">
        <v>0</v>
      </c>
      <c r="E255">
        <v>0</v>
      </c>
      <c r="F255">
        <v>0</v>
      </c>
      <c r="G255">
        <v>0</v>
      </c>
      <c r="H255">
        <v>20.733231944232614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C256" t="s">
        <v>14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33.793459656755175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C257" t="s">
        <v>15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15.992892198779112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C258" t="s">
        <v>16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8.0531006428851146</v>
      </c>
      <c r="L258">
        <v>0</v>
      </c>
      <c r="M258">
        <v>0</v>
      </c>
      <c r="N258">
        <v>0</v>
      </c>
      <c r="O258">
        <v>0</v>
      </c>
    </row>
    <row r="259" spans="1:15">
      <c r="C259" t="s">
        <v>17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4.1423908668102269</v>
      </c>
      <c r="M259">
        <v>0</v>
      </c>
      <c r="N259">
        <v>0</v>
      </c>
      <c r="O259">
        <v>0</v>
      </c>
    </row>
    <row r="260" spans="1:15">
      <c r="C260" t="s">
        <v>18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16.508203878776058</v>
      </c>
      <c r="N260">
        <v>0</v>
      </c>
      <c r="O260">
        <v>0</v>
      </c>
    </row>
    <row r="261" spans="1:15">
      <c r="C261" t="s">
        <v>19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45.570863240868746</v>
      </c>
      <c r="O261">
        <v>0</v>
      </c>
    </row>
    <row r="262" spans="1:15">
      <c r="C262" t="s">
        <v>20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30.068234938813042</v>
      </c>
    </row>
    <row r="264" spans="1:15">
      <c r="A264" t="s">
        <v>107</v>
      </c>
    </row>
    <row r="266" spans="1:15">
      <c r="D266">
        <v>1</v>
      </c>
      <c r="E266">
        <v>2</v>
      </c>
      <c r="F266">
        <v>3</v>
      </c>
      <c r="G266">
        <v>4</v>
      </c>
      <c r="H266">
        <v>5</v>
      </c>
      <c r="I266">
        <v>6</v>
      </c>
      <c r="J266">
        <v>7</v>
      </c>
      <c r="K266">
        <v>8</v>
      </c>
      <c r="L266">
        <v>9</v>
      </c>
      <c r="M266">
        <v>10</v>
      </c>
      <c r="N266">
        <v>11</v>
      </c>
      <c r="O266">
        <v>12</v>
      </c>
    </row>
    <row r="269" spans="1:15">
      <c r="C269" t="s">
        <v>9</v>
      </c>
      <c r="D269">
        <f t="array" ref="D269:O280">MMULT(VADIAG,LCHL)</f>
        <v>0.45910865809165985</v>
      </c>
      <c r="E269">
        <v>5.6624480602030921E-3</v>
      </c>
      <c r="F269">
        <v>6.9267463739206378E-2</v>
      </c>
      <c r="G269">
        <v>5.2221186754168973E-3</v>
      </c>
      <c r="H269">
        <v>1.573055823370071E-2</v>
      </c>
      <c r="I269">
        <v>9.7681348570344585E-3</v>
      </c>
      <c r="J269">
        <v>6.0741004035561007E-3</v>
      </c>
      <c r="K269">
        <v>1.8919488449055722E-3</v>
      </c>
      <c r="L269">
        <v>2.1619621829359805E-3</v>
      </c>
      <c r="M269">
        <v>2.4345392329206813E-3</v>
      </c>
      <c r="N269">
        <v>4.7991364227963455E-3</v>
      </c>
      <c r="O269">
        <v>4.0843266153991389E-3</v>
      </c>
    </row>
    <row r="270" spans="1:15">
      <c r="C270" t="s">
        <v>10</v>
      </c>
      <c r="D270">
        <v>7.907425011577698E-3</v>
      </c>
      <c r="E270">
        <v>0.64960960801275092</v>
      </c>
      <c r="F270">
        <v>2.8125758261991304E-2</v>
      </c>
      <c r="G270">
        <v>4.9418795573232211E-3</v>
      </c>
      <c r="H270">
        <v>1.0364840453590577E-2</v>
      </c>
      <c r="I270">
        <v>3.7815354803472849E-3</v>
      </c>
      <c r="J270">
        <v>3.023539813425753E-3</v>
      </c>
      <c r="K270">
        <v>2.0776274657426774E-3</v>
      </c>
      <c r="L270">
        <v>1.5643050676718529E-3</v>
      </c>
      <c r="M270">
        <v>2.0188994188134295E-3</v>
      </c>
      <c r="N270">
        <v>2.2403411746691011E-3</v>
      </c>
      <c r="O270">
        <v>1.5610591442310614E-3</v>
      </c>
    </row>
    <row r="271" spans="1:15">
      <c r="C271" t="s">
        <v>11</v>
      </c>
      <c r="D271">
        <v>8.3284555859581749E-2</v>
      </c>
      <c r="E271">
        <v>2.5855894865331842E-2</v>
      </c>
      <c r="F271">
        <v>0.32836163143246172</v>
      </c>
      <c r="G271">
        <v>1.810043421606216E-2</v>
      </c>
      <c r="H271">
        <v>7.2583914496021765E-2</v>
      </c>
      <c r="I271">
        <v>3.3951146685932632E-2</v>
      </c>
      <c r="J271">
        <v>2.756894229893361E-2</v>
      </c>
      <c r="K271">
        <v>8.2248027346205448E-3</v>
      </c>
      <c r="L271">
        <v>9.8869005837438455E-3</v>
      </c>
      <c r="M271">
        <v>1.0558989142911597E-2</v>
      </c>
      <c r="N271">
        <v>1.9223796267697608E-2</v>
      </c>
      <c r="O271">
        <v>1.0781679433249846E-2</v>
      </c>
    </row>
    <row r="272" spans="1:15">
      <c r="C272" t="s">
        <v>12</v>
      </c>
      <c r="D272">
        <v>1.1965272985140083E-2</v>
      </c>
      <c r="E272">
        <v>2.9840456880742307E-2</v>
      </c>
      <c r="F272">
        <v>2.0545436621644365E-2</v>
      </c>
      <c r="G272">
        <v>0.43991481255106735</v>
      </c>
      <c r="H272">
        <v>9.6822586103752911E-3</v>
      </c>
      <c r="I272">
        <v>1.150113772627811E-2</v>
      </c>
      <c r="J272">
        <v>8.4775453295183427E-3</v>
      </c>
      <c r="K272">
        <v>5.7028081227081416E-3</v>
      </c>
      <c r="L272">
        <v>5.2278080929813271E-3</v>
      </c>
      <c r="M272">
        <v>4.7696546646577706E-3</v>
      </c>
      <c r="N272">
        <v>6.9943140338999555E-3</v>
      </c>
      <c r="O272">
        <v>1.6972880709792457E-2</v>
      </c>
    </row>
    <row r="273" spans="1:15">
      <c r="C273" t="s">
        <v>13</v>
      </c>
      <c r="D273">
        <v>8.057438394724779E-4</v>
      </c>
      <c r="E273">
        <v>5.2108766356833531E-4</v>
      </c>
      <c r="F273">
        <v>9.5375160108944631E-4</v>
      </c>
      <c r="G273">
        <v>6.5091854579448828E-4</v>
      </c>
      <c r="H273">
        <v>0.48521729012175147</v>
      </c>
      <c r="I273">
        <v>3.5748595568525377E-3</v>
      </c>
      <c r="J273">
        <v>1.7786291364280912E-3</v>
      </c>
      <c r="K273">
        <v>2.5511305861366071E-3</v>
      </c>
      <c r="L273">
        <v>5.5976233538997E-2</v>
      </c>
      <c r="M273">
        <v>1.7192513752578172E-3</v>
      </c>
      <c r="N273">
        <v>1.7157707664923552E-3</v>
      </c>
      <c r="O273">
        <v>1.0684941787750377E-3</v>
      </c>
    </row>
    <row r="274" spans="1:15">
      <c r="C274" t="s">
        <v>14</v>
      </c>
      <c r="D274">
        <v>3.8797974805488383E-2</v>
      </c>
      <c r="E274">
        <v>2.359128272073965E-2</v>
      </c>
      <c r="F274">
        <v>3.9336350069601879E-2</v>
      </c>
      <c r="G274">
        <v>1.7253860207489077E-2</v>
      </c>
      <c r="H274">
        <v>4.9146970732108441E-2</v>
      </c>
      <c r="I274">
        <v>0.51318475710913869</v>
      </c>
      <c r="J274">
        <v>3.8384191642714865E-2</v>
      </c>
      <c r="K274">
        <v>1.7890678202936029E-2</v>
      </c>
      <c r="L274">
        <v>8.0794990476035691E-3</v>
      </c>
      <c r="M274">
        <v>2.1640879170483934E-2</v>
      </c>
      <c r="N274">
        <v>2.5484943787741958E-2</v>
      </c>
      <c r="O274">
        <v>1.4269199064162536E-2</v>
      </c>
    </row>
    <row r="275" spans="1:15">
      <c r="C275" t="s">
        <v>15</v>
      </c>
      <c r="D275">
        <v>4.4276602533725194E-2</v>
      </c>
      <c r="E275">
        <v>2.6497653216138502E-2</v>
      </c>
      <c r="F275">
        <v>4.4138106776046203E-2</v>
      </c>
      <c r="G275">
        <v>2.6262245143961548E-2</v>
      </c>
      <c r="H275">
        <v>3.3590380965225056E-2</v>
      </c>
      <c r="I275">
        <v>7.3652436988432032E-2</v>
      </c>
      <c r="J275">
        <v>0.50468897519465794</v>
      </c>
      <c r="K275">
        <v>3.584258785607855E-2</v>
      </c>
      <c r="L275">
        <v>7.3105939895353684E-3</v>
      </c>
      <c r="M275">
        <v>2.8110833561455179E-2</v>
      </c>
      <c r="N275">
        <v>1.7335389626297475E-2</v>
      </c>
      <c r="O275">
        <v>2.4014433309646754E-2</v>
      </c>
    </row>
    <row r="276" spans="1:15">
      <c r="C276" t="s">
        <v>16</v>
      </c>
      <c r="D276">
        <v>1.4526678079727179E-2</v>
      </c>
      <c r="E276">
        <v>7.2818671427490054E-3</v>
      </c>
      <c r="F276">
        <v>1.1551867498977415E-2</v>
      </c>
      <c r="G276">
        <v>1.7422402664839628E-2</v>
      </c>
      <c r="H276">
        <v>1.5859772924977318E-2</v>
      </c>
      <c r="I276">
        <v>2.2557859722116949E-2</v>
      </c>
      <c r="J276">
        <v>1.3059916394273093E-2</v>
      </c>
      <c r="K276">
        <v>0.55322331326895213</v>
      </c>
      <c r="L276">
        <v>1.5895182815975333E-2</v>
      </c>
      <c r="M276">
        <v>1.7585054753504324E-2</v>
      </c>
      <c r="N276">
        <v>7.2922784647107223E-3</v>
      </c>
      <c r="O276">
        <v>1.1386364321013922E-2</v>
      </c>
    </row>
    <row r="277" spans="1:15">
      <c r="C277" t="s">
        <v>17</v>
      </c>
      <c r="D277">
        <v>9.5946102684312112E-3</v>
      </c>
      <c r="E277">
        <v>5.9622431352698213E-3</v>
      </c>
      <c r="F277">
        <v>1.1342090385324941E-2</v>
      </c>
      <c r="G277">
        <v>7.4981779928609445E-3</v>
      </c>
      <c r="H277">
        <v>1.0853894605926059E-2</v>
      </c>
      <c r="I277">
        <v>4.3136036228404194E-2</v>
      </c>
      <c r="J277">
        <v>1.9273063370603888E-2</v>
      </c>
      <c r="K277">
        <v>2.9248988617857609E-2</v>
      </c>
      <c r="L277">
        <v>0.82164081196559091</v>
      </c>
      <c r="M277">
        <v>2.0299530889744115E-2</v>
      </c>
      <c r="N277">
        <v>2.083125054135886E-2</v>
      </c>
      <c r="O277">
        <v>1.2127440723486755E-2</v>
      </c>
    </row>
    <row r="278" spans="1:15">
      <c r="C278" t="s">
        <v>18</v>
      </c>
      <c r="D278">
        <v>5.6909374283206832E-2</v>
      </c>
      <c r="E278">
        <v>7.8304581675086735E-2</v>
      </c>
      <c r="F278">
        <v>5.8858635481258512E-2</v>
      </c>
      <c r="G278">
        <v>7.1793450252996174E-2</v>
      </c>
      <c r="H278">
        <v>6.7915060236576175E-2</v>
      </c>
      <c r="I278">
        <v>9.7289548408799914E-2</v>
      </c>
      <c r="J278">
        <v>6.8117553543043552E-2</v>
      </c>
      <c r="K278">
        <v>0.12858320556126326</v>
      </c>
      <c r="L278">
        <v>2.6363306282314147E-2</v>
      </c>
      <c r="M278">
        <v>0.7914211736660961</v>
      </c>
      <c r="N278">
        <v>4.7234728472966843E-2</v>
      </c>
      <c r="O278">
        <v>5.6531556847158396E-2</v>
      </c>
    </row>
    <row r="279" spans="1:15">
      <c r="C279" t="s">
        <v>19</v>
      </c>
      <c r="D279">
        <v>2.1572097523829704E-3</v>
      </c>
      <c r="E279">
        <v>1.7268238251097572E-3</v>
      </c>
      <c r="F279">
        <v>2.0709755237100337E-3</v>
      </c>
      <c r="G279">
        <v>1.6873765524071732E-3</v>
      </c>
      <c r="H279">
        <v>3.0817335349332085E-3</v>
      </c>
      <c r="I279">
        <v>3.5337993937602772E-3</v>
      </c>
      <c r="J279">
        <v>5.2141260407609297E-3</v>
      </c>
      <c r="K279">
        <v>4.3214031685917401E-3</v>
      </c>
      <c r="L279">
        <v>8.4573961503793245E-4</v>
      </c>
      <c r="M279">
        <v>2.6564477845224341E-3</v>
      </c>
      <c r="N279">
        <v>0.72814449232714662</v>
      </c>
      <c r="O279">
        <v>3.2396884790288024E-3</v>
      </c>
    </row>
    <row r="280" spans="1:15">
      <c r="C280" t="s">
        <v>20</v>
      </c>
      <c r="D280">
        <v>2.5970265783370233E-3</v>
      </c>
      <c r="E280">
        <v>1.8998493557036234E-3</v>
      </c>
      <c r="F280">
        <v>2.3289284134841979E-3</v>
      </c>
      <c r="G280">
        <v>1.5320625852893249E-3</v>
      </c>
      <c r="H280">
        <v>1.414344526865754E-3</v>
      </c>
      <c r="I280">
        <v>2.3927545894868924E-3</v>
      </c>
      <c r="J280">
        <v>3.3625545441228672E-3</v>
      </c>
      <c r="K280">
        <v>1.1258484026942207E-3</v>
      </c>
      <c r="L280">
        <v>3.9263878948515109E-4</v>
      </c>
      <c r="M280">
        <v>8.8110564897164018E-4</v>
      </c>
      <c r="N280">
        <v>9.5550714397741124E-4</v>
      </c>
      <c r="O280">
        <v>0.70839178684681303</v>
      </c>
    </row>
    <row r="281" spans="1:15">
      <c r="D281">
        <f t="shared" ref="D281:O281" si="58">SUM(D269:D280)</f>
        <v>0.73193113208873084</v>
      </c>
      <c r="E281">
        <f t="shared" si="58"/>
        <v>0.85675379655339357</v>
      </c>
      <c r="F281">
        <f t="shared" si="58"/>
        <v>0.61688099580479638</v>
      </c>
      <c r="G281">
        <f t="shared" si="58"/>
        <v>0.61227973894550802</v>
      </c>
      <c r="H281">
        <f t="shared" si="58"/>
        <v>0.77544101944205168</v>
      </c>
      <c r="I281">
        <f t="shared" si="58"/>
        <v>0.81832400674658401</v>
      </c>
      <c r="J281">
        <f t="shared" si="58"/>
        <v>0.69902313771203883</v>
      </c>
      <c r="K281">
        <f t="shared" si="58"/>
        <v>0.79068434283248712</v>
      </c>
      <c r="L281">
        <f t="shared" si="58"/>
        <v>0.95534498197187245</v>
      </c>
      <c r="M281">
        <f t="shared" si="58"/>
        <v>0.90409635930933896</v>
      </c>
      <c r="N281">
        <f t="shared" si="58"/>
        <v>0.88225194902975523</v>
      </c>
      <c r="O281">
        <f t="shared" si="58"/>
        <v>0.86442890967275776</v>
      </c>
    </row>
    <row r="283" spans="1:15">
      <c r="A283" t="s">
        <v>41</v>
      </c>
    </row>
    <row r="284" spans="1:15">
      <c r="A284" s="45"/>
    </row>
    <row r="285" spans="1:15">
      <c r="D285">
        <v>1</v>
      </c>
      <c r="E285">
        <v>2</v>
      </c>
      <c r="F285">
        <v>3</v>
      </c>
      <c r="G285">
        <v>4</v>
      </c>
      <c r="H285">
        <v>5</v>
      </c>
      <c r="I285">
        <v>6</v>
      </c>
      <c r="J285">
        <v>7</v>
      </c>
      <c r="K285">
        <v>8</v>
      </c>
      <c r="L285">
        <v>9</v>
      </c>
      <c r="M285">
        <v>10</v>
      </c>
      <c r="N285">
        <v>11</v>
      </c>
      <c r="O285">
        <v>12</v>
      </c>
    </row>
    <row r="288" spans="1:15">
      <c r="C288" t="s">
        <v>9</v>
      </c>
      <c r="D288">
        <f t="array" ref="D288:O299">MMULT(COMPDIAG,LCHL)</f>
        <v>0.14274404231307783</v>
      </c>
      <c r="E288">
        <v>1.7605434165867213E-3</v>
      </c>
      <c r="F288">
        <v>2.153633481016784E-2</v>
      </c>
      <c r="G288">
        <v>1.6236381432362381E-3</v>
      </c>
      <c r="H288">
        <v>4.8908758973380375E-3</v>
      </c>
      <c r="I288">
        <v>3.0370654762820878E-3</v>
      </c>
      <c r="J288">
        <v>1.8885325504926387E-3</v>
      </c>
      <c r="K288">
        <v>5.8823640376100695E-4</v>
      </c>
      <c r="L288">
        <v>6.7218776183191719E-4</v>
      </c>
      <c r="M288">
        <v>7.5693621793448528E-4</v>
      </c>
      <c r="N288">
        <v>1.4921263638315147E-3</v>
      </c>
      <c r="O288">
        <v>1.2698808461428918E-3</v>
      </c>
    </row>
    <row r="289" spans="1:15">
      <c r="C289" t="s">
        <v>10</v>
      </c>
      <c r="D289">
        <v>8.473629482678586E-4</v>
      </c>
      <c r="E289">
        <v>6.9612435383561752E-2</v>
      </c>
      <c r="F289">
        <v>3.0139679362441284E-3</v>
      </c>
      <c r="G289">
        <v>5.2957386577132484E-4</v>
      </c>
      <c r="H289">
        <v>1.1107006076214601E-3</v>
      </c>
      <c r="I289">
        <v>4.0523091258089038E-4</v>
      </c>
      <c r="J289">
        <v>3.2400378211092481E-4</v>
      </c>
      <c r="K289">
        <v>2.2263942208700587E-4</v>
      </c>
      <c r="L289">
        <v>1.6763158072216755E-4</v>
      </c>
      <c r="M289">
        <v>2.1634610018776327E-4</v>
      </c>
      <c r="N289">
        <v>2.4007589071207896E-4</v>
      </c>
      <c r="O289">
        <v>1.6728374621819011E-4</v>
      </c>
    </row>
    <row r="290" spans="1:15">
      <c r="C290" t="s">
        <v>11</v>
      </c>
      <c r="D290">
        <v>2.8731052408532427E-2</v>
      </c>
      <c r="E290">
        <v>8.9196257670849776E-3</v>
      </c>
      <c r="F290">
        <v>0.11327640694324337</v>
      </c>
      <c r="G290">
        <v>6.2441891982431118E-3</v>
      </c>
      <c r="H290">
        <v>2.5039603440014199E-2</v>
      </c>
      <c r="I290">
        <v>1.1712281643284746E-2</v>
      </c>
      <c r="J290">
        <v>9.5105835393290376E-3</v>
      </c>
      <c r="K290">
        <v>2.8373476448219173E-3</v>
      </c>
      <c r="L290">
        <v>3.4107291069477861E-3</v>
      </c>
      <c r="M290">
        <v>3.6425825570541919E-3</v>
      </c>
      <c r="N290">
        <v>6.6317205195809007E-3</v>
      </c>
      <c r="O290">
        <v>3.7194050403651052E-3</v>
      </c>
    </row>
    <row r="291" spans="1:15">
      <c r="C291" t="s">
        <v>12</v>
      </c>
      <c r="D291">
        <v>2.7914458175302094E-3</v>
      </c>
      <c r="E291">
        <v>6.9616479838268772E-3</v>
      </c>
      <c r="F291">
        <v>4.7931604400540725E-3</v>
      </c>
      <c r="G291">
        <v>0.10263020033812342</v>
      </c>
      <c r="H291">
        <v>2.2588285562514091E-3</v>
      </c>
      <c r="I291">
        <v>2.6831650930764003E-3</v>
      </c>
      <c r="J291">
        <v>1.9777742206463903E-3</v>
      </c>
      <c r="K291">
        <v>1.330440174836059E-3</v>
      </c>
      <c r="L291">
        <v>1.2196247468926806E-3</v>
      </c>
      <c r="M291">
        <v>1.1127395573220606E-3</v>
      </c>
      <c r="N291">
        <v>1.631742851222069E-3</v>
      </c>
      <c r="O291">
        <v>3.9596987822701681E-3</v>
      </c>
    </row>
    <row r="292" spans="1:15">
      <c r="C292" t="s">
        <v>13</v>
      </c>
      <c r="D292">
        <v>4.3098400981760753E-4</v>
      </c>
      <c r="E292">
        <v>2.7872437828156758E-4</v>
      </c>
      <c r="F292">
        <v>5.1015182402959383E-4</v>
      </c>
      <c r="G292">
        <v>3.4816956852542824E-4</v>
      </c>
      <c r="H292">
        <v>0.25953768813971662</v>
      </c>
      <c r="I292">
        <v>1.9121552419883302E-3</v>
      </c>
      <c r="J292">
        <v>9.5137024900876195E-4</v>
      </c>
      <c r="K292">
        <v>1.3645732498573503E-3</v>
      </c>
      <c r="L292">
        <v>2.9941105849370653E-2</v>
      </c>
      <c r="M292">
        <v>9.1960970136385387E-4</v>
      </c>
      <c r="N292">
        <v>9.177479598911207E-4</v>
      </c>
      <c r="O292">
        <v>5.7152643690919203E-4</v>
      </c>
    </row>
    <row r="293" spans="1:15">
      <c r="C293" t="s">
        <v>14</v>
      </c>
      <c r="D293">
        <v>2.3229611817775775E-2</v>
      </c>
      <c r="E293">
        <v>1.4124869729248353E-2</v>
      </c>
      <c r="F293">
        <v>2.355195463232598E-2</v>
      </c>
      <c r="G293">
        <v>1.0330448354264148E-2</v>
      </c>
      <c r="H293">
        <v>2.942589291967285E-2</v>
      </c>
      <c r="I293">
        <v>0.30726043712875639</v>
      </c>
      <c r="J293">
        <v>2.298186635435533E-2</v>
      </c>
      <c r="K293">
        <v>1.0711732039996997E-2</v>
      </c>
      <c r="L293">
        <v>4.8374593647957662E-3</v>
      </c>
      <c r="M293">
        <v>1.2957099566305653E-2</v>
      </c>
      <c r="N293">
        <v>1.5258666318411456E-2</v>
      </c>
      <c r="O293">
        <v>8.54343446720769E-3</v>
      </c>
    </row>
    <row r="294" spans="1:15">
      <c r="C294" t="s">
        <v>15</v>
      </c>
      <c r="D294">
        <v>2.0533606447851422E-2</v>
      </c>
      <c r="E294">
        <v>1.22884853804535E-2</v>
      </c>
      <c r="F294">
        <v>2.0469378001671267E-2</v>
      </c>
      <c r="G294">
        <v>1.217931312169568E-2</v>
      </c>
      <c r="H294">
        <v>1.5577791061271396E-2</v>
      </c>
      <c r="I294">
        <v>3.4156869960690665E-2</v>
      </c>
      <c r="J294">
        <v>0.23405329682472947</v>
      </c>
      <c r="K294">
        <v>1.6622268895827456E-2</v>
      </c>
      <c r="L294">
        <v>3.3903427835685293E-3</v>
      </c>
      <c r="M294">
        <v>1.3036609862563685E-2</v>
      </c>
      <c r="N294">
        <v>8.0394169343826136E-3</v>
      </c>
      <c r="O294">
        <v>1.1136873527567235E-2</v>
      </c>
    </row>
    <row r="295" spans="1:15">
      <c r="C295" t="s">
        <v>16</v>
      </c>
      <c r="D295">
        <v>1.0534909196534279E-2</v>
      </c>
      <c r="E295">
        <v>5.2808913854259527E-3</v>
      </c>
      <c r="F295">
        <v>8.3775433367632088E-3</v>
      </c>
      <c r="G295">
        <v>1.2634921008932373E-2</v>
      </c>
      <c r="H295">
        <v>1.1501684468072607E-2</v>
      </c>
      <c r="I295">
        <v>1.6359211826433146E-2</v>
      </c>
      <c r="J295">
        <v>9.4711972395123342E-3</v>
      </c>
      <c r="K295">
        <v>0.401203725910866</v>
      </c>
      <c r="L295">
        <v>1.1527364116528773E-2</v>
      </c>
      <c r="M295">
        <v>1.2752878120345239E-2</v>
      </c>
      <c r="N295">
        <v>5.2884417923999769E-3</v>
      </c>
      <c r="O295">
        <v>8.2575185835461282E-3</v>
      </c>
    </row>
    <row r="296" spans="1:15">
      <c r="C296" t="s">
        <v>17</v>
      </c>
      <c r="D296">
        <v>3.3620591917513505E-4</v>
      </c>
      <c r="E296">
        <v>2.0892369544539996E-4</v>
      </c>
      <c r="F296">
        <v>3.9743958500454364E-4</v>
      </c>
      <c r="G296">
        <v>2.6274457780980551E-4</v>
      </c>
      <c r="H296">
        <v>3.8033265661889905E-4</v>
      </c>
      <c r="I296">
        <v>1.511535154008276E-3</v>
      </c>
      <c r="J296">
        <v>6.7534978540550843E-4</v>
      </c>
      <c r="K296">
        <v>1.0249174096800245E-3</v>
      </c>
      <c r="L296">
        <v>2.8791216807169298E-2</v>
      </c>
      <c r="M296">
        <v>7.1131836006574714E-4</v>
      </c>
      <c r="N296">
        <v>7.2995041381396556E-4</v>
      </c>
      <c r="O296">
        <v>4.2495914285307397E-4</v>
      </c>
    </row>
    <row r="297" spans="1:15">
      <c r="C297" t="s">
        <v>18</v>
      </c>
      <c r="D297">
        <v>2.6109077283848349E-2</v>
      </c>
      <c r="E297">
        <v>3.5924843672680243E-2</v>
      </c>
      <c r="F297">
        <v>2.7003366000028381E-2</v>
      </c>
      <c r="G297">
        <v>3.2937644539921186E-2</v>
      </c>
      <c r="H297">
        <v>3.1158303509536737E-2</v>
      </c>
      <c r="I297">
        <v>4.4634831612717668E-2</v>
      </c>
      <c r="J297">
        <v>3.1251204080920789E-2</v>
      </c>
      <c r="K297">
        <v>5.8991842621517653E-2</v>
      </c>
      <c r="L297">
        <v>1.2095047781711755E-2</v>
      </c>
      <c r="M297">
        <v>0.36309091160433854</v>
      </c>
      <c r="N297">
        <v>2.1670510205314276E-2</v>
      </c>
      <c r="O297">
        <v>2.5935740908932609E-2</v>
      </c>
    </row>
    <row r="298" spans="1:15">
      <c r="C298" t="s">
        <v>19</v>
      </c>
      <c r="D298">
        <v>1.6567741701387869E-3</v>
      </c>
      <c r="E298">
        <v>1.3262303800832236E-3</v>
      </c>
      <c r="F298">
        <v>1.5905448002366063E-3</v>
      </c>
      <c r="G298">
        <v>1.2959341965879158E-3</v>
      </c>
      <c r="H298">
        <v>2.3668243267896245E-3</v>
      </c>
      <c r="I298">
        <v>2.7140186769351962E-3</v>
      </c>
      <c r="J298">
        <v>4.0045384249899818E-3</v>
      </c>
      <c r="K298">
        <v>3.3189119141380828E-3</v>
      </c>
      <c r="L298">
        <v>6.4954256177922754E-4</v>
      </c>
      <c r="M298">
        <v>2.040197560231426E-3</v>
      </c>
      <c r="N298">
        <v>0.55922748619313167</v>
      </c>
      <c r="O298">
        <v>2.4881364389447882E-3</v>
      </c>
    </row>
    <row r="299" spans="1:15">
      <c r="C299" t="s">
        <v>20</v>
      </c>
      <c r="D299">
        <v>2.0758589561385866E-3</v>
      </c>
      <c r="E299">
        <v>1.5185902729100561E-3</v>
      </c>
      <c r="F299">
        <v>1.8615623519850676E-3</v>
      </c>
      <c r="G299">
        <v>1.2246104316245314E-3</v>
      </c>
      <c r="H299">
        <v>1.1305158667416829E-3</v>
      </c>
      <c r="I299">
        <v>1.912579981221697E-3</v>
      </c>
      <c r="J299">
        <v>2.6877618520144836E-3</v>
      </c>
      <c r="K299">
        <v>8.9991473690795147E-4</v>
      </c>
      <c r="L299">
        <v>3.1384459230374151E-4</v>
      </c>
      <c r="M299">
        <v>7.0428661299773562E-4</v>
      </c>
      <c r="N299">
        <v>7.6375732117074495E-4</v>
      </c>
      <c r="O299">
        <v>0.56623272455016804</v>
      </c>
    </row>
    <row r="300" spans="1:15">
      <c r="D300">
        <f t="shared" ref="D300:O300" si="59">SUM(D288:D299)</f>
        <v>0.26002093128868831</v>
      </c>
      <c r="E300">
        <f t="shared" si="59"/>
        <v>0.15820581144558865</v>
      </c>
      <c r="F300">
        <f t="shared" si="59"/>
        <v>0.226381810661754</v>
      </c>
      <c r="G300">
        <f t="shared" si="59"/>
        <v>0.18224138734473516</v>
      </c>
      <c r="H300">
        <f t="shared" si="59"/>
        <v>0.38437904144964552</v>
      </c>
      <c r="I300">
        <f t="shared" si="59"/>
        <v>0.42829938270797546</v>
      </c>
      <c r="J300">
        <f t="shared" si="59"/>
        <v>0.31977747890351566</v>
      </c>
      <c r="K300">
        <f t="shared" si="59"/>
        <v>0.49911655042429748</v>
      </c>
      <c r="L300">
        <f t="shared" si="59"/>
        <v>9.7016097053622283E-2</v>
      </c>
      <c r="M300">
        <f t="shared" si="59"/>
        <v>0.41194151582071042</v>
      </c>
      <c r="N300">
        <f t="shared" si="59"/>
        <v>0.62189164276386233</v>
      </c>
      <c r="O300">
        <f t="shared" si="59"/>
        <v>0.63270718247112512</v>
      </c>
    </row>
    <row r="302" spans="1:15">
      <c r="A302" t="s">
        <v>42</v>
      </c>
    </row>
    <row r="304" spans="1:15">
      <c r="A304" s="45"/>
      <c r="D304">
        <v>1</v>
      </c>
      <c r="E304">
        <v>2</v>
      </c>
      <c r="F304">
        <v>3</v>
      </c>
      <c r="G304">
        <v>4</v>
      </c>
      <c r="H304">
        <v>5</v>
      </c>
      <c r="I304">
        <v>6</v>
      </c>
      <c r="J304">
        <v>7</v>
      </c>
      <c r="K304">
        <v>8</v>
      </c>
      <c r="L304">
        <v>9</v>
      </c>
      <c r="M304">
        <v>10</v>
      </c>
      <c r="N304">
        <v>11</v>
      </c>
      <c r="O304">
        <v>12</v>
      </c>
    </row>
    <row r="305" spans="1:15">
      <c r="A305" s="45"/>
    </row>
    <row r="306" spans="1:15">
      <c r="A306" s="45"/>
    </row>
    <row r="307" spans="1:15">
      <c r="C307" t="s">
        <v>9</v>
      </c>
      <c r="D307">
        <f t="array" ref="D307:O318">MMULT(GOSDIAG,LCHL)</f>
        <v>0.31029280434043516</v>
      </c>
      <c r="E307">
        <v>3.827017541633229E-3</v>
      </c>
      <c r="F307">
        <v>4.6815051718969519E-2</v>
      </c>
      <c r="G307">
        <v>3.5294168816789378E-3</v>
      </c>
      <c r="H307">
        <v>1.0631642296758911E-2</v>
      </c>
      <c r="I307">
        <v>6.6018836816613682E-3</v>
      </c>
      <c r="J307">
        <v>4.1052365596827975E-3</v>
      </c>
      <c r="K307">
        <v>1.2786910079077454E-3</v>
      </c>
      <c r="L307">
        <v>1.4611820029916374E-3</v>
      </c>
      <c r="M307">
        <v>1.6454057063523128E-3</v>
      </c>
      <c r="N307">
        <v>3.2435404403645552E-3</v>
      </c>
      <c r="O307">
        <v>2.760429665174069E-3</v>
      </c>
    </row>
    <row r="308" spans="1:15">
      <c r="C308" t="s">
        <v>10</v>
      </c>
      <c r="D308">
        <v>7.0092420144146116E-3</v>
      </c>
      <c r="E308">
        <v>0.57582221150168167</v>
      </c>
      <c r="F308">
        <v>2.4931029533454243E-2</v>
      </c>
      <c r="G308">
        <v>4.3805448388887632E-3</v>
      </c>
      <c r="H308">
        <v>9.1875262899921116E-3</v>
      </c>
      <c r="I308">
        <v>3.3520011039044032E-3</v>
      </c>
      <c r="J308">
        <v>2.6801041124626121E-3</v>
      </c>
      <c r="K308">
        <v>1.8416353872295252E-3</v>
      </c>
      <c r="L308">
        <v>1.3866198904995467E-3</v>
      </c>
      <c r="M308">
        <v>1.7895781001407078E-3</v>
      </c>
      <c r="N308">
        <v>1.9858668865176564E-3</v>
      </c>
      <c r="O308">
        <v>1.3837426627138316E-3</v>
      </c>
    </row>
    <row r="309" spans="1:15">
      <c r="C309" t="s">
        <v>11</v>
      </c>
      <c r="D309">
        <v>5.3322127941899042E-2</v>
      </c>
      <c r="E309">
        <v>1.6553985547884731E-2</v>
      </c>
      <c r="F309">
        <v>0.2102303451311261</v>
      </c>
      <c r="G309">
        <v>1.1588627196380182E-2</v>
      </c>
      <c r="H309">
        <v>4.6471146244762708E-2</v>
      </c>
      <c r="I309">
        <v>2.17368918964248E-2</v>
      </c>
      <c r="J309">
        <v>1.7650747528329947E-2</v>
      </c>
      <c r="K309">
        <v>5.2658500629064915E-3</v>
      </c>
      <c r="L309">
        <v>6.3299920667653203E-3</v>
      </c>
      <c r="M309">
        <v>6.76029023874154E-3</v>
      </c>
      <c r="N309">
        <v>1.2307848838666076E-2</v>
      </c>
      <c r="O309">
        <v>6.9028655341282974E-3</v>
      </c>
    </row>
    <row r="310" spans="1:15">
      <c r="C310" t="s">
        <v>12</v>
      </c>
      <c r="D310">
        <v>8.5322330529865893E-3</v>
      </c>
      <c r="E310">
        <v>2.1278723254395504E-2</v>
      </c>
      <c r="F310">
        <v>1.4650602092316814E-2</v>
      </c>
      <c r="G310">
        <v>0.31369578519504815</v>
      </c>
      <c r="H310">
        <v>6.9042542569320983E-3</v>
      </c>
      <c r="I310">
        <v>8.201266078673778E-3</v>
      </c>
      <c r="J310">
        <v>6.0451936665832495E-3</v>
      </c>
      <c r="K310">
        <v>4.0665756660829867E-3</v>
      </c>
      <c r="L310">
        <v>3.7278612080979489E-3</v>
      </c>
      <c r="M310">
        <v>3.4011597755994071E-3</v>
      </c>
      <c r="N310">
        <v>4.9875266078027126E-3</v>
      </c>
      <c r="O310">
        <v>1.2103073116371047E-2</v>
      </c>
    </row>
    <row r="311" spans="1:15">
      <c r="C311" t="s">
        <v>13</v>
      </c>
      <c r="D311">
        <v>3.6509206141547776E-4</v>
      </c>
      <c r="E311">
        <v>2.3611098211423156E-4</v>
      </c>
      <c r="F311">
        <v>4.3215612836460568E-4</v>
      </c>
      <c r="G311">
        <v>2.9493889007362631E-4</v>
      </c>
      <c r="H311">
        <v>0.2198576917460045</v>
      </c>
      <c r="I311">
        <v>1.6198111371681109E-3</v>
      </c>
      <c r="J311">
        <v>8.0591789362895075E-4</v>
      </c>
      <c r="K311">
        <v>1.1559474351581487E-3</v>
      </c>
      <c r="L311">
        <v>2.5363493323642936E-2</v>
      </c>
      <c r="M311">
        <v>7.7901312791323139E-4</v>
      </c>
      <c r="N311">
        <v>7.7743602292413801E-4</v>
      </c>
      <c r="O311">
        <v>4.8414734712066173E-4</v>
      </c>
    </row>
    <row r="312" spans="1:15">
      <c r="C312" t="s">
        <v>14</v>
      </c>
      <c r="D312">
        <v>1.4756900682987838E-2</v>
      </c>
      <c r="E312">
        <v>8.972999694947862E-3</v>
      </c>
      <c r="F312">
        <v>1.4961672976967893E-2</v>
      </c>
      <c r="G312">
        <v>6.5625461833140435E-3</v>
      </c>
      <c r="H312">
        <v>1.8693165547930584E-2</v>
      </c>
      <c r="I312">
        <v>0.19519102557929166</v>
      </c>
      <c r="J312">
        <v>1.4599517286871047E-2</v>
      </c>
      <c r="K312">
        <v>6.804761400965577E-3</v>
      </c>
      <c r="L312">
        <v>3.0730564059471108E-3</v>
      </c>
      <c r="M312">
        <v>8.2311591316925094E-3</v>
      </c>
      <c r="N312">
        <v>9.6932581216593715E-3</v>
      </c>
      <c r="O312">
        <v>5.4273233196141541E-3</v>
      </c>
    </row>
    <row r="313" spans="1:15">
      <c r="C313" t="s">
        <v>15</v>
      </c>
      <c r="D313">
        <v>2.5270832991271003E-2</v>
      </c>
      <c r="E313">
        <v>1.5123512888677663E-2</v>
      </c>
      <c r="F313">
        <v>2.5191786656140851E-2</v>
      </c>
      <c r="G313">
        <v>1.4989153933013673E-2</v>
      </c>
      <c r="H313">
        <v>1.9171681179440139E-2</v>
      </c>
      <c r="I313">
        <v>4.2037065357873132E-2</v>
      </c>
      <c r="J313">
        <v>0.2880508005320721</v>
      </c>
      <c r="K313">
        <v>2.0457126334298092E-2</v>
      </c>
      <c r="L313">
        <v>4.1725152609850538E-3</v>
      </c>
      <c r="M313">
        <v>1.6044234189736096E-2</v>
      </c>
      <c r="N313">
        <v>9.8941587885179975E-3</v>
      </c>
      <c r="O313">
        <v>1.3706217252912611E-2</v>
      </c>
    </row>
    <row r="314" spans="1:15">
      <c r="C314" t="s">
        <v>16</v>
      </c>
      <c r="D314">
        <v>3.2168541723053895E-3</v>
      </c>
      <c r="E314">
        <v>1.6125300341732081E-3</v>
      </c>
      <c r="F314">
        <v>2.5580984832220101E-3</v>
      </c>
      <c r="G314">
        <v>3.8580966960497596E-3</v>
      </c>
      <c r="H314">
        <v>3.5120608046466393E-3</v>
      </c>
      <c r="I314">
        <v>4.9953158435197065E-3</v>
      </c>
      <c r="J314">
        <v>2.8920477422506473E-3</v>
      </c>
      <c r="K314">
        <v>0.12250830601040368</v>
      </c>
      <c r="L314">
        <v>3.5199021331990231E-3</v>
      </c>
      <c r="M314">
        <v>3.8941151200269117E-3</v>
      </c>
      <c r="N314">
        <v>1.6148355650253377E-3</v>
      </c>
      <c r="O314">
        <v>2.5214487009634873E-3</v>
      </c>
    </row>
    <row r="315" spans="1:15">
      <c r="C315" t="s">
        <v>17</v>
      </c>
      <c r="D315">
        <v>8.5311198090314011E-3</v>
      </c>
      <c r="E315">
        <v>5.3013732808845611E-3</v>
      </c>
      <c r="F315">
        <v>1.0084904884614068E-2</v>
      </c>
      <c r="G315">
        <v>6.6670612997184863E-3</v>
      </c>
      <c r="H315">
        <v>9.6508219393152041E-3</v>
      </c>
      <c r="I315">
        <v>3.8354730713976742E-2</v>
      </c>
      <c r="J315">
        <v>1.7136789103634986E-2</v>
      </c>
      <c r="K315">
        <v>2.6006957991086644E-2</v>
      </c>
      <c r="L315">
        <v>0.73056810133616867</v>
      </c>
      <c r="M315">
        <v>1.8049480410615642E-2</v>
      </c>
      <c r="N315">
        <v>1.8522262933910728E-2</v>
      </c>
      <c r="O315">
        <v>1.0783205038500073E-2</v>
      </c>
    </row>
    <row r="316" spans="1:15">
      <c r="C316" t="s">
        <v>18</v>
      </c>
      <c r="D316">
        <v>3.0407075155630368E-2</v>
      </c>
      <c r="E316">
        <v>4.1838683521199127E-2</v>
      </c>
      <c r="F316">
        <v>3.1448578993858327E-2</v>
      </c>
      <c r="G316">
        <v>3.8359740640638997E-2</v>
      </c>
      <c r="H316">
        <v>3.6287489834906116E-2</v>
      </c>
      <c r="I316">
        <v>5.1982483511449684E-2</v>
      </c>
      <c r="J316">
        <v>3.6395683419281594E-2</v>
      </c>
      <c r="K316">
        <v>6.8702902544597835E-2</v>
      </c>
      <c r="L316">
        <v>1.4086098214469014E-2</v>
      </c>
      <c r="M316">
        <v>0.42286184676121746</v>
      </c>
      <c r="N316">
        <v>2.5237844497916401E-2</v>
      </c>
      <c r="O316">
        <v>3.0205204667371945E-2</v>
      </c>
    </row>
    <row r="317" spans="1:15">
      <c r="C317" t="s">
        <v>19</v>
      </c>
      <c r="D317">
        <v>4.7824329705221073E-4</v>
      </c>
      <c r="E317">
        <v>3.8282875303921225E-4</v>
      </c>
      <c r="F317">
        <v>4.5912557250375524E-4</v>
      </c>
      <c r="G317">
        <v>3.740834774645206E-4</v>
      </c>
      <c r="H317">
        <v>6.8320588888250774E-4</v>
      </c>
      <c r="I317">
        <v>7.8342677216535655E-4</v>
      </c>
      <c r="J317">
        <v>1.1559473186252328E-3</v>
      </c>
      <c r="K317">
        <v>9.5803483966091639E-4</v>
      </c>
      <c r="L317">
        <v>1.8749651094271646E-4</v>
      </c>
      <c r="M317">
        <v>5.8892203018907441E-4</v>
      </c>
      <c r="N317">
        <v>0.16142622309039203</v>
      </c>
      <c r="O317">
        <v>7.1822376007770698E-4</v>
      </c>
    </row>
    <row r="318" spans="1:15">
      <c r="C318" t="s">
        <v>20</v>
      </c>
      <c r="D318">
        <v>5.1459119748708735E-4</v>
      </c>
      <c r="E318">
        <v>3.7644811306575965E-4</v>
      </c>
      <c r="F318">
        <v>4.6146853911828168E-4</v>
      </c>
      <c r="G318">
        <v>3.0357252673710814E-4</v>
      </c>
      <c r="H318">
        <v>2.8024712947112026E-4</v>
      </c>
      <c r="I318">
        <v>4.7411545949030171E-4</v>
      </c>
      <c r="J318">
        <v>6.6627772850281629E-4</v>
      </c>
      <c r="K318">
        <v>2.2308269101440031E-4</v>
      </c>
      <c r="L318">
        <v>7.7799921859260957E-5</v>
      </c>
      <c r="M318">
        <v>1.7458782085599177E-4</v>
      </c>
      <c r="N318">
        <v>1.893302015190212E-4</v>
      </c>
      <c r="O318">
        <v>0.14036520878309341</v>
      </c>
    </row>
    <row r="319" spans="1:15">
      <c r="D319">
        <f t="shared" ref="D319:O319" si="60">SUM(D307:D318)</f>
        <v>0.46269711671691621</v>
      </c>
      <c r="E319">
        <f t="shared" si="60"/>
        <v>0.6913264251136968</v>
      </c>
      <c r="F319">
        <f t="shared" si="60"/>
        <v>0.3822248207106565</v>
      </c>
      <c r="G319">
        <f t="shared" si="60"/>
        <v>0.40460356775900636</v>
      </c>
      <c r="H319">
        <f t="shared" si="60"/>
        <v>0.38133093315904265</v>
      </c>
      <c r="I319">
        <f t="shared" si="60"/>
        <v>0.37533001713559905</v>
      </c>
      <c r="J319">
        <f t="shared" si="60"/>
        <v>0.39218426289192598</v>
      </c>
      <c r="K319">
        <f t="shared" si="60"/>
        <v>0.25926987137131202</v>
      </c>
      <c r="L319">
        <f t="shared" si="60"/>
        <v>0.79395411827556839</v>
      </c>
      <c r="M319">
        <f t="shared" si="60"/>
        <v>0.48421979241308089</v>
      </c>
      <c r="N319">
        <f t="shared" si="60"/>
        <v>0.24988013199521603</v>
      </c>
      <c r="O319">
        <f t="shared" si="60"/>
        <v>0.22736108984804132</v>
      </c>
    </row>
    <row r="321" spans="1:15">
      <c r="A321" t="s">
        <v>43</v>
      </c>
    </row>
    <row r="323" spans="1:15">
      <c r="D323">
        <v>1</v>
      </c>
      <c r="E323">
        <v>2</v>
      </c>
      <c r="F323">
        <v>3</v>
      </c>
      <c r="G323">
        <v>4</v>
      </c>
      <c r="H323">
        <v>5</v>
      </c>
      <c r="I323">
        <v>6</v>
      </c>
      <c r="J323">
        <v>7</v>
      </c>
      <c r="K323">
        <v>8</v>
      </c>
      <c r="L323">
        <v>9</v>
      </c>
      <c r="M323">
        <v>10</v>
      </c>
      <c r="N323">
        <v>11</v>
      </c>
      <c r="O323">
        <v>12</v>
      </c>
    </row>
    <row r="326" spans="1:15">
      <c r="C326" t="s">
        <v>9</v>
      </c>
      <c r="D326">
        <f t="array" ref="D326:O337">MMULT(TAXDIAG,LCHL)</f>
        <v>6.0718114381469049E-3</v>
      </c>
      <c r="E326">
        <v>7.4887101983142637E-5</v>
      </c>
      <c r="F326">
        <v>9.1607721006901986E-4</v>
      </c>
      <c r="G326">
        <v>6.9063650501721796E-5</v>
      </c>
      <c r="H326">
        <v>2.0804003960376422E-4</v>
      </c>
      <c r="I326">
        <v>1.2918569909100292E-4</v>
      </c>
      <c r="J326">
        <v>8.0331293380665262E-5</v>
      </c>
      <c r="K326">
        <v>2.5021433236819981E-5</v>
      </c>
      <c r="L326">
        <v>2.8592418112426368E-5</v>
      </c>
      <c r="M326">
        <v>3.2197308633883319E-5</v>
      </c>
      <c r="N326">
        <v>6.346961860027624E-5</v>
      </c>
      <c r="O326">
        <v>5.4016104082178341E-5</v>
      </c>
    </row>
    <row r="327" spans="1:15">
      <c r="C327" t="s">
        <v>10</v>
      </c>
      <c r="D327">
        <v>5.0820048895216277E-5</v>
      </c>
      <c r="E327">
        <v>4.1749611275065952E-3</v>
      </c>
      <c r="F327">
        <v>1.8076079229289402E-4</v>
      </c>
      <c r="G327">
        <v>3.1760852663125897E-5</v>
      </c>
      <c r="H327">
        <v>6.661355597699088E-5</v>
      </c>
      <c r="I327">
        <v>2.4303463861986176E-5</v>
      </c>
      <c r="J327">
        <v>1.9431918852212064E-5</v>
      </c>
      <c r="K327">
        <v>1.3352656426143038E-5</v>
      </c>
      <c r="L327">
        <v>1.0053596450136507E-5</v>
      </c>
      <c r="M327">
        <v>1.2975218484955475E-5</v>
      </c>
      <c r="N327">
        <v>1.4398397439362332E-5</v>
      </c>
      <c r="O327">
        <v>1.0032735299037429E-5</v>
      </c>
    </row>
    <row r="328" spans="1:15">
      <c r="C328" t="s">
        <v>11</v>
      </c>
      <c r="D328">
        <v>1.231375509150363E-3</v>
      </c>
      <c r="E328">
        <v>3.8228355036215643E-4</v>
      </c>
      <c r="F328">
        <v>4.8548793580925741E-3</v>
      </c>
      <c r="G328">
        <v>2.6761782143888257E-4</v>
      </c>
      <c r="H328">
        <v>1.0731648112449219E-3</v>
      </c>
      <c r="I328">
        <v>5.019731462231142E-4</v>
      </c>
      <c r="J328">
        <v>4.0761123127464841E-4</v>
      </c>
      <c r="K328">
        <v>1.2160502689214354E-4</v>
      </c>
      <c r="L328">
        <v>1.4617941003074875E-4</v>
      </c>
      <c r="M328">
        <v>1.5611634711587471E-4</v>
      </c>
      <c r="N328">
        <v>2.8422690945065053E-4</v>
      </c>
      <c r="O328">
        <v>1.5940885875645344E-4</v>
      </c>
    </row>
    <row r="329" spans="1:15">
      <c r="C329" t="s">
        <v>12</v>
      </c>
      <c r="D329">
        <v>6.4159411462328959E-4</v>
      </c>
      <c r="E329">
        <v>1.6000856425199366E-3</v>
      </c>
      <c r="F329">
        <v>1.1016740892734842E-3</v>
      </c>
      <c r="G329">
        <v>2.358882701789591E-2</v>
      </c>
      <c r="H329">
        <v>5.1917579719178706E-4</v>
      </c>
      <c r="I329">
        <v>6.1670655452793471E-4</v>
      </c>
      <c r="J329">
        <v>4.5457744228870556E-4</v>
      </c>
      <c r="K329">
        <v>3.0579228178909763E-4</v>
      </c>
      <c r="L329">
        <v>2.8032213799069906E-4</v>
      </c>
      <c r="M329">
        <v>2.5575533173630458E-4</v>
      </c>
      <c r="N329">
        <v>3.75044574875176E-4</v>
      </c>
      <c r="O329">
        <v>9.1010881115124944E-4</v>
      </c>
    </row>
    <row r="330" spans="1:15">
      <c r="C330" t="s">
        <v>13</v>
      </c>
      <c r="D330">
        <v>9.6677682393948144E-6</v>
      </c>
      <c r="E330">
        <v>6.2523031725376037E-6</v>
      </c>
      <c r="F330">
        <v>1.1443648695249447E-5</v>
      </c>
      <c r="G330">
        <v>7.8100871954354709E-6</v>
      </c>
      <c r="H330">
        <v>5.8219102360316834E-3</v>
      </c>
      <c r="I330">
        <v>4.2893177696106355E-5</v>
      </c>
      <c r="J330">
        <v>2.1340993790383274E-5</v>
      </c>
      <c r="K330">
        <v>3.0609901121115075E-5</v>
      </c>
      <c r="L330">
        <v>6.7163436598356621E-4</v>
      </c>
      <c r="M330">
        <v>2.0628545980736753E-5</v>
      </c>
      <c r="N330">
        <v>2.0586783677101239E-5</v>
      </c>
      <c r="O330">
        <v>1.2820394745186753E-5</v>
      </c>
    </row>
    <row r="331" spans="1:15">
      <c r="C331" t="s">
        <v>14</v>
      </c>
      <c r="D331">
        <v>8.1146230472493473E-4</v>
      </c>
      <c r="E331">
        <v>4.9341329654353197E-4</v>
      </c>
      <c r="F331">
        <v>8.2272246030817484E-4</v>
      </c>
      <c r="G331">
        <v>3.6086566991095514E-4</v>
      </c>
      <c r="H331">
        <v>1.0279122645052094E-3</v>
      </c>
      <c r="I331">
        <v>1.0733294401092787E-2</v>
      </c>
      <c r="J331">
        <v>8.0280800148864624E-4</v>
      </c>
      <c r="K331">
        <v>3.7418476197352839E-4</v>
      </c>
      <c r="L331">
        <v>1.6898327686072577E-4</v>
      </c>
      <c r="M331">
        <v>4.5262047248586205E-4</v>
      </c>
      <c r="N331">
        <v>5.3301934767123666E-4</v>
      </c>
      <c r="O331">
        <v>2.9844127734075056E-4</v>
      </c>
    </row>
    <row r="332" spans="1:15">
      <c r="C332" t="s">
        <v>15</v>
      </c>
      <c r="D332">
        <v>-1.5278369053971586E-3</v>
      </c>
      <c r="E332">
        <v>-9.1434505299261952E-4</v>
      </c>
      <c r="F332">
        <v>-1.5230578817658459E-3</v>
      </c>
      <c r="G332">
        <v>-9.0622191074776466E-4</v>
      </c>
      <c r="H332">
        <v>-1.1590912754864263E-3</v>
      </c>
      <c r="I332">
        <v>-2.5414983301316465E-3</v>
      </c>
      <c r="J332">
        <v>-1.7415122162142884E-2</v>
      </c>
      <c r="K332">
        <v>-1.2368073740469418E-3</v>
      </c>
      <c r="L332">
        <v>-2.5226405501820357E-4</v>
      </c>
      <c r="M332">
        <v>-9.7001049084455987E-4</v>
      </c>
      <c r="N332">
        <v>-5.9818609660310757E-4</v>
      </c>
      <c r="O332">
        <v>-8.2865747083305462E-4</v>
      </c>
    </row>
    <row r="333" spans="1:15">
      <c r="C333" t="s">
        <v>16</v>
      </c>
      <c r="D333">
        <v>7.7491471088752693E-4</v>
      </c>
      <c r="E333">
        <v>3.8844572314985197E-4</v>
      </c>
      <c r="F333">
        <v>6.1622567899220781E-4</v>
      </c>
      <c r="G333">
        <v>9.2938495985751444E-4</v>
      </c>
      <c r="H333">
        <v>8.4602765225808875E-4</v>
      </c>
      <c r="I333">
        <v>1.2033320521641199E-3</v>
      </c>
      <c r="J333">
        <v>6.9667141251012518E-4</v>
      </c>
      <c r="K333">
        <v>2.9511281347683112E-2</v>
      </c>
      <c r="L333">
        <v>8.4791656624755621E-4</v>
      </c>
      <c r="M333">
        <v>9.3806151313219289E-4</v>
      </c>
      <c r="N333">
        <v>3.8900110728541567E-4</v>
      </c>
      <c r="O333">
        <v>6.0739703650432005E-4</v>
      </c>
    </row>
    <row r="334" spans="1:15">
      <c r="C334" t="s">
        <v>17</v>
      </c>
      <c r="D334">
        <v>7.2728454022465974E-4</v>
      </c>
      <c r="E334">
        <v>4.5194615893985184E-4</v>
      </c>
      <c r="F334">
        <v>8.5974591570631294E-4</v>
      </c>
      <c r="G334">
        <v>5.6837211533264191E-4</v>
      </c>
      <c r="H334">
        <v>8.2274000999193835E-4</v>
      </c>
      <c r="I334">
        <v>3.2697703604191099E-3</v>
      </c>
      <c r="J334">
        <v>1.4609244815633625E-3</v>
      </c>
      <c r="K334">
        <v>2.2171132170908971E-3</v>
      </c>
      <c r="L334">
        <v>6.2281493822251677E-2</v>
      </c>
      <c r="M334">
        <v>1.5387321190626926E-3</v>
      </c>
      <c r="N334">
        <v>1.5790371936341351E-3</v>
      </c>
      <c r="O334">
        <v>9.1927654213359009E-4</v>
      </c>
    </row>
    <row r="335" spans="1:15">
      <c r="C335" t="s">
        <v>18</v>
      </c>
      <c r="D335">
        <v>3.9322184372807137E-4</v>
      </c>
      <c r="E335">
        <v>5.4105448120730752E-4</v>
      </c>
      <c r="F335">
        <v>4.0669048737175404E-4</v>
      </c>
      <c r="G335">
        <v>4.9606507243593492E-4</v>
      </c>
      <c r="H335">
        <v>4.6926689213327001E-4</v>
      </c>
      <c r="I335">
        <v>6.7223328463248777E-4</v>
      </c>
      <c r="J335">
        <v>4.7066604284112085E-4</v>
      </c>
      <c r="K335">
        <v>8.884603951476868E-4</v>
      </c>
      <c r="L335">
        <v>1.8216028613335966E-4</v>
      </c>
      <c r="M335">
        <v>5.4684153005394838E-3</v>
      </c>
      <c r="N335">
        <v>3.2637376973613472E-4</v>
      </c>
      <c r="O335">
        <v>3.9061127085379855E-4</v>
      </c>
    </row>
    <row r="336" spans="1:15">
      <c r="C336" t="s">
        <v>19</v>
      </c>
      <c r="D336">
        <v>2.219228519197545E-5</v>
      </c>
      <c r="E336">
        <v>1.7764691987323411E-5</v>
      </c>
      <c r="F336">
        <v>2.1305150969674713E-5</v>
      </c>
      <c r="G336">
        <v>1.7358878354738849E-5</v>
      </c>
      <c r="H336">
        <v>3.1703319261079892E-5</v>
      </c>
      <c r="I336">
        <v>3.6353944659728922E-5</v>
      </c>
      <c r="J336">
        <v>5.3640297145722221E-5</v>
      </c>
      <c r="K336">
        <v>4.4456414792746025E-5</v>
      </c>
      <c r="L336">
        <v>8.7005423159895296E-6</v>
      </c>
      <c r="M336">
        <v>2.732819410193697E-5</v>
      </c>
      <c r="N336">
        <v>7.4907830436237851E-3</v>
      </c>
      <c r="O336">
        <v>3.3328280006310961E-5</v>
      </c>
    </row>
    <row r="337" spans="1:15">
      <c r="C337" t="s">
        <v>20</v>
      </c>
      <c r="D337">
        <v>6.576424711338857E-6</v>
      </c>
      <c r="E337">
        <v>4.810969727799645E-6</v>
      </c>
      <c r="F337">
        <v>5.8975223808391362E-6</v>
      </c>
      <c r="G337">
        <v>3.8796269276790155E-6</v>
      </c>
      <c r="H337">
        <v>3.5815306529449573E-6</v>
      </c>
      <c r="I337">
        <v>6.0591487748836521E-6</v>
      </c>
      <c r="J337">
        <v>8.5149636055533063E-6</v>
      </c>
      <c r="K337">
        <v>2.8509747718641976E-6</v>
      </c>
      <c r="L337">
        <v>9.9427532214698373E-7</v>
      </c>
      <c r="M337">
        <v>2.2312151179091179E-6</v>
      </c>
      <c r="N337">
        <v>2.4196212876410514E-6</v>
      </c>
      <c r="O337">
        <v>1.7938535135485619E-3</v>
      </c>
    </row>
    <row r="338" spans="1:15">
      <c r="D338">
        <f t="shared" ref="D338:O338" si="61">SUM(D326:D337)</f>
        <v>9.2130840831265159E-3</v>
      </c>
      <c r="E338">
        <f t="shared" si="61"/>
        <v>7.2215599941074151E-3</v>
      </c>
      <c r="F338">
        <f t="shared" si="61"/>
        <v>8.2743644323863396E-3</v>
      </c>
      <c r="G338">
        <f t="shared" si="61"/>
        <v>2.5434783841766773E-2</v>
      </c>
      <c r="H338">
        <f t="shared" si="61"/>
        <v>9.731044833365253E-3</v>
      </c>
      <c r="I338">
        <f t="shared" si="61"/>
        <v>1.4694606903011612E-2</v>
      </c>
      <c r="J338">
        <f t="shared" si="61"/>
        <v>-1.293860408340174E-2</v>
      </c>
      <c r="K338">
        <f t="shared" si="61"/>
        <v>3.2297921036878216E-2</v>
      </c>
      <c r="L338">
        <f t="shared" si="61"/>
        <v>6.4374766642680811E-2</v>
      </c>
      <c r="M338">
        <f t="shared" si="61"/>
        <v>7.9350510755472736E-3</v>
      </c>
      <c r="N338">
        <f t="shared" si="61"/>
        <v>1.0480174270677807E-2</v>
      </c>
      <c r="O338">
        <f t="shared" si="61"/>
        <v>4.3606373535883831E-3</v>
      </c>
    </row>
    <row r="340" spans="1:15">
      <c r="A340" t="s">
        <v>108</v>
      </c>
    </row>
    <row r="342" spans="1:15">
      <c r="D342">
        <v>1</v>
      </c>
      <c r="E342">
        <v>2</v>
      </c>
      <c r="F342">
        <v>3</v>
      </c>
      <c r="G342">
        <v>4</v>
      </c>
      <c r="H342">
        <v>5</v>
      </c>
      <c r="I342">
        <v>6</v>
      </c>
      <c r="J342">
        <v>7</v>
      </c>
      <c r="K342">
        <v>8</v>
      </c>
      <c r="L342">
        <v>9</v>
      </c>
      <c r="M342">
        <v>10</v>
      </c>
      <c r="N342">
        <v>11</v>
      </c>
      <c r="O342">
        <v>12</v>
      </c>
    </row>
    <row r="345" spans="1:15">
      <c r="C345" t="s">
        <v>9</v>
      </c>
      <c r="D345">
        <f t="array" ref="D345:O356">MMULT(EMPDIAG,LCHL)</f>
        <v>29.319157384741789</v>
      </c>
      <c r="E345">
        <v>0.36160983447817102</v>
      </c>
      <c r="F345">
        <v>4.4234924243276419</v>
      </c>
      <c r="G345">
        <v>0.33348994105830981</v>
      </c>
      <c r="H345">
        <v>1.004569843053664</v>
      </c>
      <c r="I345">
        <v>0.62380327223451715</v>
      </c>
      <c r="J345">
        <v>0.38789838214514843</v>
      </c>
      <c r="K345">
        <v>0.12082182500812781</v>
      </c>
      <c r="L345">
        <v>0.13806515818027748</v>
      </c>
      <c r="M345">
        <v>0.15547221266970629</v>
      </c>
      <c r="N345">
        <v>0.30647785357757523</v>
      </c>
      <c r="O345">
        <v>0.26082935430869075</v>
      </c>
    </row>
    <row r="346" spans="1:15">
      <c r="C346" t="s">
        <v>10</v>
      </c>
      <c r="D346">
        <v>6.0855692312474952E-2</v>
      </c>
      <c r="E346">
        <v>4.9994078186729309</v>
      </c>
      <c r="F346">
        <v>0.21645636706522373</v>
      </c>
      <c r="G346">
        <v>3.8032798457834208E-2</v>
      </c>
      <c r="H346">
        <v>7.9768007990979564E-2</v>
      </c>
      <c r="I346">
        <v>2.9102768514880445E-2</v>
      </c>
      <c r="J346">
        <v>2.3269219538718557E-2</v>
      </c>
      <c r="K346">
        <v>1.5989460236431243E-2</v>
      </c>
      <c r="L346">
        <v>1.2038921360834988E-2</v>
      </c>
      <c r="M346">
        <v>1.5537488077503893E-2</v>
      </c>
      <c r="N346">
        <v>1.7241708015063341E-2</v>
      </c>
      <c r="O346">
        <v>1.201394067269777E-2</v>
      </c>
    </row>
    <row r="347" spans="1:15">
      <c r="C347" t="s">
        <v>11</v>
      </c>
      <c r="D347">
        <v>2.9289421575841987</v>
      </c>
      <c r="E347">
        <v>0.90929728461081283</v>
      </c>
      <c r="F347">
        <v>11.547785964749355</v>
      </c>
      <c r="G347">
        <v>0.63655409215830805</v>
      </c>
      <c r="H347">
        <v>2.5526231716756689</v>
      </c>
      <c r="I347">
        <v>1.1939902158379898</v>
      </c>
      <c r="J347">
        <v>0.9695415495220292</v>
      </c>
      <c r="K347">
        <v>0.28924896361168989</v>
      </c>
      <c r="L347">
        <v>0.34770143910468587</v>
      </c>
      <c r="M347">
        <v>0.37133737609515699</v>
      </c>
      <c r="N347">
        <v>0.67606036600832109</v>
      </c>
      <c r="O347">
        <v>0.37916892388603501</v>
      </c>
    </row>
    <row r="348" spans="1:15">
      <c r="C348" t="s">
        <v>12</v>
      </c>
      <c r="D348">
        <v>0.20081881370914492</v>
      </c>
      <c r="E348">
        <v>0.50082644656513897</v>
      </c>
      <c r="F348">
        <v>0.34482374239343266</v>
      </c>
      <c r="G348">
        <v>7.3832975561277525</v>
      </c>
      <c r="H348">
        <v>0.16250190786081392</v>
      </c>
      <c r="I348">
        <v>0.19302901299160138</v>
      </c>
      <c r="J348">
        <v>0.14228263729157567</v>
      </c>
      <c r="K348">
        <v>9.5712915487629127E-2</v>
      </c>
      <c r="L348">
        <v>8.7740766201941045E-2</v>
      </c>
      <c r="M348">
        <v>8.0051361364543841E-2</v>
      </c>
      <c r="N348">
        <v>0.11738886766239282</v>
      </c>
      <c r="O348">
        <v>0.28486385338641285</v>
      </c>
    </row>
    <row r="349" spans="1:15">
      <c r="C349" t="s">
        <v>13</v>
      </c>
      <c r="D349">
        <v>4.0221950681189465E-2</v>
      </c>
      <c r="E349">
        <v>2.6012190572060518E-2</v>
      </c>
      <c r="F349">
        <v>4.7610354534315412E-2</v>
      </c>
      <c r="G349">
        <v>3.2493222242392032E-2</v>
      </c>
      <c r="H349">
        <v>24.221576333385194</v>
      </c>
      <c r="I349">
        <v>0.17845352051594932</v>
      </c>
      <c r="J349">
        <v>8.8787440748383045E-2</v>
      </c>
      <c r="K349">
        <v>0.12734996358649234</v>
      </c>
      <c r="L349">
        <v>2.7942792664705016</v>
      </c>
      <c r="M349">
        <v>8.5823360522943384E-2</v>
      </c>
      <c r="N349">
        <v>8.5649611910485382E-2</v>
      </c>
      <c r="O349">
        <v>5.3338192681640209E-2</v>
      </c>
    </row>
    <row r="350" spans="1:15">
      <c r="C350" t="s">
        <v>14</v>
      </c>
      <c r="D350">
        <v>2.8297444790840527</v>
      </c>
      <c r="E350">
        <v>1.7206388314907739</v>
      </c>
      <c r="F350">
        <v>2.8690110758313927</v>
      </c>
      <c r="G350">
        <v>1.2584166031811423</v>
      </c>
      <c r="H350">
        <v>3.5845522811467974</v>
      </c>
      <c r="I350">
        <v>37.42931790796073</v>
      </c>
      <c r="J350">
        <v>2.7995650528055789</v>
      </c>
      <c r="K350">
        <v>1.304863156534295</v>
      </c>
      <c r="L350">
        <v>0.58928121734041794</v>
      </c>
      <c r="M350">
        <v>1.5783854353794569</v>
      </c>
      <c r="N350">
        <v>1.8587536938378719</v>
      </c>
      <c r="O350">
        <v>1.0407292513384832</v>
      </c>
    </row>
    <row r="351" spans="1:15">
      <c r="C351" t="s">
        <v>15</v>
      </c>
      <c r="D351">
        <v>1.7278580540889434</v>
      </c>
      <c r="E351">
        <v>1.0340491569805337</v>
      </c>
      <c r="F351">
        <v>1.7224533708777479</v>
      </c>
      <c r="G351">
        <v>1.0248625502801059</v>
      </c>
      <c r="H351">
        <v>1.3108370328656498</v>
      </c>
      <c r="I351">
        <v>2.8742258703523347</v>
      </c>
      <c r="J351">
        <v>19.695072808166895</v>
      </c>
      <c r="K351">
        <v>1.39872755727686</v>
      </c>
      <c r="L351">
        <v>0.28528992700764355</v>
      </c>
      <c r="M351">
        <v>1.0970021952185127</v>
      </c>
      <c r="N351">
        <v>0.6764993444055003</v>
      </c>
      <c r="O351">
        <v>0.9371435393411135</v>
      </c>
    </row>
    <row r="352" spans="1:15">
      <c r="C352" t="s">
        <v>16</v>
      </c>
      <c r="D352">
        <v>0.29392357045992101</v>
      </c>
      <c r="E352">
        <v>0.14733667108645443</v>
      </c>
      <c r="F352">
        <v>0.23373314409147605</v>
      </c>
      <c r="G352">
        <v>0.35251382106323093</v>
      </c>
      <c r="H352">
        <v>0.32089656418409906</v>
      </c>
      <c r="I352">
        <v>0.4564213948343499</v>
      </c>
      <c r="J352">
        <v>0.26424604685566877</v>
      </c>
      <c r="K352">
        <v>11.193568867241785</v>
      </c>
      <c r="L352">
        <v>0.32161302541044501</v>
      </c>
      <c r="M352">
        <v>0.35580482003634162</v>
      </c>
      <c r="N352">
        <v>0.14754732715712665</v>
      </c>
      <c r="O352">
        <v>0.23038445798977325</v>
      </c>
    </row>
    <row r="353" spans="3:15">
      <c r="C353" t="s">
        <v>17</v>
      </c>
      <c r="D353">
        <v>4.916223455298354E-2</v>
      </c>
      <c r="E353">
        <v>3.0550193001844334E-2</v>
      </c>
      <c r="F353">
        <v>5.8116222779693624E-2</v>
      </c>
      <c r="G353">
        <v>3.842023541257631E-2</v>
      </c>
      <c r="H353">
        <v>5.5614735513081714E-2</v>
      </c>
      <c r="I353">
        <v>0.22102658382324752</v>
      </c>
      <c r="J353">
        <v>9.8754074993300189E-2</v>
      </c>
      <c r="K353">
        <v>0.14987014570043358</v>
      </c>
      <c r="L353">
        <v>4.2100405525654452</v>
      </c>
      <c r="M353">
        <v>0.10401363588479663</v>
      </c>
      <c r="N353">
        <v>0.10673813698466142</v>
      </c>
      <c r="O353">
        <v>6.2140313018982617E-2</v>
      </c>
    </row>
    <row r="354" spans="3:15">
      <c r="C354" t="s">
        <v>18</v>
      </c>
      <c r="D354">
        <v>1.3784758726359052</v>
      </c>
      <c r="E354">
        <v>1.8967169805591515</v>
      </c>
      <c r="F354">
        <v>1.4256914599591433</v>
      </c>
      <c r="G354">
        <v>1.7390024092435803</v>
      </c>
      <c r="H354">
        <v>1.6450588871148448</v>
      </c>
      <c r="I354">
        <v>2.3565765189013503</v>
      </c>
      <c r="J354">
        <v>1.6499637405041383</v>
      </c>
      <c r="K354">
        <v>3.1145808353174607</v>
      </c>
      <c r="L354">
        <v>0.63857988408430655</v>
      </c>
      <c r="M354">
        <v>19.170040203970924</v>
      </c>
      <c r="N354">
        <v>1.1441337103175044</v>
      </c>
      <c r="O354">
        <v>1.3693242657800271</v>
      </c>
    </row>
    <row r="355" spans="3:15">
      <c r="C355" t="s">
        <v>19</v>
      </c>
      <c r="D355">
        <v>0.14164441839237502</v>
      </c>
      <c r="E355">
        <v>0.11338487418925076</v>
      </c>
      <c r="F355">
        <v>0.13598219794654204</v>
      </c>
      <c r="G355">
        <v>0.11079472921472953</v>
      </c>
      <c r="H355">
        <v>0.20234951826715011</v>
      </c>
      <c r="I355">
        <v>0.23203258713788735</v>
      </c>
      <c r="J355">
        <v>0.3423644129423552</v>
      </c>
      <c r="K355">
        <v>0.28374739071060751</v>
      </c>
      <c r="L355">
        <v>5.553205744184489E-2</v>
      </c>
      <c r="M355">
        <v>0.17442485646689854</v>
      </c>
      <c r="N355">
        <v>47.810651239342164</v>
      </c>
      <c r="O355">
        <v>0.21272098824771443</v>
      </c>
    </row>
    <row r="356" spans="3:15">
      <c r="C356" t="s">
        <v>20</v>
      </c>
      <c r="D356">
        <v>0.11068585222325696</v>
      </c>
      <c r="E356">
        <v>8.0972003438838785E-2</v>
      </c>
      <c r="F356">
        <v>9.9259448618551432E-2</v>
      </c>
      <c r="G356">
        <v>6.5296849222352724E-2</v>
      </c>
      <c r="H356">
        <v>6.0279679306816651E-2</v>
      </c>
      <c r="I356">
        <v>0.10197973448082918</v>
      </c>
      <c r="J356">
        <v>0.14331282493140701</v>
      </c>
      <c r="K356">
        <v>4.7983910124708276E-2</v>
      </c>
      <c r="L356">
        <v>1.6734352814325362E-2</v>
      </c>
      <c r="M356">
        <v>3.7552919353486751E-2</v>
      </c>
      <c r="N356">
        <v>4.0723927671265106E-2</v>
      </c>
      <c r="O356">
        <v>30.191816013413142</v>
      </c>
    </row>
    <row r="357" spans="3:15">
      <c r="D357">
        <f t="shared" ref="D357:O357" si="62">SUM(D345:D356)</f>
        <v>39.081490480466229</v>
      </c>
      <c r="E357">
        <f t="shared" si="62"/>
        <v>11.820802285645961</v>
      </c>
      <c r="F357">
        <f t="shared" si="62"/>
        <v>23.124415773174519</v>
      </c>
      <c r="G357">
        <f t="shared" si="62"/>
        <v>13.013174807662319</v>
      </c>
      <c r="H357">
        <f t="shared" si="62"/>
        <v>35.200627962364756</v>
      </c>
      <c r="I357">
        <f t="shared" si="62"/>
        <v>45.889959387585662</v>
      </c>
      <c r="J357">
        <f t="shared" si="62"/>
        <v>26.605058190445199</v>
      </c>
      <c r="K357">
        <f t="shared" si="62"/>
        <v>18.142464990836519</v>
      </c>
      <c r="L357">
        <f t="shared" si="62"/>
        <v>9.4968965679826685</v>
      </c>
      <c r="M357">
        <f t="shared" si="62"/>
        <v>23.225445865040271</v>
      </c>
      <c r="N357">
        <f t="shared" si="62"/>
        <v>52.987865786889934</v>
      </c>
      <c r="O357">
        <f t="shared" si="62"/>
        <v>35.034473094064715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24"/>
  <sheetViews>
    <sheetView showGridLines="0" zoomScale="80" zoomScaleNormal="80" workbookViewId="0"/>
  </sheetViews>
  <sheetFormatPr baseColWidth="10" defaultColWidth="11.3984375" defaultRowHeight="14.25"/>
  <cols>
    <col min="1" max="1" width="9.265625" customWidth="1"/>
  </cols>
  <sheetData>
    <row r="2" spans="2:15">
      <c r="B2" s="21" t="s">
        <v>5</v>
      </c>
    </row>
    <row r="3" spans="2:15">
      <c r="B3" s="21"/>
    </row>
    <row r="4" spans="2:15">
      <c r="B4" s="51"/>
    </row>
    <row r="5" spans="2:15">
      <c r="B5" s="52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15"/>
    </row>
    <row r="6" spans="2:15">
      <c r="B6" s="54" t="s">
        <v>25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8"/>
    </row>
    <row r="7" spans="2:15">
      <c r="B7" s="15"/>
      <c r="C7" s="15">
        <v>1</v>
      </c>
      <c r="D7" s="15">
        <v>2</v>
      </c>
      <c r="E7" s="15">
        <v>3</v>
      </c>
      <c r="F7" s="15">
        <v>4</v>
      </c>
      <c r="G7" s="15">
        <v>5</v>
      </c>
      <c r="H7" s="15">
        <v>6</v>
      </c>
      <c r="I7" s="15">
        <v>7</v>
      </c>
      <c r="J7" s="15">
        <v>8</v>
      </c>
      <c r="K7" s="15">
        <v>9</v>
      </c>
      <c r="L7" s="15">
        <v>10</v>
      </c>
      <c r="M7" s="15">
        <v>11</v>
      </c>
      <c r="N7" s="15">
        <v>12</v>
      </c>
      <c r="O7" s="15"/>
    </row>
    <row r="8" spans="2:15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18"/>
    </row>
    <row r="9" spans="2:15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2:15">
      <c r="B10" s="56">
        <v>1</v>
      </c>
      <c r="C10" s="57">
        <v>0.17590314796250101</v>
      </c>
      <c r="D10" s="57">
        <v>1.07866688831238E-5</v>
      </c>
      <c r="E10" s="57">
        <v>0.128013342856032</v>
      </c>
      <c r="F10" s="57">
        <v>2.5943662425045601E-3</v>
      </c>
      <c r="G10" s="57">
        <v>3.64522972726734E-4</v>
      </c>
      <c r="H10" s="57">
        <v>5.2620419923153803E-3</v>
      </c>
      <c r="I10" s="57">
        <v>7.8847752301845696E-5</v>
      </c>
      <c r="J10" s="57">
        <v>5.38341938965203E-5</v>
      </c>
      <c r="K10" s="57">
        <v>1.8163517242991399E-6</v>
      </c>
      <c r="L10" s="57">
        <v>1.6559812653757399E-4</v>
      </c>
      <c r="M10" s="57">
        <v>1.2990126845395E-3</v>
      </c>
      <c r="N10" s="57">
        <v>3.8017517799059501E-3</v>
      </c>
      <c r="O10" s="57"/>
    </row>
    <row r="11" spans="2:15">
      <c r="B11" s="56">
        <v>2</v>
      </c>
      <c r="C11" s="57">
        <v>7.3880651334622496E-4</v>
      </c>
      <c r="D11" s="57">
        <v>8.6947573114772206E-2</v>
      </c>
      <c r="E11" s="57">
        <v>3.5051802784081001E-2</v>
      </c>
      <c r="F11" s="57">
        <v>4.3475258101941302E-3</v>
      </c>
      <c r="G11" s="57">
        <v>5.2229037356886897E-3</v>
      </c>
      <c r="H11" s="57">
        <v>7.6467611334105198E-4</v>
      </c>
      <c r="I11" s="57">
        <v>5.6892709937345195E-4</v>
      </c>
      <c r="J11" s="57">
        <v>1.221471799117E-3</v>
      </c>
      <c r="K11" s="57">
        <v>2.3327123824152201E-4</v>
      </c>
      <c r="L11" s="57">
        <v>1.31365078923048E-3</v>
      </c>
      <c r="M11" s="57">
        <v>6.2870478295427401E-4</v>
      </c>
      <c r="N11" s="57">
        <v>5.8310593063538505E-4</v>
      </c>
      <c r="O11" s="57"/>
    </row>
    <row r="12" spans="2:15">
      <c r="B12" s="56">
        <v>3</v>
      </c>
      <c r="C12" s="57">
        <v>0.198731806650221</v>
      </c>
      <c r="D12" s="57">
        <v>6.0458069399651301E-2</v>
      </c>
      <c r="E12" s="57">
        <v>0.133081652675031</v>
      </c>
      <c r="F12" s="57">
        <v>3.9428016164771998E-2</v>
      </c>
      <c r="G12" s="57">
        <v>0.17765309404719301</v>
      </c>
      <c r="H12" s="57">
        <v>7.8048884322392195E-2</v>
      </c>
      <c r="I12" s="57">
        <v>6.0415672021315002E-2</v>
      </c>
      <c r="J12" s="57">
        <v>8.0308458128443509E-3</v>
      </c>
      <c r="K12" s="57">
        <v>2.4202686656461399E-3</v>
      </c>
      <c r="L12" s="57">
        <v>1.9689251979852E-2</v>
      </c>
      <c r="M12" s="57">
        <v>4.69091366485615E-2</v>
      </c>
      <c r="N12" s="57">
        <v>2.20079737907223E-2</v>
      </c>
      <c r="O12" s="57"/>
    </row>
    <row r="13" spans="2:15">
      <c r="B13" s="56">
        <v>4</v>
      </c>
      <c r="C13" s="57">
        <v>1.0489058189950299E-2</v>
      </c>
      <c r="D13" s="57">
        <v>5.6783900256796499E-2</v>
      </c>
      <c r="E13" s="57">
        <v>3.1722628877337601E-2</v>
      </c>
      <c r="F13" s="57">
        <v>0.125639067126739</v>
      </c>
      <c r="G13" s="57">
        <v>7.2205572484240997E-3</v>
      </c>
      <c r="H13" s="57">
        <v>1.6065125302909E-2</v>
      </c>
      <c r="I13" s="57">
        <v>1.0563663712971001E-2</v>
      </c>
      <c r="J13" s="57">
        <v>6.1876068073154003E-3</v>
      </c>
      <c r="K13" s="57">
        <v>8.4628518342937595E-3</v>
      </c>
      <c r="L13" s="57">
        <v>6.2975570089906898E-3</v>
      </c>
      <c r="M13" s="57">
        <v>1.0660171232758101E-2</v>
      </c>
      <c r="N13" s="57">
        <v>3.50890221855591E-2</v>
      </c>
      <c r="O13" s="57"/>
    </row>
    <row r="14" spans="2:15">
      <c r="B14" s="56">
        <v>5</v>
      </c>
      <c r="C14" s="57">
        <v>4.4166354400725201E-5</v>
      </c>
      <c r="D14" s="57">
        <v>5.0984753827586499E-5</v>
      </c>
      <c r="E14" s="57">
        <v>1.16599281663611E-4</v>
      </c>
      <c r="F14" s="57">
        <v>1.0458003599472E-4</v>
      </c>
      <c r="G14" s="57">
        <v>0.142480092442062</v>
      </c>
      <c r="H14" s="57">
        <v>9.6627456163662603E-4</v>
      </c>
      <c r="I14" s="57">
        <v>6.4247030263694298E-4</v>
      </c>
      <c r="J14" s="57">
        <v>6.9154451257381498E-4</v>
      </c>
      <c r="K14" s="57">
        <v>0.11363303869736301</v>
      </c>
      <c r="L14" s="57">
        <v>4.8918087692326998E-4</v>
      </c>
      <c r="M14" s="57">
        <v>4.5371727288415702E-4</v>
      </c>
      <c r="N14" s="57">
        <v>3.6012526513636098E-4</v>
      </c>
      <c r="O14" s="57"/>
    </row>
    <row r="15" spans="2:15">
      <c r="B15" s="56">
        <v>6</v>
      </c>
      <c r="C15" s="57">
        <v>4.1326289824179102E-2</v>
      </c>
      <c r="D15" s="57">
        <v>2.9741099053086199E-2</v>
      </c>
      <c r="E15" s="57">
        <v>4.8215909955345998E-2</v>
      </c>
      <c r="F15" s="57">
        <v>1.9740175585063399E-2</v>
      </c>
      <c r="G15" s="57">
        <v>6.3240944420801096E-2</v>
      </c>
      <c r="H15" s="57">
        <v>7.5596528073405805E-2</v>
      </c>
      <c r="I15" s="57">
        <v>5.3626354239690401E-2</v>
      </c>
      <c r="J15" s="57">
        <v>1.6083006533811801E-2</v>
      </c>
      <c r="K15" s="57">
        <v>2.34236185067531E-3</v>
      </c>
      <c r="L15" s="57">
        <v>3.0807472263854399E-2</v>
      </c>
      <c r="M15" s="57">
        <v>3.9398318722142001E-2</v>
      </c>
      <c r="N15" s="57">
        <v>1.8501617541305401E-2</v>
      </c>
      <c r="O15" s="57"/>
    </row>
    <row r="16" spans="2:15">
      <c r="B16" s="56">
        <v>7</v>
      </c>
      <c r="C16" s="57">
        <v>4.5411994328833201E-2</v>
      </c>
      <c r="D16" s="57">
        <v>3.0795608871095101E-2</v>
      </c>
      <c r="E16" s="57">
        <v>5.1187418859597301E-2</v>
      </c>
      <c r="F16" s="57">
        <v>3.3236096210057103E-2</v>
      </c>
      <c r="G16" s="57">
        <v>2.7781536479267101E-2</v>
      </c>
      <c r="H16" s="57">
        <v>0.118890220940689</v>
      </c>
      <c r="I16" s="57">
        <v>0.16961452658903001</v>
      </c>
      <c r="J16" s="57">
        <v>4.1461369449037902E-2</v>
      </c>
      <c r="K16" s="57">
        <v>3.0131689576377799E-3</v>
      </c>
      <c r="L16" s="57">
        <v>3.9985189105653303E-2</v>
      </c>
      <c r="M16" s="57">
        <v>1.89021476465852E-2</v>
      </c>
      <c r="N16" s="57">
        <v>3.6023546810045798E-2</v>
      </c>
      <c r="O16" s="57"/>
    </row>
    <row r="17" spans="2:15">
      <c r="B17" s="56">
        <v>8</v>
      </c>
      <c r="C17" s="57">
        <v>1.32548204992111E-2</v>
      </c>
      <c r="D17" s="57">
        <v>4.6131306339657003E-3</v>
      </c>
      <c r="E17" s="57">
        <v>8.7405166371597003E-3</v>
      </c>
      <c r="F17" s="57">
        <v>2.2748859931992899E-2</v>
      </c>
      <c r="G17" s="57">
        <v>1.5734793621898498E-2</v>
      </c>
      <c r="H17" s="57">
        <v>2.84755035150434E-2</v>
      </c>
      <c r="I17" s="57">
        <v>1.3478916404769401E-2</v>
      </c>
      <c r="J17" s="57">
        <v>0.27436370230738</v>
      </c>
      <c r="K17" s="57">
        <v>2.4044176973779599E-2</v>
      </c>
      <c r="L17" s="57">
        <v>2.4421573498447698E-2</v>
      </c>
      <c r="M17" s="57">
        <v>7.1753594696796902E-3</v>
      </c>
      <c r="N17" s="57">
        <v>1.50496325766522E-2</v>
      </c>
      <c r="O17" s="57"/>
    </row>
    <row r="18" spans="2:15">
      <c r="B18" s="56">
        <v>9</v>
      </c>
      <c r="C18" s="57">
        <v>2.2235205856057801E-3</v>
      </c>
      <c r="D18" s="57">
        <v>9.5407418301918505E-4</v>
      </c>
      <c r="E18" s="57">
        <v>4.9199941411182798E-3</v>
      </c>
      <c r="F18" s="57">
        <v>3.05259494190559E-3</v>
      </c>
      <c r="G18" s="57">
        <v>3.0262502651035002E-3</v>
      </c>
      <c r="H18" s="57">
        <v>4.1117238150961202E-2</v>
      </c>
      <c r="I18" s="57">
        <v>1.3671064835530501E-2</v>
      </c>
      <c r="J18" s="57">
        <v>2.10115252305456E-2</v>
      </c>
      <c r="K18" s="57">
        <v>1.2956005285870599E-2</v>
      </c>
      <c r="L18" s="57">
        <v>1.7781194774473701E-2</v>
      </c>
      <c r="M18" s="57">
        <v>1.9548695165157701E-2</v>
      </c>
      <c r="N18" s="57">
        <v>1.0162386653714901E-2</v>
      </c>
      <c r="O18" s="57"/>
    </row>
    <row r="19" spans="2:15">
      <c r="B19" s="56">
        <v>10</v>
      </c>
      <c r="C19" s="57">
        <v>3.2030159239655298E-2</v>
      </c>
      <c r="D19" s="57">
        <v>7.3400165071961093E-2</v>
      </c>
      <c r="E19" s="57">
        <v>3.6803337847921801E-2</v>
      </c>
      <c r="F19" s="57">
        <v>6.6504680594510604E-2</v>
      </c>
      <c r="G19" s="57">
        <v>4.6168534420803597E-2</v>
      </c>
      <c r="H19" s="57">
        <v>8.9294783357806801E-2</v>
      </c>
      <c r="I19" s="57">
        <v>5.6111483595771797E-2</v>
      </c>
      <c r="J19" s="57">
        <v>0.110050055404586</v>
      </c>
      <c r="K19" s="57">
        <v>1.7665015221002101E-2</v>
      </c>
      <c r="L19" s="57">
        <v>0.124648643154175</v>
      </c>
      <c r="M19" s="57">
        <v>4.3935778064462402E-2</v>
      </c>
      <c r="N19" s="57">
        <v>5.7617818811893103E-2</v>
      </c>
      <c r="O19" s="57"/>
    </row>
    <row r="20" spans="2:15">
      <c r="B20" s="56">
        <v>11</v>
      </c>
      <c r="C20" s="57">
        <v>1.1175899207105601E-3</v>
      </c>
      <c r="D20" s="57">
        <v>1.19250344599705E-3</v>
      </c>
      <c r="E20" s="57">
        <v>1.1291087385591799E-3</v>
      </c>
      <c r="F20" s="57">
        <v>1.1744526603361301E-3</v>
      </c>
      <c r="G20" s="57">
        <v>2.3196684756262098E-3</v>
      </c>
      <c r="H20" s="57">
        <v>2.8025233708538402E-3</v>
      </c>
      <c r="I20" s="57">
        <v>5.1695414964444001E-3</v>
      </c>
      <c r="J20" s="57">
        <v>3.4593749491464102E-3</v>
      </c>
      <c r="K20" s="57">
        <v>3.9744249004190698E-4</v>
      </c>
      <c r="L20" s="57">
        <v>2.5128590199007101E-3</v>
      </c>
      <c r="M20" s="57">
        <v>4.6125959497201802E-2</v>
      </c>
      <c r="N20" s="57">
        <v>3.6161162869200098E-3</v>
      </c>
      <c r="O20" s="57"/>
    </row>
    <row r="21" spans="2:15">
      <c r="B21" s="56">
        <v>12</v>
      </c>
      <c r="C21" s="57">
        <v>1.92430737486118E-3</v>
      </c>
      <c r="D21" s="57">
        <v>1.7796180823408799E-3</v>
      </c>
      <c r="E21" s="57">
        <v>1.74819856168071E-3</v>
      </c>
      <c r="F21" s="57">
        <v>1.3934149203317201E-3</v>
      </c>
      <c r="G21" s="57">
        <v>6.6434913973207796E-4</v>
      </c>
      <c r="H21" s="57">
        <v>2.06053826893325E-3</v>
      </c>
      <c r="I21" s="57">
        <v>3.4301594288031899E-3</v>
      </c>
      <c r="J21" s="57">
        <v>7.0429242673299001E-4</v>
      </c>
      <c r="K21" s="57">
        <v>2.10383721409884E-4</v>
      </c>
      <c r="L21" s="57">
        <v>6.5939713236793003E-4</v>
      </c>
      <c r="M21" s="57">
        <v>8.02306939436145E-4</v>
      </c>
      <c r="N21" s="57">
        <v>3.5891528269438502E-3</v>
      </c>
      <c r="O21" s="57"/>
    </row>
    <row r="22" spans="2:15">
      <c r="B22" s="13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</row>
    <row r="23" spans="2:15">
      <c r="B23" s="59" t="s">
        <v>36</v>
      </c>
      <c r="C23" s="60">
        <v>0.49130485742323299</v>
      </c>
      <c r="D23" s="60">
        <v>0.41790427803079699</v>
      </c>
      <c r="E23" s="60">
        <v>0.49918953898913199</v>
      </c>
      <c r="F23" s="60">
        <v>0.284090689548196</v>
      </c>
      <c r="G23" s="60">
        <v>0.45832836472819499</v>
      </c>
      <c r="H23" s="60">
        <v>0.43992367524624898</v>
      </c>
      <c r="I23" s="60">
        <v>0.36238511660945399</v>
      </c>
      <c r="J23" s="60">
        <v>0.48556792520083603</v>
      </c>
      <c r="K23" s="60">
        <v>0.189599974774631</v>
      </c>
      <c r="L23" s="60">
        <v>0.26778485059461798</v>
      </c>
      <c r="M23" s="60">
        <v>0.22662671290376701</v>
      </c>
      <c r="N23" s="60">
        <v>0.20096615053285499</v>
      </c>
      <c r="O23" s="61"/>
    </row>
    <row r="24" spans="2:1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23"/>
  <sheetViews>
    <sheetView showGridLines="0" zoomScale="80" zoomScaleNormal="80" workbookViewId="0"/>
  </sheetViews>
  <sheetFormatPr baseColWidth="10" defaultColWidth="11.3984375" defaultRowHeight="14.25"/>
  <cols>
    <col min="1" max="1" width="9.265625" customWidth="1"/>
  </cols>
  <sheetData>
    <row r="2" spans="2:15">
      <c r="B2" s="21" t="s">
        <v>44</v>
      </c>
    </row>
    <row r="3" spans="2:15">
      <c r="B3" s="13" t="s">
        <v>45</v>
      </c>
    </row>
    <row r="4" spans="2:15">
      <c r="B4" s="51"/>
    </row>
    <row r="5" spans="2:15">
      <c r="B5" s="52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15"/>
    </row>
    <row r="6" spans="2:15">
      <c r="B6" s="54" t="s">
        <v>25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8"/>
    </row>
    <row r="7" spans="2:15">
      <c r="B7" s="15"/>
      <c r="C7" s="15">
        <v>1</v>
      </c>
      <c r="D7" s="15">
        <v>2</v>
      </c>
      <c r="E7" s="15">
        <v>3</v>
      </c>
      <c r="F7" s="15">
        <v>4</v>
      </c>
      <c r="G7" s="15">
        <v>5</v>
      </c>
      <c r="H7" s="15">
        <v>6</v>
      </c>
      <c r="I7" s="15">
        <v>7</v>
      </c>
      <c r="J7" s="15">
        <v>8</v>
      </c>
      <c r="K7" s="15">
        <v>9</v>
      </c>
      <c r="L7" s="15">
        <v>10</v>
      </c>
      <c r="M7" s="15">
        <v>11</v>
      </c>
      <c r="N7" s="15">
        <v>12</v>
      </c>
      <c r="O7" s="15"/>
    </row>
    <row r="8" spans="2:15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18"/>
    </row>
    <row r="9" spans="2:15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2:15">
      <c r="B10" s="56">
        <v>1</v>
      </c>
      <c r="C10" s="57">
        <v>1.2622442815371</v>
      </c>
      <c r="D10" s="57">
        <v>1.55679762459747E-2</v>
      </c>
      <c r="E10" s="57">
        <v>0.190439579956553</v>
      </c>
      <c r="F10" s="57">
        <v>1.43573625096766E-2</v>
      </c>
      <c r="G10" s="57">
        <v>4.32486010139915E-2</v>
      </c>
      <c r="H10" s="57">
        <v>2.6855891622312701E-2</v>
      </c>
      <c r="I10" s="57">
        <v>1.66997471399031E-2</v>
      </c>
      <c r="J10" s="57">
        <v>5.2016043878789697E-3</v>
      </c>
      <c r="K10" s="57">
        <v>5.94396196676736E-3</v>
      </c>
      <c r="L10" s="57">
        <v>6.6933680530119003E-3</v>
      </c>
      <c r="M10" s="57">
        <v>1.31944418804268E-2</v>
      </c>
      <c r="N10" s="57">
        <v>1.12291890456748E-2</v>
      </c>
      <c r="O10" s="57"/>
    </row>
    <row r="11" spans="2:15">
      <c r="B11" s="56">
        <v>2</v>
      </c>
      <c r="C11" s="57">
        <v>1.3384818224199201E-2</v>
      </c>
      <c r="D11" s="57">
        <v>1.0995876037032699</v>
      </c>
      <c r="E11" s="57">
        <v>4.7608186129281603E-2</v>
      </c>
      <c r="F11" s="57">
        <v>8.3650694712639993E-3</v>
      </c>
      <c r="G11" s="57">
        <v>1.75444604521716E-2</v>
      </c>
      <c r="H11" s="57">
        <v>6.4009668050851202E-3</v>
      </c>
      <c r="I11" s="57">
        <v>5.1179152172900503E-3</v>
      </c>
      <c r="J11" s="57">
        <v>3.5167789673444302E-3</v>
      </c>
      <c r="K11" s="57">
        <v>2.6478833434809899E-3</v>
      </c>
      <c r="L11" s="57">
        <v>3.41737059715321E-3</v>
      </c>
      <c r="M11" s="57">
        <v>3.79220281434603E-3</v>
      </c>
      <c r="N11" s="57">
        <v>2.6423890017501202E-3</v>
      </c>
      <c r="O11" s="57"/>
    </row>
    <row r="12" spans="2:15">
      <c r="B12" s="56">
        <v>3</v>
      </c>
      <c r="C12" s="57">
        <v>0.30970659676538498</v>
      </c>
      <c r="D12" s="57">
        <v>9.6149173426184301E-2</v>
      </c>
      <c r="E12" s="57">
        <v>1.22106388549083</v>
      </c>
      <c r="F12" s="57">
        <v>6.7309284694798494E-2</v>
      </c>
      <c r="G12" s="57">
        <v>0.26991459468636497</v>
      </c>
      <c r="H12" s="57">
        <v>0.12625262856790501</v>
      </c>
      <c r="I12" s="57">
        <v>0.102519407202216</v>
      </c>
      <c r="J12" s="57">
        <v>3.0585210399641599E-2</v>
      </c>
      <c r="K12" s="57">
        <v>3.6765980207803098E-2</v>
      </c>
      <c r="L12" s="57">
        <v>3.92652462270126E-2</v>
      </c>
      <c r="M12" s="57">
        <v>7.1486681504526098E-2</v>
      </c>
      <c r="N12" s="57">
        <v>4.0093354766963199E-2</v>
      </c>
      <c r="O12" s="57"/>
    </row>
    <row r="13" spans="2:15">
      <c r="B13" s="56">
        <v>4</v>
      </c>
      <c r="C13" s="57">
        <v>3.1267951005763697E-2</v>
      </c>
      <c r="D13" s="57">
        <v>7.7979829202011602E-2</v>
      </c>
      <c r="E13" s="57">
        <v>5.3689849489889398E-2</v>
      </c>
      <c r="F13" s="57">
        <v>1.14959640474894</v>
      </c>
      <c r="G13" s="57">
        <v>2.5301920669117801E-2</v>
      </c>
      <c r="H13" s="57">
        <v>3.0055061124173599E-2</v>
      </c>
      <c r="I13" s="57">
        <v>2.21537337544849E-2</v>
      </c>
      <c r="J13" s="57">
        <v>1.4902720999141901E-2</v>
      </c>
      <c r="K13" s="57">
        <v>1.36614390262458E-2</v>
      </c>
      <c r="L13" s="57">
        <v>1.2464181014018701E-2</v>
      </c>
      <c r="M13" s="57">
        <v>1.82777165888749E-2</v>
      </c>
      <c r="N13" s="57">
        <v>4.4353956915112701E-2</v>
      </c>
      <c r="O13" s="57"/>
    </row>
    <row r="14" spans="2:15">
      <c r="B14" s="56">
        <v>5</v>
      </c>
      <c r="C14" s="57">
        <v>1.9399749537060099E-3</v>
      </c>
      <c r="D14" s="57">
        <v>1.2546133975651699E-3</v>
      </c>
      <c r="E14" s="57">
        <v>2.29633057992964E-3</v>
      </c>
      <c r="F14" s="57">
        <v>1.5672048781295101E-3</v>
      </c>
      <c r="G14" s="57">
        <v>1.16824894442581</v>
      </c>
      <c r="H14" s="57">
        <v>8.6071250732131406E-3</v>
      </c>
      <c r="I14" s="57">
        <v>4.2823733891175098E-3</v>
      </c>
      <c r="J14" s="57">
        <v>6.1423112387414E-3</v>
      </c>
      <c r="K14" s="57">
        <v>0.134772970947628</v>
      </c>
      <c r="L14" s="57">
        <v>4.1394106212571001E-3</v>
      </c>
      <c r="M14" s="57">
        <v>4.1310304221195103E-3</v>
      </c>
      <c r="N14" s="57">
        <v>2.5725942209640202E-3</v>
      </c>
      <c r="O14" s="57"/>
    </row>
    <row r="15" spans="2:15">
      <c r="B15" s="56">
        <v>6</v>
      </c>
      <c r="C15" s="57">
        <v>8.3736453971452199E-2</v>
      </c>
      <c r="D15" s="57">
        <v>5.0916326678817202E-2</v>
      </c>
      <c r="E15" s="57">
        <v>8.4898412443482896E-2</v>
      </c>
      <c r="F15" s="57">
        <v>3.7238466139988401E-2</v>
      </c>
      <c r="G15" s="57">
        <v>0.10607236777635599</v>
      </c>
      <c r="H15" s="57">
        <v>1.10759058966248</v>
      </c>
      <c r="I15" s="57">
        <v>8.2843398729847306E-2</v>
      </c>
      <c r="J15" s="57">
        <v>3.86128904760853E-2</v>
      </c>
      <c r="K15" s="57">
        <v>1.7437729765635901E-2</v>
      </c>
      <c r="L15" s="57">
        <v>4.6706831777845202E-2</v>
      </c>
      <c r="M15" s="57">
        <v>5.5003356055209597E-2</v>
      </c>
      <c r="N15" s="57">
        <v>3.0796765466137601E-2</v>
      </c>
      <c r="O15" s="57"/>
    </row>
    <row r="16" spans="2:15">
      <c r="B16" s="56">
        <v>7</v>
      </c>
      <c r="C16" s="57">
        <v>0.10803912341889101</v>
      </c>
      <c r="D16" s="57">
        <v>6.4656795289314298E-2</v>
      </c>
      <c r="E16" s="57">
        <v>0.107701180591291</v>
      </c>
      <c r="F16" s="57">
        <v>6.4082377192434398E-2</v>
      </c>
      <c r="G16" s="57">
        <v>8.1963725921051098E-2</v>
      </c>
      <c r="H16" s="57">
        <v>0.17971895480992101</v>
      </c>
      <c r="I16" s="57">
        <v>1.2314891242542401</v>
      </c>
      <c r="J16" s="57">
        <v>8.7459325048388603E-2</v>
      </c>
      <c r="K16" s="57">
        <v>1.7838544989968799E-2</v>
      </c>
      <c r="L16" s="57">
        <v>6.8593108837578604E-2</v>
      </c>
      <c r="M16" s="57">
        <v>4.2300000274943503E-2</v>
      </c>
      <c r="N16" s="57">
        <v>5.85975024212722E-2</v>
      </c>
      <c r="O16" s="57"/>
    </row>
    <row r="17" spans="2:15">
      <c r="B17" s="56">
        <v>8</v>
      </c>
      <c r="C17" s="57">
        <v>3.6498186660512702E-2</v>
      </c>
      <c r="D17" s="57">
        <v>1.8295645071395701E-2</v>
      </c>
      <c r="E17" s="57">
        <v>2.9023993919407801E-2</v>
      </c>
      <c r="F17" s="57">
        <v>4.3773676338526198E-2</v>
      </c>
      <c r="G17" s="57">
        <v>3.9847579015122502E-2</v>
      </c>
      <c r="H17" s="57">
        <v>5.66764796659526E-2</v>
      </c>
      <c r="I17" s="57">
        <v>3.28129572165635E-2</v>
      </c>
      <c r="J17" s="57">
        <v>1.3899700703643001</v>
      </c>
      <c r="K17" s="57">
        <v>3.9936546141961897E-2</v>
      </c>
      <c r="L17" s="57">
        <v>4.4182338681026501E-2</v>
      </c>
      <c r="M17" s="57">
        <v>1.8321803451877099E-2</v>
      </c>
      <c r="N17" s="57">
        <v>2.8608168233103502E-2</v>
      </c>
      <c r="O17" s="57"/>
    </row>
    <row r="18" spans="2:15">
      <c r="B18" s="56">
        <v>9</v>
      </c>
      <c r="C18" s="57">
        <v>1.18680820168086E-2</v>
      </c>
      <c r="D18" s="57">
        <v>7.37501457108246E-3</v>
      </c>
      <c r="E18" s="57">
        <v>1.4029632801031399E-2</v>
      </c>
      <c r="F18" s="57">
        <v>9.2748938108201898E-3</v>
      </c>
      <c r="G18" s="57">
        <v>1.3425757563990301E-2</v>
      </c>
      <c r="H18" s="57">
        <v>5.3357249697067802E-2</v>
      </c>
      <c r="I18" s="57">
        <v>2.3839873678879599E-2</v>
      </c>
      <c r="J18" s="57">
        <v>3.6179624405129701E-2</v>
      </c>
      <c r="K18" s="57">
        <v>1.0163310725449</v>
      </c>
      <c r="L18" s="57">
        <v>2.5109565762656001E-2</v>
      </c>
      <c r="M18" s="57">
        <v>2.5767277984284701E-2</v>
      </c>
      <c r="N18" s="57">
        <v>1.5001074262900699E-2</v>
      </c>
      <c r="O18" s="57"/>
    </row>
    <row r="19" spans="2:15">
      <c r="B19" s="56">
        <v>10</v>
      </c>
      <c r="C19" s="57">
        <v>8.3502474451998696E-2</v>
      </c>
      <c r="D19" s="57">
        <v>0.11489541772607299</v>
      </c>
      <c r="E19" s="57">
        <v>8.6362603129229706E-2</v>
      </c>
      <c r="F19" s="57">
        <v>0.105341709008049</v>
      </c>
      <c r="G19" s="57">
        <v>9.9650991664200897E-2</v>
      </c>
      <c r="H19" s="57">
        <v>0.142751842429757</v>
      </c>
      <c r="I19" s="57">
        <v>9.9948107778425901E-2</v>
      </c>
      <c r="J19" s="57">
        <v>0.18866866790528</v>
      </c>
      <c r="K19" s="57">
        <v>3.86825779941634E-2</v>
      </c>
      <c r="L19" s="57">
        <v>1.1612432427380599</v>
      </c>
      <c r="M19" s="57">
        <v>6.9306977228968503E-2</v>
      </c>
      <c r="N19" s="57">
        <v>8.2948107246270303E-2</v>
      </c>
      <c r="O19" s="57"/>
    </row>
    <row r="20" spans="2:15">
      <c r="B20" s="56">
        <v>11</v>
      </c>
      <c r="C20" s="57">
        <v>3.1082232882817802E-3</v>
      </c>
      <c r="D20" s="57">
        <v>2.4881002053866101E-3</v>
      </c>
      <c r="E20" s="57">
        <v>2.9839723954272301E-3</v>
      </c>
      <c r="F20" s="57">
        <v>2.43126246323477E-3</v>
      </c>
      <c r="G20" s="57">
        <v>4.44032664462847E-3</v>
      </c>
      <c r="H20" s="57">
        <v>5.0916873334493898E-3</v>
      </c>
      <c r="I20" s="57">
        <v>7.5127919155877796E-3</v>
      </c>
      <c r="J20" s="57">
        <v>6.2265090132446301E-3</v>
      </c>
      <c r="K20" s="57">
        <v>1.2185869104196099E-3</v>
      </c>
      <c r="L20" s="57">
        <v>3.82755216957294E-3</v>
      </c>
      <c r="M20" s="57">
        <v>1.0491495626631999</v>
      </c>
      <c r="N20" s="57">
        <v>4.6679165835274402E-3</v>
      </c>
      <c r="O20" s="57"/>
    </row>
    <row r="21" spans="2:15">
      <c r="B21" s="56">
        <v>12</v>
      </c>
      <c r="C21" s="57">
        <v>3.6811556264773702E-3</v>
      </c>
      <c r="D21" s="57">
        <v>2.69294169091109E-3</v>
      </c>
      <c r="E21" s="57">
        <v>3.3011398514258801E-3</v>
      </c>
      <c r="F21" s="57">
        <v>2.17162229027502E-3</v>
      </c>
      <c r="G21" s="57">
        <v>2.0047628146275301E-3</v>
      </c>
      <c r="H21" s="57">
        <v>3.39161027204793E-3</v>
      </c>
      <c r="I21" s="57">
        <v>4.7662533309002003E-3</v>
      </c>
      <c r="J21" s="57">
        <v>1.59583394975969E-3</v>
      </c>
      <c r="K21" s="57">
        <v>5.5654589796769497E-4</v>
      </c>
      <c r="L21" s="57">
        <v>1.24892330493974E-3</v>
      </c>
      <c r="M21" s="57">
        <v>1.3543837127166099E-3</v>
      </c>
      <c r="N21" s="57">
        <v>1.00411002091914</v>
      </c>
      <c r="O21" s="57"/>
    </row>
    <row r="22" spans="2:15">
      <c r="B22" s="13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</row>
    <row r="23" spans="2:15">
      <c r="B23" s="59" t="s">
        <v>36</v>
      </c>
      <c r="C23" s="60">
        <v>1.8785780478094201</v>
      </c>
      <c r="D23" s="60">
        <v>1.66216009860444</v>
      </c>
      <c r="E23" s="60">
        <v>1.8648725971876501</v>
      </c>
      <c r="F23" s="60">
        <v>1.4344761048485</v>
      </c>
      <c r="G23" s="60">
        <v>1.79816804697039</v>
      </c>
      <c r="H23" s="60">
        <v>1.7012854364852801</v>
      </c>
      <c r="I23" s="60">
        <v>1.5782859606228401</v>
      </c>
      <c r="J23" s="60">
        <v>1.80831924324239</v>
      </c>
      <c r="K23" s="60">
        <v>1.3228808602645199</v>
      </c>
      <c r="L23" s="60">
        <v>1.4094678647357499</v>
      </c>
      <c r="M23" s="60">
        <v>1.3524134098887499</v>
      </c>
      <c r="N23" s="60">
        <v>1.31178886798084</v>
      </c>
      <c r="O23" s="61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zoomScaleNormal="100" workbookViewId="0">
      <selection activeCell="B2" sqref="B2"/>
    </sheetView>
  </sheetViews>
  <sheetFormatPr baseColWidth="10" defaultColWidth="11.59765625" defaultRowHeight="14.25"/>
  <cols>
    <col min="1" max="1" width="11.86328125" customWidth="1"/>
    <col min="2" max="2" width="49.59765625" customWidth="1"/>
    <col min="3" max="3" width="30.265625" customWidth="1"/>
    <col min="4" max="4" width="18.86328125" customWidth="1"/>
    <col min="5" max="5" width="25.73046875" customWidth="1"/>
    <col min="6" max="6" width="42.1328125" customWidth="1"/>
    <col min="7" max="7" width="18.86328125" customWidth="1"/>
    <col min="8" max="8" width="32.73046875" customWidth="1"/>
    <col min="9" max="9" width="50.86328125" customWidth="1"/>
    <col min="10" max="10" width="26.59765625" customWidth="1"/>
    <col min="11" max="11" width="35" customWidth="1"/>
    <col min="12" max="12" width="24.59765625" customWidth="1"/>
    <col min="13" max="13" width="22" customWidth="1"/>
    <col min="14" max="14" width="24.3984375" customWidth="1"/>
  </cols>
  <sheetData>
    <row r="1" spans="1:14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>
      <c r="A2" t="s">
        <v>60</v>
      </c>
      <c r="B2" t="s">
        <v>61</v>
      </c>
      <c r="C2">
        <v>4680.6456875782596</v>
      </c>
      <c r="D2">
        <v>658.13612473577905</v>
      </c>
      <c r="E2">
        <v>4383.9338102347801</v>
      </c>
      <c r="F2">
        <v>1147.61355359138</v>
      </c>
      <c r="G2">
        <v>6474.9191487382604</v>
      </c>
      <c r="H2">
        <v>11567.4533569096</v>
      </c>
      <c r="I2">
        <v>4146.2864089107597</v>
      </c>
      <c r="J2">
        <v>396.66654979592698</v>
      </c>
      <c r="K2">
        <v>132.397142794628</v>
      </c>
      <c r="L2">
        <v>3130.2629027166499</v>
      </c>
      <c r="M2">
        <v>12877.2281816782</v>
      </c>
      <c r="N2">
        <v>8350.8409451797306</v>
      </c>
    </row>
    <row r="3" spans="1:14">
      <c r="A3" t="s">
        <v>62</v>
      </c>
      <c r="B3" t="s">
        <v>63</v>
      </c>
      <c r="C3">
        <v>3688.3357945412799</v>
      </c>
      <c r="D3">
        <v>62335.322398645498</v>
      </c>
      <c r="E3">
        <v>25159.967175539099</v>
      </c>
      <c r="F3">
        <v>7051.1443307507598</v>
      </c>
      <c r="G3">
        <v>22220.189567155099</v>
      </c>
      <c r="H3">
        <v>71590.978431043797</v>
      </c>
      <c r="I3">
        <v>29650.8479177341</v>
      </c>
      <c r="J3">
        <v>2405.2359950329501</v>
      </c>
      <c r="K3">
        <v>3980.9754286257298</v>
      </c>
      <c r="L3">
        <v>20650.627629610099</v>
      </c>
      <c r="M3">
        <v>60312.630792870703</v>
      </c>
      <c r="N3">
        <v>18831.328814358101</v>
      </c>
    </row>
    <row r="4" spans="1:14">
      <c r="A4" t="s">
        <v>64</v>
      </c>
      <c r="B4" t="s">
        <v>65</v>
      </c>
      <c r="C4">
        <v>7611.0193392362798</v>
      </c>
      <c r="D4">
        <v>5669.1629720466499</v>
      </c>
      <c r="E4">
        <v>7198.2748028083997</v>
      </c>
      <c r="F4">
        <v>773.50841743292301</v>
      </c>
      <c r="G4">
        <v>10466.9657456935</v>
      </c>
      <c r="H4">
        <v>27275.164794996399</v>
      </c>
      <c r="I4">
        <v>8099.8233531343403</v>
      </c>
      <c r="J4">
        <v>958.82884918134505</v>
      </c>
      <c r="K4">
        <v>671.28028240857304</v>
      </c>
      <c r="L4">
        <v>5403.1958874270804</v>
      </c>
      <c r="M4">
        <v>21806.504028585001</v>
      </c>
      <c r="N4">
        <v>14903.9933683735</v>
      </c>
    </row>
    <row r="5" spans="1:14">
      <c r="A5" t="s">
        <v>66</v>
      </c>
      <c r="B5" t="s">
        <v>67</v>
      </c>
      <c r="C5">
        <v>54945.858335374302</v>
      </c>
      <c r="D5">
        <v>1392.0087063767</v>
      </c>
      <c r="E5">
        <v>38803.962469711303</v>
      </c>
      <c r="F5">
        <v>3714.0325129277799</v>
      </c>
      <c r="G5">
        <v>45442.289171254597</v>
      </c>
      <c r="H5">
        <v>81881.518404898306</v>
      </c>
      <c r="I5">
        <v>21926.19952722</v>
      </c>
      <c r="J5">
        <v>4516.4581352103196</v>
      </c>
      <c r="K5">
        <v>1694.6279067349501</v>
      </c>
      <c r="L5">
        <v>18917.541229029699</v>
      </c>
      <c r="M5">
        <v>104238.182761816</v>
      </c>
      <c r="N5">
        <v>30052.634131250099</v>
      </c>
    </row>
    <row r="6" spans="1:14">
      <c r="A6" t="s">
        <v>68</v>
      </c>
      <c r="B6" t="s">
        <v>69</v>
      </c>
      <c r="C6">
        <v>6061.0875664048899</v>
      </c>
      <c r="D6">
        <v>27829.454444911298</v>
      </c>
      <c r="E6">
        <v>12074.2795692125</v>
      </c>
      <c r="F6">
        <v>3759.9837619608602</v>
      </c>
      <c r="G6">
        <v>9482.5732760697592</v>
      </c>
      <c r="H6">
        <v>31158.537538229299</v>
      </c>
      <c r="I6">
        <v>7970.1387426441997</v>
      </c>
      <c r="J6">
        <v>1602.2824874600699</v>
      </c>
      <c r="K6">
        <v>559.857950510617</v>
      </c>
      <c r="L6">
        <v>5288.0676388718903</v>
      </c>
      <c r="M6">
        <v>25170.486892958601</v>
      </c>
      <c r="N6">
        <v>11438.051516277201</v>
      </c>
    </row>
    <row r="7" spans="1:14">
      <c r="A7" t="s">
        <v>70</v>
      </c>
      <c r="B7" t="s">
        <v>71</v>
      </c>
      <c r="C7">
        <v>42479.533961399298</v>
      </c>
      <c r="D7">
        <v>12226.4282949565</v>
      </c>
      <c r="E7">
        <v>95419.579669618397</v>
      </c>
      <c r="F7">
        <v>8517.5463698094209</v>
      </c>
      <c r="G7">
        <v>59602.3131100713</v>
      </c>
      <c r="H7">
        <v>150018.778145786</v>
      </c>
      <c r="I7">
        <v>50451.652426651497</v>
      </c>
      <c r="J7">
        <v>6804.3729500413601</v>
      </c>
      <c r="K7">
        <v>4124.0251998799304</v>
      </c>
      <c r="L7">
        <v>31122.071592543201</v>
      </c>
      <c r="M7">
        <v>180092.501833149</v>
      </c>
      <c r="N7">
        <v>44372.568487923301</v>
      </c>
    </row>
    <row r="8" spans="1:14">
      <c r="A8" t="s">
        <v>72</v>
      </c>
      <c r="B8" t="s">
        <v>73</v>
      </c>
      <c r="C8">
        <v>29405.315136905901</v>
      </c>
      <c r="D8">
        <v>39397.023294844999</v>
      </c>
      <c r="E8">
        <v>20684.639763642299</v>
      </c>
      <c r="F8">
        <v>4945.0597835870503</v>
      </c>
      <c r="G8">
        <v>32377.744761990802</v>
      </c>
      <c r="H8">
        <v>87439.888748014302</v>
      </c>
      <c r="I8">
        <v>19244.333634086601</v>
      </c>
      <c r="J8">
        <v>2398.1914269767499</v>
      </c>
      <c r="K8">
        <v>5165.9852624102996</v>
      </c>
      <c r="L8">
        <v>16941.852420626499</v>
      </c>
      <c r="M8">
        <v>77029.840743031906</v>
      </c>
      <c r="N8">
        <v>19203.469775297501</v>
      </c>
    </row>
    <row r="9" spans="1:14">
      <c r="A9" t="s">
        <v>74</v>
      </c>
      <c r="B9" t="s">
        <v>75</v>
      </c>
      <c r="C9">
        <v>79018.695517829605</v>
      </c>
      <c r="D9">
        <v>18724.797145853201</v>
      </c>
      <c r="E9">
        <v>46180.568174705302</v>
      </c>
      <c r="F9">
        <v>4911.6295459790999</v>
      </c>
      <c r="G9">
        <v>35758.2043447416</v>
      </c>
      <c r="H9">
        <v>95828.586412282195</v>
      </c>
      <c r="I9">
        <v>21462.581825368299</v>
      </c>
      <c r="J9">
        <v>3637.5664446257601</v>
      </c>
      <c r="K9">
        <v>2781.2382072400201</v>
      </c>
      <c r="L9">
        <v>17729.268484889599</v>
      </c>
      <c r="M9">
        <v>82137.972025819996</v>
      </c>
      <c r="N9">
        <v>20738.639813173999</v>
      </c>
    </row>
    <row r="10" spans="1:14">
      <c r="A10" t="s">
        <v>76</v>
      </c>
      <c r="B10" t="s">
        <v>77</v>
      </c>
      <c r="C10">
        <v>40790.275632111698</v>
      </c>
      <c r="D10">
        <v>290.04236158900301</v>
      </c>
      <c r="E10">
        <v>52446.389393872902</v>
      </c>
      <c r="F10">
        <v>4474.6587686010198</v>
      </c>
      <c r="G10">
        <v>32779.3808299675</v>
      </c>
      <c r="H10">
        <v>71032.331363808204</v>
      </c>
      <c r="I10">
        <v>27891.592475498801</v>
      </c>
      <c r="J10">
        <v>2093.0816280927902</v>
      </c>
      <c r="K10">
        <v>2947.90580565252</v>
      </c>
      <c r="L10">
        <v>19013.853271641699</v>
      </c>
      <c r="M10">
        <v>66635.415211788699</v>
      </c>
      <c r="N10">
        <v>22069.674848951101</v>
      </c>
    </row>
    <row r="11" spans="1:14">
      <c r="A11" t="s">
        <v>78</v>
      </c>
      <c r="B11" t="s">
        <v>79</v>
      </c>
      <c r="C11">
        <v>22353.287009738298</v>
      </c>
      <c r="D11">
        <v>424.72311720340599</v>
      </c>
      <c r="E11">
        <v>19995.168674223201</v>
      </c>
      <c r="F11">
        <v>1783.96528944281</v>
      </c>
      <c r="G11">
        <v>16368.981607202701</v>
      </c>
      <c r="H11">
        <v>35724.897577352298</v>
      </c>
      <c r="I11">
        <v>10054.340122785999</v>
      </c>
      <c r="J11">
        <v>1827.1994513073701</v>
      </c>
      <c r="K11">
        <v>1177.1603387428299</v>
      </c>
      <c r="L11">
        <v>10092.913614814601</v>
      </c>
      <c r="M11">
        <v>43996.1005708296</v>
      </c>
      <c r="N11">
        <v>12493.406184314599</v>
      </c>
    </row>
    <row r="12" spans="1:14">
      <c r="A12" t="s">
        <v>80</v>
      </c>
      <c r="B12" t="s">
        <v>81</v>
      </c>
      <c r="C12">
        <v>6314.2001776664201</v>
      </c>
      <c r="D12">
        <v>2211.5886850391498</v>
      </c>
      <c r="E12">
        <v>8093.7828409862104</v>
      </c>
      <c r="F12">
        <v>786.77055431847805</v>
      </c>
      <c r="G12">
        <v>9332.8477666585095</v>
      </c>
      <c r="H12">
        <v>20502.0295938538</v>
      </c>
      <c r="I12">
        <v>8030.3690837341201</v>
      </c>
      <c r="J12">
        <v>1361.4831706059099</v>
      </c>
      <c r="K12">
        <v>525.14418983697101</v>
      </c>
      <c r="L12">
        <v>4074.5585667189398</v>
      </c>
      <c r="M12">
        <v>20094.7384493725</v>
      </c>
      <c r="N12">
        <v>11636.393231828601</v>
      </c>
    </row>
    <row r="13" spans="1:14">
      <c r="A13" t="s">
        <v>82</v>
      </c>
      <c r="B13" t="s">
        <v>83</v>
      </c>
      <c r="C13">
        <v>96132.735669921996</v>
      </c>
      <c r="D13">
        <v>5086.9832866896104</v>
      </c>
      <c r="E13">
        <v>50710.644722513702</v>
      </c>
      <c r="F13">
        <v>6094.63635226116</v>
      </c>
      <c r="G13">
        <v>41191.477171995801</v>
      </c>
      <c r="H13">
        <v>102413.545801523</v>
      </c>
      <c r="I13">
        <v>25303.850542636999</v>
      </c>
      <c r="J13">
        <v>4583.68376705421</v>
      </c>
      <c r="K13">
        <v>1481.0798372827701</v>
      </c>
      <c r="L13">
        <v>22498.8966961308</v>
      </c>
      <c r="M13">
        <v>110419.853720969</v>
      </c>
      <c r="N13">
        <v>23993.6773747884</v>
      </c>
    </row>
    <row r="14" spans="1:14">
      <c r="A14" t="s">
        <v>84</v>
      </c>
      <c r="B14" t="s">
        <v>85</v>
      </c>
      <c r="C14">
        <v>36099.851444995104</v>
      </c>
      <c r="D14">
        <v>1966.3481066586901</v>
      </c>
      <c r="E14">
        <v>21296.784819529199</v>
      </c>
      <c r="F14">
        <v>2602.7314622170402</v>
      </c>
      <c r="G14">
        <v>18410.614254429802</v>
      </c>
      <c r="H14">
        <v>45425.357035017703</v>
      </c>
      <c r="I14">
        <v>15513.824947670801</v>
      </c>
      <c r="J14">
        <v>1396.1869277929</v>
      </c>
      <c r="K14">
        <v>484.81524776250001</v>
      </c>
      <c r="L14">
        <v>5593.6357764124596</v>
      </c>
      <c r="M14">
        <v>50671.572014966499</v>
      </c>
      <c r="N14">
        <v>12465.412173852101</v>
      </c>
    </row>
    <row r="15" spans="1:14">
      <c r="A15" t="s">
        <v>86</v>
      </c>
      <c r="B15" t="s">
        <v>87</v>
      </c>
      <c r="C15">
        <v>62240.430818778601</v>
      </c>
      <c r="D15">
        <v>35033.195961612597</v>
      </c>
      <c r="E15">
        <v>396397.99277452898</v>
      </c>
      <c r="F15">
        <v>39263.655221200897</v>
      </c>
      <c r="G15">
        <v>331951.970754184</v>
      </c>
      <c r="H15">
        <v>978534.216102059</v>
      </c>
      <c r="I15">
        <v>410441.429265905</v>
      </c>
      <c r="J15">
        <v>127878.63680393</v>
      </c>
      <c r="K15">
        <v>64612.931843340702</v>
      </c>
      <c r="L15">
        <v>371110.87329363503</v>
      </c>
      <c r="M15">
        <v>978549.82807721</v>
      </c>
      <c r="N15">
        <v>174748.50877832001</v>
      </c>
    </row>
    <row r="16" spans="1:14">
      <c r="A16" t="s">
        <v>88</v>
      </c>
      <c r="B16" t="s">
        <v>89</v>
      </c>
      <c r="C16">
        <v>4421.0518209105903</v>
      </c>
      <c r="D16">
        <v>20013.4229113328</v>
      </c>
      <c r="E16">
        <v>10406.7687783946</v>
      </c>
      <c r="F16">
        <v>1012.5188861246299</v>
      </c>
      <c r="G16">
        <v>14628.0150908041</v>
      </c>
      <c r="H16">
        <v>58182.4910150426</v>
      </c>
      <c r="I16">
        <v>15774.399735844199</v>
      </c>
      <c r="J16">
        <v>2334.6028912370498</v>
      </c>
      <c r="K16">
        <v>2857.45493739943</v>
      </c>
      <c r="L16">
        <v>8866.7137648015996</v>
      </c>
      <c r="M16">
        <v>33315.346179321597</v>
      </c>
      <c r="N16">
        <v>13474.212361718901</v>
      </c>
    </row>
    <row r="17" spans="1:14">
      <c r="A17" t="s">
        <v>90</v>
      </c>
      <c r="B17" t="s">
        <v>91</v>
      </c>
      <c r="C17">
        <v>47171.931346642901</v>
      </c>
      <c r="D17">
        <v>37446.656520797304</v>
      </c>
      <c r="E17">
        <v>67366.221020636396</v>
      </c>
      <c r="F17">
        <v>11669.9004645185</v>
      </c>
      <c r="G17">
        <v>83665.466372277602</v>
      </c>
      <c r="H17">
        <v>209042.20489918199</v>
      </c>
      <c r="I17">
        <v>78368.599876699998</v>
      </c>
      <c r="J17">
        <v>11405.6796821552</v>
      </c>
      <c r="K17">
        <v>13126.4623001728</v>
      </c>
      <c r="L17">
        <v>46881.170419947397</v>
      </c>
      <c r="M17">
        <v>214758.69098699701</v>
      </c>
      <c r="N17">
        <v>57227.451750168198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7</vt:i4>
      </vt:variant>
    </vt:vector>
  </HeadingPairs>
  <TitlesOfParts>
    <vt:vector size="13" baseType="lpstr">
      <vt:lpstr>Índice</vt:lpstr>
      <vt:lpstr>Glosa</vt:lpstr>
      <vt:lpstr>1</vt:lpstr>
      <vt:lpstr>2</vt:lpstr>
      <vt:lpstr>3</vt:lpstr>
      <vt:lpstr>Employment</vt:lpstr>
      <vt:lpstr>Glosa!Área_de_impresión</vt:lpstr>
      <vt:lpstr>COMPDIAG</vt:lpstr>
      <vt:lpstr>EMPDIAG</vt:lpstr>
      <vt:lpstr>GOSDIAG</vt:lpstr>
      <vt:lpstr>LCHL</vt:lpstr>
      <vt:lpstr>TAXDIAG</vt:lpstr>
      <vt:lpstr>VADIAG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Peraita B.</dc:creator>
  <dc:description/>
  <cp:lastModifiedBy>Renato Vargas</cp:lastModifiedBy>
  <cp:revision>1</cp:revision>
  <dcterms:created xsi:type="dcterms:W3CDTF">2016-12-21T19:41:14Z</dcterms:created>
  <dcterms:modified xsi:type="dcterms:W3CDTF">2025-09-04T11:01:48Z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509eeb-56d7-4078-8c25-542621925144_ActionId">
    <vt:lpwstr>f654ed19-24f6-48ea-a2ca-6ec66cef7bbf</vt:lpwstr>
  </property>
  <property fmtid="{D5CDD505-2E9C-101B-9397-08002B2CF9AE}" pid="3" name="MSIP_Label_6f509eeb-56d7-4078-8c25-542621925144_ContentBits">
    <vt:lpwstr>0</vt:lpwstr>
  </property>
  <property fmtid="{D5CDD505-2E9C-101B-9397-08002B2CF9AE}" pid="4" name="MSIP_Label_6f509eeb-56d7-4078-8c25-542621925144_Enabled">
    <vt:lpwstr>true</vt:lpwstr>
  </property>
  <property fmtid="{D5CDD505-2E9C-101B-9397-08002B2CF9AE}" pid="5" name="MSIP_Label_6f509eeb-56d7-4078-8c25-542621925144_Method">
    <vt:lpwstr>Standard</vt:lpwstr>
  </property>
  <property fmtid="{D5CDD505-2E9C-101B-9397-08002B2CF9AE}" pid="6" name="MSIP_Label_6f509eeb-56d7-4078-8c25-542621925144_Name">
    <vt:lpwstr>Uso Interno</vt:lpwstr>
  </property>
  <property fmtid="{D5CDD505-2E9C-101B-9397-08002B2CF9AE}" pid="7" name="MSIP_Label_6f509eeb-56d7-4078-8c25-542621925144_SetDate">
    <vt:lpwstr>2021-03-26T15:06:45Z</vt:lpwstr>
  </property>
  <property fmtid="{D5CDD505-2E9C-101B-9397-08002B2CF9AE}" pid="8" name="MSIP_Label_6f509eeb-56d7-4078-8c25-542621925144_SiteId">
    <vt:lpwstr>d1bf4087-52c2-42b9-913e-a262f9f83199</vt:lpwstr>
  </property>
</Properties>
</file>