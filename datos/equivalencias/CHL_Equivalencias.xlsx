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1d7158deefffa32/public/CURSO_CHILE/datos/equivalencias/"/>
    </mc:Choice>
  </mc:AlternateContent>
  <xr:revisionPtr revIDLastSave="266" documentId="13_ncr:1_{C63FF04A-06D5-49AB-9A40-5E6F7B62A807}" xr6:coauthVersionLast="47" xr6:coauthVersionMax="47" xr10:uidLastSave="{15056E70-F8AB-4A3D-8C1A-D101F3535E53}"/>
  <bookViews>
    <workbookView xWindow="-98" yWindow="-98" windowWidth="19396" windowHeight="10276" tabRatio="500" xr2:uid="{00000000-000D-0000-FFFF-FFFF00000000}"/>
  </bookViews>
  <sheets>
    <sheet name="Filas" sheetId="1" r:id="rId1"/>
    <sheet name="Columnas" sheetId="2" r:id="rId2"/>
    <sheet name="FilasC" sheetId="3" state="hidden" r:id="rId3"/>
    <sheet name="ColumnasC" sheetId="4" state="hidden" r:id="rId4"/>
    <sheet name="Actividades" sheetId="5" state="hidden" r:id="rId5"/>
    <sheet name="Transacciones CHL" sheetId="10" r:id="rId6"/>
    <sheet name="Transacciones " sheetId="7" state="hidden" r:id="rId7"/>
    <sheet name="Actividades sin C" sheetId="9" r:id="rId8"/>
    <sheet name="Productos" sheetId="6" state="hidden" r:id="rId9"/>
    <sheet name="Productos sin C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K735" i="1" l="1"/>
  <c r="J735" i="1"/>
  <c r="I735" i="1"/>
  <c r="K734" i="1"/>
  <c r="J734" i="1"/>
  <c r="I734" i="1"/>
  <c r="K733" i="1"/>
  <c r="J733" i="1"/>
  <c r="I733" i="1"/>
  <c r="K732" i="1"/>
  <c r="J732" i="1"/>
  <c r="I732" i="1"/>
  <c r="K731" i="1"/>
  <c r="J731" i="1"/>
  <c r="I731" i="1"/>
  <c r="K730" i="1"/>
  <c r="J730" i="1"/>
  <c r="I730" i="1"/>
  <c r="K729" i="1"/>
  <c r="J729" i="1"/>
  <c r="I729" i="1"/>
  <c r="K728" i="1"/>
  <c r="J728" i="1"/>
  <c r="I728" i="1"/>
  <c r="K727" i="1"/>
  <c r="J727" i="1"/>
  <c r="I727" i="1"/>
  <c r="K726" i="1"/>
  <c r="J726" i="1"/>
  <c r="I726" i="1"/>
  <c r="K725" i="1"/>
  <c r="J725" i="1"/>
  <c r="I725" i="1"/>
  <c r="K724" i="1"/>
  <c r="J724" i="1"/>
  <c r="I724" i="1"/>
  <c r="K723" i="1"/>
  <c r="J723" i="1"/>
  <c r="I723" i="1"/>
  <c r="K722" i="1"/>
  <c r="J722" i="1"/>
  <c r="I722" i="1"/>
  <c r="K721" i="1"/>
  <c r="J721" i="1"/>
  <c r="I721" i="1"/>
  <c r="K720" i="1"/>
  <c r="J720" i="1"/>
  <c r="I720" i="1"/>
  <c r="K719" i="1"/>
  <c r="J719" i="1"/>
  <c r="I719" i="1"/>
  <c r="K718" i="1"/>
  <c r="J718" i="1"/>
  <c r="I718" i="1"/>
  <c r="K717" i="1"/>
  <c r="J717" i="1"/>
  <c r="I717" i="1"/>
  <c r="K716" i="1"/>
  <c r="J716" i="1"/>
  <c r="I716" i="1"/>
  <c r="K715" i="1"/>
  <c r="J715" i="1"/>
  <c r="I715" i="1"/>
  <c r="K714" i="1"/>
  <c r="J714" i="1"/>
  <c r="I714" i="1"/>
  <c r="K713" i="1"/>
  <c r="J713" i="1"/>
  <c r="I713" i="1"/>
  <c r="K712" i="1"/>
  <c r="J712" i="1"/>
  <c r="I712" i="1"/>
  <c r="K711" i="1"/>
  <c r="J711" i="1"/>
  <c r="I711" i="1"/>
  <c r="K710" i="1"/>
  <c r="J710" i="1"/>
  <c r="I710" i="1"/>
  <c r="K709" i="1"/>
  <c r="J709" i="1"/>
  <c r="I709" i="1"/>
  <c r="K708" i="1"/>
  <c r="J708" i="1"/>
  <c r="I708" i="1"/>
  <c r="K707" i="1"/>
  <c r="J707" i="1"/>
  <c r="I707" i="1"/>
  <c r="K706" i="1"/>
  <c r="J706" i="1"/>
  <c r="I706" i="1"/>
  <c r="K705" i="1"/>
  <c r="J705" i="1"/>
  <c r="I705" i="1"/>
  <c r="K704" i="1"/>
  <c r="J704" i="1"/>
  <c r="I704" i="1"/>
  <c r="K703" i="1"/>
  <c r="J703" i="1"/>
  <c r="I703" i="1"/>
  <c r="K702" i="1"/>
  <c r="J702" i="1"/>
  <c r="I702" i="1"/>
  <c r="K701" i="1"/>
  <c r="J701" i="1"/>
  <c r="I701" i="1"/>
  <c r="K700" i="1"/>
  <c r="J700" i="1"/>
  <c r="I700" i="1"/>
  <c r="K699" i="1"/>
  <c r="J699" i="1"/>
  <c r="I699" i="1"/>
  <c r="K698" i="1"/>
  <c r="J698" i="1"/>
  <c r="I698" i="1"/>
  <c r="K697" i="1"/>
  <c r="J697" i="1"/>
  <c r="I697" i="1"/>
  <c r="K696" i="1"/>
  <c r="J696" i="1"/>
  <c r="I696" i="1"/>
  <c r="K695" i="1"/>
  <c r="J695" i="1"/>
  <c r="I695" i="1"/>
  <c r="K694" i="1"/>
  <c r="J694" i="1"/>
  <c r="I694" i="1"/>
  <c r="K693" i="1"/>
  <c r="J693" i="1"/>
  <c r="I693" i="1"/>
  <c r="K692" i="1"/>
  <c r="J692" i="1"/>
  <c r="I692" i="1"/>
  <c r="K691" i="1"/>
  <c r="J691" i="1"/>
  <c r="I691" i="1"/>
  <c r="K690" i="1"/>
  <c r="J690" i="1"/>
  <c r="I690" i="1"/>
  <c r="K689" i="1"/>
  <c r="J689" i="1"/>
  <c r="I689" i="1"/>
  <c r="K688" i="1"/>
  <c r="J688" i="1"/>
  <c r="I688" i="1"/>
  <c r="K687" i="1"/>
  <c r="J687" i="1"/>
  <c r="I687" i="1"/>
  <c r="K686" i="1"/>
  <c r="J686" i="1"/>
  <c r="I686" i="1"/>
  <c r="K685" i="1"/>
  <c r="J685" i="1"/>
  <c r="I685" i="1"/>
  <c r="K684" i="1"/>
  <c r="J684" i="1"/>
  <c r="I684" i="1"/>
  <c r="K683" i="1"/>
  <c r="J683" i="1"/>
  <c r="I683" i="1"/>
  <c r="K682" i="1"/>
  <c r="J682" i="1"/>
  <c r="I682" i="1"/>
  <c r="K681" i="1"/>
  <c r="J681" i="1"/>
  <c r="I681" i="1"/>
  <c r="K680" i="1"/>
  <c r="J680" i="1"/>
  <c r="I680" i="1"/>
  <c r="K679" i="1"/>
  <c r="J679" i="1"/>
  <c r="I679" i="1"/>
  <c r="K678" i="1"/>
  <c r="J678" i="1"/>
  <c r="I678" i="1"/>
  <c r="K677" i="1"/>
  <c r="J677" i="1"/>
  <c r="I677" i="1"/>
  <c r="K676" i="1"/>
  <c r="J676" i="1"/>
  <c r="I676" i="1"/>
  <c r="K675" i="1"/>
  <c r="J675" i="1"/>
  <c r="I675" i="1"/>
  <c r="K674" i="1"/>
  <c r="J674" i="1"/>
  <c r="I674" i="1"/>
  <c r="K673" i="1"/>
  <c r="J673" i="1"/>
  <c r="I673" i="1"/>
  <c r="K672" i="1"/>
  <c r="J672" i="1"/>
  <c r="I672" i="1"/>
  <c r="K671" i="1"/>
  <c r="J671" i="1"/>
  <c r="I671" i="1"/>
  <c r="K670" i="1"/>
  <c r="J670" i="1"/>
  <c r="I670" i="1"/>
  <c r="K669" i="1"/>
  <c r="J669" i="1"/>
  <c r="I669" i="1"/>
  <c r="K668" i="1"/>
  <c r="J668" i="1"/>
  <c r="I668" i="1"/>
  <c r="K667" i="1"/>
  <c r="J667" i="1"/>
  <c r="I667" i="1"/>
  <c r="K666" i="1"/>
  <c r="J666" i="1"/>
  <c r="I666" i="1"/>
  <c r="K665" i="1"/>
  <c r="J665" i="1"/>
  <c r="I665" i="1"/>
  <c r="K664" i="1"/>
  <c r="J664" i="1"/>
  <c r="I664" i="1"/>
  <c r="K663" i="1"/>
  <c r="J663" i="1"/>
  <c r="I663" i="1"/>
  <c r="K662" i="1"/>
  <c r="J662" i="1"/>
  <c r="I662" i="1"/>
  <c r="K661" i="1"/>
  <c r="J661" i="1"/>
  <c r="I661" i="1"/>
  <c r="K660" i="1"/>
  <c r="J660" i="1"/>
  <c r="I660" i="1"/>
  <c r="K659" i="1"/>
  <c r="J659" i="1"/>
  <c r="I659" i="1"/>
  <c r="K658" i="1"/>
  <c r="J658" i="1"/>
  <c r="I658" i="1"/>
  <c r="K657" i="1"/>
  <c r="J657" i="1"/>
  <c r="I657" i="1"/>
  <c r="K656" i="1"/>
  <c r="J656" i="1"/>
  <c r="I656" i="1"/>
  <c r="K655" i="1"/>
  <c r="J655" i="1"/>
  <c r="I655" i="1"/>
  <c r="K654" i="1"/>
  <c r="J654" i="1"/>
  <c r="I654" i="1"/>
  <c r="K653" i="1"/>
  <c r="J653" i="1"/>
  <c r="I653" i="1"/>
  <c r="K652" i="1"/>
  <c r="J652" i="1"/>
  <c r="I652" i="1"/>
  <c r="K651" i="1"/>
  <c r="J651" i="1"/>
  <c r="I651" i="1"/>
  <c r="K650" i="1"/>
  <c r="J650" i="1"/>
  <c r="I650" i="1"/>
  <c r="K649" i="1"/>
  <c r="J649" i="1"/>
  <c r="I649" i="1"/>
  <c r="K648" i="1"/>
  <c r="J648" i="1"/>
  <c r="I648" i="1"/>
  <c r="K647" i="1"/>
  <c r="J647" i="1"/>
  <c r="I647" i="1"/>
  <c r="K646" i="1"/>
  <c r="J646" i="1"/>
  <c r="I646" i="1"/>
  <c r="K645" i="1"/>
  <c r="J645" i="1"/>
  <c r="I645" i="1"/>
  <c r="K644" i="1"/>
  <c r="J644" i="1"/>
  <c r="I644" i="1"/>
  <c r="K643" i="1"/>
  <c r="J643" i="1"/>
  <c r="I643" i="1"/>
  <c r="K642" i="1"/>
  <c r="J642" i="1"/>
  <c r="I642" i="1"/>
  <c r="K641" i="1"/>
  <c r="J641" i="1"/>
  <c r="I641" i="1"/>
  <c r="K640" i="1"/>
  <c r="J640" i="1"/>
  <c r="I640" i="1"/>
  <c r="K639" i="1"/>
  <c r="J639" i="1"/>
  <c r="I639" i="1"/>
  <c r="K638" i="1"/>
  <c r="J638" i="1"/>
  <c r="I638" i="1"/>
  <c r="K637" i="1"/>
  <c r="J637" i="1"/>
  <c r="I637" i="1"/>
  <c r="K636" i="1"/>
  <c r="J636" i="1"/>
  <c r="I636" i="1"/>
  <c r="K635" i="1"/>
  <c r="J635" i="1"/>
  <c r="I635" i="1"/>
  <c r="K634" i="1"/>
  <c r="J634" i="1"/>
  <c r="I634" i="1"/>
  <c r="K633" i="1"/>
  <c r="J633" i="1"/>
  <c r="I633" i="1"/>
  <c r="K632" i="1"/>
  <c r="J632" i="1"/>
  <c r="I632" i="1"/>
  <c r="K631" i="1"/>
  <c r="J631" i="1"/>
  <c r="I631" i="1"/>
  <c r="K630" i="1"/>
  <c r="J630" i="1"/>
  <c r="I630" i="1"/>
  <c r="K629" i="1"/>
  <c r="J629" i="1"/>
  <c r="I629" i="1"/>
  <c r="K628" i="1"/>
  <c r="J628" i="1"/>
  <c r="I628" i="1"/>
  <c r="K627" i="1"/>
  <c r="J627" i="1"/>
  <c r="I627" i="1"/>
  <c r="K626" i="1"/>
  <c r="J626" i="1"/>
  <c r="I626" i="1"/>
  <c r="K625" i="1"/>
  <c r="J625" i="1"/>
  <c r="I625" i="1"/>
  <c r="K624" i="1"/>
  <c r="J624" i="1"/>
  <c r="I624" i="1"/>
  <c r="K623" i="1"/>
  <c r="J623" i="1"/>
  <c r="I623" i="1"/>
  <c r="K622" i="1"/>
  <c r="J622" i="1"/>
  <c r="I622" i="1"/>
  <c r="K621" i="1"/>
  <c r="J621" i="1"/>
  <c r="I621" i="1"/>
  <c r="K620" i="1"/>
  <c r="J620" i="1"/>
  <c r="I620" i="1"/>
  <c r="K619" i="1"/>
  <c r="J619" i="1"/>
  <c r="I619" i="1"/>
  <c r="K618" i="1"/>
  <c r="J618" i="1"/>
  <c r="I618" i="1"/>
  <c r="K617" i="1"/>
  <c r="J617" i="1"/>
  <c r="I617" i="1"/>
  <c r="K616" i="1"/>
  <c r="J616" i="1"/>
  <c r="I616" i="1"/>
  <c r="K615" i="1"/>
  <c r="J615" i="1"/>
  <c r="I615" i="1"/>
  <c r="K614" i="1"/>
  <c r="J614" i="1"/>
  <c r="I614" i="1"/>
  <c r="K613" i="1"/>
  <c r="J613" i="1"/>
  <c r="I613" i="1"/>
  <c r="K612" i="1"/>
  <c r="J612" i="1"/>
  <c r="I612" i="1"/>
  <c r="K611" i="1"/>
  <c r="J611" i="1"/>
  <c r="I611" i="1"/>
  <c r="K610" i="1"/>
  <c r="J610" i="1"/>
  <c r="I610" i="1"/>
  <c r="K609" i="1"/>
  <c r="J609" i="1"/>
  <c r="I609" i="1"/>
  <c r="K608" i="1"/>
  <c r="J608" i="1"/>
  <c r="I608" i="1"/>
  <c r="K607" i="1"/>
  <c r="J607" i="1"/>
  <c r="I607" i="1"/>
  <c r="K606" i="1"/>
  <c r="J606" i="1"/>
  <c r="I606" i="1"/>
  <c r="K605" i="1"/>
  <c r="J605" i="1"/>
  <c r="I605" i="1"/>
  <c r="K604" i="1"/>
  <c r="J604" i="1"/>
  <c r="I604" i="1"/>
  <c r="K603" i="1"/>
  <c r="J603" i="1"/>
  <c r="I603" i="1"/>
  <c r="K602" i="1"/>
  <c r="J602" i="1"/>
  <c r="I602" i="1"/>
  <c r="K601" i="1"/>
  <c r="J601" i="1"/>
  <c r="I601" i="1"/>
  <c r="K600" i="1"/>
  <c r="J600" i="1"/>
  <c r="I600" i="1"/>
  <c r="K599" i="1"/>
  <c r="J599" i="1"/>
  <c r="I599" i="1"/>
  <c r="K598" i="1"/>
  <c r="J598" i="1"/>
  <c r="I598" i="1"/>
  <c r="K597" i="1"/>
  <c r="J597" i="1"/>
  <c r="I597" i="1"/>
  <c r="K596" i="1"/>
  <c r="J596" i="1"/>
  <c r="I596" i="1"/>
  <c r="K595" i="1"/>
  <c r="J595" i="1"/>
  <c r="I595" i="1"/>
  <c r="K594" i="1"/>
  <c r="J594" i="1"/>
  <c r="I594" i="1"/>
  <c r="K593" i="1"/>
  <c r="J593" i="1"/>
  <c r="I593" i="1"/>
  <c r="K592" i="1"/>
  <c r="J592" i="1"/>
  <c r="I592" i="1"/>
  <c r="K591" i="1"/>
  <c r="J591" i="1"/>
  <c r="I591" i="1"/>
  <c r="K590" i="1"/>
  <c r="J590" i="1"/>
  <c r="I590" i="1"/>
  <c r="K589" i="1"/>
  <c r="J589" i="1"/>
  <c r="I589" i="1"/>
  <c r="K588" i="1"/>
  <c r="J588" i="1"/>
  <c r="I588" i="1"/>
  <c r="K587" i="1"/>
  <c r="J587" i="1"/>
  <c r="I587" i="1"/>
  <c r="K586" i="1"/>
  <c r="J586" i="1"/>
  <c r="I586" i="1"/>
  <c r="K585" i="1"/>
  <c r="J585" i="1"/>
  <c r="I585" i="1"/>
  <c r="K584" i="1"/>
  <c r="J584" i="1"/>
  <c r="I584" i="1"/>
  <c r="K583" i="1"/>
  <c r="J583" i="1"/>
  <c r="I583" i="1"/>
  <c r="K582" i="1"/>
  <c r="J582" i="1"/>
  <c r="I582" i="1"/>
  <c r="K581" i="1"/>
  <c r="J581" i="1"/>
  <c r="I581" i="1"/>
  <c r="K580" i="1"/>
  <c r="J580" i="1"/>
  <c r="I580" i="1"/>
  <c r="K579" i="1"/>
  <c r="J579" i="1"/>
  <c r="I579" i="1"/>
  <c r="K578" i="1"/>
  <c r="J578" i="1"/>
  <c r="I578" i="1"/>
  <c r="K577" i="1"/>
  <c r="J577" i="1"/>
  <c r="I577" i="1"/>
  <c r="K576" i="1"/>
  <c r="J576" i="1"/>
  <c r="I576" i="1"/>
  <c r="K575" i="1"/>
  <c r="J575" i="1"/>
  <c r="I575" i="1"/>
  <c r="K574" i="1"/>
  <c r="J574" i="1"/>
  <c r="I574" i="1"/>
  <c r="K573" i="1"/>
  <c r="J573" i="1"/>
  <c r="I573" i="1"/>
  <c r="K572" i="1"/>
  <c r="J572" i="1"/>
  <c r="I572" i="1"/>
  <c r="K571" i="1"/>
  <c r="J571" i="1"/>
  <c r="I571" i="1"/>
  <c r="K570" i="1"/>
  <c r="J570" i="1"/>
  <c r="I570" i="1"/>
  <c r="K569" i="1"/>
  <c r="J569" i="1"/>
  <c r="I569" i="1"/>
  <c r="K568" i="1"/>
  <c r="J568" i="1"/>
  <c r="I568" i="1"/>
  <c r="K567" i="1"/>
  <c r="J567" i="1"/>
  <c r="I567" i="1"/>
  <c r="K566" i="1"/>
  <c r="J566" i="1"/>
  <c r="I566" i="1"/>
  <c r="K565" i="1"/>
  <c r="J565" i="1"/>
  <c r="I565" i="1"/>
  <c r="K564" i="1"/>
  <c r="J564" i="1"/>
  <c r="I564" i="1"/>
  <c r="K563" i="1"/>
  <c r="J563" i="1"/>
  <c r="I563" i="1"/>
  <c r="K562" i="1"/>
  <c r="J562" i="1"/>
  <c r="I562" i="1"/>
  <c r="K561" i="1"/>
  <c r="J561" i="1"/>
  <c r="I561" i="1"/>
  <c r="K560" i="1"/>
  <c r="J560" i="1"/>
  <c r="I560" i="1"/>
  <c r="K559" i="1"/>
  <c r="J559" i="1"/>
  <c r="I559" i="1"/>
  <c r="K558" i="1"/>
  <c r="J558" i="1"/>
  <c r="I558" i="1"/>
  <c r="K557" i="1"/>
  <c r="J557" i="1"/>
  <c r="I557" i="1"/>
  <c r="K556" i="1"/>
  <c r="J556" i="1"/>
  <c r="I556" i="1"/>
  <c r="K555" i="1"/>
  <c r="J555" i="1"/>
  <c r="I555" i="1"/>
  <c r="K554" i="1"/>
  <c r="J554" i="1"/>
  <c r="I554" i="1"/>
  <c r="K553" i="1"/>
  <c r="J553" i="1"/>
  <c r="I553" i="1"/>
  <c r="K552" i="1"/>
  <c r="J552" i="1"/>
  <c r="I552" i="1"/>
  <c r="K551" i="1"/>
  <c r="J551" i="1"/>
  <c r="I551" i="1"/>
  <c r="K550" i="1"/>
  <c r="J550" i="1"/>
  <c r="I550" i="1"/>
  <c r="K549" i="1"/>
  <c r="J549" i="1"/>
  <c r="I549" i="1"/>
  <c r="K548" i="1"/>
  <c r="J548" i="1"/>
  <c r="I548" i="1"/>
  <c r="K547" i="1"/>
  <c r="J547" i="1"/>
  <c r="I547" i="1"/>
  <c r="K546" i="1"/>
  <c r="J546" i="1"/>
  <c r="I546" i="1"/>
  <c r="K545" i="1"/>
  <c r="J545" i="1"/>
  <c r="I545" i="1"/>
  <c r="K544" i="1"/>
  <c r="J544" i="1"/>
  <c r="I544" i="1"/>
  <c r="K543" i="1"/>
  <c r="J543" i="1"/>
  <c r="I543" i="1"/>
  <c r="K542" i="1"/>
  <c r="J542" i="1"/>
  <c r="I542" i="1"/>
  <c r="K541" i="1"/>
  <c r="J541" i="1"/>
  <c r="I541" i="1"/>
  <c r="K540" i="1"/>
  <c r="J540" i="1"/>
  <c r="I540" i="1"/>
  <c r="K539" i="1"/>
  <c r="J539" i="1"/>
  <c r="I539" i="1"/>
  <c r="K538" i="1"/>
  <c r="J538" i="1"/>
  <c r="I538" i="1"/>
  <c r="K537" i="1"/>
  <c r="J537" i="1"/>
  <c r="I537" i="1"/>
  <c r="K536" i="1"/>
  <c r="J536" i="1"/>
  <c r="I536" i="1"/>
  <c r="K535" i="1"/>
  <c r="J535" i="1"/>
  <c r="I535" i="1"/>
  <c r="K534" i="1"/>
  <c r="J534" i="1"/>
  <c r="I534" i="1"/>
  <c r="K533" i="1"/>
  <c r="J533" i="1"/>
  <c r="I533" i="1"/>
  <c r="K532" i="1"/>
  <c r="J532" i="1"/>
  <c r="I532" i="1"/>
  <c r="K531" i="1"/>
  <c r="J531" i="1"/>
  <c r="I531" i="1"/>
  <c r="K530" i="1"/>
  <c r="J530" i="1"/>
  <c r="I530" i="1"/>
  <c r="K529" i="1"/>
  <c r="J529" i="1"/>
  <c r="I529" i="1"/>
  <c r="K528" i="1"/>
  <c r="J528" i="1"/>
  <c r="I528" i="1"/>
  <c r="K527" i="1"/>
  <c r="J527" i="1"/>
  <c r="I527" i="1"/>
  <c r="K526" i="1"/>
  <c r="J526" i="1"/>
  <c r="I526" i="1"/>
  <c r="K525" i="1"/>
  <c r="J525" i="1"/>
  <c r="I525" i="1"/>
  <c r="K524" i="1"/>
  <c r="J524" i="1"/>
  <c r="I524" i="1"/>
  <c r="K523" i="1"/>
  <c r="J523" i="1"/>
  <c r="I523" i="1"/>
  <c r="K522" i="1"/>
  <c r="J522" i="1"/>
  <c r="I522" i="1"/>
  <c r="K521" i="1"/>
  <c r="J521" i="1"/>
  <c r="I521" i="1"/>
  <c r="K520" i="1"/>
  <c r="J520" i="1"/>
  <c r="I520" i="1"/>
  <c r="K519" i="1"/>
  <c r="J519" i="1"/>
  <c r="I519" i="1"/>
  <c r="K518" i="1"/>
  <c r="J518" i="1"/>
  <c r="I518" i="1"/>
  <c r="K517" i="1"/>
  <c r="J517" i="1"/>
  <c r="I517" i="1"/>
  <c r="K516" i="1"/>
  <c r="J516" i="1"/>
  <c r="I516" i="1"/>
  <c r="K515" i="1"/>
  <c r="J515" i="1"/>
  <c r="I515" i="1"/>
  <c r="K514" i="1"/>
  <c r="J514" i="1"/>
  <c r="I514" i="1"/>
  <c r="K513" i="1"/>
  <c r="J513" i="1"/>
  <c r="I513" i="1"/>
  <c r="K512" i="1"/>
  <c r="J512" i="1"/>
  <c r="I512" i="1"/>
  <c r="K511" i="1"/>
  <c r="J511" i="1"/>
  <c r="I511" i="1"/>
  <c r="K510" i="1"/>
  <c r="J510" i="1"/>
  <c r="I510" i="1"/>
  <c r="K509" i="1"/>
  <c r="J509" i="1"/>
  <c r="I509" i="1"/>
  <c r="K508" i="1"/>
  <c r="J508" i="1"/>
  <c r="I508" i="1"/>
  <c r="K507" i="1"/>
  <c r="J507" i="1"/>
  <c r="I507" i="1"/>
  <c r="K506" i="1"/>
  <c r="J506" i="1"/>
  <c r="I506" i="1"/>
  <c r="K505" i="1"/>
  <c r="J505" i="1"/>
  <c r="I505" i="1"/>
  <c r="K504" i="1"/>
  <c r="J504" i="1"/>
  <c r="I504" i="1"/>
  <c r="K503" i="1"/>
  <c r="J503" i="1"/>
  <c r="I503" i="1"/>
  <c r="K502" i="1"/>
  <c r="J502" i="1"/>
  <c r="I502" i="1"/>
  <c r="K501" i="1"/>
  <c r="J501" i="1"/>
  <c r="I501" i="1"/>
  <c r="K500" i="1"/>
  <c r="J500" i="1"/>
  <c r="I500" i="1"/>
  <c r="K499" i="1"/>
  <c r="J499" i="1"/>
  <c r="I499" i="1"/>
  <c r="K498" i="1"/>
  <c r="J498" i="1"/>
  <c r="I498" i="1"/>
  <c r="K497" i="1"/>
  <c r="J497" i="1"/>
  <c r="I497" i="1"/>
  <c r="K496" i="1"/>
  <c r="J496" i="1"/>
  <c r="I496" i="1"/>
  <c r="K495" i="1"/>
  <c r="J495" i="1"/>
  <c r="I495" i="1"/>
  <c r="K494" i="1"/>
  <c r="J494" i="1"/>
  <c r="I494" i="1"/>
  <c r="K493" i="1"/>
  <c r="J493" i="1"/>
  <c r="I493" i="1"/>
  <c r="K492" i="1"/>
  <c r="J492" i="1"/>
  <c r="I492" i="1"/>
  <c r="K491" i="1"/>
  <c r="J491" i="1"/>
  <c r="I491" i="1"/>
  <c r="K490" i="1"/>
  <c r="J490" i="1"/>
  <c r="I490" i="1"/>
  <c r="K489" i="1"/>
  <c r="J489" i="1"/>
  <c r="I489" i="1"/>
  <c r="K488" i="1"/>
  <c r="J488" i="1"/>
  <c r="I488" i="1"/>
  <c r="K487" i="1"/>
  <c r="J487" i="1"/>
  <c r="I487" i="1"/>
  <c r="K486" i="1"/>
  <c r="J486" i="1"/>
  <c r="I486" i="1"/>
  <c r="K485" i="1"/>
  <c r="J485" i="1"/>
  <c r="I485" i="1"/>
  <c r="K484" i="1"/>
  <c r="J484" i="1"/>
  <c r="I484" i="1"/>
  <c r="K483" i="1"/>
  <c r="J483" i="1"/>
  <c r="I483" i="1"/>
  <c r="K482" i="1"/>
  <c r="J482" i="1"/>
  <c r="I482" i="1"/>
  <c r="K481" i="1"/>
  <c r="J481" i="1"/>
  <c r="I481" i="1"/>
  <c r="K480" i="1"/>
  <c r="J480" i="1"/>
  <c r="I480" i="1"/>
  <c r="K479" i="1"/>
  <c r="J479" i="1"/>
  <c r="I479" i="1"/>
  <c r="K478" i="1"/>
  <c r="J478" i="1"/>
  <c r="I478" i="1"/>
  <c r="K477" i="1"/>
  <c r="J477" i="1"/>
  <c r="I477" i="1"/>
  <c r="K476" i="1"/>
  <c r="J476" i="1"/>
  <c r="I476" i="1"/>
  <c r="K475" i="1"/>
  <c r="J475" i="1"/>
  <c r="I475" i="1"/>
  <c r="K474" i="1"/>
  <c r="J474" i="1"/>
  <c r="I474" i="1"/>
  <c r="K473" i="1"/>
  <c r="J473" i="1"/>
  <c r="I473" i="1"/>
  <c r="K472" i="1"/>
  <c r="J472" i="1"/>
  <c r="I472" i="1"/>
  <c r="K471" i="1"/>
  <c r="J471" i="1"/>
  <c r="I471" i="1"/>
  <c r="K470" i="1"/>
  <c r="J470" i="1"/>
  <c r="I470" i="1"/>
  <c r="K469" i="1"/>
  <c r="J469" i="1"/>
  <c r="I469" i="1"/>
  <c r="K468" i="1"/>
  <c r="J468" i="1"/>
  <c r="I468" i="1"/>
  <c r="K467" i="1"/>
  <c r="J467" i="1"/>
  <c r="I467" i="1"/>
  <c r="K466" i="1"/>
  <c r="J466" i="1"/>
  <c r="I466" i="1"/>
  <c r="K465" i="1"/>
  <c r="J465" i="1"/>
  <c r="I465" i="1"/>
  <c r="K464" i="1"/>
  <c r="J464" i="1"/>
  <c r="I464" i="1"/>
  <c r="K463" i="1"/>
  <c r="J463" i="1"/>
  <c r="I463" i="1"/>
  <c r="K462" i="1"/>
  <c r="J462" i="1"/>
  <c r="I462" i="1"/>
  <c r="K461" i="1"/>
  <c r="J461" i="1"/>
  <c r="I461" i="1"/>
  <c r="K460" i="1"/>
  <c r="J460" i="1"/>
  <c r="I460" i="1"/>
  <c r="K459" i="1"/>
  <c r="J459" i="1"/>
  <c r="I459" i="1"/>
  <c r="K458" i="1"/>
  <c r="J458" i="1"/>
  <c r="I458" i="1"/>
  <c r="K457" i="1"/>
  <c r="J457" i="1"/>
  <c r="I457" i="1"/>
  <c r="K456" i="1"/>
  <c r="J456" i="1"/>
  <c r="I456" i="1"/>
  <c r="K455" i="1"/>
  <c r="J455" i="1"/>
  <c r="I455" i="1"/>
  <c r="K454" i="1"/>
  <c r="J454" i="1"/>
  <c r="I454" i="1"/>
  <c r="K453" i="1"/>
  <c r="J453" i="1"/>
  <c r="I453" i="1"/>
  <c r="K452" i="1"/>
  <c r="J452" i="1"/>
  <c r="I452" i="1"/>
  <c r="K451" i="1"/>
  <c r="J451" i="1"/>
  <c r="I451" i="1"/>
  <c r="K450" i="1"/>
  <c r="J450" i="1"/>
  <c r="I450" i="1"/>
  <c r="K449" i="1"/>
  <c r="J449" i="1"/>
  <c r="I449" i="1"/>
  <c r="K448" i="1"/>
  <c r="J448" i="1"/>
  <c r="I448" i="1"/>
  <c r="K447" i="1"/>
  <c r="J447" i="1"/>
  <c r="I447" i="1"/>
  <c r="K446" i="1"/>
  <c r="J446" i="1"/>
  <c r="I446" i="1"/>
  <c r="K445" i="1"/>
  <c r="J445" i="1"/>
  <c r="I445" i="1"/>
  <c r="K444" i="1"/>
  <c r="J444" i="1"/>
  <c r="I444" i="1"/>
  <c r="K443" i="1"/>
  <c r="J443" i="1"/>
  <c r="I443" i="1"/>
  <c r="K442" i="1"/>
  <c r="J442" i="1"/>
  <c r="I442" i="1"/>
  <c r="K441" i="1"/>
  <c r="J441" i="1"/>
  <c r="I441" i="1"/>
  <c r="K440" i="1"/>
  <c r="J440" i="1"/>
  <c r="I440" i="1"/>
  <c r="K439" i="1"/>
  <c r="J439" i="1"/>
  <c r="I439" i="1"/>
  <c r="K438" i="1"/>
  <c r="J438" i="1"/>
  <c r="I438" i="1"/>
  <c r="K437" i="1"/>
  <c r="J437" i="1"/>
  <c r="I437" i="1"/>
  <c r="K436" i="1"/>
  <c r="J436" i="1"/>
  <c r="I436" i="1"/>
  <c r="K435" i="1"/>
  <c r="J435" i="1"/>
  <c r="I435" i="1"/>
  <c r="K434" i="1"/>
  <c r="J434" i="1"/>
  <c r="I434" i="1"/>
  <c r="K433" i="1"/>
  <c r="J433" i="1"/>
  <c r="I433" i="1"/>
  <c r="K432" i="1"/>
  <c r="J432" i="1"/>
  <c r="I432" i="1"/>
  <c r="K431" i="1"/>
  <c r="J431" i="1"/>
  <c r="I431" i="1"/>
  <c r="K430" i="1"/>
  <c r="J430" i="1"/>
  <c r="I430" i="1"/>
  <c r="K429" i="1"/>
  <c r="J429" i="1"/>
  <c r="I429" i="1"/>
  <c r="K428" i="1"/>
  <c r="J428" i="1"/>
  <c r="I428" i="1"/>
  <c r="K427" i="1"/>
  <c r="J427" i="1"/>
  <c r="I427" i="1"/>
  <c r="K426" i="1"/>
  <c r="J426" i="1"/>
  <c r="I426" i="1"/>
  <c r="K425" i="1"/>
  <c r="J425" i="1"/>
  <c r="I425" i="1"/>
  <c r="K424" i="1"/>
  <c r="J424" i="1"/>
  <c r="I424" i="1"/>
  <c r="K423" i="1"/>
  <c r="J423" i="1"/>
  <c r="I423" i="1"/>
  <c r="K422" i="1"/>
  <c r="J422" i="1"/>
  <c r="I422" i="1"/>
  <c r="K421" i="1"/>
  <c r="J421" i="1"/>
  <c r="I421" i="1"/>
  <c r="K420" i="1"/>
  <c r="J420" i="1"/>
  <c r="I420" i="1"/>
  <c r="K419" i="1"/>
  <c r="J419" i="1"/>
  <c r="I419" i="1"/>
  <c r="K418" i="1"/>
  <c r="J418" i="1"/>
  <c r="I418" i="1"/>
  <c r="K417" i="1"/>
  <c r="J417" i="1"/>
  <c r="I417" i="1"/>
  <c r="K416" i="1"/>
  <c r="J416" i="1"/>
  <c r="I416" i="1"/>
  <c r="K415" i="1"/>
  <c r="J415" i="1"/>
  <c r="I415" i="1"/>
  <c r="K414" i="1"/>
  <c r="J414" i="1"/>
  <c r="I414" i="1"/>
  <c r="K413" i="1"/>
  <c r="J413" i="1"/>
  <c r="I413" i="1"/>
  <c r="K412" i="1"/>
  <c r="J412" i="1"/>
  <c r="I412" i="1"/>
  <c r="K411" i="1"/>
  <c r="J411" i="1"/>
  <c r="I411" i="1"/>
  <c r="K410" i="1"/>
  <c r="J410" i="1"/>
  <c r="I410" i="1"/>
  <c r="K409" i="1"/>
  <c r="J409" i="1"/>
  <c r="I409" i="1"/>
  <c r="K408" i="1"/>
  <c r="J408" i="1"/>
  <c r="I408" i="1"/>
  <c r="K407" i="1"/>
  <c r="J407" i="1"/>
  <c r="I407" i="1"/>
  <c r="K406" i="1"/>
  <c r="J406" i="1"/>
  <c r="I406" i="1"/>
  <c r="K405" i="1"/>
  <c r="J405" i="1"/>
  <c r="I405" i="1"/>
  <c r="K404" i="1"/>
  <c r="J404" i="1"/>
  <c r="I404" i="1"/>
  <c r="K403" i="1"/>
  <c r="J403" i="1"/>
  <c r="I403" i="1"/>
  <c r="K402" i="1"/>
  <c r="J402" i="1"/>
  <c r="I402" i="1"/>
  <c r="K401" i="1"/>
  <c r="J401" i="1"/>
  <c r="I401" i="1"/>
  <c r="K400" i="1"/>
  <c r="J400" i="1"/>
  <c r="I400" i="1"/>
  <c r="K399" i="1"/>
  <c r="J399" i="1"/>
  <c r="I399" i="1"/>
  <c r="K398" i="1"/>
  <c r="J398" i="1"/>
  <c r="I398" i="1"/>
  <c r="K397" i="1"/>
  <c r="J397" i="1"/>
  <c r="I397" i="1"/>
  <c r="K396" i="1"/>
  <c r="J396" i="1"/>
  <c r="I396" i="1"/>
  <c r="K395" i="1"/>
  <c r="J395" i="1"/>
  <c r="I395" i="1"/>
  <c r="K394" i="1"/>
  <c r="J394" i="1"/>
  <c r="I394" i="1"/>
  <c r="K393" i="1"/>
  <c r="J393" i="1"/>
  <c r="I393" i="1"/>
  <c r="K392" i="1"/>
  <c r="J392" i="1"/>
  <c r="I392" i="1"/>
  <c r="K391" i="1"/>
  <c r="J391" i="1"/>
  <c r="I391" i="1"/>
  <c r="K390" i="1"/>
  <c r="J390" i="1"/>
  <c r="I390" i="1"/>
  <c r="K389" i="1"/>
  <c r="J389" i="1"/>
  <c r="I389" i="1"/>
  <c r="K388" i="1"/>
  <c r="J388" i="1"/>
  <c r="I388" i="1"/>
  <c r="K387" i="1"/>
  <c r="J387" i="1"/>
  <c r="I387" i="1"/>
  <c r="K386" i="1"/>
  <c r="J386" i="1"/>
  <c r="I386" i="1"/>
  <c r="K385" i="1"/>
  <c r="J385" i="1"/>
  <c r="I385" i="1"/>
  <c r="K384" i="1"/>
  <c r="J384" i="1"/>
  <c r="I384" i="1"/>
  <c r="K383" i="1"/>
  <c r="J383" i="1"/>
  <c r="I383" i="1"/>
  <c r="K382" i="1"/>
  <c r="J382" i="1"/>
  <c r="I382" i="1"/>
  <c r="K381" i="1"/>
  <c r="J381" i="1"/>
  <c r="I381" i="1"/>
  <c r="K380" i="1"/>
  <c r="J380" i="1"/>
  <c r="I380" i="1"/>
  <c r="K379" i="1"/>
  <c r="J379" i="1"/>
  <c r="I379" i="1"/>
  <c r="K378" i="1"/>
  <c r="J378" i="1"/>
  <c r="I378" i="1"/>
  <c r="K377" i="1"/>
  <c r="J377" i="1"/>
  <c r="I377" i="1"/>
  <c r="K376" i="1"/>
  <c r="J376" i="1"/>
  <c r="I376" i="1"/>
  <c r="K375" i="1"/>
  <c r="J375" i="1"/>
  <c r="I375" i="1"/>
  <c r="K374" i="1"/>
  <c r="J374" i="1"/>
  <c r="I374" i="1"/>
  <c r="K373" i="1"/>
  <c r="J373" i="1"/>
  <c r="I373" i="1"/>
  <c r="K372" i="1"/>
  <c r="J372" i="1"/>
  <c r="I372" i="1"/>
  <c r="K371" i="1"/>
  <c r="J371" i="1"/>
  <c r="I371" i="1"/>
  <c r="K370" i="1"/>
  <c r="J370" i="1"/>
  <c r="I370" i="1"/>
  <c r="K369" i="1"/>
  <c r="J369" i="1"/>
  <c r="I369" i="1"/>
  <c r="K368" i="1"/>
  <c r="J368" i="1"/>
  <c r="I368" i="1"/>
  <c r="K367" i="1"/>
  <c r="J367" i="1"/>
  <c r="I367" i="1"/>
  <c r="K366" i="1"/>
  <c r="J366" i="1"/>
  <c r="I366" i="1"/>
  <c r="K365" i="1"/>
  <c r="J365" i="1"/>
  <c r="I365" i="1"/>
  <c r="K364" i="1"/>
  <c r="J364" i="1"/>
  <c r="I364" i="1"/>
  <c r="K363" i="1"/>
  <c r="J363" i="1"/>
  <c r="I363" i="1"/>
  <c r="K362" i="1"/>
  <c r="J362" i="1"/>
  <c r="I362" i="1"/>
  <c r="K361" i="1"/>
  <c r="J361" i="1"/>
  <c r="I361" i="1"/>
  <c r="K360" i="1"/>
  <c r="J360" i="1"/>
  <c r="I360" i="1"/>
  <c r="K359" i="1"/>
  <c r="J359" i="1"/>
  <c r="I359" i="1"/>
  <c r="K358" i="1"/>
  <c r="J358" i="1"/>
  <c r="I358" i="1"/>
  <c r="K357" i="1"/>
  <c r="J357" i="1"/>
  <c r="I357" i="1"/>
  <c r="K356" i="1"/>
  <c r="J356" i="1"/>
  <c r="I356" i="1"/>
  <c r="K355" i="1"/>
  <c r="J355" i="1"/>
  <c r="I355" i="1"/>
  <c r="K354" i="1"/>
  <c r="J354" i="1"/>
  <c r="I354" i="1"/>
  <c r="K353" i="1"/>
  <c r="J353" i="1"/>
  <c r="I353" i="1"/>
  <c r="K352" i="1"/>
  <c r="J352" i="1"/>
  <c r="I352" i="1"/>
  <c r="K351" i="1"/>
  <c r="J351" i="1"/>
  <c r="I351" i="1"/>
  <c r="K350" i="1"/>
  <c r="J350" i="1"/>
  <c r="I350" i="1"/>
  <c r="K349" i="1"/>
  <c r="J349" i="1"/>
  <c r="I349" i="1"/>
  <c r="K348" i="1"/>
  <c r="J348" i="1"/>
  <c r="I348" i="1"/>
  <c r="K347" i="1"/>
  <c r="J347" i="1"/>
  <c r="I347" i="1"/>
  <c r="K346" i="1"/>
  <c r="J346" i="1"/>
  <c r="I346" i="1"/>
  <c r="K345" i="1"/>
  <c r="J345" i="1"/>
  <c r="I345" i="1"/>
  <c r="K344" i="1"/>
  <c r="J344" i="1"/>
  <c r="I344" i="1"/>
  <c r="K343" i="1"/>
  <c r="J343" i="1"/>
  <c r="I343" i="1"/>
  <c r="K342" i="1"/>
  <c r="J342" i="1"/>
  <c r="I342" i="1"/>
  <c r="K341" i="1"/>
  <c r="J341" i="1"/>
  <c r="I341" i="1"/>
  <c r="K340" i="1"/>
  <c r="J340" i="1"/>
  <c r="I340" i="1"/>
  <c r="K339" i="1"/>
  <c r="J339" i="1"/>
  <c r="I339" i="1"/>
  <c r="K338" i="1"/>
  <c r="J338" i="1"/>
  <c r="I338" i="1"/>
  <c r="K337" i="1"/>
  <c r="J337" i="1"/>
  <c r="I337" i="1"/>
  <c r="K336" i="1"/>
  <c r="J336" i="1"/>
  <c r="I336" i="1"/>
  <c r="K335" i="1"/>
  <c r="J335" i="1"/>
  <c r="I335" i="1"/>
  <c r="K334" i="1"/>
  <c r="J334" i="1"/>
  <c r="I334" i="1"/>
  <c r="K333" i="1"/>
  <c r="J333" i="1"/>
  <c r="I333" i="1"/>
  <c r="K332" i="1"/>
  <c r="J332" i="1"/>
  <c r="I332" i="1"/>
  <c r="K331" i="1"/>
  <c r="J331" i="1"/>
  <c r="I331" i="1"/>
  <c r="K330" i="1"/>
  <c r="J330" i="1"/>
  <c r="I330" i="1"/>
  <c r="K329" i="1"/>
  <c r="J329" i="1"/>
  <c r="I329" i="1"/>
  <c r="K328" i="1"/>
  <c r="J328" i="1"/>
  <c r="I328" i="1"/>
  <c r="K327" i="1"/>
  <c r="J327" i="1"/>
  <c r="I327" i="1"/>
  <c r="K326" i="1"/>
  <c r="J326" i="1"/>
  <c r="I326" i="1"/>
  <c r="K325" i="1"/>
  <c r="J325" i="1"/>
  <c r="I325" i="1"/>
  <c r="K324" i="1"/>
  <c r="J324" i="1"/>
  <c r="I324" i="1"/>
  <c r="K323" i="1"/>
  <c r="J323" i="1"/>
  <c r="I323" i="1"/>
  <c r="K322" i="1"/>
  <c r="J322" i="1"/>
  <c r="I322" i="1"/>
  <c r="K321" i="1"/>
  <c r="J321" i="1"/>
  <c r="I321" i="1"/>
  <c r="K320" i="1"/>
  <c r="J320" i="1"/>
  <c r="I320" i="1"/>
  <c r="K319" i="1"/>
  <c r="J319" i="1"/>
  <c r="I319" i="1"/>
  <c r="K318" i="1"/>
  <c r="J318" i="1"/>
  <c r="I318" i="1"/>
  <c r="K317" i="1"/>
  <c r="J317" i="1"/>
  <c r="I317" i="1"/>
  <c r="K316" i="1"/>
  <c r="J316" i="1"/>
  <c r="I316" i="1"/>
  <c r="K315" i="1"/>
  <c r="J315" i="1"/>
  <c r="I315" i="1"/>
  <c r="K314" i="1"/>
  <c r="J314" i="1"/>
  <c r="I314" i="1"/>
  <c r="K313" i="1"/>
  <c r="J313" i="1"/>
  <c r="I313" i="1"/>
  <c r="K312" i="1"/>
  <c r="J312" i="1"/>
  <c r="I312" i="1"/>
  <c r="K311" i="1"/>
  <c r="J311" i="1"/>
  <c r="I311" i="1"/>
  <c r="K310" i="1"/>
  <c r="J310" i="1"/>
  <c r="I310" i="1"/>
  <c r="K309" i="1"/>
  <c r="J309" i="1"/>
  <c r="I309" i="1"/>
  <c r="K308" i="1"/>
  <c r="J308" i="1"/>
  <c r="I308" i="1"/>
  <c r="K307" i="1"/>
  <c r="J307" i="1"/>
  <c r="I307" i="1"/>
  <c r="K306" i="1"/>
  <c r="J306" i="1"/>
  <c r="I306" i="1"/>
  <c r="K305" i="1"/>
  <c r="J305" i="1"/>
  <c r="I305" i="1"/>
  <c r="K304" i="1"/>
  <c r="J304" i="1"/>
  <c r="I304" i="1"/>
  <c r="K303" i="1"/>
  <c r="J303" i="1"/>
  <c r="I303" i="1"/>
  <c r="K302" i="1"/>
  <c r="J302" i="1"/>
  <c r="I302" i="1"/>
  <c r="K301" i="1"/>
  <c r="J301" i="1"/>
  <c r="I301" i="1"/>
  <c r="K300" i="1"/>
  <c r="J300" i="1"/>
  <c r="I300" i="1"/>
  <c r="K299" i="1"/>
  <c r="J299" i="1"/>
  <c r="I299" i="1"/>
  <c r="K298" i="1"/>
  <c r="J298" i="1"/>
  <c r="I298" i="1"/>
  <c r="K297" i="1"/>
  <c r="J297" i="1"/>
  <c r="I297" i="1"/>
  <c r="K296" i="1"/>
  <c r="J296" i="1"/>
  <c r="I296" i="1"/>
  <c r="K295" i="1"/>
  <c r="J295" i="1"/>
  <c r="I295" i="1"/>
  <c r="K294" i="1"/>
  <c r="J294" i="1"/>
  <c r="I294" i="1"/>
  <c r="K293" i="1"/>
  <c r="J293" i="1"/>
  <c r="I293" i="1"/>
  <c r="K292" i="1"/>
  <c r="J292" i="1"/>
  <c r="I292" i="1"/>
  <c r="K291" i="1"/>
  <c r="J291" i="1"/>
  <c r="I291" i="1"/>
  <c r="K290" i="1"/>
  <c r="J290" i="1"/>
  <c r="I290" i="1"/>
  <c r="K289" i="1"/>
  <c r="J289" i="1"/>
  <c r="I289" i="1"/>
  <c r="K288" i="1"/>
  <c r="J288" i="1"/>
  <c r="I288" i="1"/>
  <c r="K287" i="1"/>
  <c r="J287" i="1"/>
  <c r="I287" i="1"/>
  <c r="K286" i="1"/>
  <c r="J286" i="1"/>
  <c r="I286" i="1"/>
  <c r="K285" i="1"/>
  <c r="J285" i="1"/>
  <c r="I285" i="1"/>
  <c r="K284" i="1"/>
  <c r="J284" i="1"/>
  <c r="I284" i="1"/>
  <c r="K283" i="1"/>
  <c r="J283" i="1"/>
  <c r="I283" i="1"/>
  <c r="K282" i="1"/>
  <c r="J282" i="1"/>
  <c r="I282" i="1"/>
  <c r="K281" i="1"/>
  <c r="J281" i="1"/>
  <c r="I281" i="1"/>
  <c r="K280" i="1"/>
  <c r="J280" i="1"/>
  <c r="I280" i="1"/>
  <c r="K279" i="1"/>
  <c r="J279" i="1"/>
  <c r="I279" i="1"/>
  <c r="K278" i="1"/>
  <c r="J278" i="1"/>
  <c r="I278" i="1"/>
  <c r="K277" i="1"/>
  <c r="J277" i="1"/>
  <c r="I277" i="1"/>
  <c r="K276" i="1"/>
  <c r="J276" i="1"/>
  <c r="I276" i="1"/>
  <c r="K275" i="1"/>
  <c r="J275" i="1"/>
  <c r="I275" i="1"/>
  <c r="K274" i="1"/>
  <c r="J274" i="1"/>
  <c r="I274" i="1"/>
  <c r="K273" i="1"/>
  <c r="J273" i="1"/>
  <c r="I273" i="1"/>
  <c r="K272" i="1"/>
  <c r="J272" i="1"/>
  <c r="I272" i="1"/>
  <c r="K271" i="1"/>
  <c r="J271" i="1"/>
  <c r="I271" i="1"/>
  <c r="K270" i="1"/>
  <c r="J270" i="1"/>
  <c r="I270" i="1"/>
  <c r="K269" i="1"/>
  <c r="J269" i="1"/>
  <c r="I269" i="1"/>
  <c r="K268" i="1"/>
  <c r="J268" i="1"/>
  <c r="I268" i="1"/>
  <c r="K267" i="1"/>
  <c r="J267" i="1"/>
  <c r="I267" i="1"/>
  <c r="K266" i="1"/>
  <c r="J266" i="1"/>
  <c r="I266" i="1"/>
  <c r="K265" i="1"/>
  <c r="J265" i="1"/>
  <c r="I265" i="1"/>
  <c r="K264" i="1"/>
  <c r="J264" i="1"/>
  <c r="I264" i="1"/>
  <c r="K263" i="1"/>
  <c r="J263" i="1"/>
  <c r="I263" i="1"/>
  <c r="K262" i="1"/>
  <c r="J262" i="1"/>
  <c r="I262" i="1"/>
  <c r="K261" i="1"/>
  <c r="J261" i="1"/>
  <c r="I261" i="1"/>
  <c r="K260" i="1"/>
  <c r="J260" i="1"/>
  <c r="I260" i="1"/>
  <c r="K259" i="1"/>
  <c r="J259" i="1"/>
  <c r="I259" i="1"/>
  <c r="K258" i="1"/>
  <c r="J258" i="1"/>
  <c r="I258" i="1"/>
  <c r="K257" i="1"/>
  <c r="J257" i="1"/>
  <c r="I257" i="1"/>
  <c r="K256" i="1"/>
  <c r="J256" i="1"/>
  <c r="I256" i="1"/>
  <c r="K255" i="1"/>
  <c r="J255" i="1"/>
  <c r="I255" i="1"/>
  <c r="K254" i="1"/>
  <c r="J254" i="1"/>
  <c r="I254" i="1"/>
  <c r="K253" i="1"/>
  <c r="J253" i="1"/>
  <c r="I253" i="1"/>
  <c r="K252" i="1"/>
  <c r="J252" i="1"/>
  <c r="I252" i="1"/>
  <c r="K251" i="1"/>
  <c r="J251" i="1"/>
  <c r="I251" i="1"/>
  <c r="K250" i="1"/>
  <c r="J250" i="1"/>
  <c r="I250" i="1"/>
  <c r="K249" i="1"/>
  <c r="J249" i="1"/>
  <c r="I249" i="1"/>
  <c r="K248" i="1"/>
  <c r="J248" i="1"/>
  <c r="I248" i="1"/>
  <c r="K247" i="1"/>
  <c r="J247" i="1"/>
  <c r="I247" i="1"/>
  <c r="K246" i="1"/>
  <c r="J246" i="1"/>
  <c r="I246" i="1"/>
  <c r="K245" i="1"/>
  <c r="J245" i="1"/>
  <c r="I245" i="1"/>
  <c r="K244" i="1"/>
  <c r="J244" i="1"/>
  <c r="I244" i="1"/>
  <c r="K243" i="1"/>
  <c r="J243" i="1"/>
  <c r="I243" i="1"/>
  <c r="K242" i="1"/>
  <c r="J242" i="1"/>
  <c r="I242" i="1"/>
  <c r="K241" i="1"/>
  <c r="J241" i="1"/>
  <c r="I241" i="1"/>
  <c r="K240" i="1"/>
  <c r="J240" i="1"/>
  <c r="I240" i="1"/>
  <c r="K239" i="1"/>
  <c r="J239" i="1"/>
  <c r="I239" i="1"/>
  <c r="K238" i="1"/>
  <c r="J238" i="1"/>
  <c r="I238" i="1"/>
  <c r="K237" i="1"/>
  <c r="J237" i="1"/>
  <c r="I237" i="1"/>
  <c r="K236" i="1"/>
  <c r="J236" i="1"/>
  <c r="I236" i="1"/>
  <c r="K235" i="1"/>
  <c r="J235" i="1"/>
  <c r="I235" i="1"/>
  <c r="K234" i="1"/>
  <c r="J234" i="1"/>
  <c r="I234" i="1"/>
  <c r="K233" i="1"/>
  <c r="J233" i="1"/>
  <c r="I233" i="1"/>
  <c r="K232" i="1"/>
  <c r="J232" i="1"/>
  <c r="I232" i="1"/>
  <c r="K231" i="1"/>
  <c r="J231" i="1"/>
  <c r="I231" i="1"/>
  <c r="K230" i="1"/>
  <c r="J230" i="1"/>
  <c r="I230" i="1"/>
  <c r="K229" i="1"/>
  <c r="J229" i="1"/>
  <c r="I229" i="1"/>
  <c r="K228" i="1"/>
  <c r="J228" i="1"/>
  <c r="I228" i="1"/>
  <c r="K227" i="1"/>
  <c r="J227" i="1"/>
  <c r="I227" i="1"/>
  <c r="K226" i="1"/>
  <c r="J226" i="1"/>
  <c r="I226" i="1"/>
  <c r="K225" i="1"/>
  <c r="J225" i="1"/>
  <c r="I225" i="1"/>
  <c r="K224" i="1"/>
  <c r="J224" i="1"/>
  <c r="I224" i="1"/>
  <c r="K223" i="1"/>
  <c r="J223" i="1"/>
  <c r="I223" i="1"/>
  <c r="K222" i="1"/>
  <c r="J222" i="1"/>
  <c r="I222" i="1"/>
  <c r="K221" i="1"/>
  <c r="J221" i="1"/>
  <c r="I221" i="1"/>
  <c r="K220" i="1"/>
  <c r="J220" i="1"/>
  <c r="I220" i="1"/>
  <c r="K219" i="1"/>
  <c r="J219" i="1"/>
  <c r="I219" i="1"/>
  <c r="K218" i="1"/>
  <c r="J218" i="1"/>
  <c r="I218" i="1"/>
  <c r="K217" i="1"/>
  <c r="J217" i="1"/>
  <c r="I217" i="1"/>
  <c r="K216" i="1"/>
  <c r="J216" i="1"/>
  <c r="I216" i="1"/>
  <c r="K215" i="1"/>
  <c r="J215" i="1"/>
  <c r="I215" i="1"/>
  <c r="K214" i="1"/>
  <c r="J214" i="1"/>
  <c r="I214" i="1"/>
  <c r="K213" i="1"/>
  <c r="J213" i="1"/>
  <c r="I213" i="1"/>
  <c r="K212" i="1"/>
  <c r="J212" i="1"/>
  <c r="I212" i="1"/>
  <c r="K211" i="1"/>
  <c r="J211" i="1"/>
  <c r="I211" i="1"/>
  <c r="K210" i="1"/>
  <c r="J210" i="1"/>
  <c r="I210" i="1"/>
  <c r="K209" i="1"/>
  <c r="J209" i="1"/>
  <c r="I209" i="1"/>
  <c r="K208" i="1"/>
  <c r="J208" i="1"/>
  <c r="I208" i="1"/>
  <c r="K207" i="1"/>
  <c r="J207" i="1"/>
  <c r="I207" i="1"/>
  <c r="K206" i="1"/>
  <c r="J206" i="1"/>
  <c r="I206" i="1"/>
  <c r="K205" i="1"/>
  <c r="J205" i="1"/>
  <c r="I205" i="1"/>
  <c r="K204" i="1"/>
  <c r="J204" i="1"/>
  <c r="I204" i="1"/>
  <c r="K203" i="1"/>
  <c r="J203" i="1"/>
  <c r="I203" i="1"/>
  <c r="K202" i="1"/>
  <c r="J202" i="1"/>
  <c r="I202" i="1"/>
  <c r="K201" i="1"/>
  <c r="J201" i="1"/>
  <c r="I201" i="1"/>
  <c r="K200" i="1"/>
  <c r="J200" i="1"/>
  <c r="I200" i="1"/>
  <c r="K199" i="1"/>
  <c r="J199" i="1"/>
  <c r="I199" i="1"/>
  <c r="K198" i="1"/>
  <c r="J198" i="1"/>
  <c r="I198" i="1"/>
  <c r="K197" i="1"/>
  <c r="J197" i="1"/>
  <c r="I197" i="1"/>
  <c r="K196" i="1"/>
  <c r="J196" i="1"/>
  <c r="I196" i="1"/>
  <c r="K195" i="1"/>
  <c r="J195" i="1"/>
  <c r="I195" i="1"/>
  <c r="K194" i="1"/>
  <c r="J194" i="1"/>
  <c r="I194" i="1"/>
  <c r="K193" i="1"/>
  <c r="J193" i="1"/>
  <c r="I193" i="1"/>
  <c r="K192" i="1"/>
  <c r="J192" i="1"/>
  <c r="I192" i="1"/>
  <c r="K191" i="1"/>
  <c r="J191" i="1"/>
  <c r="I191" i="1"/>
  <c r="K190" i="1"/>
  <c r="J190" i="1"/>
  <c r="I190" i="1"/>
  <c r="K189" i="1"/>
  <c r="J189" i="1"/>
  <c r="I189" i="1"/>
  <c r="K188" i="1"/>
  <c r="J188" i="1"/>
  <c r="I188" i="1"/>
  <c r="K187" i="1"/>
  <c r="J187" i="1"/>
  <c r="I187" i="1"/>
  <c r="K186" i="1"/>
  <c r="J186" i="1"/>
  <c r="I186" i="1"/>
  <c r="K185" i="1"/>
  <c r="J185" i="1"/>
  <c r="I185" i="1"/>
  <c r="K184" i="1"/>
  <c r="J184" i="1"/>
  <c r="I184" i="1"/>
  <c r="K183" i="1"/>
  <c r="J183" i="1"/>
  <c r="I183" i="1"/>
  <c r="K182" i="1"/>
  <c r="J182" i="1"/>
  <c r="I182" i="1"/>
  <c r="K181" i="1"/>
  <c r="J181" i="1"/>
  <c r="I181" i="1"/>
  <c r="K180" i="1"/>
  <c r="J180" i="1"/>
  <c r="I180" i="1"/>
  <c r="K179" i="1"/>
  <c r="J179" i="1"/>
  <c r="I179" i="1"/>
  <c r="K178" i="1"/>
  <c r="J178" i="1"/>
  <c r="I178" i="1"/>
  <c r="K177" i="1"/>
  <c r="J177" i="1"/>
  <c r="I177" i="1"/>
  <c r="K176" i="1"/>
  <c r="J176" i="1"/>
  <c r="I176" i="1"/>
  <c r="K175" i="1"/>
  <c r="J175" i="1"/>
  <c r="I175" i="1"/>
  <c r="K174" i="1"/>
  <c r="J174" i="1"/>
  <c r="I174" i="1"/>
  <c r="K173" i="1"/>
  <c r="J173" i="1"/>
  <c r="I173" i="1"/>
  <c r="K172" i="1"/>
  <c r="J172" i="1"/>
  <c r="I172" i="1"/>
  <c r="K171" i="1"/>
  <c r="J171" i="1"/>
  <c r="I171" i="1"/>
  <c r="K170" i="1"/>
  <c r="J170" i="1"/>
  <c r="I170" i="1"/>
  <c r="K169" i="1"/>
  <c r="J169" i="1"/>
  <c r="I169" i="1"/>
  <c r="K168" i="1"/>
  <c r="J168" i="1"/>
  <c r="I168" i="1"/>
  <c r="K167" i="1"/>
  <c r="J167" i="1"/>
  <c r="I167" i="1"/>
  <c r="K166" i="1"/>
  <c r="J166" i="1"/>
  <c r="I166" i="1"/>
  <c r="K165" i="1"/>
  <c r="J165" i="1"/>
  <c r="I165" i="1"/>
  <c r="K164" i="1"/>
  <c r="J164" i="1"/>
  <c r="I164" i="1"/>
  <c r="K163" i="1"/>
  <c r="J163" i="1"/>
  <c r="I163" i="1"/>
  <c r="K162" i="1"/>
  <c r="J162" i="1"/>
  <c r="I162" i="1"/>
  <c r="K161" i="1"/>
  <c r="J161" i="1"/>
  <c r="I161" i="1"/>
  <c r="K160" i="1"/>
  <c r="J160" i="1"/>
  <c r="I160" i="1"/>
  <c r="K159" i="1"/>
  <c r="J159" i="1"/>
  <c r="I159" i="1"/>
  <c r="K158" i="1"/>
  <c r="J158" i="1"/>
  <c r="I158" i="1"/>
  <c r="K157" i="1"/>
  <c r="J157" i="1"/>
  <c r="I157" i="1"/>
  <c r="K156" i="1"/>
  <c r="J156" i="1"/>
  <c r="I156" i="1"/>
  <c r="K155" i="1"/>
  <c r="J155" i="1"/>
  <c r="I155" i="1"/>
  <c r="K154" i="1"/>
  <c r="J154" i="1"/>
  <c r="I154" i="1"/>
  <c r="K153" i="1"/>
  <c r="J153" i="1"/>
  <c r="I153" i="1"/>
  <c r="K152" i="1"/>
  <c r="J152" i="1"/>
  <c r="I152" i="1"/>
  <c r="K151" i="1"/>
  <c r="J151" i="1"/>
  <c r="I151" i="1"/>
  <c r="K150" i="1"/>
  <c r="J150" i="1"/>
  <c r="I150" i="1"/>
  <c r="K149" i="1"/>
  <c r="J149" i="1"/>
  <c r="I149" i="1"/>
  <c r="K148" i="1"/>
  <c r="J148" i="1"/>
  <c r="I148" i="1"/>
  <c r="K147" i="1"/>
  <c r="J147" i="1"/>
  <c r="I147" i="1"/>
  <c r="K146" i="1"/>
  <c r="J146" i="1"/>
  <c r="I146" i="1"/>
  <c r="K145" i="1"/>
  <c r="J145" i="1"/>
  <c r="I145" i="1"/>
  <c r="K144" i="1"/>
  <c r="J144" i="1"/>
  <c r="I144" i="1"/>
  <c r="K143" i="1"/>
  <c r="J143" i="1"/>
  <c r="I143" i="1"/>
  <c r="K142" i="1"/>
  <c r="J142" i="1"/>
  <c r="I142" i="1"/>
  <c r="K141" i="1"/>
  <c r="J141" i="1"/>
  <c r="I141" i="1"/>
  <c r="K140" i="1"/>
  <c r="J140" i="1"/>
  <c r="I140" i="1"/>
  <c r="K139" i="1"/>
  <c r="J139" i="1"/>
  <c r="I139" i="1"/>
  <c r="K138" i="1"/>
  <c r="J138" i="1"/>
  <c r="I138" i="1"/>
  <c r="K137" i="1"/>
  <c r="J137" i="1"/>
  <c r="I137" i="1"/>
  <c r="K136" i="1"/>
  <c r="J136" i="1"/>
  <c r="I136" i="1"/>
  <c r="K135" i="1"/>
  <c r="J135" i="1"/>
  <c r="I135" i="1"/>
  <c r="K134" i="1"/>
  <c r="J134" i="1"/>
  <c r="I134" i="1"/>
  <c r="K133" i="1"/>
  <c r="J133" i="1"/>
  <c r="I133" i="1"/>
  <c r="K132" i="1"/>
  <c r="J132" i="1"/>
  <c r="I132" i="1"/>
  <c r="K131" i="1"/>
  <c r="J131" i="1"/>
  <c r="I131" i="1"/>
  <c r="K130" i="1"/>
  <c r="J130" i="1"/>
  <c r="I130" i="1"/>
  <c r="K129" i="1"/>
  <c r="J129" i="1"/>
  <c r="I129" i="1"/>
  <c r="K128" i="1"/>
  <c r="J128" i="1"/>
  <c r="I128" i="1"/>
  <c r="K127" i="1"/>
  <c r="J127" i="1"/>
  <c r="I127" i="1"/>
  <c r="K126" i="1"/>
  <c r="J126" i="1"/>
  <c r="I126" i="1"/>
  <c r="K125" i="1"/>
  <c r="J125" i="1"/>
  <c r="I125" i="1"/>
  <c r="K124" i="1"/>
  <c r="J124" i="1"/>
  <c r="I124" i="1"/>
  <c r="K123" i="1"/>
  <c r="J123" i="1"/>
  <c r="I123" i="1"/>
  <c r="K122" i="1"/>
  <c r="J122" i="1"/>
  <c r="I122" i="1"/>
  <c r="K121" i="1"/>
  <c r="J121" i="1"/>
  <c r="I121" i="1"/>
  <c r="K120" i="1"/>
  <c r="J120" i="1"/>
  <c r="I120" i="1"/>
  <c r="K119" i="1"/>
  <c r="J119" i="1"/>
  <c r="I119" i="1"/>
  <c r="K118" i="1"/>
  <c r="J118" i="1"/>
  <c r="I118" i="1"/>
  <c r="K117" i="1"/>
  <c r="J117" i="1"/>
  <c r="I117" i="1"/>
  <c r="K116" i="1"/>
  <c r="J116" i="1"/>
  <c r="I116" i="1"/>
  <c r="K115" i="1"/>
  <c r="J115" i="1"/>
  <c r="I115" i="1"/>
  <c r="K114" i="1"/>
  <c r="J114" i="1"/>
  <c r="I114" i="1"/>
  <c r="K113" i="1"/>
  <c r="J113" i="1"/>
  <c r="I113" i="1"/>
  <c r="K112" i="1"/>
  <c r="J112" i="1"/>
  <c r="I112" i="1"/>
  <c r="K111" i="1"/>
  <c r="J111" i="1"/>
  <c r="I111" i="1"/>
  <c r="K110" i="1"/>
  <c r="J110" i="1"/>
  <c r="I110" i="1"/>
  <c r="K109" i="1"/>
  <c r="J109" i="1"/>
  <c r="I109" i="1"/>
  <c r="K108" i="1"/>
  <c r="J108" i="1"/>
  <c r="I108" i="1"/>
  <c r="K107" i="1"/>
  <c r="J107" i="1"/>
  <c r="I107" i="1"/>
  <c r="K106" i="1"/>
  <c r="J106" i="1"/>
  <c r="I106" i="1"/>
  <c r="K105" i="1"/>
  <c r="J105" i="1"/>
  <c r="I105" i="1"/>
  <c r="K104" i="1"/>
  <c r="J104" i="1"/>
  <c r="I104" i="1"/>
  <c r="K103" i="1"/>
  <c r="J103" i="1"/>
  <c r="I103" i="1"/>
  <c r="K102" i="1"/>
  <c r="J102" i="1"/>
  <c r="I102" i="1"/>
  <c r="K101" i="1"/>
  <c r="J101" i="1"/>
  <c r="I101" i="1"/>
  <c r="K100" i="1"/>
  <c r="J100" i="1"/>
  <c r="I100" i="1"/>
  <c r="K99" i="1"/>
  <c r="J99" i="1"/>
  <c r="I99" i="1"/>
  <c r="K98" i="1"/>
  <c r="J98" i="1"/>
  <c r="I98" i="1"/>
  <c r="K97" i="1"/>
  <c r="J97" i="1"/>
  <c r="I97" i="1"/>
  <c r="K96" i="1"/>
  <c r="J96" i="1"/>
  <c r="I96" i="1"/>
  <c r="K95" i="1"/>
  <c r="J95" i="1"/>
  <c r="I95" i="1"/>
  <c r="K94" i="1"/>
  <c r="J94" i="1"/>
  <c r="I94" i="1"/>
  <c r="K93" i="1"/>
  <c r="J93" i="1"/>
  <c r="I93" i="1"/>
  <c r="K92" i="1"/>
  <c r="J92" i="1"/>
  <c r="I92" i="1"/>
  <c r="K91" i="1"/>
  <c r="J91" i="1"/>
  <c r="I91" i="1"/>
  <c r="K90" i="1"/>
  <c r="J90" i="1"/>
  <c r="I90" i="1"/>
  <c r="K89" i="1"/>
  <c r="J89" i="1"/>
  <c r="I89" i="1"/>
  <c r="K88" i="1"/>
  <c r="J88" i="1"/>
  <c r="I88" i="1"/>
  <c r="K87" i="1"/>
  <c r="J87" i="1"/>
  <c r="I87" i="1"/>
  <c r="K86" i="1"/>
  <c r="J86" i="1"/>
  <c r="I86" i="1"/>
  <c r="K85" i="1"/>
  <c r="J85" i="1"/>
  <c r="I85" i="1"/>
  <c r="K84" i="1"/>
  <c r="J84" i="1"/>
  <c r="I84" i="1"/>
  <c r="K83" i="1"/>
  <c r="J83" i="1"/>
  <c r="I83" i="1"/>
  <c r="K82" i="1"/>
  <c r="J82" i="1"/>
  <c r="I82" i="1"/>
  <c r="K81" i="1"/>
  <c r="J81" i="1"/>
  <c r="I81" i="1"/>
  <c r="K80" i="1"/>
  <c r="J80" i="1"/>
  <c r="I80" i="1"/>
  <c r="K79" i="1"/>
  <c r="J79" i="1"/>
  <c r="I79" i="1"/>
  <c r="K78" i="1"/>
  <c r="J78" i="1"/>
  <c r="I78" i="1"/>
  <c r="K77" i="1"/>
  <c r="J77" i="1"/>
  <c r="I77" i="1"/>
  <c r="K76" i="1"/>
  <c r="J76" i="1"/>
  <c r="I76" i="1"/>
  <c r="K75" i="1"/>
  <c r="J75" i="1"/>
  <c r="I75" i="1"/>
  <c r="K74" i="1"/>
  <c r="J74" i="1"/>
  <c r="I74" i="1"/>
  <c r="K73" i="1"/>
  <c r="J73" i="1"/>
  <c r="I73" i="1"/>
  <c r="K72" i="1"/>
  <c r="J72" i="1"/>
  <c r="I72" i="1"/>
  <c r="K71" i="1"/>
  <c r="J71" i="1"/>
  <c r="I71" i="1"/>
  <c r="K70" i="1"/>
  <c r="J70" i="1"/>
  <c r="I70" i="1"/>
  <c r="K69" i="1"/>
  <c r="J69" i="1"/>
  <c r="I69" i="1"/>
  <c r="K68" i="1"/>
  <c r="J68" i="1"/>
  <c r="I68" i="1"/>
  <c r="K67" i="1"/>
  <c r="J67" i="1"/>
  <c r="I67" i="1"/>
  <c r="K66" i="1"/>
  <c r="J66" i="1"/>
  <c r="I66" i="1"/>
  <c r="K65" i="1"/>
  <c r="J65" i="1"/>
  <c r="I65" i="1"/>
  <c r="K64" i="1"/>
  <c r="J64" i="1"/>
  <c r="I64" i="1"/>
  <c r="K63" i="1"/>
  <c r="J63" i="1"/>
  <c r="I63" i="1"/>
  <c r="K62" i="1"/>
  <c r="J62" i="1"/>
  <c r="I62" i="1"/>
  <c r="K61" i="1"/>
  <c r="J61" i="1"/>
  <c r="I61" i="1"/>
  <c r="K60" i="1"/>
  <c r="J60" i="1"/>
  <c r="I60" i="1"/>
  <c r="K59" i="1"/>
  <c r="J59" i="1"/>
  <c r="I59" i="1"/>
  <c r="K58" i="1"/>
  <c r="J58" i="1"/>
  <c r="I58" i="1"/>
  <c r="K57" i="1"/>
  <c r="J57" i="1"/>
  <c r="I57" i="1"/>
  <c r="K56" i="1"/>
  <c r="J56" i="1"/>
  <c r="I56" i="1"/>
  <c r="K55" i="1"/>
  <c r="J55" i="1"/>
  <c r="I55" i="1"/>
  <c r="K54" i="1"/>
  <c r="J54" i="1"/>
  <c r="I54" i="1"/>
  <c r="K53" i="1"/>
  <c r="J53" i="1"/>
  <c r="I53" i="1"/>
  <c r="K52" i="1"/>
  <c r="J52" i="1"/>
  <c r="I52" i="1"/>
  <c r="K51" i="1"/>
  <c r="J51" i="1"/>
  <c r="I51" i="1"/>
  <c r="K50" i="1"/>
  <c r="J50" i="1"/>
  <c r="I50" i="1"/>
  <c r="K49" i="1"/>
  <c r="J49" i="1"/>
  <c r="I49" i="1"/>
  <c r="K48" i="1"/>
  <c r="J48" i="1"/>
  <c r="I48" i="1"/>
  <c r="K47" i="1"/>
  <c r="J47" i="1"/>
  <c r="I47" i="1"/>
  <c r="K46" i="1"/>
  <c r="J46" i="1"/>
  <c r="I46" i="1"/>
  <c r="K45" i="1"/>
  <c r="J45" i="1"/>
  <c r="I45" i="1"/>
  <c r="K44" i="1"/>
  <c r="J44" i="1"/>
  <c r="I44" i="1"/>
  <c r="K43" i="1"/>
  <c r="J43" i="1"/>
  <c r="I43" i="1"/>
  <c r="K42" i="1"/>
  <c r="J42" i="1"/>
  <c r="I42" i="1"/>
  <c r="K41" i="1"/>
  <c r="J41" i="1"/>
  <c r="I41" i="1"/>
  <c r="K40" i="1"/>
  <c r="J40" i="1"/>
  <c r="I40" i="1"/>
  <c r="K39" i="1"/>
  <c r="J39" i="1"/>
  <c r="I39" i="1"/>
  <c r="K38" i="1"/>
  <c r="J38" i="1"/>
  <c r="I38" i="1"/>
  <c r="K37" i="1"/>
  <c r="J37" i="1"/>
  <c r="I37" i="1"/>
  <c r="K36" i="1"/>
  <c r="J36" i="1"/>
  <c r="I36" i="1"/>
  <c r="K35" i="1"/>
  <c r="J35" i="1"/>
  <c r="I35" i="1"/>
  <c r="K34" i="1"/>
  <c r="J34" i="1"/>
  <c r="I34" i="1"/>
  <c r="K33" i="1"/>
  <c r="J33" i="1"/>
  <c r="I33" i="1"/>
  <c r="K32" i="1"/>
  <c r="J32" i="1"/>
  <c r="I32" i="1"/>
  <c r="K31" i="1"/>
  <c r="J31" i="1"/>
  <c r="I31" i="1"/>
  <c r="K30" i="1"/>
  <c r="J30" i="1"/>
  <c r="I30" i="1"/>
  <c r="K29" i="1"/>
  <c r="J29" i="1"/>
  <c r="I29" i="1"/>
  <c r="K28" i="1"/>
  <c r="J28" i="1"/>
  <c r="I28" i="1"/>
  <c r="K27" i="1"/>
  <c r="J27" i="1"/>
  <c r="I27" i="1"/>
  <c r="K26" i="1"/>
  <c r="J26" i="1"/>
  <c r="I26" i="1"/>
  <c r="K25" i="1"/>
  <c r="J25" i="1"/>
  <c r="I25" i="1"/>
  <c r="K24" i="1"/>
  <c r="J24" i="1"/>
  <c r="I24" i="1"/>
  <c r="K23" i="1"/>
  <c r="J23" i="1"/>
  <c r="I23" i="1"/>
  <c r="K22" i="1"/>
  <c r="J22" i="1"/>
  <c r="I22" i="1"/>
  <c r="K21" i="1"/>
  <c r="J21" i="1"/>
  <c r="I21" i="1"/>
  <c r="K20" i="1"/>
  <c r="J20" i="1"/>
  <c r="I20" i="1"/>
  <c r="K19" i="1"/>
  <c r="J19" i="1"/>
  <c r="I19" i="1"/>
  <c r="K18" i="1"/>
  <c r="J18" i="1"/>
  <c r="I18" i="1"/>
  <c r="K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  <c r="K4" i="1"/>
  <c r="J4" i="1"/>
  <c r="I4" i="1"/>
  <c r="K3" i="1"/>
  <c r="J3" i="1"/>
  <c r="I3" i="1"/>
  <c r="K2" i="1"/>
  <c r="J2" i="1"/>
  <c r="I2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D182" i="11"/>
  <c r="C182" i="11"/>
  <c r="D181" i="11"/>
  <c r="C181" i="11"/>
  <c r="D180" i="11"/>
  <c r="C180" i="11"/>
  <c r="D179" i="11"/>
  <c r="C179" i="11"/>
  <c r="D178" i="11"/>
  <c r="C178" i="11"/>
  <c r="D177" i="11"/>
  <c r="C177" i="11"/>
  <c r="D176" i="11"/>
  <c r="C176" i="11"/>
  <c r="D175" i="11"/>
  <c r="C175" i="11"/>
  <c r="D174" i="11"/>
  <c r="C174" i="11"/>
  <c r="D173" i="11"/>
  <c r="C173" i="11"/>
  <c r="D172" i="11"/>
  <c r="C172" i="11"/>
  <c r="D171" i="11"/>
  <c r="C171" i="11"/>
  <c r="D170" i="11"/>
  <c r="C170" i="11"/>
  <c r="D169" i="11"/>
  <c r="C169" i="11"/>
  <c r="D168" i="11"/>
  <c r="C168" i="11"/>
  <c r="D167" i="11"/>
  <c r="C167" i="11"/>
  <c r="D166" i="11"/>
  <c r="C166" i="11"/>
  <c r="D165" i="11"/>
  <c r="C165" i="11"/>
  <c r="D164" i="11"/>
  <c r="C164" i="11"/>
  <c r="D163" i="11"/>
  <c r="C163" i="11"/>
  <c r="D162" i="11"/>
  <c r="C162" i="11"/>
  <c r="D161" i="11"/>
  <c r="C161" i="11"/>
  <c r="D160" i="11"/>
  <c r="C160" i="11"/>
  <c r="D159" i="11"/>
  <c r="C159" i="11"/>
  <c r="D158" i="11"/>
  <c r="C158" i="11"/>
  <c r="D157" i="11"/>
  <c r="C157" i="11"/>
  <c r="D156" i="11"/>
  <c r="C156" i="11"/>
  <c r="D155" i="11"/>
  <c r="C155" i="11"/>
  <c r="D154" i="11"/>
  <c r="C154" i="11"/>
  <c r="D153" i="11"/>
  <c r="C153" i="11"/>
  <c r="D152" i="11"/>
  <c r="C152" i="11"/>
  <c r="D151" i="11"/>
  <c r="C151" i="11"/>
  <c r="D150" i="11"/>
  <c r="C150" i="11"/>
  <c r="D149" i="11"/>
  <c r="C149" i="11"/>
  <c r="D148" i="11"/>
  <c r="C148" i="11"/>
  <c r="D147" i="11"/>
  <c r="C147" i="11"/>
  <c r="D146" i="11"/>
  <c r="C146" i="11"/>
  <c r="D145" i="11"/>
  <c r="C145" i="11"/>
  <c r="D144" i="11"/>
  <c r="C144" i="11"/>
  <c r="D143" i="11"/>
  <c r="C143" i="11"/>
  <c r="D142" i="11"/>
  <c r="C142" i="11"/>
  <c r="D141" i="11"/>
  <c r="C141" i="11"/>
  <c r="D140" i="11"/>
  <c r="C140" i="11"/>
  <c r="D139" i="11"/>
  <c r="C139" i="11"/>
  <c r="D138" i="11"/>
  <c r="C138" i="11"/>
  <c r="D137" i="11"/>
  <c r="C137" i="11"/>
  <c r="D136" i="11"/>
  <c r="C136" i="11"/>
  <c r="D135" i="11"/>
  <c r="C135" i="11"/>
  <c r="D134" i="11"/>
  <c r="C134" i="11"/>
  <c r="D133" i="11"/>
  <c r="C133" i="11"/>
  <c r="D132" i="11"/>
  <c r="C132" i="11"/>
  <c r="D131" i="11"/>
  <c r="C131" i="11"/>
  <c r="D130" i="11"/>
  <c r="C130" i="11"/>
  <c r="D129" i="11"/>
  <c r="C129" i="11"/>
  <c r="D128" i="11"/>
  <c r="C128" i="11"/>
  <c r="D127" i="11"/>
  <c r="C127" i="11"/>
  <c r="D126" i="11"/>
  <c r="C126" i="11"/>
  <c r="D125" i="11"/>
  <c r="C125" i="11"/>
  <c r="D124" i="11"/>
  <c r="C124" i="11"/>
  <c r="D123" i="11"/>
  <c r="C123" i="11"/>
  <c r="D122" i="11"/>
  <c r="C122" i="11"/>
  <c r="D121" i="11"/>
  <c r="C121" i="11"/>
  <c r="D120" i="11"/>
  <c r="C120" i="11"/>
  <c r="D119" i="11"/>
  <c r="C119" i="11"/>
  <c r="D118" i="11"/>
  <c r="C118" i="11"/>
  <c r="D117" i="11"/>
  <c r="C117" i="11"/>
  <c r="D116" i="11"/>
  <c r="C116" i="11"/>
  <c r="D115" i="11"/>
  <c r="C115" i="11"/>
  <c r="D114" i="11"/>
  <c r="C114" i="11"/>
  <c r="D113" i="11"/>
  <c r="C113" i="11"/>
  <c r="D112" i="11"/>
  <c r="C112" i="11"/>
  <c r="D111" i="11"/>
  <c r="C111" i="11"/>
  <c r="D110" i="11"/>
  <c r="C110" i="11"/>
  <c r="D109" i="11"/>
  <c r="C109" i="11"/>
  <c r="D108" i="11"/>
  <c r="C108" i="11"/>
  <c r="D107" i="11"/>
  <c r="C107" i="11"/>
  <c r="D106" i="11"/>
  <c r="C106" i="11"/>
  <c r="D105" i="11"/>
  <c r="C105" i="11"/>
  <c r="D104" i="11"/>
  <c r="C104" i="11"/>
  <c r="D103" i="11"/>
  <c r="C103" i="11"/>
  <c r="D102" i="11"/>
  <c r="C102" i="11"/>
  <c r="D101" i="11"/>
  <c r="C101" i="11"/>
  <c r="D100" i="11"/>
  <c r="C100" i="11"/>
  <c r="D99" i="11"/>
  <c r="C99" i="11"/>
  <c r="D98" i="11"/>
  <c r="C98" i="11"/>
  <c r="D97" i="11"/>
  <c r="C97" i="11"/>
  <c r="D96" i="11"/>
  <c r="C96" i="11"/>
  <c r="D95" i="11"/>
  <c r="C95" i="11"/>
  <c r="D94" i="11"/>
  <c r="C94" i="11"/>
  <c r="D93" i="11"/>
  <c r="C93" i="11"/>
  <c r="D92" i="11"/>
  <c r="C92" i="11"/>
  <c r="D91" i="11"/>
  <c r="C91" i="11"/>
  <c r="D90" i="11"/>
  <c r="C90" i="11"/>
  <c r="D89" i="11"/>
  <c r="C89" i="11"/>
  <c r="D88" i="11"/>
  <c r="C88" i="11"/>
  <c r="D87" i="11"/>
  <c r="C87" i="11"/>
  <c r="D86" i="11"/>
  <c r="C86" i="11"/>
  <c r="D85" i="11"/>
  <c r="C85" i="11"/>
  <c r="D84" i="11"/>
  <c r="C84" i="11"/>
  <c r="D83" i="11"/>
  <c r="C83" i="11"/>
  <c r="D82" i="11"/>
  <c r="C82" i="11"/>
  <c r="D81" i="11"/>
  <c r="C81" i="11"/>
  <c r="D80" i="11"/>
  <c r="C80" i="11"/>
  <c r="D79" i="11"/>
  <c r="C79" i="11"/>
  <c r="D78" i="11"/>
  <c r="C78" i="11"/>
  <c r="D77" i="11"/>
  <c r="C77" i="11"/>
  <c r="D76" i="11"/>
  <c r="C76" i="11"/>
  <c r="D75" i="11"/>
  <c r="C75" i="11"/>
  <c r="D74" i="11"/>
  <c r="C74" i="11"/>
  <c r="D73" i="11"/>
  <c r="C73" i="11"/>
  <c r="D72" i="11"/>
  <c r="C72" i="11"/>
  <c r="D71" i="11"/>
  <c r="C71" i="11"/>
  <c r="D70" i="11"/>
  <c r="C70" i="11"/>
  <c r="D69" i="11"/>
  <c r="C69" i="11"/>
  <c r="D68" i="11"/>
  <c r="C68" i="11"/>
  <c r="D67" i="11"/>
  <c r="C67" i="11"/>
  <c r="D66" i="11"/>
  <c r="C66" i="11"/>
  <c r="D65" i="11"/>
  <c r="C65" i="11"/>
  <c r="D64" i="11"/>
  <c r="C64" i="11"/>
  <c r="D63" i="11"/>
  <c r="C63" i="11"/>
  <c r="D62" i="11"/>
  <c r="C62" i="11"/>
  <c r="D61" i="11"/>
  <c r="C61" i="11"/>
  <c r="D60" i="11"/>
  <c r="C60" i="11"/>
  <c r="D59" i="11"/>
  <c r="C59" i="11"/>
  <c r="D58" i="11"/>
  <c r="C58" i="11"/>
  <c r="D57" i="11"/>
  <c r="C57" i="11"/>
  <c r="D56" i="11"/>
  <c r="C56" i="11"/>
  <c r="D55" i="11"/>
  <c r="C55" i="11"/>
  <c r="D54" i="11"/>
  <c r="C54" i="11"/>
  <c r="D53" i="11"/>
  <c r="C53" i="11"/>
  <c r="D52" i="11"/>
  <c r="C52" i="11"/>
  <c r="D51" i="11"/>
  <c r="C51" i="11"/>
  <c r="D50" i="11"/>
  <c r="C50" i="11"/>
  <c r="D49" i="11"/>
  <c r="C49" i="11"/>
  <c r="D48" i="11"/>
  <c r="C48" i="11"/>
  <c r="D47" i="11"/>
  <c r="C47" i="11"/>
  <c r="D46" i="11"/>
  <c r="C46" i="11"/>
  <c r="D45" i="11"/>
  <c r="C45" i="11"/>
  <c r="D44" i="11"/>
  <c r="C44" i="11"/>
  <c r="D43" i="11"/>
  <c r="C43" i="11"/>
  <c r="D42" i="11"/>
  <c r="C42" i="11"/>
  <c r="D41" i="11"/>
  <c r="C41" i="11"/>
  <c r="D40" i="11"/>
  <c r="C40" i="11"/>
  <c r="D39" i="11"/>
  <c r="C39" i="11"/>
  <c r="D38" i="11"/>
  <c r="C38" i="11"/>
  <c r="D37" i="11"/>
  <c r="C37" i="11"/>
  <c r="D36" i="11"/>
  <c r="C36" i="11"/>
  <c r="D35" i="11"/>
  <c r="C35" i="11"/>
  <c r="D34" i="11"/>
  <c r="C34" i="11"/>
  <c r="D33" i="11"/>
  <c r="C33" i="11"/>
  <c r="D32" i="11"/>
  <c r="C32" i="11"/>
  <c r="D31" i="11"/>
  <c r="C31" i="11"/>
  <c r="D30" i="11"/>
  <c r="C30" i="11"/>
  <c r="D29" i="11"/>
  <c r="C29" i="11"/>
  <c r="D28" i="11"/>
  <c r="C28" i="11"/>
  <c r="D27" i="11"/>
  <c r="C27" i="11"/>
  <c r="D26" i="11"/>
  <c r="C26" i="11"/>
  <c r="D25" i="11"/>
  <c r="C25" i="11"/>
  <c r="D24" i="11"/>
  <c r="C24" i="11"/>
  <c r="D23" i="11"/>
  <c r="C23" i="11"/>
  <c r="D22" i="11"/>
  <c r="C22" i="11"/>
  <c r="D21" i="11"/>
  <c r="C21" i="11"/>
  <c r="D20" i="11"/>
  <c r="C20" i="11"/>
  <c r="D19" i="11"/>
  <c r="C19" i="11"/>
  <c r="D18" i="11"/>
  <c r="C18" i="11"/>
  <c r="D17" i="11"/>
  <c r="C17" i="11"/>
  <c r="D16" i="11"/>
  <c r="C16" i="11"/>
  <c r="D15" i="11"/>
  <c r="C15" i="11"/>
  <c r="D14" i="11"/>
  <c r="C14" i="11"/>
  <c r="D13" i="11"/>
  <c r="C13" i="11"/>
  <c r="D12" i="11"/>
  <c r="C12" i="11"/>
  <c r="D11" i="11"/>
  <c r="C11" i="11"/>
  <c r="D10" i="11"/>
  <c r="C10" i="11"/>
  <c r="D9" i="11"/>
  <c r="C9" i="11"/>
  <c r="D8" i="11"/>
  <c r="C8" i="11"/>
  <c r="D7" i="11"/>
  <c r="C7" i="11"/>
  <c r="D6" i="11"/>
  <c r="C6" i="11"/>
  <c r="D5" i="11"/>
  <c r="C5" i="11"/>
  <c r="D4" i="11"/>
  <c r="C4" i="11"/>
  <c r="D3" i="11"/>
  <c r="C3" i="11"/>
  <c r="D2" i="11"/>
  <c r="C2" i="11"/>
  <c r="D182" i="6"/>
  <c r="C182" i="6"/>
  <c r="D181" i="6"/>
  <c r="C181" i="6"/>
  <c r="D180" i="6"/>
  <c r="C180" i="6"/>
  <c r="D179" i="6"/>
  <c r="C179" i="6"/>
  <c r="D178" i="6"/>
  <c r="C178" i="6"/>
  <c r="D177" i="6"/>
  <c r="C177" i="6"/>
  <c r="D176" i="6"/>
  <c r="C176" i="6"/>
  <c r="D175" i="6"/>
  <c r="C175" i="6"/>
  <c r="D174" i="6"/>
  <c r="C174" i="6"/>
  <c r="D173" i="6"/>
  <c r="C173" i="6"/>
  <c r="C172" i="6"/>
  <c r="D172" i="6"/>
  <c r="D171" i="6"/>
  <c r="C171" i="6"/>
  <c r="D170" i="6"/>
  <c r="C170" i="6"/>
  <c r="D169" i="6"/>
  <c r="C169" i="6"/>
  <c r="D168" i="6"/>
  <c r="C168" i="6"/>
  <c r="D167" i="6"/>
  <c r="C167" i="6"/>
  <c r="D166" i="6"/>
  <c r="C166" i="6"/>
  <c r="C165" i="6"/>
  <c r="D165" i="6"/>
  <c r="D164" i="6"/>
  <c r="C164" i="6"/>
  <c r="D163" i="6"/>
  <c r="C163" i="6"/>
  <c r="D162" i="6"/>
  <c r="C162" i="6"/>
  <c r="D161" i="6"/>
  <c r="C161" i="6"/>
  <c r="D160" i="6"/>
  <c r="C160" i="6"/>
  <c r="D159" i="6"/>
  <c r="C159" i="6"/>
  <c r="C158" i="6"/>
  <c r="D158" i="6"/>
  <c r="D157" i="6"/>
  <c r="C157" i="6"/>
  <c r="D156" i="6"/>
  <c r="C156" i="6"/>
  <c r="D155" i="6"/>
  <c r="C155" i="6"/>
  <c r="D154" i="6"/>
  <c r="C154" i="6"/>
  <c r="D153" i="6"/>
  <c r="C153" i="6"/>
  <c r="D152" i="6"/>
  <c r="C152" i="6"/>
  <c r="D151" i="6"/>
  <c r="C151" i="6"/>
  <c r="D150" i="6"/>
  <c r="C150" i="6"/>
  <c r="D149" i="6"/>
  <c r="C149" i="6"/>
  <c r="D148" i="6"/>
  <c r="C148" i="6"/>
  <c r="D147" i="6"/>
  <c r="C147" i="6"/>
  <c r="D146" i="6"/>
  <c r="C146" i="6"/>
  <c r="D145" i="6"/>
  <c r="C145" i="6"/>
  <c r="D144" i="6"/>
  <c r="C144" i="6"/>
  <c r="D143" i="6"/>
  <c r="C143" i="6"/>
  <c r="D142" i="6"/>
  <c r="C142" i="6"/>
  <c r="D141" i="6"/>
  <c r="C141" i="6"/>
  <c r="D140" i="6"/>
  <c r="C140" i="6"/>
  <c r="D139" i="6"/>
  <c r="C139" i="6"/>
  <c r="D138" i="6"/>
  <c r="C138" i="6"/>
  <c r="D137" i="6"/>
  <c r="C137" i="6"/>
  <c r="D136" i="6"/>
  <c r="C136" i="6"/>
  <c r="D135" i="6"/>
  <c r="C135" i="6"/>
  <c r="D134" i="6"/>
  <c r="C134" i="6"/>
  <c r="C133" i="6"/>
  <c r="D133" i="6"/>
  <c r="D132" i="6"/>
  <c r="C132" i="6"/>
  <c r="D131" i="6"/>
  <c r="C131" i="6"/>
  <c r="D130" i="6"/>
  <c r="C130" i="6"/>
  <c r="D129" i="6"/>
  <c r="C129" i="6"/>
  <c r="D128" i="6"/>
  <c r="C128" i="6"/>
  <c r="D127" i="6"/>
  <c r="C127" i="6"/>
  <c r="C126" i="6"/>
  <c r="D126" i="6"/>
  <c r="D119" i="6"/>
  <c r="C119" i="6"/>
  <c r="D118" i="6"/>
  <c r="C118" i="6"/>
  <c r="D117" i="6"/>
  <c r="C117" i="6"/>
  <c r="D116" i="6"/>
  <c r="C116" i="6"/>
  <c r="D115" i="6"/>
  <c r="C115" i="6"/>
  <c r="D114" i="6"/>
  <c r="C114" i="6"/>
  <c r="D113" i="6"/>
  <c r="C113" i="6"/>
  <c r="D112" i="6"/>
  <c r="C112" i="6"/>
  <c r="D111" i="6"/>
  <c r="C111" i="6"/>
  <c r="D110" i="6"/>
  <c r="C110" i="6"/>
  <c r="D109" i="6"/>
  <c r="C109" i="6"/>
  <c r="D108" i="6"/>
  <c r="C108" i="6"/>
  <c r="D107" i="6"/>
  <c r="C107" i="6"/>
  <c r="D106" i="6"/>
  <c r="C106" i="6"/>
  <c r="D105" i="6"/>
  <c r="C105" i="6"/>
  <c r="D104" i="6"/>
  <c r="C104" i="6"/>
  <c r="D103" i="6"/>
  <c r="C103" i="6"/>
  <c r="D102" i="6"/>
  <c r="C102" i="6"/>
  <c r="D101" i="6"/>
  <c r="C101" i="6"/>
  <c r="D100" i="6"/>
  <c r="C100" i="6"/>
  <c r="C99" i="6"/>
  <c r="D99" i="6"/>
  <c r="D98" i="6"/>
  <c r="C98" i="6"/>
  <c r="D97" i="6"/>
  <c r="C97" i="6"/>
  <c r="D96" i="6"/>
  <c r="C96" i="6"/>
  <c r="D95" i="6"/>
  <c r="C95" i="6"/>
  <c r="D94" i="6"/>
  <c r="C94" i="6"/>
  <c r="D93" i="6"/>
  <c r="C93" i="6"/>
  <c r="D92" i="6"/>
  <c r="C92" i="6"/>
  <c r="D91" i="6"/>
  <c r="C91" i="6"/>
  <c r="D90" i="6"/>
  <c r="C90" i="6"/>
  <c r="D89" i="6"/>
  <c r="C89" i="6"/>
  <c r="D88" i="6"/>
  <c r="C88" i="6"/>
  <c r="D87" i="6"/>
  <c r="C87" i="6"/>
  <c r="D86" i="6"/>
  <c r="C86" i="6"/>
  <c r="D85" i="6"/>
  <c r="C85" i="6"/>
  <c r="D84" i="6"/>
  <c r="C84" i="6"/>
  <c r="D83" i="6"/>
  <c r="C83" i="6"/>
  <c r="D82" i="6"/>
  <c r="C82" i="6"/>
  <c r="D81" i="6"/>
  <c r="C81" i="6"/>
  <c r="D80" i="6"/>
  <c r="C80" i="6"/>
  <c r="D79" i="6"/>
  <c r="C79" i="6"/>
  <c r="D78" i="6"/>
  <c r="C78" i="6"/>
  <c r="D77" i="6"/>
  <c r="C77" i="6"/>
  <c r="D76" i="6"/>
  <c r="C76" i="6"/>
  <c r="D75" i="6"/>
  <c r="C75" i="6"/>
  <c r="D74" i="6"/>
  <c r="C74" i="6"/>
  <c r="D73" i="6"/>
  <c r="C73" i="6"/>
  <c r="D72" i="6"/>
  <c r="C72" i="6"/>
  <c r="D71" i="6"/>
  <c r="C71" i="6"/>
  <c r="D70" i="6"/>
  <c r="C70" i="6"/>
  <c r="C69" i="6"/>
  <c r="D69" i="6"/>
  <c r="D68" i="6"/>
  <c r="C68" i="6"/>
  <c r="D67" i="6"/>
  <c r="C67" i="6"/>
  <c r="D66" i="6"/>
  <c r="C66" i="6"/>
  <c r="D65" i="6"/>
  <c r="C65" i="6"/>
  <c r="D64" i="6"/>
  <c r="C64" i="6"/>
  <c r="D63" i="6"/>
  <c r="C63" i="6"/>
  <c r="D62" i="6"/>
  <c r="C62" i="6"/>
  <c r="D61" i="6"/>
  <c r="C61" i="6"/>
  <c r="D60" i="6"/>
  <c r="C60" i="6"/>
  <c r="D59" i="6"/>
  <c r="C59" i="6"/>
  <c r="D58" i="6"/>
  <c r="C58" i="6"/>
  <c r="D57" i="6"/>
  <c r="C57" i="6"/>
  <c r="D56" i="6"/>
  <c r="C56" i="6"/>
  <c r="D55" i="6"/>
  <c r="C55" i="6"/>
  <c r="D54" i="6"/>
  <c r="C54" i="6"/>
  <c r="D53" i="6"/>
  <c r="C53" i="6"/>
  <c r="D52" i="6"/>
  <c r="C52" i="6"/>
  <c r="D51" i="6"/>
  <c r="C51" i="6"/>
  <c r="D50" i="6"/>
  <c r="C50" i="6"/>
  <c r="D49" i="6"/>
  <c r="C49" i="6"/>
  <c r="D48" i="6"/>
  <c r="C48" i="6"/>
  <c r="D47" i="6"/>
  <c r="C47" i="6"/>
  <c r="D46" i="6"/>
  <c r="C46" i="6"/>
  <c r="D45" i="6"/>
  <c r="C45" i="6"/>
  <c r="D44" i="6"/>
  <c r="C44" i="6"/>
  <c r="D43" i="6"/>
  <c r="C43" i="6"/>
  <c r="D42" i="6"/>
  <c r="C42" i="6"/>
  <c r="D41" i="6"/>
  <c r="C41" i="6"/>
  <c r="D40" i="6"/>
  <c r="C40" i="6"/>
  <c r="D39" i="6"/>
  <c r="C39" i="6"/>
  <c r="C38" i="6"/>
  <c r="D38" i="6"/>
  <c r="D125" i="6"/>
  <c r="C125" i="6"/>
  <c r="D124" i="6"/>
  <c r="C124" i="6"/>
  <c r="D123" i="6"/>
  <c r="C123" i="6"/>
  <c r="D122" i="6"/>
  <c r="C122" i="6"/>
  <c r="D121" i="6"/>
  <c r="C121" i="6"/>
  <c r="D120" i="6"/>
  <c r="C120" i="6"/>
  <c r="D37" i="6"/>
  <c r="C37" i="6"/>
  <c r="D36" i="6"/>
  <c r="C36" i="6"/>
  <c r="D35" i="6"/>
  <c r="C35" i="6"/>
  <c r="D34" i="6"/>
  <c r="C34" i="6"/>
  <c r="D33" i="6"/>
  <c r="C33" i="6"/>
  <c r="D32" i="6"/>
  <c r="C32" i="6"/>
  <c r="D31" i="6"/>
  <c r="C31" i="6"/>
  <c r="D30" i="6"/>
  <c r="C30" i="6"/>
  <c r="D29" i="6"/>
  <c r="C29" i="6"/>
  <c r="C28" i="6"/>
  <c r="D28" i="6"/>
  <c r="D27" i="6"/>
  <c r="C27" i="6"/>
  <c r="D26" i="6"/>
  <c r="C26" i="6"/>
  <c r="D25" i="6"/>
  <c r="C25" i="6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C18" i="6"/>
  <c r="D17" i="6"/>
  <c r="C17" i="6"/>
  <c r="D16" i="6"/>
  <c r="C16" i="6"/>
  <c r="D15" i="6"/>
  <c r="C15" i="6"/>
  <c r="D14" i="6"/>
  <c r="C14" i="6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D6" i="6"/>
  <c r="C6" i="6"/>
  <c r="D5" i="6"/>
  <c r="C5" i="6"/>
  <c r="D4" i="6"/>
  <c r="C4" i="6"/>
  <c r="D3" i="6"/>
  <c r="C3" i="6"/>
  <c r="C2" i="6"/>
  <c r="D2" i="6"/>
  <c r="G355" i="2"/>
  <c r="F355" i="2"/>
  <c r="E355" i="2"/>
  <c r="D355" i="2"/>
  <c r="G354" i="2"/>
  <c r="F354" i="2"/>
  <c r="E354" i="2"/>
  <c r="D354" i="2"/>
  <c r="G353" i="2"/>
  <c r="F353" i="2"/>
  <c r="E353" i="2"/>
  <c r="D353" i="2"/>
  <c r="G352" i="2"/>
  <c r="F352" i="2"/>
  <c r="E352" i="2"/>
  <c r="D352" i="2"/>
  <c r="G351" i="2"/>
  <c r="F351" i="2"/>
  <c r="E351" i="2"/>
  <c r="D351" i="2"/>
  <c r="G350" i="2"/>
  <c r="F350" i="2"/>
  <c r="E350" i="2"/>
  <c r="D350" i="2"/>
  <c r="G349" i="2"/>
  <c r="F349" i="2"/>
  <c r="E349" i="2"/>
  <c r="D349" i="2"/>
  <c r="G348" i="2"/>
  <c r="F348" i="2"/>
  <c r="E348" i="2"/>
  <c r="D348" i="2"/>
  <c r="G347" i="2"/>
  <c r="F347" i="2"/>
  <c r="E347" i="2"/>
  <c r="D347" i="2"/>
  <c r="G346" i="2"/>
  <c r="F346" i="2"/>
  <c r="E346" i="2"/>
  <c r="D346" i="2"/>
  <c r="G345" i="2"/>
  <c r="F345" i="2"/>
  <c r="E345" i="2"/>
  <c r="D345" i="2"/>
  <c r="G344" i="2"/>
  <c r="F344" i="2"/>
  <c r="E344" i="2"/>
  <c r="D344" i="2"/>
  <c r="G343" i="2"/>
  <c r="F343" i="2"/>
  <c r="E343" i="2"/>
  <c r="D343" i="2"/>
  <c r="G342" i="2"/>
  <c r="F342" i="2"/>
  <c r="E342" i="2"/>
  <c r="D342" i="2"/>
  <c r="G341" i="2"/>
  <c r="F341" i="2"/>
  <c r="E341" i="2"/>
  <c r="D341" i="2"/>
  <c r="G340" i="2"/>
  <c r="F340" i="2"/>
  <c r="E340" i="2"/>
  <c r="D340" i="2"/>
  <c r="G339" i="2"/>
  <c r="F339" i="2"/>
  <c r="E339" i="2"/>
  <c r="D339" i="2"/>
  <c r="G338" i="2"/>
  <c r="F338" i="2"/>
  <c r="E338" i="2"/>
  <c r="D338" i="2"/>
  <c r="G337" i="2"/>
  <c r="F337" i="2"/>
  <c r="E337" i="2"/>
  <c r="D337" i="2"/>
  <c r="G336" i="2"/>
  <c r="F336" i="2"/>
  <c r="E336" i="2"/>
  <c r="D336" i="2"/>
  <c r="G335" i="2"/>
  <c r="F335" i="2"/>
  <c r="E335" i="2"/>
  <c r="D335" i="2"/>
  <c r="G334" i="2"/>
  <c r="F334" i="2"/>
  <c r="E334" i="2"/>
  <c r="D334" i="2"/>
  <c r="G333" i="2"/>
  <c r="F333" i="2"/>
  <c r="E333" i="2"/>
  <c r="D333" i="2"/>
  <c r="G332" i="2"/>
  <c r="F332" i="2"/>
  <c r="E332" i="2"/>
  <c r="D332" i="2"/>
  <c r="G331" i="2"/>
  <c r="F331" i="2"/>
  <c r="E331" i="2"/>
  <c r="D331" i="2"/>
  <c r="G330" i="2"/>
  <c r="F330" i="2"/>
  <c r="E330" i="2"/>
  <c r="D330" i="2"/>
  <c r="G329" i="2"/>
  <c r="F329" i="2"/>
  <c r="E329" i="2"/>
  <c r="D329" i="2"/>
  <c r="G328" i="2"/>
  <c r="F328" i="2"/>
  <c r="E328" i="2"/>
  <c r="D328" i="2"/>
  <c r="G327" i="2"/>
  <c r="F327" i="2"/>
  <c r="E327" i="2"/>
  <c r="D327" i="2"/>
  <c r="G326" i="2"/>
  <c r="F326" i="2"/>
  <c r="E326" i="2"/>
  <c r="D326" i="2"/>
  <c r="G325" i="2"/>
  <c r="F325" i="2"/>
  <c r="E325" i="2"/>
  <c r="D325" i="2"/>
  <c r="G324" i="2"/>
  <c r="F324" i="2"/>
  <c r="E324" i="2"/>
  <c r="D324" i="2"/>
  <c r="G323" i="2"/>
  <c r="F323" i="2"/>
  <c r="E323" i="2"/>
  <c r="D323" i="2"/>
  <c r="G322" i="2"/>
  <c r="F322" i="2"/>
  <c r="E322" i="2"/>
  <c r="D322" i="2"/>
  <c r="G321" i="2"/>
  <c r="F321" i="2"/>
  <c r="E321" i="2"/>
  <c r="D321" i="2"/>
  <c r="G320" i="2"/>
  <c r="F320" i="2"/>
  <c r="E320" i="2"/>
  <c r="D320" i="2"/>
  <c r="G319" i="2"/>
  <c r="F319" i="2"/>
  <c r="E319" i="2"/>
  <c r="D319" i="2"/>
  <c r="G318" i="2"/>
  <c r="F318" i="2"/>
  <c r="E318" i="2"/>
  <c r="D318" i="2"/>
  <c r="G317" i="2"/>
  <c r="F317" i="2"/>
  <c r="E317" i="2"/>
  <c r="D317" i="2"/>
  <c r="G316" i="2"/>
  <c r="F316" i="2"/>
  <c r="E316" i="2"/>
  <c r="D316" i="2"/>
  <c r="G315" i="2"/>
  <c r="F315" i="2"/>
  <c r="E315" i="2"/>
  <c r="D315" i="2"/>
  <c r="G314" i="2"/>
  <c r="F314" i="2"/>
  <c r="E314" i="2"/>
  <c r="D314" i="2"/>
  <c r="G313" i="2"/>
  <c r="F313" i="2"/>
  <c r="E313" i="2"/>
  <c r="D313" i="2"/>
  <c r="G312" i="2"/>
  <c r="F312" i="2"/>
  <c r="E312" i="2"/>
  <c r="D312" i="2"/>
  <c r="G311" i="2"/>
  <c r="F311" i="2"/>
  <c r="E311" i="2"/>
  <c r="D311" i="2"/>
  <c r="G310" i="2"/>
  <c r="F310" i="2"/>
  <c r="E310" i="2"/>
  <c r="D310" i="2"/>
  <c r="G309" i="2"/>
  <c r="F309" i="2"/>
  <c r="E309" i="2"/>
  <c r="D309" i="2"/>
  <c r="G308" i="2"/>
  <c r="F308" i="2"/>
  <c r="E308" i="2"/>
  <c r="D308" i="2"/>
  <c r="G307" i="2"/>
  <c r="F307" i="2"/>
  <c r="E307" i="2"/>
  <c r="D307" i="2"/>
  <c r="G306" i="2"/>
  <c r="F306" i="2"/>
  <c r="E306" i="2"/>
  <c r="D306" i="2"/>
  <c r="G305" i="2"/>
  <c r="F305" i="2"/>
  <c r="E305" i="2"/>
  <c r="D305" i="2"/>
  <c r="G304" i="2"/>
  <c r="F304" i="2"/>
  <c r="E304" i="2"/>
  <c r="D304" i="2"/>
  <c r="G303" i="2"/>
  <c r="F303" i="2"/>
  <c r="E303" i="2"/>
  <c r="D303" i="2"/>
  <c r="G302" i="2"/>
  <c r="F302" i="2"/>
  <c r="E302" i="2"/>
  <c r="D302" i="2"/>
  <c r="G301" i="2"/>
  <c r="F301" i="2"/>
  <c r="E301" i="2"/>
  <c r="D301" i="2"/>
  <c r="G300" i="2"/>
  <c r="F300" i="2"/>
  <c r="E300" i="2"/>
  <c r="D300" i="2"/>
  <c r="G299" i="2"/>
  <c r="F299" i="2"/>
  <c r="E299" i="2"/>
  <c r="D299" i="2"/>
  <c r="G298" i="2"/>
  <c r="F298" i="2"/>
  <c r="E298" i="2"/>
  <c r="D298" i="2"/>
  <c r="G297" i="2"/>
  <c r="F297" i="2"/>
  <c r="E297" i="2"/>
  <c r="D297" i="2"/>
  <c r="G296" i="2"/>
  <c r="F296" i="2"/>
  <c r="E296" i="2"/>
  <c r="D296" i="2"/>
  <c r="G295" i="2"/>
  <c r="F295" i="2"/>
  <c r="E295" i="2"/>
  <c r="D295" i="2"/>
  <c r="G294" i="2"/>
  <c r="F294" i="2"/>
  <c r="E294" i="2"/>
  <c r="D294" i="2"/>
  <c r="G293" i="2"/>
  <c r="F293" i="2"/>
  <c r="E293" i="2"/>
  <c r="D293" i="2"/>
  <c r="G292" i="2"/>
  <c r="F292" i="2"/>
  <c r="E292" i="2"/>
  <c r="D292" i="2"/>
  <c r="G291" i="2"/>
  <c r="F291" i="2"/>
  <c r="E291" i="2"/>
  <c r="D291" i="2"/>
  <c r="G290" i="2"/>
  <c r="F290" i="2"/>
  <c r="E290" i="2"/>
  <c r="D290" i="2"/>
  <c r="G289" i="2"/>
  <c r="F289" i="2"/>
  <c r="E289" i="2"/>
  <c r="D289" i="2"/>
  <c r="G288" i="2"/>
  <c r="F288" i="2"/>
  <c r="E288" i="2"/>
  <c r="D288" i="2"/>
  <c r="G287" i="2"/>
  <c r="F287" i="2"/>
  <c r="E287" i="2"/>
  <c r="D287" i="2"/>
  <c r="G286" i="2"/>
  <c r="F286" i="2"/>
  <c r="E286" i="2"/>
  <c r="D286" i="2"/>
  <c r="G285" i="2"/>
  <c r="F285" i="2"/>
  <c r="E285" i="2"/>
  <c r="D285" i="2"/>
  <c r="G284" i="2"/>
  <c r="F284" i="2"/>
  <c r="E284" i="2"/>
  <c r="D284" i="2"/>
  <c r="G283" i="2"/>
  <c r="F283" i="2"/>
  <c r="E283" i="2"/>
  <c r="D283" i="2"/>
  <c r="G282" i="2"/>
  <c r="F282" i="2"/>
  <c r="E282" i="2"/>
  <c r="D282" i="2"/>
  <c r="G281" i="2"/>
  <c r="F281" i="2"/>
  <c r="E281" i="2"/>
  <c r="D281" i="2"/>
  <c r="G280" i="2"/>
  <c r="F280" i="2"/>
  <c r="E280" i="2"/>
  <c r="D280" i="2"/>
  <c r="G279" i="2"/>
  <c r="F279" i="2"/>
  <c r="E279" i="2"/>
  <c r="D279" i="2"/>
  <c r="G278" i="2"/>
  <c r="F278" i="2"/>
  <c r="E278" i="2"/>
  <c r="D278" i="2"/>
  <c r="G277" i="2"/>
  <c r="F277" i="2"/>
  <c r="E277" i="2"/>
  <c r="D277" i="2"/>
  <c r="G276" i="2"/>
  <c r="F276" i="2"/>
  <c r="E276" i="2"/>
  <c r="D276" i="2"/>
  <c r="G275" i="2"/>
  <c r="F275" i="2"/>
  <c r="E275" i="2"/>
  <c r="D275" i="2"/>
  <c r="G274" i="2"/>
  <c r="F274" i="2"/>
  <c r="E274" i="2"/>
  <c r="D274" i="2"/>
  <c r="G273" i="2"/>
  <c r="F273" i="2"/>
  <c r="E273" i="2"/>
  <c r="D273" i="2"/>
  <c r="G272" i="2"/>
  <c r="F272" i="2"/>
  <c r="E272" i="2"/>
  <c r="D272" i="2"/>
  <c r="G271" i="2"/>
  <c r="F271" i="2"/>
  <c r="E271" i="2"/>
  <c r="D271" i="2"/>
  <c r="G270" i="2"/>
  <c r="F270" i="2"/>
  <c r="E270" i="2"/>
  <c r="D270" i="2"/>
  <c r="G269" i="2"/>
  <c r="F269" i="2"/>
  <c r="E269" i="2"/>
  <c r="D269" i="2"/>
  <c r="G268" i="2"/>
  <c r="F268" i="2"/>
  <c r="E268" i="2"/>
  <c r="D268" i="2"/>
  <c r="G267" i="2"/>
  <c r="F267" i="2"/>
  <c r="E267" i="2"/>
  <c r="D267" i="2"/>
  <c r="G266" i="2"/>
  <c r="F266" i="2"/>
  <c r="E266" i="2"/>
  <c r="D266" i="2"/>
  <c r="G265" i="2"/>
  <c r="F265" i="2"/>
  <c r="E265" i="2"/>
  <c r="D265" i="2"/>
  <c r="G264" i="2"/>
  <c r="F264" i="2"/>
  <c r="E264" i="2"/>
  <c r="D264" i="2"/>
  <c r="G263" i="2"/>
  <c r="F263" i="2"/>
  <c r="E263" i="2"/>
  <c r="D263" i="2"/>
  <c r="G262" i="2"/>
  <c r="F262" i="2"/>
  <c r="E262" i="2"/>
  <c r="D262" i="2"/>
  <c r="G261" i="2"/>
  <c r="F261" i="2"/>
  <c r="E261" i="2"/>
  <c r="D261" i="2"/>
  <c r="G260" i="2"/>
  <c r="F260" i="2"/>
  <c r="E260" i="2"/>
  <c r="D260" i="2"/>
  <c r="G259" i="2"/>
  <c r="F259" i="2"/>
  <c r="E259" i="2"/>
  <c r="D259" i="2"/>
  <c r="G258" i="2"/>
  <c r="F258" i="2"/>
  <c r="E258" i="2"/>
  <c r="D258" i="2"/>
  <c r="G257" i="2"/>
  <c r="F257" i="2"/>
  <c r="E257" i="2"/>
  <c r="D257" i="2"/>
  <c r="G256" i="2"/>
  <c r="F256" i="2"/>
  <c r="E256" i="2"/>
  <c r="D256" i="2"/>
  <c r="G255" i="2"/>
  <c r="F255" i="2"/>
  <c r="E255" i="2"/>
  <c r="D255" i="2"/>
  <c r="G254" i="2"/>
  <c r="F254" i="2"/>
  <c r="E254" i="2"/>
  <c r="D254" i="2"/>
  <c r="G253" i="2"/>
  <c r="F253" i="2"/>
  <c r="E253" i="2"/>
  <c r="D253" i="2"/>
  <c r="G252" i="2"/>
  <c r="F252" i="2"/>
  <c r="E252" i="2"/>
  <c r="D252" i="2"/>
  <c r="G251" i="2"/>
  <c r="F251" i="2"/>
  <c r="E251" i="2"/>
  <c r="D251" i="2"/>
  <c r="G250" i="2"/>
  <c r="F250" i="2"/>
  <c r="E250" i="2"/>
  <c r="D250" i="2"/>
  <c r="G249" i="2"/>
  <c r="F249" i="2"/>
  <c r="E249" i="2"/>
  <c r="D249" i="2"/>
  <c r="G248" i="2"/>
  <c r="F248" i="2"/>
  <c r="E248" i="2"/>
  <c r="D248" i="2"/>
  <c r="G247" i="2"/>
  <c r="F247" i="2"/>
  <c r="E247" i="2"/>
  <c r="D247" i="2"/>
  <c r="G246" i="2"/>
  <c r="F246" i="2"/>
  <c r="E246" i="2"/>
  <c r="D246" i="2"/>
  <c r="G245" i="2"/>
  <c r="F245" i="2"/>
  <c r="E245" i="2"/>
  <c r="D245" i="2"/>
  <c r="G244" i="2"/>
  <c r="F244" i="2"/>
  <c r="E244" i="2"/>
  <c r="D244" i="2"/>
  <c r="G243" i="2"/>
  <c r="F243" i="2"/>
  <c r="E243" i="2"/>
  <c r="D243" i="2"/>
  <c r="G242" i="2"/>
  <c r="F242" i="2"/>
  <c r="E242" i="2"/>
  <c r="D242" i="2"/>
  <c r="G241" i="2"/>
  <c r="F241" i="2"/>
  <c r="E241" i="2"/>
  <c r="D241" i="2"/>
  <c r="G240" i="2"/>
  <c r="F240" i="2"/>
  <c r="E240" i="2"/>
  <c r="D240" i="2"/>
  <c r="G239" i="2"/>
  <c r="F239" i="2"/>
  <c r="E239" i="2"/>
  <c r="D239" i="2"/>
  <c r="G238" i="2"/>
  <c r="F238" i="2"/>
  <c r="E238" i="2"/>
  <c r="D238" i="2"/>
  <c r="G237" i="2"/>
  <c r="F237" i="2"/>
  <c r="E237" i="2"/>
  <c r="D237" i="2"/>
  <c r="G236" i="2"/>
  <c r="F236" i="2"/>
  <c r="E236" i="2"/>
  <c r="D236" i="2"/>
  <c r="G235" i="2"/>
  <c r="F235" i="2"/>
  <c r="E235" i="2"/>
  <c r="D235" i="2"/>
  <c r="G234" i="2"/>
  <c r="F234" i="2"/>
  <c r="E234" i="2"/>
  <c r="D234" i="2"/>
  <c r="G233" i="2"/>
  <c r="F233" i="2"/>
  <c r="E233" i="2"/>
  <c r="D233" i="2"/>
  <c r="G232" i="2"/>
  <c r="F232" i="2"/>
  <c r="E232" i="2"/>
  <c r="D232" i="2"/>
  <c r="G231" i="2"/>
  <c r="F231" i="2"/>
  <c r="E231" i="2"/>
  <c r="D231" i="2"/>
  <c r="G230" i="2"/>
  <c r="F230" i="2"/>
  <c r="E230" i="2"/>
  <c r="D230" i="2"/>
  <c r="G229" i="2"/>
  <c r="F229" i="2"/>
  <c r="E229" i="2"/>
  <c r="D229" i="2"/>
  <c r="G228" i="2"/>
  <c r="F228" i="2"/>
  <c r="E228" i="2"/>
  <c r="D228" i="2"/>
  <c r="G227" i="2"/>
  <c r="F227" i="2"/>
  <c r="E227" i="2"/>
  <c r="D227" i="2"/>
  <c r="G226" i="2"/>
  <c r="F226" i="2"/>
  <c r="E226" i="2"/>
  <c r="D226" i="2"/>
  <c r="G225" i="2"/>
  <c r="F225" i="2"/>
  <c r="E225" i="2"/>
  <c r="D225" i="2"/>
  <c r="G224" i="2"/>
  <c r="F224" i="2"/>
  <c r="E224" i="2"/>
  <c r="D224" i="2"/>
  <c r="G223" i="2"/>
  <c r="F223" i="2"/>
  <c r="E223" i="2"/>
  <c r="D223" i="2"/>
  <c r="G222" i="2"/>
  <c r="F222" i="2"/>
  <c r="E222" i="2"/>
  <c r="D222" i="2"/>
  <c r="G221" i="2"/>
  <c r="F221" i="2"/>
  <c r="E221" i="2"/>
  <c r="D221" i="2"/>
  <c r="G220" i="2"/>
  <c r="F220" i="2"/>
  <c r="E220" i="2"/>
  <c r="D220" i="2"/>
  <c r="G219" i="2"/>
  <c r="F219" i="2"/>
  <c r="E219" i="2"/>
  <c r="D219" i="2"/>
  <c r="G218" i="2"/>
  <c r="F218" i="2"/>
  <c r="E218" i="2"/>
  <c r="D218" i="2"/>
  <c r="G217" i="2"/>
  <c r="F217" i="2"/>
  <c r="E217" i="2"/>
  <c r="D217" i="2"/>
  <c r="G216" i="2"/>
  <c r="F216" i="2"/>
  <c r="E216" i="2"/>
  <c r="D216" i="2"/>
  <c r="G215" i="2"/>
  <c r="F215" i="2"/>
  <c r="E215" i="2"/>
  <c r="D215" i="2"/>
  <c r="G214" i="2"/>
  <c r="F214" i="2"/>
  <c r="E214" i="2"/>
  <c r="D214" i="2"/>
  <c r="G213" i="2"/>
  <c r="F213" i="2"/>
  <c r="E213" i="2"/>
  <c r="D213" i="2"/>
  <c r="G212" i="2"/>
  <c r="F212" i="2"/>
  <c r="E212" i="2"/>
  <c r="D212" i="2"/>
  <c r="G211" i="2"/>
  <c r="F211" i="2"/>
  <c r="E211" i="2"/>
  <c r="D211" i="2"/>
  <c r="G210" i="2"/>
  <c r="F210" i="2"/>
  <c r="E210" i="2"/>
  <c r="D210" i="2"/>
  <c r="G209" i="2"/>
  <c r="F209" i="2"/>
  <c r="E209" i="2"/>
  <c r="D209" i="2"/>
  <c r="G208" i="2"/>
  <c r="F208" i="2"/>
  <c r="E208" i="2"/>
  <c r="D208" i="2"/>
  <c r="G207" i="2"/>
  <c r="F207" i="2"/>
  <c r="E207" i="2"/>
  <c r="D207" i="2"/>
  <c r="G206" i="2"/>
  <c r="F206" i="2"/>
  <c r="E206" i="2"/>
  <c r="D206" i="2"/>
  <c r="G205" i="2"/>
  <c r="F205" i="2"/>
  <c r="E205" i="2"/>
  <c r="D205" i="2"/>
  <c r="G204" i="2"/>
  <c r="F204" i="2"/>
  <c r="E204" i="2"/>
  <c r="D204" i="2"/>
  <c r="G203" i="2"/>
  <c r="F203" i="2"/>
  <c r="E203" i="2"/>
  <c r="D203" i="2"/>
  <c r="G202" i="2"/>
  <c r="F202" i="2"/>
  <c r="E202" i="2"/>
  <c r="D202" i="2"/>
  <c r="G201" i="2"/>
  <c r="F201" i="2"/>
  <c r="E201" i="2"/>
  <c r="D201" i="2"/>
  <c r="G200" i="2"/>
  <c r="F200" i="2"/>
  <c r="E200" i="2"/>
  <c r="D200" i="2"/>
  <c r="G199" i="2"/>
  <c r="F199" i="2"/>
  <c r="E199" i="2"/>
  <c r="D199" i="2"/>
  <c r="G198" i="2"/>
  <c r="F198" i="2"/>
  <c r="E198" i="2"/>
  <c r="D198" i="2"/>
  <c r="G197" i="2"/>
  <c r="F197" i="2"/>
  <c r="E197" i="2"/>
  <c r="D197" i="2"/>
  <c r="G196" i="2"/>
  <c r="F196" i="2"/>
  <c r="E196" i="2"/>
  <c r="D196" i="2"/>
  <c r="G195" i="2"/>
  <c r="F195" i="2"/>
  <c r="E195" i="2"/>
  <c r="D195" i="2"/>
  <c r="G194" i="2"/>
  <c r="F194" i="2"/>
  <c r="E194" i="2"/>
  <c r="D194" i="2"/>
  <c r="G193" i="2"/>
  <c r="F193" i="2"/>
  <c r="E193" i="2"/>
  <c r="D193" i="2"/>
  <c r="G192" i="2"/>
  <c r="F192" i="2"/>
  <c r="E192" i="2"/>
  <c r="D192" i="2"/>
  <c r="G191" i="2"/>
  <c r="F191" i="2"/>
  <c r="E191" i="2"/>
  <c r="D191" i="2"/>
  <c r="G190" i="2"/>
  <c r="F190" i="2"/>
  <c r="E190" i="2"/>
  <c r="D190" i="2"/>
  <c r="G189" i="2"/>
  <c r="F189" i="2"/>
  <c r="E189" i="2"/>
  <c r="D189" i="2"/>
  <c r="G188" i="2"/>
  <c r="F188" i="2"/>
  <c r="E188" i="2"/>
  <c r="D188" i="2"/>
  <c r="G187" i="2"/>
  <c r="F187" i="2"/>
  <c r="E187" i="2"/>
  <c r="D187" i="2"/>
  <c r="G186" i="2"/>
  <c r="F186" i="2"/>
  <c r="E186" i="2"/>
  <c r="D186" i="2"/>
  <c r="G185" i="2"/>
  <c r="F185" i="2"/>
  <c r="E185" i="2"/>
  <c r="D185" i="2"/>
  <c r="G184" i="2"/>
  <c r="F184" i="2"/>
  <c r="E184" i="2"/>
  <c r="D184" i="2"/>
  <c r="G183" i="2"/>
  <c r="F183" i="2"/>
  <c r="E183" i="2"/>
  <c r="D183" i="2"/>
  <c r="G182" i="2"/>
  <c r="F182" i="2"/>
  <c r="E182" i="2"/>
  <c r="D182" i="2"/>
  <c r="G181" i="2"/>
  <c r="F181" i="2"/>
  <c r="E181" i="2"/>
  <c r="D181" i="2"/>
  <c r="G180" i="2"/>
  <c r="F180" i="2"/>
  <c r="E180" i="2"/>
  <c r="D180" i="2"/>
  <c r="G179" i="2"/>
  <c r="F179" i="2"/>
  <c r="E179" i="2"/>
  <c r="D179" i="2"/>
  <c r="G178" i="2"/>
  <c r="F178" i="2"/>
  <c r="E178" i="2"/>
  <c r="D178" i="2"/>
  <c r="G177" i="2"/>
  <c r="F177" i="2"/>
  <c r="E177" i="2"/>
  <c r="D177" i="2"/>
  <c r="G176" i="2"/>
  <c r="F176" i="2"/>
  <c r="E176" i="2"/>
  <c r="D176" i="2"/>
  <c r="G175" i="2"/>
  <c r="F175" i="2"/>
  <c r="E175" i="2"/>
  <c r="D175" i="2"/>
  <c r="G174" i="2"/>
  <c r="F174" i="2"/>
  <c r="E174" i="2"/>
  <c r="D174" i="2"/>
  <c r="G173" i="2"/>
  <c r="F173" i="2"/>
  <c r="E173" i="2"/>
  <c r="D173" i="2"/>
  <c r="G172" i="2"/>
  <c r="F172" i="2"/>
  <c r="E172" i="2"/>
  <c r="D172" i="2"/>
  <c r="G171" i="2"/>
  <c r="F171" i="2"/>
  <c r="E171" i="2"/>
  <c r="D171" i="2"/>
  <c r="G170" i="2"/>
  <c r="F170" i="2"/>
  <c r="E170" i="2"/>
  <c r="D170" i="2"/>
  <c r="G169" i="2"/>
  <c r="F169" i="2"/>
  <c r="E169" i="2"/>
  <c r="D169" i="2"/>
  <c r="G168" i="2"/>
  <c r="F168" i="2"/>
  <c r="E168" i="2"/>
  <c r="D168" i="2"/>
  <c r="G167" i="2"/>
  <c r="F167" i="2"/>
  <c r="E167" i="2"/>
  <c r="D167" i="2"/>
  <c r="G166" i="2"/>
  <c r="F166" i="2"/>
  <c r="E166" i="2"/>
  <c r="D166" i="2"/>
  <c r="G165" i="2"/>
  <c r="F165" i="2"/>
  <c r="E165" i="2"/>
  <c r="D165" i="2"/>
  <c r="G164" i="2"/>
  <c r="F164" i="2"/>
  <c r="E164" i="2"/>
  <c r="D164" i="2"/>
  <c r="G163" i="2"/>
  <c r="F163" i="2"/>
  <c r="E163" i="2"/>
  <c r="D163" i="2"/>
  <c r="G162" i="2"/>
  <c r="F162" i="2"/>
  <c r="E162" i="2"/>
  <c r="D162" i="2"/>
  <c r="G161" i="2"/>
  <c r="F161" i="2"/>
  <c r="E161" i="2"/>
  <c r="D161" i="2"/>
  <c r="G160" i="2"/>
  <c r="F160" i="2"/>
  <c r="E160" i="2"/>
  <c r="D160" i="2"/>
  <c r="G159" i="2"/>
  <c r="F159" i="2"/>
  <c r="E159" i="2"/>
  <c r="D159" i="2"/>
  <c r="G158" i="2"/>
  <c r="F158" i="2"/>
  <c r="E158" i="2"/>
  <c r="D158" i="2"/>
  <c r="G157" i="2"/>
  <c r="F157" i="2"/>
  <c r="E157" i="2"/>
  <c r="D157" i="2"/>
  <c r="G156" i="2"/>
  <c r="F156" i="2"/>
  <c r="E156" i="2"/>
  <c r="D156" i="2"/>
  <c r="G155" i="2"/>
  <c r="F155" i="2"/>
  <c r="E155" i="2"/>
  <c r="D155" i="2"/>
  <c r="G154" i="2"/>
  <c r="F154" i="2"/>
  <c r="E154" i="2"/>
  <c r="D154" i="2"/>
  <c r="G153" i="2"/>
  <c r="F153" i="2"/>
  <c r="E153" i="2"/>
  <c r="D153" i="2"/>
  <c r="G152" i="2"/>
  <c r="F152" i="2"/>
  <c r="E152" i="2"/>
  <c r="D152" i="2"/>
  <c r="G151" i="2"/>
  <c r="F151" i="2"/>
  <c r="E151" i="2"/>
  <c r="D151" i="2"/>
  <c r="G150" i="2"/>
  <c r="F150" i="2"/>
  <c r="E150" i="2"/>
  <c r="D150" i="2"/>
  <c r="G149" i="2"/>
  <c r="F149" i="2"/>
  <c r="E149" i="2"/>
  <c r="D149" i="2"/>
  <c r="G148" i="2"/>
  <c r="F148" i="2"/>
  <c r="E148" i="2"/>
  <c r="D148" i="2"/>
  <c r="G147" i="2"/>
  <c r="F147" i="2"/>
  <c r="E147" i="2"/>
  <c r="D147" i="2"/>
  <c r="G146" i="2"/>
  <c r="F146" i="2"/>
  <c r="E146" i="2"/>
  <c r="D146" i="2"/>
  <c r="G145" i="2"/>
  <c r="F145" i="2"/>
  <c r="E145" i="2"/>
  <c r="D145" i="2"/>
  <c r="G144" i="2"/>
  <c r="F144" i="2"/>
  <c r="E144" i="2"/>
  <c r="D144" i="2"/>
  <c r="G143" i="2"/>
  <c r="F143" i="2"/>
  <c r="E143" i="2"/>
  <c r="D143" i="2"/>
  <c r="G142" i="2"/>
  <c r="F142" i="2"/>
  <c r="E142" i="2"/>
  <c r="D142" i="2"/>
  <c r="G141" i="2"/>
  <c r="F141" i="2"/>
  <c r="E141" i="2"/>
  <c r="D141" i="2"/>
  <c r="G140" i="2"/>
  <c r="F140" i="2"/>
  <c r="E140" i="2"/>
  <c r="D140" i="2"/>
  <c r="G139" i="2"/>
  <c r="F139" i="2"/>
  <c r="E139" i="2"/>
  <c r="D139" i="2"/>
  <c r="G138" i="2"/>
  <c r="F138" i="2"/>
  <c r="E138" i="2"/>
  <c r="D138" i="2"/>
  <c r="G137" i="2"/>
  <c r="F137" i="2"/>
  <c r="E137" i="2"/>
  <c r="D137" i="2"/>
  <c r="G136" i="2"/>
  <c r="F136" i="2"/>
  <c r="E136" i="2"/>
  <c r="D136" i="2"/>
  <c r="G135" i="2"/>
  <c r="F135" i="2"/>
  <c r="E135" i="2"/>
  <c r="D135" i="2"/>
  <c r="G134" i="2"/>
  <c r="F134" i="2"/>
  <c r="E134" i="2"/>
  <c r="D134" i="2"/>
  <c r="G133" i="2"/>
  <c r="F133" i="2"/>
  <c r="E133" i="2"/>
  <c r="D133" i="2"/>
  <c r="G132" i="2"/>
  <c r="F132" i="2"/>
  <c r="E132" i="2"/>
  <c r="D132" i="2"/>
  <c r="G131" i="2"/>
  <c r="F131" i="2"/>
  <c r="E131" i="2"/>
  <c r="D131" i="2"/>
  <c r="G130" i="2"/>
  <c r="F130" i="2"/>
  <c r="E130" i="2"/>
  <c r="D130" i="2"/>
  <c r="G129" i="2"/>
  <c r="F129" i="2"/>
  <c r="E129" i="2"/>
  <c r="D129" i="2"/>
  <c r="G128" i="2"/>
  <c r="F128" i="2"/>
  <c r="E128" i="2"/>
  <c r="D128" i="2"/>
  <c r="G127" i="2"/>
  <c r="F127" i="2"/>
  <c r="E127" i="2"/>
  <c r="D127" i="2"/>
  <c r="G126" i="2"/>
  <c r="F126" i="2"/>
  <c r="E126" i="2"/>
  <c r="D126" i="2"/>
  <c r="G125" i="2"/>
  <c r="F125" i="2"/>
  <c r="E125" i="2"/>
  <c r="D125" i="2"/>
  <c r="G124" i="2"/>
  <c r="F124" i="2"/>
  <c r="E124" i="2"/>
  <c r="D124" i="2"/>
  <c r="G123" i="2"/>
  <c r="F123" i="2"/>
  <c r="E123" i="2"/>
  <c r="D123" i="2"/>
  <c r="G122" i="2"/>
  <c r="F122" i="2"/>
  <c r="E122" i="2"/>
  <c r="D122" i="2"/>
  <c r="G121" i="2"/>
  <c r="F121" i="2"/>
  <c r="E121" i="2"/>
  <c r="D121" i="2"/>
  <c r="G120" i="2"/>
  <c r="F120" i="2"/>
  <c r="E120" i="2"/>
  <c r="D120" i="2"/>
  <c r="G119" i="2"/>
  <c r="F119" i="2"/>
  <c r="E119" i="2"/>
  <c r="D119" i="2"/>
  <c r="G118" i="2"/>
  <c r="F118" i="2"/>
  <c r="E118" i="2"/>
  <c r="D118" i="2"/>
  <c r="G117" i="2"/>
  <c r="F117" i="2"/>
  <c r="E117" i="2"/>
  <c r="D117" i="2"/>
  <c r="G116" i="2"/>
  <c r="F116" i="2"/>
  <c r="E116" i="2"/>
  <c r="D116" i="2"/>
  <c r="G115" i="2"/>
  <c r="F115" i="2"/>
  <c r="E115" i="2"/>
  <c r="D115" i="2"/>
  <c r="G114" i="2"/>
  <c r="F114" i="2"/>
  <c r="E114" i="2"/>
  <c r="D114" i="2"/>
  <c r="G113" i="2"/>
  <c r="F113" i="2"/>
  <c r="E113" i="2"/>
  <c r="D113" i="2"/>
  <c r="G112" i="2"/>
  <c r="F112" i="2"/>
  <c r="E112" i="2"/>
  <c r="D112" i="2"/>
  <c r="G111" i="2"/>
  <c r="F111" i="2"/>
  <c r="E111" i="2"/>
  <c r="D111" i="2"/>
  <c r="G110" i="2"/>
  <c r="F110" i="2"/>
  <c r="E110" i="2"/>
  <c r="D110" i="2"/>
  <c r="G109" i="2"/>
  <c r="F109" i="2"/>
  <c r="E109" i="2"/>
  <c r="D109" i="2"/>
  <c r="G108" i="2"/>
  <c r="F108" i="2"/>
  <c r="E108" i="2"/>
  <c r="D108" i="2"/>
  <c r="G107" i="2"/>
  <c r="F107" i="2"/>
  <c r="E107" i="2"/>
  <c r="D107" i="2"/>
  <c r="G106" i="2"/>
  <c r="F106" i="2"/>
  <c r="E106" i="2"/>
  <c r="D106" i="2"/>
  <c r="G105" i="2"/>
  <c r="F105" i="2"/>
  <c r="E105" i="2"/>
  <c r="D105" i="2"/>
  <c r="G104" i="2"/>
  <c r="F104" i="2"/>
  <c r="E104" i="2"/>
  <c r="D104" i="2"/>
  <c r="G103" i="2"/>
  <c r="F103" i="2"/>
  <c r="E103" i="2"/>
  <c r="D103" i="2"/>
  <c r="G102" i="2"/>
  <c r="F102" i="2"/>
  <c r="E102" i="2"/>
  <c r="D102" i="2"/>
  <c r="G101" i="2"/>
  <c r="F101" i="2"/>
  <c r="E101" i="2"/>
  <c r="D101" i="2"/>
  <c r="G100" i="2"/>
  <c r="F100" i="2"/>
  <c r="E100" i="2"/>
  <c r="D100" i="2"/>
  <c r="G99" i="2"/>
  <c r="F99" i="2"/>
  <c r="E99" i="2"/>
  <c r="D99" i="2"/>
  <c r="G98" i="2"/>
  <c r="F98" i="2"/>
  <c r="E98" i="2"/>
  <c r="D98" i="2"/>
  <c r="G97" i="2"/>
  <c r="F97" i="2"/>
  <c r="E97" i="2"/>
  <c r="D97" i="2"/>
  <c r="G96" i="2"/>
  <c r="F96" i="2"/>
  <c r="E96" i="2"/>
  <c r="D96" i="2"/>
  <c r="G95" i="2"/>
  <c r="F95" i="2"/>
  <c r="E95" i="2"/>
  <c r="D95" i="2"/>
  <c r="G94" i="2"/>
  <c r="F94" i="2"/>
  <c r="E94" i="2"/>
  <c r="D94" i="2"/>
  <c r="G93" i="2"/>
  <c r="F93" i="2"/>
  <c r="E93" i="2"/>
  <c r="D93" i="2"/>
  <c r="G92" i="2"/>
  <c r="F92" i="2"/>
  <c r="E92" i="2"/>
  <c r="D92" i="2"/>
  <c r="G91" i="2"/>
  <c r="F91" i="2"/>
  <c r="E91" i="2"/>
  <c r="D91" i="2"/>
  <c r="G90" i="2"/>
  <c r="F90" i="2"/>
  <c r="E90" i="2"/>
  <c r="D90" i="2"/>
  <c r="G89" i="2"/>
  <c r="F89" i="2"/>
  <c r="E89" i="2"/>
  <c r="D89" i="2"/>
  <c r="G88" i="2"/>
  <c r="F88" i="2"/>
  <c r="E88" i="2"/>
  <c r="D88" i="2"/>
  <c r="G87" i="2"/>
  <c r="F87" i="2"/>
  <c r="E87" i="2"/>
  <c r="D87" i="2"/>
  <c r="G86" i="2"/>
  <c r="F86" i="2"/>
  <c r="E86" i="2"/>
  <c r="D86" i="2"/>
  <c r="G85" i="2"/>
  <c r="F85" i="2"/>
  <c r="E85" i="2"/>
  <c r="D85" i="2"/>
  <c r="G84" i="2"/>
  <c r="F84" i="2"/>
  <c r="E84" i="2"/>
  <c r="D84" i="2"/>
  <c r="G83" i="2"/>
  <c r="F83" i="2"/>
  <c r="E83" i="2"/>
  <c r="D83" i="2"/>
  <c r="G82" i="2"/>
  <c r="F82" i="2"/>
  <c r="E82" i="2"/>
  <c r="D82" i="2"/>
  <c r="G81" i="2"/>
  <c r="F81" i="2"/>
  <c r="E81" i="2"/>
  <c r="D81" i="2"/>
  <c r="G80" i="2"/>
  <c r="F80" i="2"/>
  <c r="E80" i="2"/>
  <c r="D80" i="2"/>
  <c r="G79" i="2"/>
  <c r="F79" i="2"/>
  <c r="E79" i="2"/>
  <c r="D79" i="2"/>
  <c r="G78" i="2"/>
  <c r="F78" i="2"/>
  <c r="E78" i="2"/>
  <c r="D78" i="2"/>
  <c r="G77" i="2"/>
  <c r="F77" i="2"/>
  <c r="E77" i="2"/>
  <c r="D77" i="2"/>
  <c r="G76" i="2"/>
  <c r="F76" i="2"/>
  <c r="E76" i="2"/>
  <c r="D76" i="2"/>
  <c r="G75" i="2"/>
  <c r="F75" i="2"/>
  <c r="E75" i="2"/>
  <c r="D75" i="2"/>
  <c r="G74" i="2"/>
  <c r="F74" i="2"/>
  <c r="E74" i="2"/>
  <c r="D74" i="2"/>
  <c r="G73" i="2"/>
  <c r="F73" i="2"/>
  <c r="E73" i="2"/>
  <c r="D73" i="2"/>
  <c r="G72" i="2"/>
  <c r="F72" i="2"/>
  <c r="E72" i="2"/>
  <c r="D72" i="2"/>
  <c r="G71" i="2"/>
  <c r="F71" i="2"/>
  <c r="E71" i="2"/>
  <c r="D71" i="2"/>
  <c r="G70" i="2"/>
  <c r="F70" i="2"/>
  <c r="E70" i="2"/>
  <c r="D70" i="2"/>
  <c r="G69" i="2"/>
  <c r="F69" i="2"/>
  <c r="E69" i="2"/>
  <c r="D69" i="2"/>
  <c r="G68" i="2"/>
  <c r="F68" i="2"/>
  <c r="E68" i="2"/>
  <c r="D68" i="2"/>
  <c r="G67" i="2"/>
  <c r="F67" i="2"/>
  <c r="E67" i="2"/>
  <c r="D67" i="2"/>
  <c r="G66" i="2"/>
  <c r="F66" i="2"/>
  <c r="E66" i="2"/>
  <c r="D66" i="2"/>
  <c r="G65" i="2"/>
  <c r="F65" i="2"/>
  <c r="E65" i="2"/>
  <c r="D65" i="2"/>
  <c r="G64" i="2"/>
  <c r="F64" i="2"/>
  <c r="E64" i="2"/>
  <c r="D64" i="2"/>
  <c r="G63" i="2"/>
  <c r="F63" i="2"/>
  <c r="E63" i="2"/>
  <c r="D63" i="2"/>
  <c r="G62" i="2"/>
  <c r="F62" i="2"/>
  <c r="E62" i="2"/>
  <c r="D62" i="2"/>
  <c r="G61" i="2"/>
  <c r="F61" i="2"/>
  <c r="E61" i="2"/>
  <c r="D61" i="2"/>
  <c r="G60" i="2"/>
  <c r="F60" i="2"/>
  <c r="E60" i="2"/>
  <c r="D60" i="2"/>
  <c r="G59" i="2"/>
  <c r="F59" i="2"/>
  <c r="E59" i="2"/>
  <c r="D59" i="2"/>
  <c r="G58" i="2"/>
  <c r="F58" i="2"/>
  <c r="E58" i="2"/>
  <c r="D58" i="2"/>
  <c r="G57" i="2"/>
  <c r="F57" i="2"/>
  <c r="E57" i="2"/>
  <c r="D57" i="2"/>
  <c r="G56" i="2"/>
  <c r="F56" i="2"/>
  <c r="E56" i="2"/>
  <c r="D56" i="2"/>
  <c r="G55" i="2"/>
  <c r="F55" i="2"/>
  <c r="E55" i="2"/>
  <c r="D55" i="2"/>
  <c r="G54" i="2"/>
  <c r="F54" i="2"/>
  <c r="E54" i="2"/>
  <c r="D54" i="2"/>
  <c r="G53" i="2"/>
  <c r="F53" i="2"/>
  <c r="E53" i="2"/>
  <c r="D53" i="2"/>
  <c r="G52" i="2"/>
  <c r="F52" i="2"/>
  <c r="E52" i="2"/>
  <c r="D52" i="2"/>
  <c r="G51" i="2"/>
  <c r="F51" i="2"/>
  <c r="E51" i="2"/>
  <c r="D51" i="2"/>
  <c r="G50" i="2"/>
  <c r="F50" i="2"/>
  <c r="E50" i="2"/>
  <c r="D50" i="2"/>
  <c r="G49" i="2"/>
  <c r="F49" i="2"/>
  <c r="E49" i="2"/>
  <c r="D49" i="2"/>
  <c r="G48" i="2"/>
  <c r="F48" i="2"/>
  <c r="E48" i="2"/>
  <c r="D48" i="2"/>
  <c r="G47" i="2"/>
  <c r="F47" i="2"/>
  <c r="E47" i="2"/>
  <c r="D47" i="2"/>
  <c r="G46" i="2"/>
  <c r="F46" i="2"/>
  <c r="E46" i="2"/>
  <c r="D46" i="2"/>
  <c r="G45" i="2"/>
  <c r="F45" i="2"/>
  <c r="E45" i="2"/>
  <c r="D45" i="2"/>
  <c r="G44" i="2"/>
  <c r="F44" i="2"/>
  <c r="E44" i="2"/>
  <c r="D44" i="2"/>
  <c r="G43" i="2"/>
  <c r="F43" i="2"/>
  <c r="E43" i="2"/>
  <c r="D43" i="2"/>
  <c r="G42" i="2"/>
  <c r="F42" i="2"/>
  <c r="E42" i="2"/>
  <c r="D42" i="2"/>
  <c r="G41" i="2"/>
  <c r="F41" i="2"/>
  <c r="E41" i="2"/>
  <c r="D41" i="2"/>
  <c r="G40" i="2"/>
  <c r="F40" i="2"/>
  <c r="E40" i="2"/>
  <c r="D40" i="2"/>
  <c r="G39" i="2"/>
  <c r="F39" i="2"/>
  <c r="E39" i="2"/>
  <c r="D39" i="2"/>
  <c r="G38" i="2"/>
  <c r="F38" i="2"/>
  <c r="E38" i="2"/>
  <c r="D38" i="2"/>
  <c r="G37" i="2"/>
  <c r="F37" i="2"/>
  <c r="E37" i="2"/>
  <c r="D37" i="2"/>
  <c r="G36" i="2"/>
  <c r="F36" i="2"/>
  <c r="E36" i="2"/>
  <c r="D36" i="2"/>
  <c r="G35" i="2"/>
  <c r="F35" i="2"/>
  <c r="E35" i="2"/>
  <c r="D35" i="2"/>
  <c r="G34" i="2"/>
  <c r="F34" i="2"/>
  <c r="E34" i="2"/>
  <c r="D34" i="2"/>
  <c r="G33" i="2"/>
  <c r="F33" i="2"/>
  <c r="E33" i="2"/>
  <c r="D33" i="2"/>
  <c r="G32" i="2"/>
  <c r="F32" i="2"/>
  <c r="E32" i="2"/>
  <c r="D32" i="2"/>
  <c r="G31" i="2"/>
  <c r="F31" i="2"/>
  <c r="E31" i="2"/>
  <c r="D31" i="2"/>
  <c r="G30" i="2"/>
  <c r="F30" i="2"/>
  <c r="E30" i="2"/>
  <c r="D30" i="2"/>
  <c r="G29" i="2"/>
  <c r="F29" i="2"/>
  <c r="E29" i="2"/>
  <c r="D29" i="2"/>
  <c r="G28" i="2"/>
  <c r="F28" i="2"/>
  <c r="E28" i="2"/>
  <c r="D28" i="2"/>
  <c r="G27" i="2"/>
  <c r="F27" i="2"/>
  <c r="E27" i="2"/>
  <c r="D27" i="2"/>
  <c r="G26" i="2"/>
  <c r="F26" i="2"/>
  <c r="E26" i="2"/>
  <c r="D26" i="2"/>
  <c r="G25" i="2"/>
  <c r="F25" i="2"/>
  <c r="E25" i="2"/>
  <c r="D25" i="2"/>
  <c r="G24" i="2"/>
  <c r="F24" i="2"/>
  <c r="E24" i="2"/>
  <c r="D24" i="2"/>
  <c r="G23" i="2"/>
  <c r="F23" i="2"/>
  <c r="E23" i="2"/>
  <c r="D23" i="2"/>
  <c r="G22" i="2"/>
  <c r="F22" i="2"/>
  <c r="E22" i="2"/>
  <c r="D22" i="2"/>
  <c r="G21" i="2"/>
  <c r="F21" i="2"/>
  <c r="E21" i="2"/>
  <c r="D21" i="2"/>
  <c r="G20" i="2"/>
  <c r="F20" i="2"/>
  <c r="E20" i="2"/>
  <c r="D20" i="2"/>
  <c r="G19" i="2"/>
  <c r="F19" i="2"/>
  <c r="E19" i="2"/>
  <c r="D19" i="2"/>
  <c r="G18" i="2"/>
  <c r="F18" i="2"/>
  <c r="E18" i="2"/>
  <c r="D18" i="2"/>
  <c r="G17" i="2"/>
  <c r="F17" i="2"/>
  <c r="E17" i="2"/>
  <c r="D17" i="2"/>
  <c r="G16" i="2"/>
  <c r="F16" i="2"/>
  <c r="E16" i="2"/>
  <c r="D16" i="2"/>
  <c r="G15" i="2"/>
  <c r="F15" i="2"/>
  <c r="E15" i="2"/>
  <c r="D15" i="2"/>
  <c r="G14" i="2"/>
  <c r="F14" i="2"/>
  <c r="E14" i="2"/>
  <c r="D14" i="2"/>
  <c r="G13" i="2"/>
  <c r="F13" i="2"/>
  <c r="E13" i="2"/>
  <c r="D13" i="2"/>
  <c r="G12" i="2"/>
  <c r="F12" i="2"/>
  <c r="E12" i="2"/>
  <c r="D12" i="2"/>
  <c r="G11" i="2"/>
  <c r="F11" i="2"/>
  <c r="E11" i="2"/>
  <c r="D11" i="2"/>
  <c r="G10" i="2"/>
  <c r="F10" i="2"/>
  <c r="E10" i="2"/>
  <c r="D10" i="2"/>
  <c r="G9" i="2"/>
  <c r="F9" i="2"/>
  <c r="E9" i="2"/>
  <c r="D9" i="2"/>
  <c r="G8" i="2"/>
  <c r="F8" i="2"/>
  <c r="E8" i="2"/>
  <c r="D8" i="2"/>
  <c r="G7" i="2"/>
  <c r="F7" i="2"/>
  <c r="E7" i="2"/>
  <c r="D7" i="2"/>
  <c r="G6" i="2"/>
  <c r="F6" i="2"/>
  <c r="E6" i="2"/>
  <c r="D6" i="2"/>
  <c r="G5" i="2"/>
  <c r="F5" i="2"/>
  <c r="E5" i="2"/>
  <c r="D5" i="2"/>
  <c r="G4" i="2"/>
  <c r="F4" i="2"/>
  <c r="E4" i="2"/>
  <c r="D4" i="2"/>
  <c r="G3" i="2"/>
  <c r="F3" i="2"/>
  <c r="E3" i="2"/>
  <c r="D3" i="2"/>
  <c r="G2" i="2"/>
  <c r="F2" i="2"/>
  <c r="E2" i="2"/>
  <c r="D2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2" i="1"/>
</calcChain>
</file>

<file path=xl/sharedStrings.xml><?xml version="1.0" encoding="utf-8"?>
<sst xmlns="http://schemas.openxmlformats.org/spreadsheetml/2006/main" count="22119" uniqueCount="1747">
  <si>
    <t>Filas</t>
  </si>
  <si>
    <t>Áreas Transaccionales Filas No.</t>
  </si>
  <si>
    <t>Áreas Transaccionales Filas Descripción</t>
  </si>
  <si>
    <t>Codigo Transacción Filas</t>
  </si>
  <si>
    <t>Transacción filas</t>
  </si>
  <si>
    <t>Código Productos (CUP)</t>
  </si>
  <si>
    <t>Productos (CUP)</t>
  </si>
  <si>
    <t>Código Bioeconomía Productos</t>
  </si>
  <si>
    <t>Bioeconomía Productos</t>
  </si>
  <si>
    <t>mp_f001</t>
  </si>
  <si>
    <t>ATF01</t>
  </si>
  <si>
    <t>Producción</t>
  </si>
  <si>
    <t>P1</t>
  </si>
  <si>
    <t>Trigo</t>
  </si>
  <si>
    <t>Bioeconomía</t>
  </si>
  <si>
    <t>mp_f002</t>
  </si>
  <si>
    <t>Maíz</t>
  </si>
  <si>
    <t>mp_f003</t>
  </si>
  <si>
    <t>Otros cereales</t>
  </si>
  <si>
    <t>mp_f004</t>
  </si>
  <si>
    <t>Tubérculos y legumbres</t>
  </si>
  <si>
    <t>mp_f005</t>
  </si>
  <si>
    <t>Forrajeras y otros cultivos de uso industrial</t>
  </si>
  <si>
    <t>mp_f006</t>
  </si>
  <si>
    <t>Hortalizas y setas</t>
  </si>
  <si>
    <t>mp_f007</t>
  </si>
  <si>
    <t>Uva vinífera y pisquera</t>
  </si>
  <si>
    <t>mp_f008</t>
  </si>
  <si>
    <t>Uva de mesa</t>
  </si>
  <si>
    <t>mp_f009</t>
  </si>
  <si>
    <t>Manzanas</t>
  </si>
  <si>
    <t>mp_f010</t>
  </si>
  <si>
    <t>Duraznos y otros carozos</t>
  </si>
  <si>
    <t>mp_f011</t>
  </si>
  <si>
    <t>Paltas</t>
  </si>
  <si>
    <t>mp_f012</t>
  </si>
  <si>
    <t>Kiwis y otras frutas tropicales</t>
  </si>
  <si>
    <t>mp_f013</t>
  </si>
  <si>
    <t>Arándanos y otras bayas</t>
  </si>
  <si>
    <t>mp_f014</t>
  </si>
  <si>
    <t>Otras Frutas</t>
  </si>
  <si>
    <t>mp_f015</t>
  </si>
  <si>
    <t>Ganado bovino</t>
  </si>
  <si>
    <t>mp_f016</t>
  </si>
  <si>
    <t>Cerdos</t>
  </si>
  <si>
    <t>mp_f017</t>
  </si>
  <si>
    <t>Aves de corral</t>
  </si>
  <si>
    <t>mp_f018</t>
  </si>
  <si>
    <t>Leche sin procesar</t>
  </si>
  <si>
    <t>mp_f019</t>
  </si>
  <si>
    <t>Huevos</t>
  </si>
  <si>
    <t>mp_f020</t>
  </si>
  <si>
    <t>Otros animales y productos pecuarios</t>
  </si>
  <si>
    <t>mp_f021</t>
  </si>
  <si>
    <t>Servicios de apoyo a la agricultura, ganadería y silvicultura</t>
  </si>
  <si>
    <t>mp_f022</t>
  </si>
  <si>
    <t>Coníferas</t>
  </si>
  <si>
    <t>mp_f023</t>
  </si>
  <si>
    <t>Eucaliptus</t>
  </si>
  <si>
    <t>mp_f024</t>
  </si>
  <si>
    <t>Leña y otros productos silvícolas</t>
  </si>
  <si>
    <t>mp_f025</t>
  </si>
  <si>
    <t>Salmones y truchas de cultivo</t>
  </si>
  <si>
    <t>mp_f026</t>
  </si>
  <si>
    <t>Otros pescados, mariscos y algas</t>
  </si>
  <si>
    <t>mp_f027</t>
  </si>
  <si>
    <t>Carbón</t>
  </si>
  <si>
    <t>No bioeconomía</t>
  </si>
  <si>
    <t>mp_f028</t>
  </si>
  <si>
    <t>Petróleo crudo</t>
  </si>
  <si>
    <t>mp_f029</t>
  </si>
  <si>
    <t>Gas natural</t>
  </si>
  <si>
    <t>mp_f030</t>
  </si>
  <si>
    <t>Cobre</t>
  </si>
  <si>
    <t>mp_f031</t>
  </si>
  <si>
    <t>Minerales de molibdeno y sus concentrados</t>
  </si>
  <si>
    <t>mp_f032</t>
  </si>
  <si>
    <t>Hierro</t>
  </si>
  <si>
    <t>mp_f033</t>
  </si>
  <si>
    <t>Oro</t>
  </si>
  <si>
    <t>mp_f034</t>
  </si>
  <si>
    <t>Plata y otros metalíferos no ferrosos</t>
  </si>
  <si>
    <t>mp_f035</t>
  </si>
  <si>
    <t>Minerales no metálicos</t>
  </si>
  <si>
    <t>mp_f036</t>
  </si>
  <si>
    <t>Servicios de exploración minera</t>
  </si>
  <si>
    <t>mp_f037</t>
  </si>
  <si>
    <t>Carne de bovino</t>
  </si>
  <si>
    <t>mp_f038</t>
  </si>
  <si>
    <t>Carne de porcino</t>
  </si>
  <si>
    <t>mp_f039</t>
  </si>
  <si>
    <t>Carne de ave</t>
  </si>
  <si>
    <t>mp_f040</t>
  </si>
  <si>
    <t>Cecinas y otras carnes</t>
  </si>
  <si>
    <t>mp_f041</t>
  </si>
  <si>
    <t>Harina de pescado</t>
  </si>
  <si>
    <t>mp_f042</t>
  </si>
  <si>
    <t>Aceite de pescado</t>
  </si>
  <si>
    <t>mp_f043</t>
  </si>
  <si>
    <t>Salmon y trucha refrigerados o congelados  </t>
  </si>
  <si>
    <t>mp_f044</t>
  </si>
  <si>
    <t>Otros pescados refrigerados o congelados  </t>
  </si>
  <si>
    <t>mp_f045</t>
  </si>
  <si>
    <t>Conservas de pescados y mariscos</t>
  </si>
  <si>
    <t>mp_f046</t>
  </si>
  <si>
    <t>Conservas de frutas y vegetales</t>
  </si>
  <si>
    <t>mp_f047</t>
  </si>
  <si>
    <t>Otros aceites y grasas</t>
  </si>
  <si>
    <t>mp_f048</t>
  </si>
  <si>
    <t>Leche elaborada</t>
  </si>
  <si>
    <t>mp_f049</t>
  </si>
  <si>
    <t>Otros productos lácteos</t>
  </si>
  <si>
    <t>mp_f050</t>
  </si>
  <si>
    <t>Harina y subproductos de trigo</t>
  </si>
  <si>
    <t>mp_f051</t>
  </si>
  <si>
    <t>Arroz y otros productos de molinería</t>
  </si>
  <si>
    <t>mp_f052</t>
  </si>
  <si>
    <t>Alimento para peces</t>
  </si>
  <si>
    <t>mp_f053</t>
  </si>
  <si>
    <t>Alimento para aves</t>
  </si>
  <si>
    <t>mp_f054</t>
  </si>
  <si>
    <t>Otros alimentos para animales</t>
  </si>
  <si>
    <t>mp_f055</t>
  </si>
  <si>
    <t>Pan y otros productos de panadería</t>
  </si>
  <si>
    <t>mp_f056</t>
  </si>
  <si>
    <t>Fideos y pastas</t>
  </si>
  <si>
    <t>mp_f057</t>
  </si>
  <si>
    <t>Azúcar</t>
  </si>
  <si>
    <t>mp_f058</t>
  </si>
  <si>
    <t>Otros productos alimenticios</t>
  </si>
  <si>
    <t>mp_f059</t>
  </si>
  <si>
    <t>Piscos y otros licores</t>
  </si>
  <si>
    <t>mp_f060</t>
  </si>
  <si>
    <t>Vinos</t>
  </si>
  <si>
    <t>mp_f061</t>
  </si>
  <si>
    <t>Cervezas</t>
  </si>
  <si>
    <t>mp_f062</t>
  </si>
  <si>
    <t>Bebidas no alcohólicas</t>
  </si>
  <si>
    <t>mp_f063</t>
  </si>
  <si>
    <t>Productos de tabaco</t>
  </si>
  <si>
    <t>mp_f064</t>
  </si>
  <si>
    <t>Productos textiles</t>
  </si>
  <si>
    <t>Bioeconomía extendida</t>
  </si>
  <si>
    <t>mp_f065</t>
  </si>
  <si>
    <t>Prendas de vestir</t>
  </si>
  <si>
    <t>mp_f066</t>
  </si>
  <si>
    <t>Cueros y productos de cuero</t>
  </si>
  <si>
    <t>mp_f067</t>
  </si>
  <si>
    <t>Calzado</t>
  </si>
  <si>
    <t>mp_f068</t>
  </si>
  <si>
    <t>Madera aserrada, cepillada y astillada</t>
  </si>
  <si>
    <t>mp_f069</t>
  </si>
  <si>
    <t>Tableros y madera prensada</t>
  </si>
  <si>
    <t>mp_f070</t>
  </si>
  <si>
    <t>Otros productos de madera</t>
  </si>
  <si>
    <t>mp_f071</t>
  </si>
  <si>
    <t>Celulosa</t>
  </si>
  <si>
    <t>mp_f072</t>
  </si>
  <si>
    <t>Papel periódico</t>
  </si>
  <si>
    <t>mp_f073</t>
  </si>
  <si>
    <t>Envases de papel y cartón</t>
  </si>
  <si>
    <t>mp_f074</t>
  </si>
  <si>
    <t>Productos tissue</t>
  </si>
  <si>
    <t>mp_f075</t>
  </si>
  <si>
    <t>Otros papeles y cartones</t>
  </si>
  <si>
    <t>mp_f076</t>
  </si>
  <si>
    <t>Libros, diarios, revistas y otros impresos</t>
  </si>
  <si>
    <t>mp_f077</t>
  </si>
  <si>
    <t>Diésel</t>
  </si>
  <si>
    <t>mp_f078</t>
  </si>
  <si>
    <t>Gasolinas</t>
  </si>
  <si>
    <t>mp_f079</t>
  </si>
  <si>
    <t>Kerosene</t>
  </si>
  <si>
    <t>mp_f080</t>
  </si>
  <si>
    <t>Aceites combustibles</t>
  </si>
  <si>
    <t>mp_f081</t>
  </si>
  <si>
    <t>Gas licuado y otros combustibles</t>
  </si>
  <si>
    <t>mp_f082</t>
  </si>
  <si>
    <t>Abonos y plaguicidas</t>
  </si>
  <si>
    <t>mp_f083</t>
  </si>
  <si>
    <t>Oxido de molibdeno</t>
  </si>
  <si>
    <t>mp_f084</t>
  </si>
  <si>
    <t>Otros productos químicos básicos</t>
  </si>
  <si>
    <t>mp_f085</t>
  </si>
  <si>
    <t>Pinturas y barnices</t>
  </si>
  <si>
    <t>mp_f086</t>
  </si>
  <si>
    <t>Productos farmacéuticos</t>
  </si>
  <si>
    <t>mp_f087</t>
  </si>
  <si>
    <t>Productos de aseo y cosméticos</t>
  </si>
  <si>
    <t>mp_f088</t>
  </si>
  <si>
    <t>Explosivos y detonadores</t>
  </si>
  <si>
    <t>mp_f089</t>
  </si>
  <si>
    <t>Otros productos químicos</t>
  </si>
  <si>
    <t>mp_f090</t>
  </si>
  <si>
    <t>Productos de caucho</t>
  </si>
  <si>
    <t>mp_f091</t>
  </si>
  <si>
    <t>Productos de plástico</t>
  </si>
  <si>
    <t>mp_f092</t>
  </si>
  <si>
    <t>Botellas de vidrio</t>
  </si>
  <si>
    <t>mp_f093</t>
  </si>
  <si>
    <t>Otros productos de vidrio</t>
  </si>
  <si>
    <t>mp_f094</t>
  </si>
  <si>
    <t>Cemento, cal y yeso</t>
  </si>
  <si>
    <t>mp_f095</t>
  </si>
  <si>
    <t>Hormigón premezclado</t>
  </si>
  <si>
    <t>mp_f096</t>
  </si>
  <si>
    <t>Mezclas asfálticas</t>
  </si>
  <si>
    <t>mp_f097</t>
  </si>
  <si>
    <t>Otros productos de minerales no metálicos</t>
  </si>
  <si>
    <t>mp_f098</t>
  </si>
  <si>
    <t>Ferromolibdeno y otros productos básicos de acero</t>
  </si>
  <si>
    <t>mp_f099</t>
  </si>
  <si>
    <t>Productos de hierro y acero</t>
  </si>
  <si>
    <t>mp_f100</t>
  </si>
  <si>
    <t>Productos básicos de metales no ferrosos</t>
  </si>
  <si>
    <t>mp_f101</t>
  </si>
  <si>
    <t>Productos metálicos de uso estructural</t>
  </si>
  <si>
    <t>mp_f102</t>
  </si>
  <si>
    <t>Otros productos metálicos</t>
  </si>
  <si>
    <t>mp_f103</t>
  </si>
  <si>
    <t>Maquinaria para uso industrial</t>
  </si>
  <si>
    <t>mp_f104</t>
  </si>
  <si>
    <t>Computadores y sus componentes</t>
  </si>
  <si>
    <t>mp_f105</t>
  </si>
  <si>
    <t>Otras maquinarias de oficina</t>
  </si>
  <si>
    <t>mp_f106</t>
  </si>
  <si>
    <t>Televisores</t>
  </si>
  <si>
    <t>mp_f107</t>
  </si>
  <si>
    <t>Teléfonos móviles</t>
  </si>
  <si>
    <t>mp_f108</t>
  </si>
  <si>
    <t>Máquinas y aparatos de uso doméstico</t>
  </si>
  <si>
    <t>mp_f109</t>
  </si>
  <si>
    <t>Otras maquinarias y equipos eléctricos</t>
  </si>
  <si>
    <t>mp_f110</t>
  </si>
  <si>
    <t>Automóviles</t>
  </si>
  <si>
    <t>mp_f111</t>
  </si>
  <si>
    <t>Buses</t>
  </si>
  <si>
    <t>mp_f112</t>
  </si>
  <si>
    <t>Otros vehículos automotores</t>
  </si>
  <si>
    <t>mp_f113</t>
  </si>
  <si>
    <t>Material de transporte marítimo y aéreo</t>
  </si>
  <si>
    <t>mp_f114</t>
  </si>
  <si>
    <t>Otros equipos de transporte terrestre y sus partes y piezas</t>
  </si>
  <si>
    <t>mp_f115</t>
  </si>
  <si>
    <t>Muebles</t>
  </si>
  <si>
    <t>mp_f116</t>
  </si>
  <si>
    <t>Otros productos manufacturados y desperdicios</t>
  </si>
  <si>
    <t>mp_f117</t>
  </si>
  <si>
    <t>Reparación e instalación de maquinaria y equipo, excepto de transporte</t>
  </si>
  <si>
    <t>mp_f118</t>
  </si>
  <si>
    <t>Servicios de mantenimiento y reparación de equipo de transporte</t>
  </si>
  <si>
    <t>mp_f119</t>
  </si>
  <si>
    <t>Energía y potencia eléctrica</t>
  </si>
  <si>
    <t>mp_f120</t>
  </si>
  <si>
    <t>Servicios de transmisión de electricidad</t>
  </si>
  <si>
    <t>mp_f121</t>
  </si>
  <si>
    <t>Servicios de distribución de electricidad</t>
  </si>
  <si>
    <t>mp_f122</t>
  </si>
  <si>
    <t>Gas distribuido por ductos</t>
  </si>
  <si>
    <t>mp_f123</t>
  </si>
  <si>
    <t>Agua</t>
  </si>
  <si>
    <t>mp_f124</t>
  </si>
  <si>
    <t>Servicios de eliminación de desperdicios y reciclaje</t>
  </si>
  <si>
    <t>mp_f125</t>
  </si>
  <si>
    <t>Edificios residenciales</t>
  </si>
  <si>
    <t>mp_f126</t>
  </si>
  <si>
    <t>Edificios no residenciales</t>
  </si>
  <si>
    <t>mp_f127</t>
  </si>
  <si>
    <t>Obras viales</t>
  </si>
  <si>
    <t>mp_f128</t>
  </si>
  <si>
    <t>Obras de proyectos de energía eléctrica</t>
  </si>
  <si>
    <t>mp_f129</t>
  </si>
  <si>
    <t>Obras mineras</t>
  </si>
  <si>
    <t>mp_f130</t>
  </si>
  <si>
    <t>Otras obras de ingeniería</t>
  </si>
  <si>
    <t>mp_f131</t>
  </si>
  <si>
    <t>Servicios de construcción</t>
  </si>
  <si>
    <t>mp_f132</t>
  </si>
  <si>
    <t>Servicios comerciales de intermediación automotriz</t>
  </si>
  <si>
    <t>mp_f133</t>
  </si>
  <si>
    <t>Servicios comerciales de intermediación mayorista</t>
  </si>
  <si>
    <t>mp_f134</t>
  </si>
  <si>
    <t>Servicios comerciales de intermediación minorista</t>
  </si>
  <si>
    <t>mp_f135</t>
  </si>
  <si>
    <t>Servicios comerciales a cambio de una retribución o por contrata</t>
  </si>
  <si>
    <t>mp_f136</t>
  </si>
  <si>
    <t>Servicios de mantenimiento y reparación de vehículos automotores</t>
  </si>
  <si>
    <t>mp_f137</t>
  </si>
  <si>
    <t>Servicios de hotelería</t>
  </si>
  <si>
    <t>mp_f138</t>
  </si>
  <si>
    <t>Servicios de restaurantes</t>
  </si>
  <si>
    <t>mp_f139</t>
  </si>
  <si>
    <t>Servicios de transporte por ferrocarril</t>
  </si>
  <si>
    <t>mp_f140</t>
  </si>
  <si>
    <t>Servicios de transporte caminero de pasajeros</t>
  </si>
  <si>
    <t>mp_f141</t>
  </si>
  <si>
    <t>Servicios de transporte caminero de carga</t>
  </si>
  <si>
    <t>mp_f142</t>
  </si>
  <si>
    <t>Transporte por tuberías (gasoductos y oleoductos)</t>
  </si>
  <si>
    <t>mp_f143</t>
  </si>
  <si>
    <t>Servicios de transporte marítimo</t>
  </si>
  <si>
    <t>mp_f144</t>
  </si>
  <si>
    <t>Servicios de arriendo de embarcaciones</t>
  </si>
  <si>
    <t>mp_f145</t>
  </si>
  <si>
    <t>Servicios de transporte aéreo de pasajeros</t>
  </si>
  <si>
    <t>mp_f146</t>
  </si>
  <si>
    <t>Servicios de transporte aéreo de carga y arriendo de naves</t>
  </si>
  <si>
    <t>mp_f147</t>
  </si>
  <si>
    <t>Almacenamiento y depósito</t>
  </si>
  <si>
    <t>mp_f148</t>
  </si>
  <si>
    <t>Servicios de carreteras, estacionamientos y estaciones de autobuses</t>
  </si>
  <si>
    <t>mp_f149</t>
  </si>
  <si>
    <t>Servicios de puertos y aeropuertos</t>
  </si>
  <si>
    <t>mp_f150</t>
  </si>
  <si>
    <t>Otros conexos de transporte</t>
  </si>
  <si>
    <t>mp_f151</t>
  </si>
  <si>
    <t>Servicio de correo y mensajería</t>
  </si>
  <si>
    <t>mp_f152</t>
  </si>
  <si>
    <t>Servicios de telefonía móvil</t>
  </si>
  <si>
    <t>mp_f153</t>
  </si>
  <si>
    <t>Servicios de telefonía fija y de larga distancia</t>
  </si>
  <si>
    <t>mp_f154</t>
  </si>
  <si>
    <t>Otros servicios de telefonía</t>
  </si>
  <si>
    <t>mp_f155</t>
  </si>
  <si>
    <t>Servicios informáticos</t>
  </si>
  <si>
    <t>mp_f156</t>
  </si>
  <si>
    <t>Servicios de edición, producción y difusión</t>
  </si>
  <si>
    <t>mp_f157</t>
  </si>
  <si>
    <t>Servicios de intermediación financiera</t>
  </si>
  <si>
    <t>mp_f158</t>
  </si>
  <si>
    <t>Servicios de intermediación financiera medidos indirectamente (SIFMI)</t>
  </si>
  <si>
    <t>mp_f159</t>
  </si>
  <si>
    <t>Servicios de seguros de vida</t>
  </si>
  <si>
    <t>mp_f160</t>
  </si>
  <si>
    <t>Servicios de seguros generales</t>
  </si>
  <si>
    <t>mp_f161</t>
  </si>
  <si>
    <t>Servicios auxiliares de intermediación financiera</t>
  </si>
  <si>
    <t>mp_f162</t>
  </si>
  <si>
    <t>Servicios inmobiliarios</t>
  </si>
  <si>
    <t>mp_f163</t>
  </si>
  <si>
    <t>Servicios de vivienda</t>
  </si>
  <si>
    <t>mp_f164</t>
  </si>
  <si>
    <t>Servicios jurídicos y contables</t>
  </si>
  <si>
    <t>mp_f165</t>
  </si>
  <si>
    <t>Servicios de arquitectura e ingeniería</t>
  </si>
  <si>
    <t>mp_f166</t>
  </si>
  <si>
    <t>Servicios de publicidad e investigación de mercados</t>
  </si>
  <si>
    <t>mp_f167</t>
  </si>
  <si>
    <t>Investigación y desarrollo</t>
  </si>
  <si>
    <t>mp_f168</t>
  </si>
  <si>
    <t>Otros servicios profesionales, técnico y de negocios</t>
  </si>
  <si>
    <t>mp_f169</t>
  </si>
  <si>
    <t>Servicios de alquiler sin operarios</t>
  </si>
  <si>
    <t>mp_f170</t>
  </si>
  <si>
    <t>Servicios de suministro de personal, limpieza, seguridad y otros de apoyo</t>
  </si>
  <si>
    <t>mp_f171</t>
  </si>
  <si>
    <t>Servicios de administración pública</t>
  </si>
  <si>
    <t>mp_f172</t>
  </si>
  <si>
    <t>Servicios de educación pública</t>
  </si>
  <si>
    <t>mp_f173</t>
  </si>
  <si>
    <t>Servicios de educación privada</t>
  </si>
  <si>
    <t>mp_f174</t>
  </si>
  <si>
    <t>Servicios de salud pública</t>
  </si>
  <si>
    <t>mp_f175</t>
  </si>
  <si>
    <t>Servicios de salud privada</t>
  </si>
  <si>
    <t>mp_f176</t>
  </si>
  <si>
    <t>Servicios sociales y de asociaciones</t>
  </si>
  <si>
    <t>mp_f177</t>
  </si>
  <si>
    <t>Servicios de esparcimiento</t>
  </si>
  <si>
    <t>mp_f178</t>
  </si>
  <si>
    <t>Reparación de artículos domésticos</t>
  </si>
  <si>
    <t>mp_f179</t>
  </si>
  <si>
    <t>Servicio doméstico</t>
  </si>
  <si>
    <t>mp_f180</t>
  </si>
  <si>
    <t>Otros servicios personales</t>
  </si>
  <si>
    <t>mp_f181</t>
  </si>
  <si>
    <t>Otros bienes y servicios</t>
  </si>
  <si>
    <t>ot_f001</t>
  </si>
  <si>
    <t>ot_f002</t>
  </si>
  <si>
    <t>ot_f003</t>
  </si>
  <si>
    <t>ot_f004</t>
  </si>
  <si>
    <t>ot_f005</t>
  </si>
  <si>
    <t>ot_f006</t>
  </si>
  <si>
    <t>ot_f007</t>
  </si>
  <si>
    <t>ot_f008</t>
  </si>
  <si>
    <t>ot_f009</t>
  </si>
  <si>
    <t>ot_f010</t>
  </si>
  <si>
    <t>ot_f011</t>
  </si>
  <si>
    <t>ot_f012</t>
  </si>
  <si>
    <t>ot_f013</t>
  </si>
  <si>
    <t>ot_f014</t>
  </si>
  <si>
    <t>ot_f015</t>
  </si>
  <si>
    <t>ot_f016</t>
  </si>
  <si>
    <t>ot_f017</t>
  </si>
  <si>
    <t>ot_f018</t>
  </si>
  <si>
    <t>ot_f019</t>
  </si>
  <si>
    <t>ot_f020</t>
  </si>
  <si>
    <t>ot_f021</t>
  </si>
  <si>
    <t>ot_f022</t>
  </si>
  <si>
    <t>ot_f023</t>
  </si>
  <si>
    <t>ot_f024</t>
  </si>
  <si>
    <t>ot_f025</t>
  </si>
  <si>
    <t>ot_f026</t>
  </si>
  <si>
    <t>ot_f027</t>
  </si>
  <si>
    <t>ot_f028</t>
  </si>
  <si>
    <t>ot_f029</t>
  </si>
  <si>
    <t>ot_f030</t>
  </si>
  <si>
    <t>ot_f031</t>
  </si>
  <si>
    <t>ot_f032</t>
  </si>
  <si>
    <t>ot_f033</t>
  </si>
  <si>
    <t>ot_f034</t>
  </si>
  <si>
    <t>ot_f035</t>
  </si>
  <si>
    <t>ot_f036</t>
  </si>
  <si>
    <t>ot_f037</t>
  </si>
  <si>
    <t>ot_f038</t>
  </si>
  <si>
    <t>ot_f039</t>
  </si>
  <si>
    <t>ot_f040</t>
  </si>
  <si>
    <t>ot_f041</t>
  </si>
  <si>
    <t>ot_f042</t>
  </si>
  <si>
    <t>ot_f043</t>
  </si>
  <si>
    <t>ot_f044</t>
  </si>
  <si>
    <t>ot_f045</t>
  </si>
  <si>
    <t>ot_f046</t>
  </si>
  <si>
    <t>ot_f047</t>
  </si>
  <si>
    <t>ot_f048</t>
  </si>
  <si>
    <t>ot_f049</t>
  </si>
  <si>
    <t>ot_f050</t>
  </si>
  <si>
    <t>ot_f051</t>
  </si>
  <si>
    <t>ot_f052</t>
  </si>
  <si>
    <t>ot_f053</t>
  </si>
  <si>
    <t>ot_f054</t>
  </si>
  <si>
    <t>ot_f055</t>
  </si>
  <si>
    <t>ot_f056</t>
  </si>
  <si>
    <t>ot_f057</t>
  </si>
  <si>
    <t>ot_f058</t>
  </si>
  <si>
    <t>ot_f059</t>
  </si>
  <si>
    <t>ot_f060</t>
  </si>
  <si>
    <t>ot_f061</t>
  </si>
  <si>
    <t>ot_f062</t>
  </si>
  <si>
    <t>ot_f063</t>
  </si>
  <si>
    <t>ot_f064</t>
  </si>
  <si>
    <t>ot_f065</t>
  </si>
  <si>
    <t>ot_f066</t>
  </si>
  <si>
    <t>ot_f067</t>
  </si>
  <si>
    <t>ot_f068</t>
  </si>
  <si>
    <t>ot_f069</t>
  </si>
  <si>
    <t>ot_f070</t>
  </si>
  <si>
    <t>ot_f071</t>
  </si>
  <si>
    <t>ot_f072</t>
  </si>
  <si>
    <t>ot_f073</t>
  </si>
  <si>
    <t>ot_f074</t>
  </si>
  <si>
    <t>ot_f075</t>
  </si>
  <si>
    <t>ot_f076</t>
  </si>
  <si>
    <t>ot_f077</t>
  </si>
  <si>
    <t>ot_f078</t>
  </si>
  <si>
    <t>ot_f079</t>
  </si>
  <si>
    <t>ot_f080</t>
  </si>
  <si>
    <t>ot_f081</t>
  </si>
  <si>
    <t>ot_f082</t>
  </si>
  <si>
    <t>ot_f083</t>
  </si>
  <si>
    <t>ot_f084</t>
  </si>
  <si>
    <t>ot_f085</t>
  </si>
  <si>
    <t>ot_f086</t>
  </si>
  <si>
    <t>ot_f087</t>
  </si>
  <si>
    <t>ot_f088</t>
  </si>
  <si>
    <t>ot_f089</t>
  </si>
  <si>
    <t>ot_f090</t>
  </si>
  <si>
    <t>ot_f091</t>
  </si>
  <si>
    <t>ot_f092</t>
  </si>
  <si>
    <t>ot_f093</t>
  </si>
  <si>
    <t>ot_f094</t>
  </si>
  <si>
    <t>ot_f095</t>
  </si>
  <si>
    <t>ot_f096</t>
  </si>
  <si>
    <t>ot_f097</t>
  </si>
  <si>
    <t>ot_f098</t>
  </si>
  <si>
    <t>ot_f099</t>
  </si>
  <si>
    <t>ot_f100</t>
  </si>
  <si>
    <t>ot_f101</t>
  </si>
  <si>
    <t>ot_f102</t>
  </si>
  <si>
    <t>ot_f103</t>
  </si>
  <si>
    <t>ot_f104</t>
  </si>
  <si>
    <t>ot_f105</t>
  </si>
  <si>
    <t>ot_f106</t>
  </si>
  <si>
    <t>ot_f107</t>
  </si>
  <si>
    <t>ot_f108</t>
  </si>
  <si>
    <t>ot_f109</t>
  </si>
  <si>
    <t>ot_f110</t>
  </si>
  <si>
    <t>ot_f111</t>
  </si>
  <si>
    <t>ot_f112</t>
  </si>
  <si>
    <t>ot_f113</t>
  </si>
  <si>
    <t>ot_f114</t>
  </si>
  <si>
    <t>ot_f115</t>
  </si>
  <si>
    <t>ot_f116</t>
  </si>
  <si>
    <t>ot_f117</t>
  </si>
  <si>
    <t>ot_f118</t>
  </si>
  <si>
    <t>ot_f119</t>
  </si>
  <si>
    <t>ot_f120</t>
  </si>
  <si>
    <t>ot_f121</t>
  </si>
  <si>
    <t>ot_f122</t>
  </si>
  <si>
    <t>ot_f123</t>
  </si>
  <si>
    <t>ot_f124</t>
  </si>
  <si>
    <t>ot_f125</t>
  </si>
  <si>
    <t>ot_f126</t>
  </si>
  <si>
    <t>ot_f127</t>
  </si>
  <si>
    <t>ot_f128</t>
  </si>
  <si>
    <t>ot_f129</t>
  </si>
  <si>
    <t>ot_f130</t>
  </si>
  <si>
    <t>ot_f131</t>
  </si>
  <si>
    <t>ot_f132</t>
  </si>
  <si>
    <t>ot_f133</t>
  </si>
  <si>
    <t>ot_f134</t>
  </si>
  <si>
    <t>ot_f135</t>
  </si>
  <si>
    <t>ot_f136</t>
  </si>
  <si>
    <t>ot_f137</t>
  </si>
  <si>
    <t>ot_f138</t>
  </si>
  <si>
    <t>ot_f139</t>
  </si>
  <si>
    <t>ot_f140</t>
  </si>
  <si>
    <t>ot_f141</t>
  </si>
  <si>
    <t>ot_f142</t>
  </si>
  <si>
    <t>ot_f143</t>
  </si>
  <si>
    <t>ot_f144</t>
  </si>
  <si>
    <t>ot_f145</t>
  </si>
  <si>
    <t>ot_f146</t>
  </si>
  <si>
    <t>ot_f147</t>
  </si>
  <si>
    <t>ot_f148</t>
  </si>
  <si>
    <t>ot_f149</t>
  </si>
  <si>
    <t>ot_f150</t>
  </si>
  <si>
    <t>ot_f151</t>
  </si>
  <si>
    <t>ot_f152</t>
  </si>
  <si>
    <t>ot_f153</t>
  </si>
  <si>
    <t>ot_f154</t>
  </si>
  <si>
    <t>ot_f155</t>
  </si>
  <si>
    <t>ot_f156</t>
  </si>
  <si>
    <t>ot_f157</t>
  </si>
  <si>
    <t>ot_f158</t>
  </si>
  <si>
    <t>ot_f159</t>
  </si>
  <si>
    <t>ot_f160</t>
  </si>
  <si>
    <t>ot_f161</t>
  </si>
  <si>
    <t>ot_f162</t>
  </si>
  <si>
    <t>ot_f163</t>
  </si>
  <si>
    <t>ot_f164</t>
  </si>
  <si>
    <t>ot_f165</t>
  </si>
  <si>
    <t>ot_f166</t>
  </si>
  <si>
    <t>ot_f167</t>
  </si>
  <si>
    <t>ot_f168</t>
  </si>
  <si>
    <t>ot_f169</t>
  </si>
  <si>
    <t>ot_f170</t>
  </si>
  <si>
    <t>ot_f171</t>
  </si>
  <si>
    <t>ot_f172</t>
  </si>
  <si>
    <t>ot_f173</t>
  </si>
  <si>
    <t>ot_f174</t>
  </si>
  <si>
    <t>ot_f175</t>
  </si>
  <si>
    <t>ot_f176</t>
  </si>
  <si>
    <t>ot_f177</t>
  </si>
  <si>
    <t>ot_f178</t>
  </si>
  <si>
    <t>ot_f179</t>
  </si>
  <si>
    <t>ot_f180</t>
  </si>
  <si>
    <t>ot_f181</t>
  </si>
  <si>
    <t>ui_f001</t>
  </si>
  <si>
    <t>ATF02</t>
  </si>
  <si>
    <t>Consumo intermedio</t>
  </si>
  <si>
    <t>P2</t>
  </si>
  <si>
    <t>ui_f002</t>
  </si>
  <si>
    <t>ui_f003</t>
  </si>
  <si>
    <t>ui_f004</t>
  </si>
  <si>
    <t>ui_f005</t>
  </si>
  <si>
    <t>ui_f006</t>
  </si>
  <si>
    <t>ui_f007</t>
  </si>
  <si>
    <t>ui_f008</t>
  </si>
  <si>
    <t>ui_f009</t>
  </si>
  <si>
    <t>ui_f010</t>
  </si>
  <si>
    <t>ui_f011</t>
  </si>
  <si>
    <t>ui_f012</t>
  </si>
  <si>
    <t>ui_f013</t>
  </si>
  <si>
    <t>ui_f014</t>
  </si>
  <si>
    <t>ui_f015</t>
  </si>
  <si>
    <t>ui_f016</t>
  </si>
  <si>
    <t>ui_f017</t>
  </si>
  <si>
    <t>ui_f018</t>
  </si>
  <si>
    <t>ui_f019</t>
  </si>
  <si>
    <t>ui_f020</t>
  </si>
  <si>
    <t>ui_f021</t>
  </si>
  <si>
    <t>ui_f022</t>
  </si>
  <si>
    <t>ui_f023</t>
  </si>
  <si>
    <t>ui_f024</t>
  </si>
  <si>
    <t>ui_f025</t>
  </si>
  <si>
    <t>ui_f026</t>
  </si>
  <si>
    <t>ui_f027</t>
  </si>
  <si>
    <t>ui_f028</t>
  </si>
  <si>
    <t>ui_f029</t>
  </si>
  <si>
    <t>ui_f030</t>
  </si>
  <si>
    <t>ui_f031</t>
  </si>
  <si>
    <t>ui_f032</t>
  </si>
  <si>
    <t>ui_f033</t>
  </si>
  <si>
    <t>ui_f034</t>
  </si>
  <si>
    <t>ui_f035</t>
  </si>
  <si>
    <t>ui_f036</t>
  </si>
  <si>
    <t>ui_f037</t>
  </si>
  <si>
    <t>ui_f038</t>
  </si>
  <si>
    <t>ui_f039</t>
  </si>
  <si>
    <t>ui_f040</t>
  </si>
  <si>
    <t>ui_f041</t>
  </si>
  <si>
    <t>ui_f042</t>
  </si>
  <si>
    <t>ui_f043</t>
  </si>
  <si>
    <t>ui_f044</t>
  </si>
  <si>
    <t>ui_f045</t>
  </si>
  <si>
    <t>ui_f046</t>
  </si>
  <si>
    <t>ui_f047</t>
  </si>
  <si>
    <t>ui_f048</t>
  </si>
  <si>
    <t>ui_f049</t>
  </si>
  <si>
    <t>ui_f050</t>
  </si>
  <si>
    <t>ui_f051</t>
  </si>
  <si>
    <t>ui_f052</t>
  </si>
  <si>
    <t>ui_f053</t>
  </si>
  <si>
    <t>ui_f054</t>
  </si>
  <si>
    <t>ui_f055</t>
  </si>
  <si>
    <t>ui_f056</t>
  </si>
  <si>
    <t>ui_f057</t>
  </si>
  <si>
    <t>ui_f058</t>
  </si>
  <si>
    <t>ui_f059</t>
  </si>
  <si>
    <t>ui_f060</t>
  </si>
  <si>
    <t>ui_f061</t>
  </si>
  <si>
    <t>ui_f062</t>
  </si>
  <si>
    <t>ui_f063</t>
  </si>
  <si>
    <t>ui_f064</t>
  </si>
  <si>
    <t>ui_f065</t>
  </si>
  <si>
    <t>ui_f066</t>
  </si>
  <si>
    <t>ui_f067</t>
  </si>
  <si>
    <t>ui_f068</t>
  </si>
  <si>
    <t>ui_f069</t>
  </si>
  <si>
    <t>ui_f070</t>
  </si>
  <si>
    <t>ui_f071</t>
  </si>
  <si>
    <t>ui_f072</t>
  </si>
  <si>
    <t>ui_f073</t>
  </si>
  <si>
    <t>ui_f074</t>
  </si>
  <si>
    <t>ui_f075</t>
  </si>
  <si>
    <t>ui_f076</t>
  </si>
  <si>
    <t>ui_f077</t>
  </si>
  <si>
    <t>ui_f078</t>
  </si>
  <si>
    <t>ui_f079</t>
  </si>
  <si>
    <t>ui_f080</t>
  </si>
  <si>
    <t>ui_f081</t>
  </si>
  <si>
    <t>ui_f082</t>
  </si>
  <si>
    <t>ui_f083</t>
  </si>
  <si>
    <t>ui_f084</t>
  </si>
  <si>
    <t>ui_f085</t>
  </si>
  <si>
    <t>ui_f086</t>
  </si>
  <si>
    <t>ui_f087</t>
  </si>
  <si>
    <t>ui_f088</t>
  </si>
  <si>
    <t>ui_f089</t>
  </si>
  <si>
    <t>ui_f090</t>
  </si>
  <si>
    <t>ui_f091</t>
  </si>
  <si>
    <t>ui_f092</t>
  </si>
  <si>
    <t>ui_f093</t>
  </si>
  <si>
    <t>ui_f094</t>
  </si>
  <si>
    <t>ui_f095</t>
  </si>
  <si>
    <t>ui_f096</t>
  </si>
  <si>
    <t>ui_f097</t>
  </si>
  <si>
    <t>ui_f098</t>
  </si>
  <si>
    <t>ui_f099</t>
  </si>
  <si>
    <t>ui_f100</t>
  </si>
  <si>
    <t>ui_f101</t>
  </si>
  <si>
    <t>ui_f102</t>
  </si>
  <si>
    <t>ui_f103</t>
  </si>
  <si>
    <t>ui_f104</t>
  </si>
  <si>
    <t>ui_f105</t>
  </si>
  <si>
    <t>ui_f106</t>
  </si>
  <si>
    <t>ui_f107</t>
  </si>
  <si>
    <t>ui_f108</t>
  </si>
  <si>
    <t>ui_f109</t>
  </si>
  <si>
    <t>ui_f110</t>
  </si>
  <si>
    <t>ui_f111</t>
  </si>
  <si>
    <t>ui_f112</t>
  </si>
  <si>
    <t>ui_f113</t>
  </si>
  <si>
    <t>ui_f114</t>
  </si>
  <si>
    <t>ui_f115</t>
  </si>
  <si>
    <t>ui_f116</t>
  </si>
  <si>
    <t>ui_f117</t>
  </si>
  <si>
    <t>ui_f118</t>
  </si>
  <si>
    <t>ui_f119</t>
  </si>
  <si>
    <t>ui_f120</t>
  </si>
  <si>
    <t>ui_f121</t>
  </si>
  <si>
    <t>ui_f122</t>
  </si>
  <si>
    <t>ui_f123</t>
  </si>
  <si>
    <t>ui_f124</t>
  </si>
  <si>
    <t>ui_f125</t>
  </si>
  <si>
    <t>ui_f126</t>
  </si>
  <si>
    <t>ui_f127</t>
  </si>
  <si>
    <t>ui_f128</t>
  </si>
  <si>
    <t>ui_f129</t>
  </si>
  <si>
    <t>ui_f130</t>
  </si>
  <si>
    <t>ui_f131</t>
  </si>
  <si>
    <t>ui_f132</t>
  </si>
  <si>
    <t>ui_f133</t>
  </si>
  <si>
    <t>ui_f134</t>
  </si>
  <si>
    <t>ui_f135</t>
  </si>
  <si>
    <t>ui_f136</t>
  </si>
  <si>
    <t>ui_f137</t>
  </si>
  <si>
    <t>ui_f138</t>
  </si>
  <si>
    <t>ui_f139</t>
  </si>
  <si>
    <t>ui_f140</t>
  </si>
  <si>
    <t>ui_f141</t>
  </si>
  <si>
    <t>ui_f142</t>
  </si>
  <si>
    <t>ui_f143</t>
  </si>
  <si>
    <t>ui_f144</t>
  </si>
  <si>
    <t>ui_f145</t>
  </si>
  <si>
    <t>ui_f146</t>
  </si>
  <si>
    <t>ui_f147</t>
  </si>
  <si>
    <t>ui_f148</t>
  </si>
  <si>
    <t>ui_f149</t>
  </si>
  <si>
    <t>ui_f150</t>
  </si>
  <si>
    <t>ui_f151</t>
  </si>
  <si>
    <t>ui_f152</t>
  </si>
  <si>
    <t>ui_f153</t>
  </si>
  <si>
    <t>ui_f154</t>
  </si>
  <si>
    <t>ui_f155</t>
  </si>
  <si>
    <t>ui_f156</t>
  </si>
  <si>
    <t>ui_f157</t>
  </si>
  <si>
    <t>ui_f158</t>
  </si>
  <si>
    <t>ui_f159</t>
  </si>
  <si>
    <t>ui_f160</t>
  </si>
  <si>
    <t>ui_f161</t>
  </si>
  <si>
    <t>ui_f162</t>
  </si>
  <si>
    <t>ui_f163</t>
  </si>
  <si>
    <t>ui_f164</t>
  </si>
  <si>
    <t>ui_f165</t>
  </si>
  <si>
    <t>ui_f166</t>
  </si>
  <si>
    <t>ui_f167</t>
  </si>
  <si>
    <t>ui_f168</t>
  </si>
  <si>
    <t>ui_f169</t>
  </si>
  <si>
    <t>ui_f170</t>
  </si>
  <si>
    <t>ui_f171</t>
  </si>
  <si>
    <t>ui_f172</t>
  </si>
  <si>
    <t>ui_f173</t>
  </si>
  <si>
    <t>ui_f174</t>
  </si>
  <si>
    <t>ui_f175</t>
  </si>
  <si>
    <t>ui_f176</t>
  </si>
  <si>
    <t>ui_f177</t>
  </si>
  <si>
    <t>ui_f178</t>
  </si>
  <si>
    <t>ui_f179</t>
  </si>
  <si>
    <t>ui_f180</t>
  </si>
  <si>
    <t>ui_f181</t>
  </si>
  <si>
    <t>ut_f001</t>
  </si>
  <si>
    <t>ut_f002</t>
  </si>
  <si>
    <t>ut_f003</t>
  </si>
  <si>
    <t>ut_f004</t>
  </si>
  <si>
    <t>ut_f005</t>
  </si>
  <si>
    <t>ut_f006</t>
  </si>
  <si>
    <t>ut_f007</t>
  </si>
  <si>
    <t>ut_f008</t>
  </si>
  <si>
    <t>ut_f009</t>
  </si>
  <si>
    <t>ut_f010</t>
  </si>
  <si>
    <t>ut_f011</t>
  </si>
  <si>
    <t>ut_f012</t>
  </si>
  <si>
    <t>ut_f013</t>
  </si>
  <si>
    <t>ut_f014</t>
  </si>
  <si>
    <t>ut_f015</t>
  </si>
  <si>
    <t>ut_f016</t>
  </si>
  <si>
    <t>ut_f017</t>
  </si>
  <si>
    <t>ut_f018</t>
  </si>
  <si>
    <t>ut_f019</t>
  </si>
  <si>
    <t>ut_f020</t>
  </si>
  <si>
    <t>ut_f021</t>
  </si>
  <si>
    <t>ut_f022</t>
  </si>
  <si>
    <t>ut_f023</t>
  </si>
  <si>
    <t>ut_f024</t>
  </si>
  <si>
    <t>ut_f025</t>
  </si>
  <si>
    <t>ut_f026</t>
  </si>
  <si>
    <t>ut_f027</t>
  </si>
  <si>
    <t>ut_f028</t>
  </si>
  <si>
    <t>ut_f029</t>
  </si>
  <si>
    <t>ut_f030</t>
  </si>
  <si>
    <t>ut_f031</t>
  </si>
  <si>
    <t>ut_f032</t>
  </si>
  <si>
    <t>ut_f033</t>
  </si>
  <si>
    <t>ut_f034</t>
  </si>
  <si>
    <t>ut_f035</t>
  </si>
  <si>
    <t>ut_f036</t>
  </si>
  <si>
    <t>ut_f037</t>
  </si>
  <si>
    <t>ut_f038</t>
  </si>
  <si>
    <t>ut_f039</t>
  </si>
  <si>
    <t>ut_f040</t>
  </si>
  <si>
    <t>ut_f041</t>
  </si>
  <si>
    <t>ut_f042</t>
  </si>
  <si>
    <t>ut_f043</t>
  </si>
  <si>
    <t>ut_f044</t>
  </si>
  <si>
    <t>ut_f045</t>
  </si>
  <si>
    <t>ut_f046</t>
  </si>
  <si>
    <t>ut_f047</t>
  </si>
  <si>
    <t>ut_f048</t>
  </si>
  <si>
    <t>ut_f049</t>
  </si>
  <si>
    <t>ut_f050</t>
  </si>
  <si>
    <t>ut_f051</t>
  </si>
  <si>
    <t>ut_f052</t>
  </si>
  <si>
    <t>ut_f053</t>
  </si>
  <si>
    <t>ut_f054</t>
  </si>
  <si>
    <t>ut_f055</t>
  </si>
  <si>
    <t>ut_f056</t>
  </si>
  <si>
    <t>ut_f057</t>
  </si>
  <si>
    <t>ut_f058</t>
  </si>
  <si>
    <t>ut_f059</t>
  </si>
  <si>
    <t>ut_f060</t>
  </si>
  <si>
    <t>ut_f061</t>
  </si>
  <si>
    <t>ut_f062</t>
  </si>
  <si>
    <t>ut_f063</t>
  </si>
  <si>
    <t>ut_f064</t>
  </si>
  <si>
    <t>ut_f065</t>
  </si>
  <si>
    <t>ut_f066</t>
  </si>
  <si>
    <t>ut_f067</t>
  </si>
  <si>
    <t>ut_f068</t>
  </si>
  <si>
    <t>ut_f069</t>
  </si>
  <si>
    <t>ut_f070</t>
  </si>
  <si>
    <t>ut_f071</t>
  </si>
  <si>
    <t>ut_f072</t>
  </si>
  <si>
    <t>ut_f073</t>
  </si>
  <si>
    <t>ut_f074</t>
  </si>
  <si>
    <t>ut_f075</t>
  </si>
  <si>
    <t>ut_f076</t>
  </si>
  <si>
    <t>ut_f077</t>
  </si>
  <si>
    <t>ut_f078</t>
  </si>
  <si>
    <t>ut_f079</t>
  </si>
  <si>
    <t>ut_f080</t>
  </si>
  <si>
    <t>ut_f081</t>
  </si>
  <si>
    <t>ut_f082</t>
  </si>
  <si>
    <t>ut_f083</t>
  </si>
  <si>
    <t>ut_f084</t>
  </si>
  <si>
    <t>ut_f085</t>
  </si>
  <si>
    <t>ut_f086</t>
  </si>
  <si>
    <t>ut_f087</t>
  </si>
  <si>
    <t>ut_f088</t>
  </si>
  <si>
    <t>ut_f089</t>
  </si>
  <si>
    <t>ut_f090</t>
  </si>
  <si>
    <t>ut_f091</t>
  </si>
  <si>
    <t>ut_f092</t>
  </si>
  <si>
    <t>ut_f093</t>
  </si>
  <si>
    <t>ut_f094</t>
  </si>
  <si>
    <t>ut_f095</t>
  </si>
  <si>
    <t>ut_f096</t>
  </si>
  <si>
    <t>ut_f097</t>
  </si>
  <si>
    <t>ut_f098</t>
  </si>
  <si>
    <t>ut_f099</t>
  </si>
  <si>
    <t>ut_f100</t>
  </si>
  <si>
    <t>ut_f101</t>
  </si>
  <si>
    <t>ut_f102</t>
  </si>
  <si>
    <t>ut_f103</t>
  </si>
  <si>
    <t>ut_f104</t>
  </si>
  <si>
    <t>ut_f105</t>
  </si>
  <si>
    <t>ut_f106</t>
  </si>
  <si>
    <t>ut_f107</t>
  </si>
  <si>
    <t>ut_f108</t>
  </si>
  <si>
    <t>ut_f109</t>
  </si>
  <si>
    <t>ut_f110</t>
  </si>
  <si>
    <t>ut_f111</t>
  </si>
  <si>
    <t>ut_f112</t>
  </si>
  <si>
    <t>ut_f113</t>
  </si>
  <si>
    <t>ut_f114</t>
  </si>
  <si>
    <t>ut_f115</t>
  </si>
  <si>
    <t>ut_f116</t>
  </si>
  <si>
    <t>ut_f117</t>
  </si>
  <si>
    <t>ut_f118</t>
  </si>
  <si>
    <t>ut_f119</t>
  </si>
  <si>
    <t>ut_f120</t>
  </si>
  <si>
    <t>ut_f121</t>
  </si>
  <si>
    <t>ut_f122</t>
  </si>
  <si>
    <t>ut_f123</t>
  </si>
  <si>
    <t>ut_f124</t>
  </si>
  <si>
    <t>ut_f125</t>
  </si>
  <si>
    <t>ut_f126</t>
  </si>
  <si>
    <t>ut_f127</t>
  </si>
  <si>
    <t>ut_f128</t>
  </si>
  <si>
    <t>ut_f129</t>
  </si>
  <si>
    <t>ut_f130</t>
  </si>
  <si>
    <t>ut_f131</t>
  </si>
  <si>
    <t>ut_f132</t>
  </si>
  <si>
    <t>ut_f133</t>
  </si>
  <si>
    <t>ut_f134</t>
  </si>
  <si>
    <t>ut_f135</t>
  </si>
  <si>
    <t>ut_f136</t>
  </si>
  <si>
    <t>ut_f137</t>
  </si>
  <si>
    <t>ut_f138</t>
  </si>
  <si>
    <t>ut_f139</t>
  </si>
  <si>
    <t>ut_f140</t>
  </si>
  <si>
    <t>ut_f141</t>
  </si>
  <si>
    <t>ut_f142</t>
  </si>
  <si>
    <t>ut_f143</t>
  </si>
  <si>
    <t>ut_f144</t>
  </si>
  <si>
    <t>ut_f145</t>
  </si>
  <si>
    <t>ut_f146</t>
  </si>
  <si>
    <t>ut_f147</t>
  </si>
  <si>
    <t>ut_f148</t>
  </si>
  <si>
    <t>ut_f149</t>
  </si>
  <si>
    <t>ut_f150</t>
  </si>
  <si>
    <t>ut_f151</t>
  </si>
  <si>
    <t>ut_f152</t>
  </si>
  <si>
    <t>ut_f153</t>
  </si>
  <si>
    <t>ut_f154</t>
  </si>
  <si>
    <t>ut_f155</t>
  </si>
  <si>
    <t>ut_f156</t>
  </si>
  <si>
    <t>ut_f157</t>
  </si>
  <si>
    <t>ut_f158</t>
  </si>
  <si>
    <t>ut_f159</t>
  </si>
  <si>
    <t>ut_f160</t>
  </si>
  <si>
    <t>ut_f161</t>
  </si>
  <si>
    <t>ut_f162</t>
  </si>
  <si>
    <t>ut_f163</t>
  </si>
  <si>
    <t>ut_f164</t>
  </si>
  <si>
    <t>ut_f165</t>
  </si>
  <si>
    <t>ut_f166</t>
  </si>
  <si>
    <t>ut_f167</t>
  </si>
  <si>
    <t>ut_f168</t>
  </si>
  <si>
    <t>ut_f169</t>
  </si>
  <si>
    <t>ut_f170</t>
  </si>
  <si>
    <t>ut_f171</t>
  </si>
  <si>
    <t>ut_f172</t>
  </si>
  <si>
    <t>ut_f173</t>
  </si>
  <si>
    <t>ut_f174</t>
  </si>
  <si>
    <t>ut_f175</t>
  </si>
  <si>
    <t>ut_f176</t>
  </si>
  <si>
    <t>ut_f177</t>
  </si>
  <si>
    <t>ut_f178</t>
  </si>
  <si>
    <t>ut_f179</t>
  </si>
  <si>
    <t>ut_f180</t>
  </si>
  <si>
    <t>ut_f181</t>
  </si>
  <si>
    <t>va_f001</t>
  </si>
  <si>
    <t>ATF06</t>
  </si>
  <si>
    <t>Valor Agregado</t>
  </si>
  <si>
    <t>P91</t>
  </si>
  <si>
    <t>Remuneraciones</t>
  </si>
  <si>
    <t>va_f002</t>
  </si>
  <si>
    <t>va_f003</t>
  </si>
  <si>
    <t>va_f004</t>
  </si>
  <si>
    <t>P92</t>
  </si>
  <si>
    <t>Excedente bruto de explotación</t>
  </si>
  <si>
    <t>va_f005</t>
  </si>
  <si>
    <t>va_f006</t>
  </si>
  <si>
    <t>va_f007</t>
  </si>
  <si>
    <t>P93</t>
  </si>
  <si>
    <t>Impuestos netos sobre los productos</t>
  </si>
  <si>
    <t>va_f008</t>
  </si>
  <si>
    <t>va_f009</t>
  </si>
  <si>
    <t>va_f010</t>
  </si>
  <si>
    <t>P94</t>
  </si>
  <si>
    <t>Otros impuestos netos sobre la producción</t>
  </si>
  <si>
    <t>Columnas</t>
  </si>
  <si>
    <t>Código Transacciones</t>
  </si>
  <si>
    <t>Código área transaccional</t>
  </si>
  <si>
    <t>Área transaccional</t>
  </si>
  <si>
    <t>Transacciones</t>
  </si>
  <si>
    <t>Correlativo Transacciones Agregadas</t>
  </si>
  <si>
    <t>Código Transacciones Agregadas</t>
  </si>
  <si>
    <t>Transacciones Agregadas</t>
  </si>
  <si>
    <t>Código Subtransacción</t>
  </si>
  <si>
    <t>Actividades (CAE)</t>
  </si>
  <si>
    <t>CIIU Secciones</t>
  </si>
  <si>
    <t>CIIU Secciones descripción</t>
  </si>
  <si>
    <t>CIIU Corto</t>
  </si>
  <si>
    <t>CIIU English</t>
  </si>
  <si>
    <t>Correlativo Bioeconomía Actividades</t>
  </si>
  <si>
    <t>Bioeconomía Actividades</t>
  </si>
  <si>
    <t>Código CAEc</t>
  </si>
  <si>
    <t>CAEc</t>
  </si>
  <si>
    <t>mp_c001</t>
  </si>
  <si>
    <t>P10</t>
  </si>
  <si>
    <t>ATC01</t>
  </si>
  <si>
    <t>Producción / Consumo intermedio</t>
  </si>
  <si>
    <t>Cultivos anuales (cereales y otros) y forrajeras</t>
  </si>
  <si>
    <t>A</t>
  </si>
  <si>
    <t>Agricultura, ganadería, silvicultura y pesca</t>
  </si>
  <si>
    <t>Agricultura</t>
  </si>
  <si>
    <t>Agriculture, forestry and fishing</t>
  </si>
  <si>
    <t>No culturales</t>
  </si>
  <si>
    <t>mp_c002</t>
  </si>
  <si>
    <t>Cultivo de hortalizas y productos de viveros</t>
  </si>
  <si>
    <t>mp_c003</t>
  </si>
  <si>
    <t>Cultivo de uva</t>
  </si>
  <si>
    <t>mp_c004</t>
  </si>
  <si>
    <t>Cultivo de otras frutas</t>
  </si>
  <si>
    <t>mp_c005</t>
  </si>
  <si>
    <t>Cría de ganado bovino</t>
  </si>
  <si>
    <t>mp_c006</t>
  </si>
  <si>
    <t>Cría de cerdos</t>
  </si>
  <si>
    <t>mp_c007</t>
  </si>
  <si>
    <t>Cría de aves de corral</t>
  </si>
  <si>
    <t>mp_c008</t>
  </si>
  <si>
    <t>Cría de otros animales</t>
  </si>
  <si>
    <t>mp_c009</t>
  </si>
  <si>
    <t>Actividades de apoyo a la agricultura y ganadería</t>
  </si>
  <si>
    <t>mp_c010</t>
  </si>
  <si>
    <t>Silvicultura y extracción de madera</t>
  </si>
  <si>
    <t>mp_c011</t>
  </si>
  <si>
    <t>Acuicultura</t>
  </si>
  <si>
    <t>mp_c012</t>
  </si>
  <si>
    <t>Pesca extractiva</t>
  </si>
  <si>
    <t>mp_c013</t>
  </si>
  <si>
    <t>Extracción de carbón</t>
  </si>
  <si>
    <t>B</t>
  </si>
  <si>
    <t>Explotación de minas y canteras</t>
  </si>
  <si>
    <t>Minería</t>
  </si>
  <si>
    <t>Mining and quarrying</t>
  </si>
  <si>
    <t>mp_c014</t>
  </si>
  <si>
    <t>Extracción de petróleo y gas natural</t>
  </si>
  <si>
    <t>mp_c015</t>
  </si>
  <si>
    <t>Minería del cobre</t>
  </si>
  <si>
    <t>mp_c016</t>
  </si>
  <si>
    <t>Minería del hierro</t>
  </si>
  <si>
    <t>mp_c017</t>
  </si>
  <si>
    <t>Minería de otros metalíferos no ferrosos</t>
  </si>
  <si>
    <t>mp_c018</t>
  </si>
  <si>
    <t>Explotación de otras minas y servicios de apoyo a la minería</t>
  </si>
  <si>
    <t>mp_c019</t>
  </si>
  <si>
    <t>Elaboración y conservación de carne</t>
  </si>
  <si>
    <t>C</t>
  </si>
  <si>
    <t>Industrias manufactureras</t>
  </si>
  <si>
    <t>Manufacturas</t>
  </si>
  <si>
    <t>Manufacturing</t>
  </si>
  <si>
    <t>mp_c020</t>
  </si>
  <si>
    <t>Elaboración de harina y aceite de pescado</t>
  </si>
  <si>
    <t>mp_c021</t>
  </si>
  <si>
    <t>Elaboración y conservación de pescados y mariscos</t>
  </si>
  <si>
    <t>mp_c022</t>
  </si>
  <si>
    <t>Elaboración y conservación de vegetales</t>
  </si>
  <si>
    <t>mp_c023</t>
  </si>
  <si>
    <t>Elaboración de aceites</t>
  </si>
  <si>
    <t>mp_c024</t>
  </si>
  <si>
    <t>Elaboración de productos lácteos</t>
  </si>
  <si>
    <t>mp_c025</t>
  </si>
  <si>
    <t>Elaboración de productos de molinería</t>
  </si>
  <si>
    <t>mp_c026</t>
  </si>
  <si>
    <t>Elaboración de alimentos para animales</t>
  </si>
  <si>
    <t>mp_c027</t>
  </si>
  <si>
    <t>Elaboración de productos de panadería</t>
  </si>
  <si>
    <t>mp_c028</t>
  </si>
  <si>
    <t>Elaboración de fideos y pastas</t>
  </si>
  <si>
    <t>mp_c029</t>
  </si>
  <si>
    <t>Elaboración de otros productos alimenticios</t>
  </si>
  <si>
    <t>mp_c030</t>
  </si>
  <si>
    <t>Elaboración de piscos y licores</t>
  </si>
  <si>
    <t>mp_c031</t>
  </si>
  <si>
    <t>Elaboración de vinos</t>
  </si>
  <si>
    <t>mp_c032</t>
  </si>
  <si>
    <t>Elaboración de cervezas</t>
  </si>
  <si>
    <t>mp_c033</t>
  </si>
  <si>
    <t>Elaboración de bebidas no alcohólicas</t>
  </si>
  <si>
    <t>mp_c034</t>
  </si>
  <si>
    <t>Elaboración de productos de tabaco</t>
  </si>
  <si>
    <t>mp_c035</t>
  </si>
  <si>
    <t>Fabricación de productos textiles</t>
  </si>
  <si>
    <t>mp_c036</t>
  </si>
  <si>
    <t>Fabricación de prendas de vestir</t>
  </si>
  <si>
    <t>mp_c037</t>
  </si>
  <si>
    <t>Elaboración de cuero y sus productos</t>
  </si>
  <si>
    <t>mp_c038</t>
  </si>
  <si>
    <t>Fabricación de calzado</t>
  </si>
  <si>
    <t>mp_c039</t>
  </si>
  <si>
    <t>Aserrado y acepilladura de maderas</t>
  </si>
  <si>
    <t>mp_c040</t>
  </si>
  <si>
    <t>Fabricación de productos de madera</t>
  </si>
  <si>
    <t>mp_c041</t>
  </si>
  <si>
    <t>Fabricación de celulosa</t>
  </si>
  <si>
    <t>mp_c042</t>
  </si>
  <si>
    <t>Fabricación de envases de papel y cartón</t>
  </si>
  <si>
    <t>mp_c043</t>
  </si>
  <si>
    <t>Fabricación de otros artículos de papel y cartón</t>
  </si>
  <si>
    <t>mp_c044</t>
  </si>
  <si>
    <t>Imprentas</t>
  </si>
  <si>
    <t>Culturales</t>
  </si>
  <si>
    <t>mp_c045</t>
  </si>
  <si>
    <t>Elaboración de combustibles</t>
  </si>
  <si>
    <t>mp_c046</t>
  </si>
  <si>
    <t>Fabricación de sustancias químicas básicas</t>
  </si>
  <si>
    <t>mp_c047</t>
  </si>
  <si>
    <t>Fabricación de pinturas y barnices</t>
  </si>
  <si>
    <t>mp_c048</t>
  </si>
  <si>
    <t>Fabricación de productos farmacéuticos</t>
  </si>
  <si>
    <t>mp_c049</t>
  </si>
  <si>
    <t>Fabricación de productos de aseo y cosméticos</t>
  </si>
  <si>
    <t>mp_c050</t>
  </si>
  <si>
    <t>Fabricación de otros productos químicos</t>
  </si>
  <si>
    <t>mp_c051</t>
  </si>
  <si>
    <t>Fabricación de productos de caucho</t>
  </si>
  <si>
    <t>mp_c052</t>
  </si>
  <si>
    <t>Fabricación de productos de plástico</t>
  </si>
  <si>
    <t>mp_c053</t>
  </si>
  <si>
    <t>Fabricación de vidrio y productos de vidrio</t>
  </si>
  <si>
    <t>mp_c054</t>
  </si>
  <si>
    <t>Fabricación de cemento, cal y yeso</t>
  </si>
  <si>
    <t>mp_c055</t>
  </si>
  <si>
    <t>Fabricación de hormigón y otros productos minerales no metálicos</t>
  </si>
  <si>
    <t>mp_c056</t>
  </si>
  <si>
    <t>Industrias básicas de hierro y acero</t>
  </si>
  <si>
    <t>mp_c057</t>
  </si>
  <si>
    <t>Industrias básicas de metales no ferrosos</t>
  </si>
  <si>
    <t>mp_c058</t>
  </si>
  <si>
    <t>Fabricación de productos metálicos</t>
  </si>
  <si>
    <t>mp_c059</t>
  </si>
  <si>
    <t>Fabricación de maquinaria y equipo de uso industrial y doméstico</t>
  </si>
  <si>
    <t>mp_c060</t>
  </si>
  <si>
    <t>Fabricación de maquinaria y equipo eléctrico y electrónico</t>
  </si>
  <si>
    <t>mp_c061</t>
  </si>
  <si>
    <t>Fabricación de equipo de transporte</t>
  </si>
  <si>
    <t>mp_c062</t>
  </si>
  <si>
    <t>Fabricación de muebles</t>
  </si>
  <si>
    <t>mp_c063</t>
  </si>
  <si>
    <t>Reparación de maquinaria y equipo y otras industrias manufactureras</t>
  </si>
  <si>
    <t>mp_c064</t>
  </si>
  <si>
    <t>Generación de electricidad</t>
  </si>
  <si>
    <t>D</t>
  </si>
  <si>
    <t>Suministro de electricidad, gas, vapor y aire acondicionado</t>
  </si>
  <si>
    <t>Servicios básicos</t>
  </si>
  <si>
    <t>Electricity, gas, steam and air conditioning supply</t>
  </si>
  <si>
    <t>mp_c065</t>
  </si>
  <si>
    <t>Transmisión de electricidad</t>
  </si>
  <si>
    <t>mp_c066</t>
  </si>
  <si>
    <t>Distribución de electricidad</t>
  </si>
  <si>
    <t>mp_c067</t>
  </si>
  <si>
    <t>Suministro de gas y vapor</t>
  </si>
  <si>
    <t>mp_c068</t>
  </si>
  <si>
    <t>Suministro de agua</t>
  </si>
  <si>
    <t>E</t>
  </si>
  <si>
    <t>Suministro de agua; evacuación de aguas residuales, gestión de desechos y descontaminación</t>
  </si>
  <si>
    <t>Water supply; sewerage, waste management and remediation activities</t>
  </si>
  <si>
    <t>mp_c069</t>
  </si>
  <si>
    <t>Gestión de desechos y reciclaje</t>
  </si>
  <si>
    <t>mp_c070</t>
  </si>
  <si>
    <t>Construcción de edificios residenciales</t>
  </si>
  <si>
    <t>F</t>
  </si>
  <si>
    <t>Construcción</t>
  </si>
  <si>
    <t>Construction</t>
  </si>
  <si>
    <t>mp_c071</t>
  </si>
  <si>
    <t>Construcción de edificios no residenciales</t>
  </si>
  <si>
    <t>mp_c072</t>
  </si>
  <si>
    <t>Construcción de obras de ingeniería civil</t>
  </si>
  <si>
    <t>mp_c073</t>
  </si>
  <si>
    <t>Actividades especializadas de construcción</t>
  </si>
  <si>
    <t>mp_c074</t>
  </si>
  <si>
    <t>Comercio automotriz</t>
  </si>
  <si>
    <t>G</t>
  </si>
  <si>
    <t>Comercio al por mayor y al por menor; reparación de vehículos automotores y motocicletas</t>
  </si>
  <si>
    <t>Comercio</t>
  </si>
  <si>
    <t>Wholesale and retail trade; repair of motor vehicles and motorcycles</t>
  </si>
  <si>
    <t>mp_c075</t>
  </si>
  <si>
    <t>Comercio mayorista</t>
  </si>
  <si>
    <t>mp_c076</t>
  </si>
  <si>
    <t>Comercio minorista</t>
  </si>
  <si>
    <t>mp_c077</t>
  </si>
  <si>
    <t>Hoteles</t>
  </si>
  <si>
    <t>I</t>
  </si>
  <si>
    <t>Actividades de alojamiento y de servicio de comidas</t>
  </si>
  <si>
    <t>Alojamiento y alimentación</t>
  </si>
  <si>
    <t>Accommodation and food service activities</t>
  </si>
  <si>
    <t>mp_c078</t>
  </si>
  <si>
    <t>Restaurantes</t>
  </si>
  <si>
    <t>mp_c079</t>
  </si>
  <si>
    <t>Transporte ferroviario</t>
  </si>
  <si>
    <t>H</t>
  </si>
  <si>
    <t>Transporte y almacenamiento</t>
  </si>
  <si>
    <t>Transportation and storage</t>
  </si>
  <si>
    <t>mp_c080</t>
  </si>
  <si>
    <t>Otros transportes terrestres de pasajeros</t>
  </si>
  <si>
    <t>mp_c081</t>
  </si>
  <si>
    <t>Transporte de carga por carretera</t>
  </si>
  <si>
    <t>mp_c082</t>
  </si>
  <si>
    <t>mp_c083</t>
  </si>
  <si>
    <t>Transporte marítimo</t>
  </si>
  <si>
    <t>mp_c084</t>
  </si>
  <si>
    <t>Transporte aéreo</t>
  </si>
  <si>
    <t>mp_c085</t>
  </si>
  <si>
    <t>Actividades de almacenamiento y depósito</t>
  </si>
  <si>
    <t>mp_c086</t>
  </si>
  <si>
    <t>Actividades de apoyo al transporte terrestre</t>
  </si>
  <si>
    <t>mp_c087</t>
  </si>
  <si>
    <t>Otras actividades de apoyo al transporte</t>
  </si>
  <si>
    <t>mp_c088</t>
  </si>
  <si>
    <t>Correo y servicios de mensajería</t>
  </si>
  <si>
    <t>J</t>
  </si>
  <si>
    <t>Información y comunicaciones</t>
  </si>
  <si>
    <t>Information and communication</t>
  </si>
  <si>
    <t>mp_c089</t>
  </si>
  <si>
    <t>Telefonía móvil</t>
  </si>
  <si>
    <t>mp_c090</t>
  </si>
  <si>
    <t>Telefonía fija y larga distancia</t>
  </si>
  <si>
    <t>mp_c091</t>
  </si>
  <si>
    <t>Otras actividades de telecomunicaciones</t>
  </si>
  <si>
    <t>mp_c092</t>
  </si>
  <si>
    <t>Actividades de servicios informáticos e información</t>
  </si>
  <si>
    <t>mp_c093</t>
  </si>
  <si>
    <t>Otras actividades de edición, producción y difusión</t>
  </si>
  <si>
    <t>mp_c094</t>
  </si>
  <si>
    <t>Intermediación financiera</t>
  </si>
  <si>
    <t>K</t>
  </si>
  <si>
    <t>Actividades financieras y de seguros</t>
  </si>
  <si>
    <t>Finanzas y seguros</t>
  </si>
  <si>
    <t>Financial and insurance activities</t>
  </si>
  <si>
    <t>mp_c095</t>
  </si>
  <si>
    <t>Actividades de seguros y reaseguros</t>
  </si>
  <si>
    <t>mp_c096</t>
  </si>
  <si>
    <t>Auxiliares financieros</t>
  </si>
  <si>
    <t>mp_c097</t>
  </si>
  <si>
    <t>Actividades inmobiliarias</t>
  </si>
  <si>
    <t>L</t>
  </si>
  <si>
    <t>Inmobiliarios</t>
  </si>
  <si>
    <t>Real estate activities</t>
  </si>
  <si>
    <t>mp_c098</t>
  </si>
  <si>
    <t>mp_c099</t>
  </si>
  <si>
    <t>Actividades de servicios jurídicos y contables</t>
  </si>
  <si>
    <t>M</t>
  </si>
  <si>
    <t>Actividades profesionales, científicas y técnicas</t>
  </si>
  <si>
    <t>Servicios profesionales</t>
  </si>
  <si>
    <t>Professional, scientific and technical activities</t>
  </si>
  <si>
    <t>mp_c100</t>
  </si>
  <si>
    <t>Actividades de arquitectura e ingeniería</t>
  </si>
  <si>
    <t>mp_c101</t>
  </si>
  <si>
    <t>Otras actividades profesionales, científicas y técnicas</t>
  </si>
  <si>
    <t>mp_c102</t>
  </si>
  <si>
    <t>Actividades de alquiler y arrendamiento</t>
  </si>
  <si>
    <t>N</t>
  </si>
  <si>
    <t>Actividades de servicios administrativos y de apoyo</t>
  </si>
  <si>
    <t>Servicios administrativos</t>
  </si>
  <si>
    <t>Administrative and support service activities</t>
  </si>
  <si>
    <t>mp_c103</t>
  </si>
  <si>
    <t>Actividades administrativas y de apoyo</t>
  </si>
  <si>
    <t>mp_c104</t>
  </si>
  <si>
    <t>Administración pública</t>
  </si>
  <si>
    <t>O</t>
  </si>
  <si>
    <t>Administración pública y defensa; planes de seguridad social de afiliación obligatoria</t>
  </si>
  <si>
    <t>Public administration and defence; compulsory social security</t>
  </si>
  <si>
    <t>mp_c105</t>
  </si>
  <si>
    <t>Educación pública</t>
  </si>
  <si>
    <t>P</t>
  </si>
  <si>
    <t>Enseñanza</t>
  </si>
  <si>
    <t>Education</t>
  </si>
  <si>
    <t>mp_c106</t>
  </si>
  <si>
    <t>Educación privada</t>
  </si>
  <si>
    <t>mp_c107</t>
  </si>
  <si>
    <t>Salud pública</t>
  </si>
  <si>
    <t>Q</t>
  </si>
  <si>
    <t>Actividades de atención de la salud humana y de asistencia social</t>
  </si>
  <si>
    <t>Salud</t>
  </si>
  <si>
    <t>Human health and social work activities</t>
  </si>
  <si>
    <t>mp_c108</t>
  </si>
  <si>
    <t>Salud privada y asistencia social</t>
  </si>
  <si>
    <t>mp_c109</t>
  </si>
  <si>
    <t>Actividades asociaciones</t>
  </si>
  <si>
    <t>R</t>
  </si>
  <si>
    <t>Actividades artísticas, de entretenimiento y recreativas</t>
  </si>
  <si>
    <t>Recreación</t>
  </si>
  <si>
    <t>Arts, entertainment and recreation</t>
  </si>
  <si>
    <t>mp_c110</t>
  </si>
  <si>
    <t>Actividades artísticas, entretenimiento y recreación</t>
  </si>
  <si>
    <t>mp_c111</t>
  </si>
  <si>
    <t>Otras actividades de servicios personales</t>
  </si>
  <si>
    <t>S</t>
  </si>
  <si>
    <t>Otras actividades de servicios</t>
  </si>
  <si>
    <t>Otros servicios</t>
  </si>
  <si>
    <t>Other service activities</t>
  </si>
  <si>
    <t>mp_c112</t>
  </si>
  <si>
    <t>ot_c001</t>
  </si>
  <si>
    <t>ot_c002</t>
  </si>
  <si>
    <t>P70</t>
  </si>
  <si>
    <t>ATC02</t>
  </si>
  <si>
    <t>Exportaciones / Importaciones</t>
  </si>
  <si>
    <t>Importaciones de bienes Y SERVICIOS</t>
  </si>
  <si>
    <t>P7</t>
  </si>
  <si>
    <t>Importaciones de bienes y servicios</t>
  </si>
  <si>
    <t>ot_c003</t>
  </si>
  <si>
    <t>ot_c004</t>
  </si>
  <si>
    <t>D214</t>
  </si>
  <si>
    <t>ATC04</t>
  </si>
  <si>
    <t>Impuestos menos subvenciones sobre los productos</t>
  </si>
  <si>
    <t xml:space="preserve">Impuestos sobre los productos, excepto IVA e impuestos sobre las importaciones </t>
  </si>
  <si>
    <t>D2</t>
  </si>
  <si>
    <t>Impuestos sobre la producción y las importaciones</t>
  </si>
  <si>
    <t>ot_c005</t>
  </si>
  <si>
    <t>D212</t>
  </si>
  <si>
    <t>Impuestos y derechos sobre las importaciones excepto IVA</t>
  </si>
  <si>
    <t>ot_c006</t>
  </si>
  <si>
    <t>ot_c007</t>
  </si>
  <si>
    <t>M11</t>
  </si>
  <si>
    <t>ATC05</t>
  </si>
  <si>
    <t>Márgenes de distribución</t>
  </si>
  <si>
    <t>Márgenes de comercio</t>
  </si>
  <si>
    <t>M1</t>
  </si>
  <si>
    <t>ot_c008</t>
  </si>
  <si>
    <t>D211</t>
  </si>
  <si>
    <t>Impuestos tipo valor agregado (IVA)</t>
  </si>
  <si>
    <t>ot_c009</t>
  </si>
  <si>
    <t>ui_c001</t>
  </si>
  <si>
    <t>P20</t>
  </si>
  <si>
    <t>Consumo</t>
  </si>
  <si>
    <t>ui_c002</t>
  </si>
  <si>
    <t>ui_c003</t>
  </si>
  <si>
    <t>ui_c004</t>
  </si>
  <si>
    <t>ui_c005</t>
  </si>
  <si>
    <t>ui_c006</t>
  </si>
  <si>
    <t>ui_c007</t>
  </si>
  <si>
    <t>ui_c008</t>
  </si>
  <si>
    <t>ui_c009</t>
  </si>
  <si>
    <t>ui_c010</t>
  </si>
  <si>
    <t>ui_c011</t>
  </si>
  <si>
    <t>ui_c012</t>
  </si>
  <si>
    <t>ui_c013</t>
  </si>
  <si>
    <t>ui_c014</t>
  </si>
  <si>
    <t>ui_c015</t>
  </si>
  <si>
    <t>ui_c016</t>
  </si>
  <si>
    <t>ui_c017</t>
  </si>
  <si>
    <t>ui_c018</t>
  </si>
  <si>
    <t>ui_c019</t>
  </si>
  <si>
    <t>ui_c020</t>
  </si>
  <si>
    <t>ui_c021</t>
  </si>
  <si>
    <t>ui_c022</t>
  </si>
  <si>
    <t>ui_c023</t>
  </si>
  <si>
    <t>ui_c024</t>
  </si>
  <si>
    <t>ui_c025</t>
  </si>
  <si>
    <t>ui_c026</t>
  </si>
  <si>
    <t>ui_c027</t>
  </si>
  <si>
    <t>ui_c028</t>
  </si>
  <si>
    <t>ui_c029</t>
  </si>
  <si>
    <t>ui_c030</t>
  </si>
  <si>
    <t>ui_c031</t>
  </si>
  <si>
    <t>ui_c032</t>
  </si>
  <si>
    <t>ui_c033</t>
  </si>
  <si>
    <t>ui_c034</t>
  </si>
  <si>
    <t>ui_c035</t>
  </si>
  <si>
    <t>ui_c036</t>
  </si>
  <si>
    <t>ui_c037</t>
  </si>
  <si>
    <t>ui_c038</t>
  </si>
  <si>
    <t>ui_c039</t>
  </si>
  <si>
    <t>ui_c040</t>
  </si>
  <si>
    <t>ui_c041</t>
  </si>
  <si>
    <t>ui_c042</t>
  </si>
  <si>
    <t>ui_c043</t>
  </si>
  <si>
    <t>ui_c044</t>
  </si>
  <si>
    <t>ui_c045</t>
  </si>
  <si>
    <t>ui_c046</t>
  </si>
  <si>
    <t>ui_c047</t>
  </si>
  <si>
    <t>ui_c048</t>
  </si>
  <si>
    <t>ui_c049</t>
  </si>
  <si>
    <t>ui_c050</t>
  </si>
  <si>
    <t>ui_c051</t>
  </si>
  <si>
    <t>ui_c052</t>
  </si>
  <si>
    <t>ui_c053</t>
  </si>
  <si>
    <t>ui_c054</t>
  </si>
  <si>
    <t>ui_c055</t>
  </si>
  <si>
    <t>ui_c056</t>
  </si>
  <si>
    <t>ui_c057</t>
  </si>
  <si>
    <t>ui_c058</t>
  </si>
  <si>
    <t>ui_c059</t>
  </si>
  <si>
    <t>ui_c060</t>
  </si>
  <si>
    <t>ui_c061</t>
  </si>
  <si>
    <t>ui_c062</t>
  </si>
  <si>
    <t>ui_c063</t>
  </si>
  <si>
    <t>ui_c064</t>
  </si>
  <si>
    <t>ui_c065</t>
  </si>
  <si>
    <t>ui_c066</t>
  </si>
  <si>
    <t>ui_c067</t>
  </si>
  <si>
    <t>ui_c068</t>
  </si>
  <si>
    <t>ui_c069</t>
  </si>
  <si>
    <t>ui_c070</t>
  </si>
  <si>
    <t>ui_c071</t>
  </si>
  <si>
    <t>ui_c072</t>
  </si>
  <si>
    <t>ui_c073</t>
  </si>
  <si>
    <t>ui_c074</t>
  </si>
  <si>
    <t>ui_c075</t>
  </si>
  <si>
    <t>ui_c076</t>
  </si>
  <si>
    <t>ui_c077</t>
  </si>
  <si>
    <t>ui_c078</t>
  </si>
  <si>
    <t>ui_c079</t>
  </si>
  <si>
    <t>ui_c080</t>
  </si>
  <si>
    <t>ui_c081</t>
  </si>
  <si>
    <t>ui_c082</t>
  </si>
  <si>
    <t>ui_c083</t>
  </si>
  <si>
    <t>ui_c084</t>
  </si>
  <si>
    <t>ui_c085</t>
  </si>
  <si>
    <t>ui_c086</t>
  </si>
  <si>
    <t>ui_c087</t>
  </si>
  <si>
    <t>ui_c088</t>
  </si>
  <si>
    <t>ui_c089</t>
  </si>
  <si>
    <t>ui_c090</t>
  </si>
  <si>
    <t>ui_c091</t>
  </si>
  <si>
    <t>ui_c092</t>
  </si>
  <si>
    <t>ui_c093</t>
  </si>
  <si>
    <t>ui_c094</t>
  </si>
  <si>
    <t>ui_c095</t>
  </si>
  <si>
    <t>ui_c096</t>
  </si>
  <si>
    <t>ui_c097</t>
  </si>
  <si>
    <t>ui_c098</t>
  </si>
  <si>
    <t>ui_c099</t>
  </si>
  <si>
    <t>ui_c100</t>
  </si>
  <si>
    <t>ui_c101</t>
  </si>
  <si>
    <t>ui_c102</t>
  </si>
  <si>
    <t>ui_c103</t>
  </si>
  <si>
    <t>ui_c104</t>
  </si>
  <si>
    <t>ui_c105</t>
  </si>
  <si>
    <t>ui_c106</t>
  </si>
  <si>
    <t>ui_c107</t>
  </si>
  <si>
    <t>ui_c108</t>
  </si>
  <si>
    <t>ui_c109</t>
  </si>
  <si>
    <t>ui_c110</t>
  </si>
  <si>
    <t>ui_c111</t>
  </si>
  <si>
    <t>ui_c112</t>
  </si>
  <si>
    <t>ut_c001</t>
  </si>
  <si>
    <t>ut_c002</t>
  </si>
  <si>
    <t>Pa31</t>
  </si>
  <si>
    <t>ATC06</t>
  </si>
  <si>
    <t>Gasto de consumo final</t>
  </si>
  <si>
    <t>Gasto de consumo final de los hogares</t>
  </si>
  <si>
    <t>P3</t>
  </si>
  <si>
    <t>ut_c003</t>
  </si>
  <si>
    <t>Pb30</t>
  </si>
  <si>
    <t>Consumo final</t>
  </si>
  <si>
    <t>Gasto de consumo ISFLH</t>
  </si>
  <si>
    <t>ut_c004</t>
  </si>
  <si>
    <t>Pc30</t>
  </si>
  <si>
    <t>Gasto de consumo de gobierno</t>
  </si>
  <si>
    <t>ut_c005</t>
  </si>
  <si>
    <t>P51b</t>
  </si>
  <si>
    <t>ATC07</t>
  </si>
  <si>
    <t>Formación bruta de capital fijo</t>
  </si>
  <si>
    <t>P5</t>
  </si>
  <si>
    <t>Formación de capital</t>
  </si>
  <si>
    <t>ut_c006</t>
  </si>
  <si>
    <t>P52</t>
  </si>
  <si>
    <t>Variación de existencias</t>
  </si>
  <si>
    <t>ut_c007</t>
  </si>
  <si>
    <t>P60</t>
  </si>
  <si>
    <t>Exportaciones de bienes y servicios</t>
  </si>
  <si>
    <t>P6</t>
  </si>
  <si>
    <t>ut_c008</t>
  </si>
  <si>
    <t>ut_c009</t>
  </si>
  <si>
    <t>va_c001</t>
  </si>
  <si>
    <t>va_c002</t>
  </si>
  <si>
    <t>va_c003</t>
  </si>
  <si>
    <t>va_c004</t>
  </si>
  <si>
    <t>va_c005</t>
  </si>
  <si>
    <t>va_c006</t>
  </si>
  <si>
    <t>va_c007</t>
  </si>
  <si>
    <t>va_c008</t>
  </si>
  <si>
    <t>va_c009</t>
  </si>
  <si>
    <t>va_c010</t>
  </si>
  <si>
    <t>va_c011</t>
  </si>
  <si>
    <t>va_c012</t>
  </si>
  <si>
    <t>va_c013</t>
  </si>
  <si>
    <t>va_c014</t>
  </si>
  <si>
    <t>va_c015</t>
  </si>
  <si>
    <t>va_c016</t>
  </si>
  <si>
    <t>va_c017</t>
  </si>
  <si>
    <t>va_c018</t>
  </si>
  <si>
    <t>va_c019</t>
  </si>
  <si>
    <t>va_c020</t>
  </si>
  <si>
    <t>va_c021</t>
  </si>
  <si>
    <t>va_c022</t>
  </si>
  <si>
    <t>va_c023</t>
  </si>
  <si>
    <t>va_c024</t>
  </si>
  <si>
    <t>va_c025</t>
  </si>
  <si>
    <t>va_c026</t>
  </si>
  <si>
    <t>va_c027</t>
  </si>
  <si>
    <t>va_c028</t>
  </si>
  <si>
    <t>va_c029</t>
  </si>
  <si>
    <t>va_c030</t>
  </si>
  <si>
    <t>va_c031</t>
  </si>
  <si>
    <t>va_c032</t>
  </si>
  <si>
    <t>va_c033</t>
  </si>
  <si>
    <t>va_c034</t>
  </si>
  <si>
    <t>va_c035</t>
  </si>
  <si>
    <t>va_c036</t>
  </si>
  <si>
    <t>va_c037</t>
  </si>
  <si>
    <t>va_c038</t>
  </si>
  <si>
    <t>va_c039</t>
  </si>
  <si>
    <t>va_c040</t>
  </si>
  <si>
    <t>va_c041</t>
  </si>
  <si>
    <t>va_c042</t>
  </si>
  <si>
    <t>va_c043</t>
  </si>
  <si>
    <t>va_c044</t>
  </si>
  <si>
    <t>va_c045</t>
  </si>
  <si>
    <t>va_c046</t>
  </si>
  <si>
    <t>va_c047</t>
  </si>
  <si>
    <t>va_c048</t>
  </si>
  <si>
    <t>va_c049</t>
  </si>
  <si>
    <t>va_c050</t>
  </si>
  <si>
    <t>va_c051</t>
  </si>
  <si>
    <t>va_c052</t>
  </si>
  <si>
    <t>va_c053</t>
  </si>
  <si>
    <t>va_c054</t>
  </si>
  <si>
    <t>va_c055</t>
  </si>
  <si>
    <t>va_c056</t>
  </si>
  <si>
    <t>va_c057</t>
  </si>
  <si>
    <t>va_c058</t>
  </si>
  <si>
    <t>va_c059</t>
  </si>
  <si>
    <t>va_c060</t>
  </si>
  <si>
    <t>va_c061</t>
  </si>
  <si>
    <t>va_c062</t>
  </si>
  <si>
    <t>va_c063</t>
  </si>
  <si>
    <t>va_c064</t>
  </si>
  <si>
    <t>va_c065</t>
  </si>
  <si>
    <t>va_c066</t>
  </si>
  <si>
    <t>va_c067</t>
  </si>
  <si>
    <t>va_c068</t>
  </si>
  <si>
    <t>va_c069</t>
  </si>
  <si>
    <t>va_c070</t>
  </si>
  <si>
    <t>va_c071</t>
  </si>
  <si>
    <t>va_c072</t>
  </si>
  <si>
    <t>va_c073</t>
  </si>
  <si>
    <t>va_c074</t>
  </si>
  <si>
    <t>va_c075</t>
  </si>
  <si>
    <t>va_c076</t>
  </si>
  <si>
    <t>va_c077</t>
  </si>
  <si>
    <t>va_c078</t>
  </si>
  <si>
    <t>va_c079</t>
  </si>
  <si>
    <t>va_c080</t>
  </si>
  <si>
    <t>va_c081</t>
  </si>
  <si>
    <t>va_c082</t>
  </si>
  <si>
    <t>va_c083</t>
  </si>
  <si>
    <t>va_c084</t>
  </si>
  <si>
    <t>va_c085</t>
  </si>
  <si>
    <t>va_c086</t>
  </si>
  <si>
    <t>va_c087</t>
  </si>
  <si>
    <t>va_c088</t>
  </si>
  <si>
    <t>va_c089</t>
  </si>
  <si>
    <t>va_c090</t>
  </si>
  <si>
    <t>va_c091</t>
  </si>
  <si>
    <t>va_c092</t>
  </si>
  <si>
    <t>va_c093</t>
  </si>
  <si>
    <t>va_c094</t>
  </si>
  <si>
    <t>va_c095</t>
  </si>
  <si>
    <t>va_c096</t>
  </si>
  <si>
    <t>va_c097</t>
  </si>
  <si>
    <t>va_c098</t>
  </si>
  <si>
    <t>va_c099</t>
  </si>
  <si>
    <t>va_c100</t>
  </si>
  <si>
    <t>va_c101</t>
  </si>
  <si>
    <t>va_c102</t>
  </si>
  <si>
    <t>va_c103</t>
  </si>
  <si>
    <t>va_c104</t>
  </si>
  <si>
    <t>va_c105</t>
  </si>
  <si>
    <t>va_c106</t>
  </si>
  <si>
    <t>va_c107</t>
  </si>
  <si>
    <t>va_c108</t>
  </si>
  <si>
    <t>va_c109</t>
  </si>
  <si>
    <t>va_c110</t>
  </si>
  <si>
    <t>va_c111</t>
  </si>
  <si>
    <t>va_c112</t>
  </si>
  <si>
    <t>Código CUPc</t>
  </si>
  <si>
    <t>CUPc</t>
  </si>
  <si>
    <t>Subtransacción</t>
  </si>
  <si>
    <t>Código Actividades (CAE)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</si>
  <si>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</si>
  <si>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</si>
  <si>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</si>
  <si>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</si>
  <si>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</si>
  <si>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</si>
  <si>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</si>
  <si>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</si>
  <si>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</si>
  <si>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</si>
  <si>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</si>
  <si>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</si>
  <si>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</si>
  <si>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</si>
  <si>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</si>
  <si>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</si>
  <si>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</si>
  <si>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</si>
  <si>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</si>
  <si>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</si>
  <si>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</si>
  <si>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</si>
  <si>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</si>
  <si>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</si>
  <si>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</si>
  <si>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</si>
  <si>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</si>
  <si>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</si>
  <si>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</si>
  <si>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</si>
  <si>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</si>
  <si>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</si>
  <si>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</si>
  <si>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</si>
  <si>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</si>
  <si>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</si>
  <si>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</si>
  <si>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</si>
  <si>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</si>
  <si>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</si>
  <si>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</si>
  <si>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</si>
  <si>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</si>
  <si>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</si>
  <si>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</si>
  <si>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</si>
  <si>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</si>
  <si>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</si>
  <si>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</si>
  <si>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</si>
  <si>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</si>
  <si>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</si>
  <si>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</si>
  <si>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</si>
  <si>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</si>
  <si>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</si>
  <si>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</si>
  <si>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</si>
  <si>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</si>
  <si>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</si>
  <si>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</si>
  <si>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</si>
  <si>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</si>
  <si>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</si>
  <si>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</si>
  <si>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</si>
  <si>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</si>
  <si>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</si>
  <si>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</si>
  <si>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</si>
  <si>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</si>
  <si>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</si>
  <si>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</si>
  <si>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</si>
  <si>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</si>
  <si>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</si>
  <si>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</si>
  <si>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</si>
  <si>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</si>
  <si>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</si>
  <si>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</si>
  <si>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</si>
  <si>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</si>
  <si>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</si>
  <si>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</si>
  <si>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</si>
  <si>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</si>
  <si>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</si>
  <si>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</si>
  <si>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</si>
  <si>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</si>
  <si>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</si>
  <si>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</si>
  <si>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</si>
  <si>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</si>
  <si>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</si>
  <si>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</si>
  <si>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</si>
  <si>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</si>
  <si>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</si>
  <si>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</si>
  <si>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</si>
  <si>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</si>
  <si>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</si>
  <si>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</si>
  <si>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</si>
  <si>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</si>
  <si>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</si>
  <si>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</si>
  <si>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</si>
  <si>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</si>
  <si>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Importaciones precios cif</t>
  </si>
  <si>
    <t>Impuestos indirectos sobre bienes y servicios</t>
  </si>
  <si>
    <t>Derechos de importación</t>
  </si>
  <si>
    <t>Margen de comercio</t>
  </si>
  <si>
    <t>Impuesto al valor agregado</t>
  </si>
  <si>
    <t>Consumo de hogares</t>
  </si>
  <si>
    <t>Consumo de IPSFL</t>
  </si>
  <si>
    <t>Consumo de gobierno</t>
  </si>
  <si>
    <t>Exportaciones</t>
  </si>
  <si>
    <t>Código Secciones CIIU</t>
  </si>
  <si>
    <t>Secciones CIIU</t>
  </si>
  <si>
    <t>Nombre Corto Secciones CIIU</t>
  </si>
  <si>
    <t>ISIC Sections (CIIU Inglés)</t>
  </si>
  <si>
    <t>Código Bioeconomía Actividades</t>
  </si>
  <si>
    <t>Actividades no especificada</t>
  </si>
  <si>
    <t>corr_ntg2</t>
  </si>
  <si>
    <t>id_area_columnas</t>
  </si>
  <si>
    <t>P11</t>
  </si>
  <si>
    <t>Producción de mercado</t>
  </si>
  <si>
    <t>P12</t>
  </si>
  <si>
    <t>Producción para uso final propio</t>
  </si>
  <si>
    <t>P13</t>
  </si>
  <si>
    <t>Otra producción no de mercado</t>
  </si>
  <si>
    <t>P21</t>
  </si>
  <si>
    <t>Consumo intermedio de mercado</t>
  </si>
  <si>
    <t>P22</t>
  </si>
  <si>
    <t>Consumo intermedio para uso final propio</t>
  </si>
  <si>
    <t>P23</t>
  </si>
  <si>
    <t>Consumo intermedio no de mercado</t>
  </si>
  <si>
    <t>Pb31</t>
  </si>
  <si>
    <t>Gasto de consumo individual ISFLSH</t>
  </si>
  <si>
    <t>Pb32</t>
  </si>
  <si>
    <t>Gasto de consumo colectivo ISFLSH</t>
  </si>
  <si>
    <t>Pc31</t>
  </si>
  <si>
    <t>Gasto de consumo individual de gobierno</t>
  </si>
  <si>
    <t>Pc32</t>
  </si>
  <si>
    <t>Gasto de consumo colectivo de gobierno</t>
  </si>
  <si>
    <t>P41</t>
  </si>
  <si>
    <t>Consumo individual efectivo</t>
  </si>
  <si>
    <t>P4</t>
  </si>
  <si>
    <t>Consumo final efectivo</t>
  </si>
  <si>
    <t>P42</t>
  </si>
  <si>
    <t>Consumo colectivo efectivo</t>
  </si>
  <si>
    <t>P51c</t>
  </si>
  <si>
    <t>Consumo de capital fijo</t>
  </si>
  <si>
    <t>P53</t>
  </si>
  <si>
    <t>Adquisiciones menos disposiciones de objetos valiosos</t>
  </si>
  <si>
    <t>P61</t>
  </si>
  <si>
    <t>Exportaciones de bienes</t>
  </si>
  <si>
    <t>P62</t>
  </si>
  <si>
    <t>Exportaciones de servicios</t>
  </si>
  <si>
    <t>P71</t>
  </si>
  <si>
    <t>Importaciones de bienes</t>
  </si>
  <si>
    <t>P72</t>
  </si>
  <si>
    <t>Importaciones de servicios</t>
  </si>
  <si>
    <t>CIF</t>
  </si>
  <si>
    <t>ATC03</t>
  </si>
  <si>
    <t>Ajuste CIF/FOB</t>
  </si>
  <si>
    <t>Ajuste CIF/FOB sobre importaciones</t>
  </si>
  <si>
    <t>D213</t>
  </si>
  <si>
    <t>Impuestos sobre las exportaciones</t>
  </si>
  <si>
    <t>D291</t>
  </si>
  <si>
    <t xml:space="preserve">Otros impuestos sobre la producción </t>
  </si>
  <si>
    <t>D29</t>
  </si>
  <si>
    <t>D31</t>
  </si>
  <si>
    <t>Subvenciones a los productos</t>
  </si>
  <si>
    <t>D3</t>
  </si>
  <si>
    <t>Subvenciones</t>
  </si>
  <si>
    <t>D39</t>
  </si>
  <si>
    <t>ATCO4</t>
  </si>
  <si>
    <t>Otras subvenciones a la producción</t>
  </si>
  <si>
    <t>M12</t>
  </si>
  <si>
    <t>Márgenes de transporte</t>
  </si>
  <si>
    <t>M13</t>
  </si>
  <si>
    <t>Márgenes de distribución de electricidad</t>
  </si>
  <si>
    <t>Código CIIU Secciones</t>
  </si>
  <si>
    <t>Producción bruta precio básico</t>
  </si>
  <si>
    <t>Formación  bruta de capital fijo</t>
  </si>
  <si>
    <t>Código Áreas Transaccionales</t>
  </si>
  <si>
    <t>Áreas Transaccionales</t>
  </si>
  <si>
    <t>Importaciones / Exportaciones</t>
  </si>
  <si>
    <t>Márgenes</t>
  </si>
  <si>
    <t>Código ATC</t>
  </si>
  <si>
    <t>ATC</t>
  </si>
  <si>
    <t>Impuestos</t>
  </si>
  <si>
    <t>FBK / Variación existencias</t>
  </si>
  <si>
    <t>Código CPC Grupos</t>
  </si>
  <si>
    <t>CPC Grupos</t>
  </si>
  <si>
    <t>Código Productos Compactos</t>
  </si>
  <si>
    <t>Productos Compactos</t>
  </si>
  <si>
    <t>Agropecuarios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</si>
</sst>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12">
    <font>
      <sz val="10"/>
      <name val="Aptos"/>
      <charset val="1"/>
    </font>
    <font>
      <sz val="10"/>
      <color rgb="FF000000"/>
      <name val="MS Sans Serif"/>
      <family val="2"/>
      <charset val="1"/>
    </font>
    <font>
      <sz val="10"/>
      <name val="Times New Roman"/>
      <family val="1"/>
      <charset val="1"/>
    </font>
    <font>
      <b/>
      <sz val="10"/>
      <name val="Aptos"/>
      <family val="2"/>
    </font>
    <font>
      <sz val="10"/>
      <color rgb="FF000000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u/>
      <sz val="10"/>
      <name val="Aptos"/>
      <family val="2"/>
    </font>
    <font>
      <sz val="10"/>
      <name val="Aptos"/>
      <family val="2"/>
    </font>
    <font>
      <sz val="10"/>
      <name val="Arial"/>
      <family val="2"/>
      <charset val="1"/>
    </font>
    <font>
      <sz val="10"/>
      <color rgb="FF000000"/>
      <name val="Arial Unicode MS"/>
    </font>
    <font>
      <u/>
      <sz val="10"/>
      <color rgb="FF000000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FF6D"/>
        <bgColor rgb="FFFFFFCC"/>
      </patternFill>
    </fill>
    <fill>
      <patternFill patternType="solid">
        <fgColor theme="0"/>
        <bgColor rgb="FFFFFFC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9" fillId="0" borderId="0"/>
  </cellStyleXfs>
  <cellXfs count="19">
    <xf numFmtId="0" fontId="0" fillId="0" borderId="0" xfId="0"/>
    <xf numFmtId="0" fontId="3" fillId="0" borderId="0" xfId="0" applyFon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49" fontId="0" fillId="0" borderId="0" xfId="2" applyNumberFormat="1" applyFont="1" applyAlignment="1">
      <alignment horizontal="left"/>
    </xf>
    <xf numFmtId="0" fontId="0" fillId="0" borderId="0" xfId="1" applyFont="1" applyAlignment="1">
      <alignment horizontal="left"/>
    </xf>
    <xf numFmtId="0" fontId="4" fillId="0" borderId="0" xfId="0" applyFont="1" applyAlignment="1">
      <alignment horizontal="center" vertical="center"/>
    </xf>
    <xf numFmtId="1" fontId="0" fillId="0" borderId="0" xfId="0" applyNumberFormat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2" borderId="0" xfId="0" applyFont="1" applyFill="1"/>
    <xf numFmtId="0" fontId="0" fillId="0" borderId="0" xfId="2" applyNumberFormat="1" applyFont="1" applyAlignment="1">
      <alignment horizontal="left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</cellXfs>
  <cellStyles count="4">
    <cellStyle name="Normal" xfId="0" builtinId="0"/>
    <cellStyle name="Normal 4" xfId="3" xr:uid="{B73B17A0-F66B-4B2D-BFB5-16A02FFD3A01}"/>
    <cellStyle name="Normal_00_Glosa" xfId="1" xr:uid="{00000000-0005-0000-0000-000006000000}"/>
    <cellStyle name="Normal_consulta212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5"/>
  <sheetViews>
    <sheetView tabSelected="1" zoomScale="95" zoomScaleNormal="95" workbookViewId="0"/>
  </sheetViews>
  <sheetFormatPr baseColWidth="10" defaultColWidth="12" defaultRowHeight="13.15"/>
  <cols>
    <col min="1" max="1" width="9.0703125" customWidth="1"/>
    <col min="2" max="2" width="10.640625" customWidth="1"/>
    <col min="3" max="3" width="19.42578125" customWidth="1"/>
    <col min="4" max="4" width="8.140625" customWidth="1"/>
    <col min="5" max="6" width="7.5" customWidth="1"/>
    <col min="7" max="7" width="51.5703125" customWidth="1"/>
    <col min="8" max="11" width="20.35546875" customWidth="1"/>
    <col min="12" max="12" width="12.2109375" customWidth="1"/>
    <col min="13" max="13" width="21.925781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1742</v>
      </c>
      <c r="I1" s="1" t="s">
        <v>1743</v>
      </c>
      <c r="J1" s="1" t="s">
        <v>1744</v>
      </c>
      <c r="K1" s="1" t="s">
        <v>1745</v>
      </c>
      <c r="L1" s="1" t="s">
        <v>7</v>
      </c>
      <c r="M1" s="1" t="s">
        <v>8</v>
      </c>
      <c r="N1" s="12" t="s">
        <v>1541</v>
      </c>
      <c r="O1" s="12" t="s">
        <v>1542</v>
      </c>
    </row>
    <row r="2" spans="1:15">
      <c r="A2" s="2" t="s">
        <v>9</v>
      </c>
      <c r="B2" s="2" t="s">
        <v>10</v>
      </c>
      <c r="C2" s="2" t="s">
        <v>11</v>
      </c>
      <c r="D2" s="2" t="s">
        <v>12</v>
      </c>
      <c r="E2" s="2" t="s">
        <v>11</v>
      </c>
      <c r="F2" s="3">
        <v>1</v>
      </c>
      <c r="G2" s="2" t="s">
        <v>13</v>
      </c>
      <c r="H2" s="15" t="str">
        <f>IF(F2="","",VLOOKUP(F2,Productos!$A$2:$F$182,3,FALSE))</f>
        <v>0</v>
      </c>
      <c r="I2" s="2" t="str">
        <f>IF(F2="","",VLOOKUP(F2,Productos!$A$2:$F$182,4,FALSE))</f>
        <v>Productos de la agricultura, la silvicultura y la pesca</v>
      </c>
      <c r="J2" s="2">
        <f>IF(F2="","",VLOOKUP(F2,Productos!$A$2:$F$182,5,FALSE))</f>
        <v>1</v>
      </c>
      <c r="K2" s="2" t="str">
        <f>IF(F2="","",VLOOKUP(F2,Productos!$A$2:$F$182,6,FALSE))</f>
        <v>Agropecuarios</v>
      </c>
      <c r="L2" s="2">
        <v>1</v>
      </c>
      <c r="M2" s="2" t="s">
        <v>14</v>
      </c>
      <c r="N2" s="2">
        <f>VLOOKUP(F2,Productos!$A$2:$J$182,5)</f>
        <v>1</v>
      </c>
      <c r="O2" s="2" t="str">
        <f>VLOOKUP(F2,Productos!$A$2:$J$182,6)</f>
        <v>Agropecuarios</v>
      </c>
    </row>
    <row r="3" spans="1:15">
      <c r="A3" s="2" t="s">
        <v>15</v>
      </c>
      <c r="B3" s="2" t="s">
        <v>10</v>
      </c>
      <c r="C3" s="2" t="s">
        <v>11</v>
      </c>
      <c r="D3" s="2" t="s">
        <v>12</v>
      </c>
      <c r="E3" s="2" t="s">
        <v>11</v>
      </c>
      <c r="F3" s="3">
        <v>2</v>
      </c>
      <c r="G3" s="2" t="s">
        <v>16</v>
      </c>
      <c r="H3" s="2" t="str">
        <f>IF(F3="","",VLOOKUP(F3,Productos!$A$2:$F$182,3,FALSE))</f>
        <v>0</v>
      </c>
      <c r="I3" s="2" t="str">
        <f>IF(F3="","",VLOOKUP(F3,Productos!$A$2:$F$182,4,FALSE))</f>
        <v>Productos de la agricultura, la silvicultura y la pesca</v>
      </c>
      <c r="J3" s="2">
        <f>IF(F3="","",VLOOKUP(F3,Productos!$A$2:$F$182,5,FALSE))</f>
        <v>1</v>
      </c>
      <c r="K3" s="2" t="str">
        <f>IF(F3="","",VLOOKUP(F3,Productos!$A$2:$F$182,6,FALSE))</f>
        <v>Agropecuarios</v>
      </c>
      <c r="L3" s="2">
        <v>1</v>
      </c>
      <c r="M3" s="2" t="s">
        <v>14</v>
      </c>
      <c r="N3" s="2">
        <f>VLOOKUP(F3,Productos!$A$2:$J$182,5)</f>
        <v>1</v>
      </c>
      <c r="O3" s="2" t="str">
        <f>VLOOKUP(F3,Productos!$A$2:$J$182,6)</f>
        <v>Agropecuarios</v>
      </c>
    </row>
    <row r="4" spans="1:15">
      <c r="A4" s="2" t="s">
        <v>17</v>
      </c>
      <c r="B4" s="2" t="s">
        <v>10</v>
      </c>
      <c r="C4" s="2" t="s">
        <v>11</v>
      </c>
      <c r="D4" s="2" t="s">
        <v>12</v>
      </c>
      <c r="E4" s="2" t="s">
        <v>11</v>
      </c>
      <c r="F4" s="3">
        <v>3</v>
      </c>
      <c r="G4" s="2" t="s">
        <v>18</v>
      </c>
      <c r="H4" s="2" t="str">
        <f>IF(F4="","",VLOOKUP(F4,Productos!$A$2:$F$182,3,FALSE))</f>
        <v>0</v>
      </c>
      <c r="I4" s="2" t="str">
        <f>IF(F4="","",VLOOKUP(F4,Productos!$A$2:$F$182,4,FALSE))</f>
        <v>Productos de la agricultura, la silvicultura y la pesca</v>
      </c>
      <c r="J4" s="2">
        <f>IF(F4="","",VLOOKUP(F4,Productos!$A$2:$F$182,5,FALSE))</f>
        <v>1</v>
      </c>
      <c r="K4" s="2" t="str">
        <f>IF(F4="","",VLOOKUP(F4,Productos!$A$2:$F$182,6,FALSE))</f>
        <v>Agropecuarios</v>
      </c>
      <c r="L4" s="2">
        <v>1</v>
      </c>
      <c r="M4" s="2" t="s">
        <v>14</v>
      </c>
      <c r="N4" s="2">
        <f>VLOOKUP(F4,Productos!$A$2:$J$182,5)</f>
        <v>1</v>
      </c>
      <c r="O4" s="2" t="str">
        <f>VLOOKUP(F4,Productos!$A$2:$J$182,6)</f>
        <v>Agropecuarios</v>
      </c>
    </row>
    <row r="5" spans="1:15">
      <c r="A5" s="2" t="s">
        <v>19</v>
      </c>
      <c r="B5" s="2" t="s">
        <v>10</v>
      </c>
      <c r="C5" s="2" t="s">
        <v>11</v>
      </c>
      <c r="D5" s="2" t="s">
        <v>12</v>
      </c>
      <c r="E5" s="2" t="s">
        <v>11</v>
      </c>
      <c r="F5" s="3">
        <v>4</v>
      </c>
      <c r="G5" s="2" t="s">
        <v>20</v>
      </c>
      <c r="H5" s="2" t="str">
        <f>IF(F5="","",VLOOKUP(F5,Productos!$A$2:$F$182,3,FALSE))</f>
        <v>0</v>
      </c>
      <c r="I5" s="2" t="str">
        <f>IF(F5="","",VLOOKUP(F5,Productos!$A$2:$F$182,4,FALSE))</f>
        <v>Productos de la agricultura, la silvicultura y la pesca</v>
      </c>
      <c r="J5" s="2">
        <f>IF(F5="","",VLOOKUP(F5,Productos!$A$2:$F$182,5,FALSE))</f>
        <v>1</v>
      </c>
      <c r="K5" s="2" t="str">
        <f>IF(F5="","",VLOOKUP(F5,Productos!$A$2:$F$182,6,FALSE))</f>
        <v>Agropecuarios</v>
      </c>
      <c r="L5" s="2">
        <v>1</v>
      </c>
      <c r="M5" s="2" t="s">
        <v>14</v>
      </c>
      <c r="N5" s="2">
        <f>VLOOKUP(F5,Productos!$A$2:$J$182,5)</f>
        <v>1</v>
      </c>
      <c r="O5" s="2" t="str">
        <f>VLOOKUP(F5,Productos!$A$2:$J$182,6)</f>
        <v>Agropecuarios</v>
      </c>
    </row>
    <row r="6" spans="1:15">
      <c r="A6" s="2" t="s">
        <v>21</v>
      </c>
      <c r="B6" s="2" t="s">
        <v>10</v>
      </c>
      <c r="C6" s="2" t="s">
        <v>11</v>
      </c>
      <c r="D6" s="2" t="s">
        <v>12</v>
      </c>
      <c r="E6" s="2" t="s">
        <v>11</v>
      </c>
      <c r="F6" s="3">
        <v>5</v>
      </c>
      <c r="G6" s="2" t="s">
        <v>22</v>
      </c>
      <c r="H6" s="2" t="str">
        <f>IF(F6="","",VLOOKUP(F6,Productos!$A$2:$F$182,3,FALSE))</f>
        <v>0</v>
      </c>
      <c r="I6" s="2" t="str">
        <f>IF(F6="","",VLOOKUP(F6,Productos!$A$2:$F$182,4,FALSE))</f>
        <v>Productos de la agricultura, la silvicultura y la pesca</v>
      </c>
      <c r="J6" s="2">
        <f>IF(F6="","",VLOOKUP(F6,Productos!$A$2:$F$182,5,FALSE))</f>
        <v>1</v>
      </c>
      <c r="K6" s="2" t="str">
        <f>IF(F6="","",VLOOKUP(F6,Productos!$A$2:$F$182,6,FALSE))</f>
        <v>Agropecuarios</v>
      </c>
      <c r="L6" s="2">
        <v>1</v>
      </c>
      <c r="M6" s="2" t="s">
        <v>14</v>
      </c>
      <c r="N6" s="2">
        <f>VLOOKUP(F6,Productos!$A$2:$J$182,5)</f>
        <v>1</v>
      </c>
      <c r="O6" s="2" t="str">
        <f>VLOOKUP(F6,Productos!$A$2:$J$182,6)</f>
        <v>Agropecuarios</v>
      </c>
    </row>
    <row r="7" spans="1:15">
      <c r="A7" s="2" t="s">
        <v>23</v>
      </c>
      <c r="B7" s="2" t="s">
        <v>10</v>
      </c>
      <c r="C7" s="2" t="s">
        <v>11</v>
      </c>
      <c r="D7" s="2" t="s">
        <v>12</v>
      </c>
      <c r="E7" s="2" t="s">
        <v>11</v>
      </c>
      <c r="F7" s="3">
        <v>6</v>
      </c>
      <c r="G7" s="2" t="s">
        <v>24</v>
      </c>
      <c r="H7" s="2" t="str">
        <f>IF(F7="","",VLOOKUP(F7,Productos!$A$2:$F$182,3,FALSE))</f>
        <v>0</v>
      </c>
      <c r="I7" s="2" t="str">
        <f>IF(F7="","",VLOOKUP(F7,Productos!$A$2:$F$182,4,FALSE))</f>
        <v>Productos de la agricultura, la silvicultura y la pesca</v>
      </c>
      <c r="J7" s="2">
        <f>IF(F7="","",VLOOKUP(F7,Productos!$A$2:$F$182,5,FALSE))</f>
        <v>1</v>
      </c>
      <c r="K7" s="2" t="str">
        <f>IF(F7="","",VLOOKUP(F7,Productos!$A$2:$F$182,6,FALSE))</f>
        <v>Agropecuarios</v>
      </c>
      <c r="L7" s="2">
        <v>1</v>
      </c>
      <c r="M7" s="2" t="s">
        <v>14</v>
      </c>
      <c r="N7" s="2">
        <f>VLOOKUP(F7,Productos!$A$2:$J$182,5)</f>
        <v>1</v>
      </c>
      <c r="O7" s="2" t="str">
        <f>VLOOKUP(F7,Productos!$A$2:$J$182,6)</f>
        <v>Agropecuarios</v>
      </c>
    </row>
    <row r="8" spans="1:15">
      <c r="A8" s="2" t="s">
        <v>25</v>
      </c>
      <c r="B8" s="2" t="s">
        <v>10</v>
      </c>
      <c r="C8" s="2" t="s">
        <v>11</v>
      </c>
      <c r="D8" s="2" t="s">
        <v>12</v>
      </c>
      <c r="E8" s="2" t="s">
        <v>11</v>
      </c>
      <c r="F8" s="3">
        <v>7</v>
      </c>
      <c r="G8" s="2" t="s">
        <v>26</v>
      </c>
      <c r="H8" s="2" t="str">
        <f>IF(F8="","",VLOOKUP(F8,Productos!$A$2:$F$182,3,FALSE))</f>
        <v>0</v>
      </c>
      <c r="I8" s="2" t="str">
        <f>IF(F8="","",VLOOKUP(F8,Productos!$A$2:$F$182,4,FALSE))</f>
        <v>Productos de la agricultura, la silvicultura y la pesca</v>
      </c>
      <c r="J8" s="2">
        <f>IF(F8="","",VLOOKUP(F8,Productos!$A$2:$F$182,5,FALSE))</f>
        <v>1</v>
      </c>
      <c r="K8" s="2" t="str">
        <f>IF(F8="","",VLOOKUP(F8,Productos!$A$2:$F$182,6,FALSE))</f>
        <v>Agropecuarios</v>
      </c>
      <c r="L8" s="2">
        <v>1</v>
      </c>
      <c r="M8" s="2" t="s">
        <v>14</v>
      </c>
      <c r="N8" s="2">
        <f>VLOOKUP(F8,Productos!$A$2:$J$182,5)</f>
        <v>1</v>
      </c>
      <c r="O8" s="2" t="str">
        <f>VLOOKUP(F8,Productos!$A$2:$J$182,6)</f>
        <v>Agropecuarios</v>
      </c>
    </row>
    <row r="9" spans="1:15">
      <c r="A9" s="2" t="s">
        <v>27</v>
      </c>
      <c r="B9" s="2" t="s">
        <v>10</v>
      </c>
      <c r="C9" s="2" t="s">
        <v>11</v>
      </c>
      <c r="D9" s="2" t="s">
        <v>12</v>
      </c>
      <c r="E9" s="2" t="s">
        <v>11</v>
      </c>
      <c r="F9" s="3">
        <v>8</v>
      </c>
      <c r="G9" s="2" t="s">
        <v>28</v>
      </c>
      <c r="H9" s="2" t="str">
        <f>IF(F9="","",VLOOKUP(F9,Productos!$A$2:$F$182,3,FALSE))</f>
        <v>0</v>
      </c>
      <c r="I9" s="2" t="str">
        <f>IF(F9="","",VLOOKUP(F9,Productos!$A$2:$F$182,4,FALSE))</f>
        <v>Productos de la agricultura, la silvicultura y la pesca</v>
      </c>
      <c r="J9" s="2">
        <f>IF(F9="","",VLOOKUP(F9,Productos!$A$2:$F$182,5,FALSE))</f>
        <v>1</v>
      </c>
      <c r="K9" s="2" t="str">
        <f>IF(F9="","",VLOOKUP(F9,Productos!$A$2:$F$182,6,FALSE))</f>
        <v>Agropecuarios</v>
      </c>
      <c r="L9" s="2">
        <v>1</v>
      </c>
      <c r="M9" s="2" t="s">
        <v>14</v>
      </c>
      <c r="N9" s="2">
        <f>VLOOKUP(F9,Productos!$A$2:$J$182,5)</f>
        <v>1</v>
      </c>
      <c r="O9" s="2" t="str">
        <f>VLOOKUP(F9,Productos!$A$2:$J$182,6)</f>
        <v>Agropecuarios</v>
      </c>
    </row>
    <row r="10" spans="1:15">
      <c r="A10" s="2" t="s">
        <v>29</v>
      </c>
      <c r="B10" s="2" t="s">
        <v>10</v>
      </c>
      <c r="C10" s="2" t="s">
        <v>11</v>
      </c>
      <c r="D10" s="2" t="s">
        <v>12</v>
      </c>
      <c r="E10" s="2" t="s">
        <v>11</v>
      </c>
      <c r="F10" s="3">
        <v>9</v>
      </c>
      <c r="G10" s="2" t="s">
        <v>30</v>
      </c>
      <c r="H10" s="2" t="str">
        <f>IF(F10="","",VLOOKUP(F10,Productos!$A$2:$F$182,3,FALSE))</f>
        <v>0</v>
      </c>
      <c r="I10" s="2" t="str">
        <f>IF(F10="","",VLOOKUP(F10,Productos!$A$2:$F$182,4,FALSE))</f>
        <v>Productos de la agricultura, la silvicultura y la pesca</v>
      </c>
      <c r="J10" s="2">
        <f>IF(F10="","",VLOOKUP(F10,Productos!$A$2:$F$182,5,FALSE))</f>
        <v>1</v>
      </c>
      <c r="K10" s="2" t="str">
        <f>IF(F10="","",VLOOKUP(F10,Productos!$A$2:$F$182,6,FALSE))</f>
        <v>Agropecuarios</v>
      </c>
      <c r="L10" s="2">
        <v>1</v>
      </c>
      <c r="M10" s="2" t="s">
        <v>14</v>
      </c>
      <c r="N10" s="2">
        <f>VLOOKUP(F10,Productos!$A$2:$J$182,5)</f>
        <v>1</v>
      </c>
      <c r="O10" s="2" t="str">
        <f>VLOOKUP(F10,Productos!$A$2:$J$182,6)</f>
        <v>Agropecuarios</v>
      </c>
    </row>
    <row r="11" spans="1:15">
      <c r="A11" s="2" t="s">
        <v>31</v>
      </c>
      <c r="B11" s="2" t="s">
        <v>10</v>
      </c>
      <c r="C11" s="2" t="s">
        <v>11</v>
      </c>
      <c r="D11" s="2" t="s">
        <v>12</v>
      </c>
      <c r="E11" s="2" t="s">
        <v>11</v>
      </c>
      <c r="F11" s="3">
        <v>10</v>
      </c>
      <c r="G11" s="2" t="s">
        <v>32</v>
      </c>
      <c r="H11" s="2" t="str">
        <f>IF(F11="","",VLOOKUP(F11,Productos!$A$2:$F$182,3,FALSE))</f>
        <v>0</v>
      </c>
      <c r="I11" s="2" t="str">
        <f>IF(F11="","",VLOOKUP(F11,Productos!$A$2:$F$182,4,FALSE))</f>
        <v>Productos de la agricultura, la silvicultura y la pesca</v>
      </c>
      <c r="J11" s="2">
        <f>IF(F11="","",VLOOKUP(F11,Productos!$A$2:$F$182,5,FALSE))</f>
        <v>1</v>
      </c>
      <c r="K11" s="2" t="str">
        <f>IF(F11="","",VLOOKUP(F11,Productos!$A$2:$F$182,6,FALSE))</f>
        <v>Agropecuarios</v>
      </c>
      <c r="L11" s="2">
        <v>1</v>
      </c>
      <c r="M11" s="2" t="s">
        <v>14</v>
      </c>
      <c r="N11" s="2">
        <f>VLOOKUP(F11,Productos!$A$2:$J$182,5)</f>
        <v>1</v>
      </c>
      <c r="O11" s="2" t="str">
        <f>VLOOKUP(F11,Productos!$A$2:$J$182,6)</f>
        <v>Agropecuarios</v>
      </c>
    </row>
    <row r="12" spans="1:15">
      <c r="A12" s="2" t="s">
        <v>33</v>
      </c>
      <c r="B12" s="2" t="s">
        <v>10</v>
      </c>
      <c r="C12" s="2" t="s">
        <v>11</v>
      </c>
      <c r="D12" s="2" t="s">
        <v>12</v>
      </c>
      <c r="E12" s="2" t="s">
        <v>11</v>
      </c>
      <c r="F12" s="3">
        <v>11</v>
      </c>
      <c r="G12" s="2" t="s">
        <v>34</v>
      </c>
      <c r="H12" s="2" t="str">
        <f>IF(F12="","",VLOOKUP(F12,Productos!$A$2:$F$182,3,FALSE))</f>
        <v>0</v>
      </c>
      <c r="I12" s="2" t="str">
        <f>IF(F12="","",VLOOKUP(F12,Productos!$A$2:$F$182,4,FALSE))</f>
        <v>Productos de la agricultura, la silvicultura y la pesca</v>
      </c>
      <c r="J12" s="2">
        <f>IF(F12="","",VLOOKUP(F12,Productos!$A$2:$F$182,5,FALSE))</f>
        <v>1</v>
      </c>
      <c r="K12" s="2" t="str">
        <f>IF(F12="","",VLOOKUP(F12,Productos!$A$2:$F$182,6,FALSE))</f>
        <v>Agropecuarios</v>
      </c>
      <c r="L12" s="2">
        <v>1</v>
      </c>
      <c r="M12" s="2" t="s">
        <v>14</v>
      </c>
      <c r="N12" s="2">
        <f>VLOOKUP(F12,Productos!$A$2:$J$182,5)</f>
        <v>1</v>
      </c>
      <c r="O12" s="2" t="str">
        <f>VLOOKUP(F12,Productos!$A$2:$J$182,6)</f>
        <v>Agropecuarios</v>
      </c>
    </row>
    <row r="13" spans="1:15">
      <c r="A13" s="2" t="s">
        <v>35</v>
      </c>
      <c r="B13" s="2" t="s">
        <v>10</v>
      </c>
      <c r="C13" s="2" t="s">
        <v>11</v>
      </c>
      <c r="D13" s="2" t="s">
        <v>12</v>
      </c>
      <c r="E13" s="2" t="s">
        <v>11</v>
      </c>
      <c r="F13" s="3">
        <v>12</v>
      </c>
      <c r="G13" s="2" t="s">
        <v>36</v>
      </c>
      <c r="H13" s="2" t="str">
        <f>IF(F13="","",VLOOKUP(F13,Productos!$A$2:$F$182,3,FALSE))</f>
        <v>0</v>
      </c>
      <c r="I13" s="2" t="str">
        <f>IF(F13="","",VLOOKUP(F13,Productos!$A$2:$F$182,4,FALSE))</f>
        <v>Productos de la agricultura, la silvicultura y la pesca</v>
      </c>
      <c r="J13" s="2">
        <f>IF(F13="","",VLOOKUP(F13,Productos!$A$2:$F$182,5,FALSE))</f>
        <v>1</v>
      </c>
      <c r="K13" s="2" t="str">
        <f>IF(F13="","",VLOOKUP(F13,Productos!$A$2:$F$182,6,FALSE))</f>
        <v>Agropecuarios</v>
      </c>
      <c r="L13" s="2">
        <v>1</v>
      </c>
      <c r="M13" s="2" t="s">
        <v>14</v>
      </c>
      <c r="N13" s="2">
        <f>VLOOKUP(F13,Productos!$A$2:$J$182,5)</f>
        <v>1</v>
      </c>
      <c r="O13" s="2" t="str">
        <f>VLOOKUP(F13,Productos!$A$2:$J$182,6)</f>
        <v>Agropecuarios</v>
      </c>
    </row>
    <row r="14" spans="1:15">
      <c r="A14" s="2" t="s">
        <v>37</v>
      </c>
      <c r="B14" s="2" t="s">
        <v>10</v>
      </c>
      <c r="C14" s="2" t="s">
        <v>11</v>
      </c>
      <c r="D14" s="2" t="s">
        <v>12</v>
      </c>
      <c r="E14" s="2" t="s">
        <v>11</v>
      </c>
      <c r="F14" s="3">
        <v>13</v>
      </c>
      <c r="G14" s="2" t="s">
        <v>38</v>
      </c>
      <c r="H14" s="2" t="str">
        <f>IF(F14="","",VLOOKUP(F14,Productos!$A$2:$F$182,3,FALSE))</f>
        <v>0</v>
      </c>
      <c r="I14" s="2" t="str">
        <f>IF(F14="","",VLOOKUP(F14,Productos!$A$2:$F$182,4,FALSE))</f>
        <v>Productos de la agricultura, la silvicultura y la pesca</v>
      </c>
      <c r="J14" s="2">
        <f>IF(F14="","",VLOOKUP(F14,Productos!$A$2:$F$182,5,FALSE))</f>
        <v>1</v>
      </c>
      <c r="K14" s="2" t="str">
        <f>IF(F14="","",VLOOKUP(F14,Productos!$A$2:$F$182,6,FALSE))</f>
        <v>Agropecuarios</v>
      </c>
      <c r="L14" s="2">
        <v>1</v>
      </c>
      <c r="M14" s="2" t="s">
        <v>14</v>
      </c>
      <c r="N14" s="2">
        <f>VLOOKUP(F14,Productos!$A$2:$J$182,5)</f>
        <v>1</v>
      </c>
      <c r="O14" s="2" t="str">
        <f>VLOOKUP(F14,Productos!$A$2:$J$182,6)</f>
        <v>Agropecuarios</v>
      </c>
    </row>
    <row r="15" spans="1:15">
      <c r="A15" s="2" t="s">
        <v>39</v>
      </c>
      <c r="B15" s="2" t="s">
        <v>10</v>
      </c>
      <c r="C15" s="2" t="s">
        <v>11</v>
      </c>
      <c r="D15" s="2" t="s">
        <v>12</v>
      </c>
      <c r="E15" s="2" t="s">
        <v>11</v>
      </c>
      <c r="F15" s="3">
        <v>14</v>
      </c>
      <c r="G15" s="2" t="s">
        <v>40</v>
      </c>
      <c r="H15" s="2" t="str">
        <f>IF(F15="","",VLOOKUP(F15,Productos!$A$2:$F$182,3,FALSE))</f>
        <v>0</v>
      </c>
      <c r="I15" s="2" t="str">
        <f>IF(F15="","",VLOOKUP(F15,Productos!$A$2:$F$182,4,FALSE))</f>
        <v>Productos de la agricultura, la silvicultura y la pesca</v>
      </c>
      <c r="J15" s="2">
        <f>IF(F15="","",VLOOKUP(F15,Productos!$A$2:$F$182,5,FALSE))</f>
        <v>1</v>
      </c>
      <c r="K15" s="2" t="str">
        <f>IF(F15="","",VLOOKUP(F15,Productos!$A$2:$F$182,6,FALSE))</f>
        <v>Agropecuarios</v>
      </c>
      <c r="L15" s="2">
        <v>1</v>
      </c>
      <c r="M15" s="2" t="s">
        <v>14</v>
      </c>
      <c r="N15" s="2">
        <f>VLOOKUP(F15,Productos!$A$2:$J$182,5)</f>
        <v>1</v>
      </c>
      <c r="O15" s="2" t="str">
        <f>VLOOKUP(F15,Productos!$A$2:$J$182,6)</f>
        <v>Agropecuarios</v>
      </c>
    </row>
    <row r="16" spans="1:15">
      <c r="A16" s="2" t="s">
        <v>41</v>
      </c>
      <c r="B16" s="2" t="s">
        <v>10</v>
      </c>
      <c r="C16" s="2" t="s">
        <v>11</v>
      </c>
      <c r="D16" s="2" t="s">
        <v>12</v>
      </c>
      <c r="E16" s="2" t="s">
        <v>11</v>
      </c>
      <c r="F16" s="3">
        <v>15</v>
      </c>
      <c r="G16" s="2" t="s">
        <v>42</v>
      </c>
      <c r="H16" s="2" t="str">
        <f>IF(F16="","",VLOOKUP(F16,Productos!$A$2:$F$182,3,FALSE))</f>
        <v>0</v>
      </c>
      <c r="I16" s="2" t="str">
        <f>IF(F16="","",VLOOKUP(F16,Productos!$A$2:$F$182,4,FALSE))</f>
        <v>Productos de la agricultura, la silvicultura y la pesca</v>
      </c>
      <c r="J16" s="2">
        <f>IF(F16="","",VLOOKUP(F16,Productos!$A$2:$F$182,5,FALSE))</f>
        <v>1</v>
      </c>
      <c r="K16" s="2" t="str">
        <f>IF(F16="","",VLOOKUP(F16,Productos!$A$2:$F$182,6,FALSE))</f>
        <v>Agropecuarios</v>
      </c>
      <c r="L16" s="2">
        <v>1</v>
      </c>
      <c r="M16" s="2" t="s">
        <v>14</v>
      </c>
      <c r="N16" s="2">
        <f>VLOOKUP(F16,Productos!$A$2:$J$182,5)</f>
        <v>1</v>
      </c>
      <c r="O16" s="2" t="str">
        <f>VLOOKUP(F16,Productos!$A$2:$J$182,6)</f>
        <v>Agropecuarios</v>
      </c>
    </row>
    <row r="17" spans="1:15">
      <c r="A17" s="2" t="s">
        <v>43</v>
      </c>
      <c r="B17" s="2" t="s">
        <v>10</v>
      </c>
      <c r="C17" s="2" t="s">
        <v>11</v>
      </c>
      <c r="D17" s="2" t="s">
        <v>12</v>
      </c>
      <c r="E17" s="2" t="s">
        <v>11</v>
      </c>
      <c r="F17" s="3">
        <v>16</v>
      </c>
      <c r="G17" s="2" t="s">
        <v>44</v>
      </c>
      <c r="H17" s="2" t="str">
        <f>IF(F17="","",VLOOKUP(F17,Productos!$A$2:$F$182,3,FALSE))</f>
        <v>0</v>
      </c>
      <c r="I17" s="2" t="str">
        <f>IF(F17="","",VLOOKUP(F17,Productos!$A$2:$F$182,4,FALSE))</f>
        <v>Productos de la agricultura, la silvicultura y la pesca</v>
      </c>
      <c r="J17" s="2">
        <f>IF(F17="","",VLOOKUP(F17,Productos!$A$2:$F$182,5,FALSE))</f>
        <v>1</v>
      </c>
      <c r="K17" s="2" t="str">
        <f>IF(F17="","",VLOOKUP(F17,Productos!$A$2:$F$182,6,FALSE))</f>
        <v>Agropecuarios</v>
      </c>
      <c r="L17" s="2">
        <v>1</v>
      </c>
      <c r="M17" s="2" t="s">
        <v>14</v>
      </c>
      <c r="N17" s="2">
        <f>VLOOKUP(F17,Productos!$A$2:$J$182,5)</f>
        <v>1</v>
      </c>
      <c r="O17" s="2" t="str">
        <f>VLOOKUP(F17,Productos!$A$2:$J$182,6)</f>
        <v>Agropecuarios</v>
      </c>
    </row>
    <row r="18" spans="1:15">
      <c r="A18" s="2" t="s">
        <v>45</v>
      </c>
      <c r="B18" s="2" t="s">
        <v>10</v>
      </c>
      <c r="C18" s="2" t="s">
        <v>11</v>
      </c>
      <c r="D18" s="2" t="s">
        <v>12</v>
      </c>
      <c r="E18" s="2" t="s">
        <v>11</v>
      </c>
      <c r="F18" s="3">
        <v>17</v>
      </c>
      <c r="G18" s="2" t="s">
        <v>46</v>
      </c>
      <c r="H18" s="2" t="str">
        <f>IF(F18="","",VLOOKUP(F18,Productos!$A$2:$F$182,3,FALSE))</f>
        <v>0</v>
      </c>
      <c r="I18" s="2" t="str">
        <f>IF(F18="","",VLOOKUP(F18,Productos!$A$2:$F$182,4,FALSE))</f>
        <v>Productos de la agricultura, la silvicultura y la pesca</v>
      </c>
      <c r="J18" s="2">
        <f>IF(F18="","",VLOOKUP(F18,Productos!$A$2:$F$182,5,FALSE))</f>
        <v>1</v>
      </c>
      <c r="K18" s="2" t="str">
        <f>IF(F18="","",VLOOKUP(F18,Productos!$A$2:$F$182,6,FALSE))</f>
        <v>Agropecuarios</v>
      </c>
      <c r="L18" s="2">
        <v>1</v>
      </c>
      <c r="M18" s="2" t="s">
        <v>14</v>
      </c>
      <c r="N18" s="2">
        <f>VLOOKUP(F18,Productos!$A$2:$J$182,5)</f>
        <v>1</v>
      </c>
      <c r="O18" s="2" t="str">
        <f>VLOOKUP(F18,Productos!$A$2:$J$182,6)</f>
        <v>Agropecuarios</v>
      </c>
    </row>
    <row r="19" spans="1:15">
      <c r="A19" s="2" t="s">
        <v>47</v>
      </c>
      <c r="B19" s="2" t="s">
        <v>10</v>
      </c>
      <c r="C19" s="2" t="s">
        <v>11</v>
      </c>
      <c r="D19" s="2" t="s">
        <v>12</v>
      </c>
      <c r="E19" s="2" t="s">
        <v>11</v>
      </c>
      <c r="F19" s="3">
        <v>18</v>
      </c>
      <c r="G19" s="2" t="s">
        <v>48</v>
      </c>
      <c r="H19" s="2" t="str">
        <f>IF(F19="","",VLOOKUP(F19,Productos!$A$2:$F$182,3,FALSE))</f>
        <v>0</v>
      </c>
      <c r="I19" s="2" t="str">
        <f>IF(F19="","",VLOOKUP(F19,Productos!$A$2:$F$182,4,FALSE))</f>
        <v>Productos de la agricultura, la silvicultura y la pesca</v>
      </c>
      <c r="J19" s="2">
        <f>IF(F19="","",VLOOKUP(F19,Productos!$A$2:$F$182,5,FALSE))</f>
        <v>1</v>
      </c>
      <c r="K19" s="2" t="str">
        <f>IF(F19="","",VLOOKUP(F19,Productos!$A$2:$F$182,6,FALSE))</f>
        <v>Agropecuarios</v>
      </c>
      <c r="L19" s="2">
        <v>1</v>
      </c>
      <c r="M19" s="2" t="s">
        <v>14</v>
      </c>
      <c r="N19" s="2">
        <f>VLOOKUP(F19,Productos!$A$2:$J$182,5)</f>
        <v>1</v>
      </c>
      <c r="O19" s="2" t="str">
        <f>VLOOKUP(F19,Productos!$A$2:$J$182,6)</f>
        <v>Agropecuarios</v>
      </c>
    </row>
    <row r="20" spans="1:15">
      <c r="A20" s="2" t="s">
        <v>49</v>
      </c>
      <c r="B20" s="2" t="s">
        <v>10</v>
      </c>
      <c r="C20" s="2" t="s">
        <v>11</v>
      </c>
      <c r="D20" s="2" t="s">
        <v>12</v>
      </c>
      <c r="E20" s="2" t="s">
        <v>11</v>
      </c>
      <c r="F20" s="3">
        <v>19</v>
      </c>
      <c r="G20" s="2" t="s">
        <v>50</v>
      </c>
      <c r="H20" s="2" t="str">
        <f>IF(F20="","",VLOOKUP(F20,Productos!$A$2:$F$182,3,FALSE))</f>
        <v>0</v>
      </c>
      <c r="I20" s="2" t="str">
        <f>IF(F20="","",VLOOKUP(F20,Productos!$A$2:$F$182,4,FALSE))</f>
        <v>Productos de la agricultura, la silvicultura y la pesca</v>
      </c>
      <c r="J20" s="2">
        <f>IF(F20="","",VLOOKUP(F20,Productos!$A$2:$F$182,5,FALSE))</f>
        <v>1</v>
      </c>
      <c r="K20" s="2" t="str">
        <f>IF(F20="","",VLOOKUP(F20,Productos!$A$2:$F$182,6,FALSE))</f>
        <v>Agropecuarios</v>
      </c>
      <c r="L20" s="2">
        <v>1</v>
      </c>
      <c r="M20" s="2" t="s">
        <v>14</v>
      </c>
      <c r="N20" s="2">
        <f>VLOOKUP(F20,Productos!$A$2:$J$182,5)</f>
        <v>1</v>
      </c>
      <c r="O20" s="2" t="str">
        <f>VLOOKUP(F20,Productos!$A$2:$J$182,6)</f>
        <v>Agropecuarios</v>
      </c>
    </row>
    <row r="21" spans="1:15">
      <c r="A21" s="2" t="s">
        <v>51</v>
      </c>
      <c r="B21" s="2" t="s">
        <v>10</v>
      </c>
      <c r="C21" s="2" t="s">
        <v>11</v>
      </c>
      <c r="D21" s="2" t="s">
        <v>12</v>
      </c>
      <c r="E21" s="2" t="s">
        <v>11</v>
      </c>
      <c r="F21" s="3">
        <v>20</v>
      </c>
      <c r="G21" s="2" t="s">
        <v>52</v>
      </c>
      <c r="H21" s="2" t="str">
        <f>IF(F21="","",VLOOKUP(F21,Productos!$A$2:$F$182,3,FALSE))</f>
        <v>0</v>
      </c>
      <c r="I21" s="2" t="str">
        <f>IF(F21="","",VLOOKUP(F21,Productos!$A$2:$F$182,4,FALSE))</f>
        <v>Productos de la agricultura, la silvicultura y la pesca</v>
      </c>
      <c r="J21" s="2">
        <f>IF(F21="","",VLOOKUP(F21,Productos!$A$2:$F$182,5,FALSE))</f>
        <v>1</v>
      </c>
      <c r="K21" s="2" t="str">
        <f>IF(F21="","",VLOOKUP(F21,Productos!$A$2:$F$182,6,FALSE))</f>
        <v>Agropecuarios</v>
      </c>
      <c r="L21" s="2">
        <v>1</v>
      </c>
      <c r="M21" s="2" t="s">
        <v>14</v>
      </c>
      <c r="N21" s="2">
        <f>VLOOKUP(F21,Productos!$A$2:$J$182,5)</f>
        <v>1</v>
      </c>
      <c r="O21" s="2" t="str">
        <f>VLOOKUP(F21,Productos!$A$2:$J$182,6)</f>
        <v>Agropecuarios</v>
      </c>
    </row>
    <row r="22" spans="1:15">
      <c r="A22" s="2" t="s">
        <v>53</v>
      </c>
      <c r="B22" s="2" t="s">
        <v>10</v>
      </c>
      <c r="C22" s="2" t="s">
        <v>11</v>
      </c>
      <c r="D22" s="2" t="s">
        <v>12</v>
      </c>
      <c r="E22" s="2" t="s">
        <v>11</v>
      </c>
      <c r="F22" s="3">
        <v>21</v>
      </c>
      <c r="G22" s="2" t="s">
        <v>54</v>
      </c>
      <c r="H22" s="2" t="str">
        <f>IF(F22="","",VLOOKUP(F22,Productos!$A$2:$F$182,3,FALSE))</f>
        <v>0</v>
      </c>
      <c r="I22" s="2" t="str">
        <f>IF(F22="","",VLOOKUP(F22,Productos!$A$2:$F$182,4,FALSE))</f>
        <v>Productos de la agricultura, la silvicultura y la pesca</v>
      </c>
      <c r="J22" s="2">
        <f>IF(F22="","",VLOOKUP(F22,Productos!$A$2:$F$182,5,FALSE))</f>
        <v>1</v>
      </c>
      <c r="K22" s="2" t="str">
        <f>IF(F22="","",VLOOKUP(F22,Productos!$A$2:$F$182,6,FALSE))</f>
        <v>Agropecuarios</v>
      </c>
      <c r="L22" s="2">
        <v>1</v>
      </c>
      <c r="M22" s="2" t="s">
        <v>14</v>
      </c>
      <c r="N22" s="2">
        <f>VLOOKUP(F22,Productos!$A$2:$J$182,5)</f>
        <v>1</v>
      </c>
      <c r="O22" s="2" t="str">
        <f>VLOOKUP(F22,Productos!$A$2:$J$182,6)</f>
        <v>Agropecuarios</v>
      </c>
    </row>
    <row r="23" spans="1:15">
      <c r="A23" s="2" t="s">
        <v>55</v>
      </c>
      <c r="B23" s="2" t="s">
        <v>10</v>
      </c>
      <c r="C23" s="2" t="s">
        <v>11</v>
      </c>
      <c r="D23" s="2" t="s">
        <v>12</v>
      </c>
      <c r="E23" s="2" t="s">
        <v>11</v>
      </c>
      <c r="F23" s="3">
        <v>22</v>
      </c>
      <c r="G23" s="2" t="s">
        <v>56</v>
      </c>
      <c r="H23" s="2" t="str">
        <f>IF(F23="","",VLOOKUP(F23,Productos!$A$2:$F$182,3,FALSE))</f>
        <v>0</v>
      </c>
      <c r="I23" s="2" t="str">
        <f>IF(F23="","",VLOOKUP(F23,Productos!$A$2:$F$182,4,FALSE))</f>
        <v>Productos de la agricultura, la silvicultura y la pesca</v>
      </c>
      <c r="J23" s="2">
        <f>IF(F23="","",VLOOKUP(F23,Productos!$A$2:$F$182,5,FALSE))</f>
        <v>1</v>
      </c>
      <c r="K23" s="2" t="str">
        <f>IF(F23="","",VLOOKUP(F23,Productos!$A$2:$F$182,6,FALSE))</f>
        <v>Agropecuarios</v>
      </c>
      <c r="L23" s="2">
        <v>1</v>
      </c>
      <c r="M23" s="2" t="s">
        <v>14</v>
      </c>
      <c r="N23" s="2">
        <f>VLOOKUP(F23,Productos!$A$2:$J$182,5)</f>
        <v>1</v>
      </c>
      <c r="O23" s="2" t="str">
        <f>VLOOKUP(F23,Productos!$A$2:$J$182,6)</f>
        <v>Agropecuarios</v>
      </c>
    </row>
    <row r="24" spans="1:15">
      <c r="A24" s="2" t="s">
        <v>57</v>
      </c>
      <c r="B24" s="2" t="s">
        <v>10</v>
      </c>
      <c r="C24" s="2" t="s">
        <v>11</v>
      </c>
      <c r="D24" s="2" t="s">
        <v>12</v>
      </c>
      <c r="E24" s="2" t="s">
        <v>11</v>
      </c>
      <c r="F24" s="3">
        <v>23</v>
      </c>
      <c r="G24" s="2" t="s">
        <v>58</v>
      </c>
      <c r="H24" s="2" t="str">
        <f>IF(F24="","",VLOOKUP(F24,Productos!$A$2:$F$182,3,FALSE))</f>
        <v>0</v>
      </c>
      <c r="I24" s="2" t="str">
        <f>IF(F24="","",VLOOKUP(F24,Productos!$A$2:$F$182,4,FALSE))</f>
        <v>Productos de la agricultura, la silvicultura y la pesca</v>
      </c>
      <c r="J24" s="2">
        <f>IF(F24="","",VLOOKUP(F24,Productos!$A$2:$F$182,5,FALSE))</f>
        <v>1</v>
      </c>
      <c r="K24" s="2" t="str">
        <f>IF(F24="","",VLOOKUP(F24,Productos!$A$2:$F$182,6,FALSE))</f>
        <v>Agropecuarios</v>
      </c>
      <c r="L24" s="2">
        <v>1</v>
      </c>
      <c r="M24" s="2" t="s">
        <v>14</v>
      </c>
      <c r="N24" s="2">
        <f>VLOOKUP(F24,Productos!$A$2:$J$182,5)</f>
        <v>1</v>
      </c>
      <c r="O24" s="2" t="str">
        <f>VLOOKUP(F24,Productos!$A$2:$J$182,6)</f>
        <v>Agropecuarios</v>
      </c>
    </row>
    <row r="25" spans="1:15">
      <c r="A25" s="2" t="s">
        <v>59</v>
      </c>
      <c r="B25" s="2" t="s">
        <v>10</v>
      </c>
      <c r="C25" s="2" t="s">
        <v>11</v>
      </c>
      <c r="D25" s="2" t="s">
        <v>12</v>
      </c>
      <c r="E25" s="2" t="s">
        <v>11</v>
      </c>
      <c r="F25" s="3">
        <v>24</v>
      </c>
      <c r="G25" s="2" t="s">
        <v>60</v>
      </c>
      <c r="H25" s="2" t="str">
        <f>IF(F25="","",VLOOKUP(F25,Productos!$A$2:$F$182,3,FALSE))</f>
        <v>0</v>
      </c>
      <c r="I25" s="2" t="str">
        <f>IF(F25="","",VLOOKUP(F25,Productos!$A$2:$F$182,4,FALSE))</f>
        <v>Productos de la agricultura, la silvicultura y la pesca</v>
      </c>
      <c r="J25" s="2">
        <f>IF(F25="","",VLOOKUP(F25,Productos!$A$2:$F$182,5,FALSE))</f>
        <v>1</v>
      </c>
      <c r="K25" s="2" t="str">
        <f>IF(F25="","",VLOOKUP(F25,Productos!$A$2:$F$182,6,FALSE))</f>
        <v>Agropecuarios</v>
      </c>
      <c r="L25" s="2">
        <v>1</v>
      </c>
      <c r="M25" s="2" t="s">
        <v>14</v>
      </c>
      <c r="N25" s="2">
        <f>VLOOKUP(F25,Productos!$A$2:$J$182,5)</f>
        <v>1</v>
      </c>
      <c r="O25" s="2" t="str">
        <f>VLOOKUP(F25,Productos!$A$2:$J$182,6)</f>
        <v>Agropecuarios</v>
      </c>
    </row>
    <row r="26" spans="1:15">
      <c r="A26" s="2" t="s">
        <v>61</v>
      </c>
      <c r="B26" s="2" t="s">
        <v>10</v>
      </c>
      <c r="C26" s="2" t="s">
        <v>11</v>
      </c>
      <c r="D26" s="2" t="s">
        <v>12</v>
      </c>
      <c r="E26" s="2" t="s">
        <v>11</v>
      </c>
      <c r="F26" s="3">
        <v>25</v>
      </c>
      <c r="G26" s="2" t="s">
        <v>62</v>
      </c>
      <c r="H26" s="2" t="str">
        <f>IF(F26="","",VLOOKUP(F26,Productos!$A$2:$F$182,3,FALSE))</f>
        <v>0</v>
      </c>
      <c r="I26" s="2" t="str">
        <f>IF(F26="","",VLOOKUP(F26,Productos!$A$2:$F$182,4,FALSE))</f>
        <v>Productos de la agricultura, la silvicultura y la pesca</v>
      </c>
      <c r="J26" s="2">
        <f>IF(F26="","",VLOOKUP(F26,Productos!$A$2:$F$182,5,FALSE))</f>
        <v>1</v>
      </c>
      <c r="K26" s="2" t="str">
        <f>IF(F26="","",VLOOKUP(F26,Productos!$A$2:$F$182,6,FALSE))</f>
        <v>Agropecuarios</v>
      </c>
      <c r="L26" s="2">
        <v>1</v>
      </c>
      <c r="M26" s="2" t="s">
        <v>14</v>
      </c>
      <c r="N26" s="2">
        <f>VLOOKUP(F26,Productos!$A$2:$J$182,5)</f>
        <v>1</v>
      </c>
      <c r="O26" s="2" t="str">
        <f>VLOOKUP(F26,Productos!$A$2:$J$182,6)</f>
        <v>Agropecuarios</v>
      </c>
    </row>
    <row r="27" spans="1:15">
      <c r="A27" s="2" t="s">
        <v>63</v>
      </c>
      <c r="B27" s="2" t="s">
        <v>10</v>
      </c>
      <c r="C27" s="2" t="s">
        <v>11</v>
      </c>
      <c r="D27" s="2" t="s">
        <v>12</v>
      </c>
      <c r="E27" s="2" t="s">
        <v>11</v>
      </c>
      <c r="F27" s="3">
        <v>26</v>
      </c>
      <c r="G27" s="2" t="s">
        <v>64</v>
      </c>
      <c r="H27" s="2" t="str">
        <f>IF(F27="","",VLOOKUP(F27,Productos!$A$2:$F$182,3,FALSE))</f>
        <v>0</v>
      </c>
      <c r="I27" s="2" t="str">
        <f>IF(F27="","",VLOOKUP(F27,Productos!$A$2:$F$182,4,FALSE))</f>
        <v>Productos de la agricultura, la silvicultura y la pesca</v>
      </c>
      <c r="J27" s="2">
        <f>IF(F27="","",VLOOKUP(F27,Productos!$A$2:$F$182,5,FALSE))</f>
        <v>1</v>
      </c>
      <c r="K27" s="2" t="str">
        <f>IF(F27="","",VLOOKUP(F27,Productos!$A$2:$F$182,6,FALSE))</f>
        <v>Agropecuarios</v>
      </c>
      <c r="L27" s="2">
        <v>1</v>
      </c>
      <c r="M27" s="2" t="s">
        <v>14</v>
      </c>
      <c r="N27" s="2">
        <f>VLOOKUP(F27,Productos!$A$2:$J$182,5)</f>
        <v>1</v>
      </c>
      <c r="O27" s="2" t="str">
        <f>VLOOKUP(F27,Productos!$A$2:$J$182,6)</f>
        <v>Agropecuarios</v>
      </c>
    </row>
    <row r="28" spans="1:15">
      <c r="A28" s="2" t="s">
        <v>65</v>
      </c>
      <c r="B28" s="2" t="s">
        <v>10</v>
      </c>
      <c r="C28" s="2" t="s">
        <v>11</v>
      </c>
      <c r="D28" s="2" t="s">
        <v>12</v>
      </c>
      <c r="E28" s="2" t="s">
        <v>11</v>
      </c>
      <c r="F28" s="3">
        <v>27</v>
      </c>
      <c r="G28" s="2" t="s">
        <v>66</v>
      </c>
      <c r="H28" s="2" t="str">
        <f>IF(F28="","",VLOOKUP(F28,Productos!$A$2:$F$182,3,FALSE))</f>
        <v>1</v>
      </c>
      <c r="I28" s="2" t="str">
        <f>IF(F28="","",VLOOKUP(F28,Productos!$A$2:$F$182,4,FALSE))</f>
        <v>Minerales; electricidad, gas y agua</v>
      </c>
      <c r="J28" s="2">
        <f>IF(F28="","",VLOOKUP(F28,Productos!$A$2:$F$182,5,FALSE))</f>
        <v>2</v>
      </c>
      <c r="K28" s="2" t="str">
        <f>IF(F28="","",VLOOKUP(F28,Productos!$A$2:$F$182,6,FALSE))</f>
        <v>Minería</v>
      </c>
      <c r="L28" s="2">
        <v>3</v>
      </c>
      <c r="M28" s="2" t="s">
        <v>67</v>
      </c>
      <c r="N28" s="2">
        <f>VLOOKUP(F28,Productos!$A$2:$J$182,5)</f>
        <v>2</v>
      </c>
      <c r="O28" s="2" t="str">
        <f>VLOOKUP(F28,Productos!$A$2:$J$182,6)</f>
        <v>Minería</v>
      </c>
    </row>
    <row r="29" spans="1:15">
      <c r="A29" s="2" t="s">
        <v>68</v>
      </c>
      <c r="B29" s="2" t="s">
        <v>10</v>
      </c>
      <c r="C29" s="2" t="s">
        <v>11</v>
      </c>
      <c r="D29" s="2" t="s">
        <v>12</v>
      </c>
      <c r="E29" s="2" t="s">
        <v>11</v>
      </c>
      <c r="F29" s="3">
        <v>28</v>
      </c>
      <c r="G29" s="2" t="s">
        <v>69</v>
      </c>
      <c r="H29" s="2" t="str">
        <f>IF(F29="","",VLOOKUP(F29,Productos!$A$2:$F$182,3,FALSE))</f>
        <v>1</v>
      </c>
      <c r="I29" s="2" t="str">
        <f>IF(F29="","",VLOOKUP(F29,Productos!$A$2:$F$182,4,FALSE))</f>
        <v>Minerales; electricidad, gas y agua</v>
      </c>
      <c r="J29" s="2">
        <f>IF(F29="","",VLOOKUP(F29,Productos!$A$2:$F$182,5,FALSE))</f>
        <v>2</v>
      </c>
      <c r="K29" s="2" t="str">
        <f>IF(F29="","",VLOOKUP(F29,Productos!$A$2:$F$182,6,FALSE))</f>
        <v>Minería</v>
      </c>
      <c r="L29" s="2">
        <v>3</v>
      </c>
      <c r="M29" s="2" t="s">
        <v>67</v>
      </c>
      <c r="N29" s="2">
        <f>VLOOKUP(F29,Productos!$A$2:$J$182,5)</f>
        <v>2</v>
      </c>
      <c r="O29" s="2" t="str">
        <f>VLOOKUP(F29,Productos!$A$2:$J$182,6)</f>
        <v>Minería</v>
      </c>
    </row>
    <row r="30" spans="1:15">
      <c r="A30" s="2" t="s">
        <v>70</v>
      </c>
      <c r="B30" s="2" t="s">
        <v>10</v>
      </c>
      <c r="C30" s="2" t="s">
        <v>11</v>
      </c>
      <c r="D30" s="2" t="s">
        <v>12</v>
      </c>
      <c r="E30" s="2" t="s">
        <v>11</v>
      </c>
      <c r="F30" s="3">
        <v>29</v>
      </c>
      <c r="G30" s="2" t="s">
        <v>71</v>
      </c>
      <c r="H30" s="2" t="str">
        <f>IF(F30="","",VLOOKUP(F30,Productos!$A$2:$F$182,3,FALSE))</f>
        <v>1</v>
      </c>
      <c r="I30" s="2" t="str">
        <f>IF(F30="","",VLOOKUP(F30,Productos!$A$2:$F$182,4,FALSE))</f>
        <v>Minerales; electricidad, gas y agua</v>
      </c>
      <c r="J30" s="2">
        <f>IF(F30="","",VLOOKUP(F30,Productos!$A$2:$F$182,5,FALSE))</f>
        <v>2</v>
      </c>
      <c r="K30" s="2" t="str">
        <f>IF(F30="","",VLOOKUP(F30,Productos!$A$2:$F$182,6,FALSE))</f>
        <v>Minería</v>
      </c>
      <c r="L30" s="2">
        <v>3</v>
      </c>
      <c r="M30" s="2" t="s">
        <v>67</v>
      </c>
      <c r="N30" s="2">
        <f>VLOOKUP(F30,Productos!$A$2:$J$182,5)</f>
        <v>2</v>
      </c>
      <c r="O30" s="2" t="str">
        <f>VLOOKUP(F30,Productos!$A$2:$J$182,6)</f>
        <v>Minería</v>
      </c>
    </row>
    <row r="31" spans="1:15">
      <c r="A31" s="2" t="s">
        <v>72</v>
      </c>
      <c r="B31" s="2" t="s">
        <v>10</v>
      </c>
      <c r="C31" s="2" t="s">
        <v>11</v>
      </c>
      <c r="D31" s="2" t="s">
        <v>12</v>
      </c>
      <c r="E31" s="2" t="s">
        <v>11</v>
      </c>
      <c r="F31" s="3">
        <v>30</v>
      </c>
      <c r="G31" s="2" t="s">
        <v>73</v>
      </c>
      <c r="H31" s="2" t="str">
        <f>IF(F31="","",VLOOKUP(F31,Productos!$A$2:$F$182,3,FALSE))</f>
        <v>1</v>
      </c>
      <c r="I31" s="2" t="str">
        <f>IF(F31="","",VLOOKUP(F31,Productos!$A$2:$F$182,4,FALSE))</f>
        <v>Minerales; electricidad, gas y agua</v>
      </c>
      <c r="J31" s="2">
        <f>IF(F31="","",VLOOKUP(F31,Productos!$A$2:$F$182,5,FALSE))</f>
        <v>2</v>
      </c>
      <c r="K31" s="2" t="str">
        <f>IF(F31="","",VLOOKUP(F31,Productos!$A$2:$F$182,6,FALSE))</f>
        <v>Minería</v>
      </c>
      <c r="L31" s="2">
        <v>3</v>
      </c>
      <c r="M31" s="2" t="s">
        <v>67</v>
      </c>
      <c r="N31" s="2">
        <f>VLOOKUP(F31,Productos!$A$2:$J$182,5)</f>
        <v>2</v>
      </c>
      <c r="O31" s="2" t="str">
        <f>VLOOKUP(F31,Productos!$A$2:$J$182,6)</f>
        <v>Minería</v>
      </c>
    </row>
    <row r="32" spans="1:15">
      <c r="A32" s="2" t="s">
        <v>74</v>
      </c>
      <c r="B32" s="2" t="s">
        <v>10</v>
      </c>
      <c r="C32" s="2" t="s">
        <v>11</v>
      </c>
      <c r="D32" s="2" t="s">
        <v>12</v>
      </c>
      <c r="E32" s="2" t="s">
        <v>11</v>
      </c>
      <c r="F32" s="3">
        <v>31</v>
      </c>
      <c r="G32" s="2" t="s">
        <v>75</v>
      </c>
      <c r="H32" s="2" t="str">
        <f>IF(F32="","",VLOOKUP(F32,Productos!$A$2:$F$182,3,FALSE))</f>
        <v>1</v>
      </c>
      <c r="I32" s="2" t="str">
        <f>IF(F32="","",VLOOKUP(F32,Productos!$A$2:$F$182,4,FALSE))</f>
        <v>Minerales; electricidad, gas y agua</v>
      </c>
      <c r="J32" s="2">
        <f>IF(F32="","",VLOOKUP(F32,Productos!$A$2:$F$182,5,FALSE))</f>
        <v>2</v>
      </c>
      <c r="K32" s="2" t="str">
        <f>IF(F32="","",VLOOKUP(F32,Productos!$A$2:$F$182,6,FALSE))</f>
        <v>Minería</v>
      </c>
      <c r="L32" s="2">
        <v>3</v>
      </c>
      <c r="M32" s="2" t="s">
        <v>67</v>
      </c>
      <c r="N32" s="2">
        <f>VLOOKUP(F32,Productos!$A$2:$J$182,5)</f>
        <v>2</v>
      </c>
      <c r="O32" s="2" t="str">
        <f>VLOOKUP(F32,Productos!$A$2:$J$182,6)</f>
        <v>Minería</v>
      </c>
    </row>
    <row r="33" spans="1:15">
      <c r="A33" s="2" t="s">
        <v>76</v>
      </c>
      <c r="B33" s="2" t="s">
        <v>10</v>
      </c>
      <c r="C33" s="2" t="s">
        <v>11</v>
      </c>
      <c r="D33" s="2" t="s">
        <v>12</v>
      </c>
      <c r="E33" s="2" t="s">
        <v>11</v>
      </c>
      <c r="F33" s="3">
        <v>32</v>
      </c>
      <c r="G33" s="2" t="s">
        <v>77</v>
      </c>
      <c r="H33" s="2" t="str">
        <f>IF(F33="","",VLOOKUP(F33,Productos!$A$2:$F$182,3,FALSE))</f>
        <v>1</v>
      </c>
      <c r="I33" s="2" t="str">
        <f>IF(F33="","",VLOOKUP(F33,Productos!$A$2:$F$182,4,FALSE))</f>
        <v>Minerales; electricidad, gas y agua</v>
      </c>
      <c r="J33" s="2">
        <f>IF(F33="","",VLOOKUP(F33,Productos!$A$2:$F$182,5,FALSE))</f>
        <v>2</v>
      </c>
      <c r="K33" s="2" t="str">
        <f>IF(F33="","",VLOOKUP(F33,Productos!$A$2:$F$182,6,FALSE))</f>
        <v>Minería</v>
      </c>
      <c r="L33" s="2">
        <v>3</v>
      </c>
      <c r="M33" s="2" t="s">
        <v>67</v>
      </c>
      <c r="N33" s="2">
        <f>VLOOKUP(F33,Productos!$A$2:$J$182,5)</f>
        <v>2</v>
      </c>
      <c r="O33" s="2" t="str">
        <f>VLOOKUP(F33,Productos!$A$2:$J$182,6)</f>
        <v>Minería</v>
      </c>
    </row>
    <row r="34" spans="1:15">
      <c r="A34" s="2" t="s">
        <v>78</v>
      </c>
      <c r="B34" s="2" t="s">
        <v>10</v>
      </c>
      <c r="C34" s="2" t="s">
        <v>11</v>
      </c>
      <c r="D34" s="2" t="s">
        <v>12</v>
      </c>
      <c r="E34" s="2" t="s">
        <v>11</v>
      </c>
      <c r="F34" s="3">
        <v>33</v>
      </c>
      <c r="G34" s="2" t="s">
        <v>79</v>
      </c>
      <c r="H34" s="2" t="str">
        <f>IF(F34="","",VLOOKUP(F34,Productos!$A$2:$F$182,3,FALSE))</f>
        <v>1</v>
      </c>
      <c r="I34" s="2" t="str">
        <f>IF(F34="","",VLOOKUP(F34,Productos!$A$2:$F$182,4,FALSE))</f>
        <v>Minerales; electricidad, gas y agua</v>
      </c>
      <c r="J34" s="2">
        <f>IF(F34="","",VLOOKUP(F34,Productos!$A$2:$F$182,5,FALSE))</f>
        <v>2</v>
      </c>
      <c r="K34" s="2" t="str">
        <f>IF(F34="","",VLOOKUP(F34,Productos!$A$2:$F$182,6,FALSE))</f>
        <v>Minería</v>
      </c>
      <c r="L34" s="2">
        <v>3</v>
      </c>
      <c r="M34" s="2" t="s">
        <v>67</v>
      </c>
      <c r="N34" s="2">
        <f>VLOOKUP(F34,Productos!$A$2:$J$182,5)</f>
        <v>2</v>
      </c>
      <c r="O34" s="2" t="str">
        <f>VLOOKUP(F34,Productos!$A$2:$J$182,6)</f>
        <v>Minería</v>
      </c>
    </row>
    <row r="35" spans="1:15">
      <c r="A35" s="2" t="s">
        <v>80</v>
      </c>
      <c r="B35" s="2" t="s">
        <v>10</v>
      </c>
      <c r="C35" s="2" t="s">
        <v>11</v>
      </c>
      <c r="D35" s="2" t="s">
        <v>12</v>
      </c>
      <c r="E35" s="2" t="s">
        <v>11</v>
      </c>
      <c r="F35" s="3">
        <v>34</v>
      </c>
      <c r="G35" s="2" t="s">
        <v>81</v>
      </c>
      <c r="H35" s="2" t="str">
        <f>IF(F35="","",VLOOKUP(F35,Productos!$A$2:$F$182,3,FALSE))</f>
        <v>1</v>
      </c>
      <c r="I35" s="2" t="str">
        <f>IF(F35="","",VLOOKUP(F35,Productos!$A$2:$F$182,4,FALSE))</f>
        <v>Minerales; electricidad, gas y agua</v>
      </c>
      <c r="J35" s="2">
        <f>IF(F35="","",VLOOKUP(F35,Productos!$A$2:$F$182,5,FALSE))</f>
        <v>2</v>
      </c>
      <c r="K35" s="2" t="str">
        <f>IF(F35="","",VLOOKUP(F35,Productos!$A$2:$F$182,6,FALSE))</f>
        <v>Minería</v>
      </c>
      <c r="L35" s="2">
        <v>3</v>
      </c>
      <c r="M35" s="2" t="s">
        <v>67</v>
      </c>
      <c r="N35" s="2">
        <f>VLOOKUP(F35,Productos!$A$2:$J$182,5)</f>
        <v>2</v>
      </c>
      <c r="O35" s="2" t="str">
        <f>VLOOKUP(F35,Productos!$A$2:$J$182,6)</f>
        <v>Minería</v>
      </c>
    </row>
    <row r="36" spans="1:15">
      <c r="A36" s="2" t="s">
        <v>82</v>
      </c>
      <c r="B36" s="2" t="s">
        <v>10</v>
      </c>
      <c r="C36" s="2" t="s">
        <v>11</v>
      </c>
      <c r="D36" s="2" t="s">
        <v>12</v>
      </c>
      <c r="E36" s="2" t="s">
        <v>11</v>
      </c>
      <c r="F36" s="3">
        <v>35</v>
      </c>
      <c r="G36" s="2" t="s">
        <v>83</v>
      </c>
      <c r="H36" s="2" t="str">
        <f>IF(F36="","",VLOOKUP(F36,Productos!$A$2:$F$182,3,FALSE))</f>
        <v>1</v>
      </c>
      <c r="I36" s="2" t="str">
        <f>IF(F36="","",VLOOKUP(F36,Productos!$A$2:$F$182,4,FALSE))</f>
        <v>Minerales; electricidad, gas y agua</v>
      </c>
      <c r="J36" s="2">
        <f>IF(F36="","",VLOOKUP(F36,Productos!$A$2:$F$182,5,FALSE))</f>
        <v>2</v>
      </c>
      <c r="K36" s="2" t="str">
        <f>IF(F36="","",VLOOKUP(F36,Productos!$A$2:$F$182,6,FALSE))</f>
        <v>Minería</v>
      </c>
      <c r="L36" s="2">
        <v>3</v>
      </c>
      <c r="M36" s="2" t="s">
        <v>67</v>
      </c>
      <c r="N36" s="2">
        <f>VLOOKUP(F36,Productos!$A$2:$J$182,5)</f>
        <v>2</v>
      </c>
      <c r="O36" s="2" t="str">
        <f>VLOOKUP(F36,Productos!$A$2:$J$182,6)</f>
        <v>Minería</v>
      </c>
    </row>
    <row r="37" spans="1:15">
      <c r="A37" s="2" t="s">
        <v>84</v>
      </c>
      <c r="B37" s="2" t="s">
        <v>10</v>
      </c>
      <c r="C37" s="2" t="s">
        <v>11</v>
      </c>
      <c r="D37" s="2" t="s">
        <v>12</v>
      </c>
      <c r="E37" s="2" t="s">
        <v>11</v>
      </c>
      <c r="F37" s="3">
        <v>36</v>
      </c>
      <c r="G37" s="2" t="s">
        <v>85</v>
      </c>
      <c r="H37" s="2" t="str">
        <f>IF(F37="","",VLOOKUP(F37,Productos!$A$2:$F$182,3,FALSE))</f>
        <v>1</v>
      </c>
      <c r="I37" s="2" t="str">
        <f>IF(F37="","",VLOOKUP(F37,Productos!$A$2:$F$182,4,FALSE))</f>
        <v>Minerales; electricidad, gas y agua</v>
      </c>
      <c r="J37" s="2">
        <f>IF(F37="","",VLOOKUP(F37,Productos!$A$2:$F$182,5,FALSE))</f>
        <v>2</v>
      </c>
      <c r="K37" s="2" t="str">
        <f>IF(F37="","",VLOOKUP(F37,Productos!$A$2:$F$182,6,FALSE))</f>
        <v>Minería</v>
      </c>
      <c r="L37" s="2">
        <v>3</v>
      </c>
      <c r="M37" s="2" t="s">
        <v>67</v>
      </c>
      <c r="N37" s="2">
        <f>VLOOKUP(F37,Productos!$A$2:$J$182,5)</f>
        <v>2</v>
      </c>
      <c r="O37" s="2" t="str">
        <f>VLOOKUP(F37,Productos!$A$2:$J$182,6)</f>
        <v>Minería</v>
      </c>
    </row>
    <row r="38" spans="1:15">
      <c r="A38" s="2" t="s">
        <v>86</v>
      </c>
      <c r="B38" s="2" t="s">
        <v>10</v>
      </c>
      <c r="C38" s="2" t="s">
        <v>11</v>
      </c>
      <c r="D38" s="2" t="s">
        <v>12</v>
      </c>
      <c r="E38" s="2" t="s">
        <v>11</v>
      </c>
      <c r="F38" s="3">
        <v>37</v>
      </c>
      <c r="G38" s="2" t="s">
        <v>87</v>
      </c>
      <c r="H38" s="2" t="str">
        <f>IF(F38="","",VLOOKUP(F38,Productos!$A$2:$F$182,3,FALSE))</f>
        <v>2</v>
      </c>
      <c r="I38" s="2" t="str">
        <f>IF(F38="","",VLOOKUP(F38,Productos!$A$2:$F$182,4,FALSE))</f>
        <v>Productos alimenticios, bebidas y tabaco; textiles, prendas de vestir y productos de cuero</v>
      </c>
      <c r="J38" s="2">
        <f>IF(F38="","",VLOOKUP(F38,Productos!$A$2:$F$182,5,FALSE))</f>
        <v>3</v>
      </c>
      <c r="K38" s="2" t="str">
        <f>IF(F38="","",VLOOKUP(F38,Productos!$A$2:$F$182,6,FALSE))</f>
        <v>Manufacturas</v>
      </c>
      <c r="L38" s="2">
        <v>1</v>
      </c>
      <c r="M38" s="2" t="s">
        <v>14</v>
      </c>
      <c r="N38" s="2">
        <f>VLOOKUP(F38,Productos!$A$2:$J$182,5)</f>
        <v>3</v>
      </c>
      <c r="O38" s="2" t="str">
        <f>VLOOKUP(F38,Productos!$A$2:$J$182,6)</f>
        <v>Manufacturas</v>
      </c>
    </row>
    <row r="39" spans="1:15">
      <c r="A39" s="2" t="s">
        <v>88</v>
      </c>
      <c r="B39" s="2" t="s">
        <v>10</v>
      </c>
      <c r="C39" s="2" t="s">
        <v>11</v>
      </c>
      <c r="D39" s="2" t="s">
        <v>12</v>
      </c>
      <c r="E39" s="2" t="s">
        <v>11</v>
      </c>
      <c r="F39" s="3">
        <v>38</v>
      </c>
      <c r="G39" s="2" t="s">
        <v>89</v>
      </c>
      <c r="H39" s="2" t="str">
        <f>IF(F39="","",VLOOKUP(F39,Productos!$A$2:$F$182,3,FALSE))</f>
        <v>2</v>
      </c>
      <c r="I39" s="2" t="str">
        <f>IF(F39="","",VLOOKUP(F39,Productos!$A$2:$F$182,4,FALSE))</f>
        <v>Productos alimenticios, bebidas y tabaco; textiles, prendas de vestir y productos de cuero</v>
      </c>
      <c r="J39" s="2">
        <f>IF(F39="","",VLOOKUP(F39,Productos!$A$2:$F$182,5,FALSE))</f>
        <v>3</v>
      </c>
      <c r="K39" s="2" t="str">
        <f>IF(F39="","",VLOOKUP(F39,Productos!$A$2:$F$182,6,FALSE))</f>
        <v>Manufacturas</v>
      </c>
      <c r="L39" s="2">
        <v>1</v>
      </c>
      <c r="M39" s="2" t="s">
        <v>14</v>
      </c>
      <c r="N39" s="2">
        <f>VLOOKUP(F39,Productos!$A$2:$J$182,5)</f>
        <v>3</v>
      </c>
      <c r="O39" s="2" t="str">
        <f>VLOOKUP(F39,Productos!$A$2:$J$182,6)</f>
        <v>Manufacturas</v>
      </c>
    </row>
    <row r="40" spans="1:15">
      <c r="A40" s="2" t="s">
        <v>90</v>
      </c>
      <c r="B40" s="2" t="s">
        <v>10</v>
      </c>
      <c r="C40" s="2" t="s">
        <v>11</v>
      </c>
      <c r="D40" s="2" t="s">
        <v>12</v>
      </c>
      <c r="E40" s="2" t="s">
        <v>11</v>
      </c>
      <c r="F40" s="3">
        <v>39</v>
      </c>
      <c r="G40" s="2" t="s">
        <v>91</v>
      </c>
      <c r="H40" s="2" t="str">
        <f>IF(F40="","",VLOOKUP(F40,Productos!$A$2:$F$182,3,FALSE))</f>
        <v>2</v>
      </c>
      <c r="I40" s="2" t="str">
        <f>IF(F40="","",VLOOKUP(F40,Productos!$A$2:$F$182,4,FALSE))</f>
        <v>Productos alimenticios, bebidas y tabaco; textiles, prendas de vestir y productos de cuero</v>
      </c>
      <c r="J40" s="2">
        <f>IF(F40="","",VLOOKUP(F40,Productos!$A$2:$F$182,5,FALSE))</f>
        <v>3</v>
      </c>
      <c r="K40" s="2" t="str">
        <f>IF(F40="","",VLOOKUP(F40,Productos!$A$2:$F$182,6,FALSE))</f>
        <v>Manufacturas</v>
      </c>
      <c r="L40" s="2">
        <v>1</v>
      </c>
      <c r="M40" s="2" t="s">
        <v>14</v>
      </c>
      <c r="N40" s="2">
        <f>VLOOKUP(F40,Productos!$A$2:$J$182,5)</f>
        <v>3</v>
      </c>
      <c r="O40" s="2" t="str">
        <f>VLOOKUP(F40,Productos!$A$2:$J$182,6)</f>
        <v>Manufacturas</v>
      </c>
    </row>
    <row r="41" spans="1:15">
      <c r="A41" s="2" t="s">
        <v>92</v>
      </c>
      <c r="B41" s="2" t="s">
        <v>10</v>
      </c>
      <c r="C41" s="2" t="s">
        <v>11</v>
      </c>
      <c r="D41" s="2" t="s">
        <v>12</v>
      </c>
      <c r="E41" s="2" t="s">
        <v>11</v>
      </c>
      <c r="F41" s="3">
        <v>40</v>
      </c>
      <c r="G41" s="2" t="s">
        <v>93</v>
      </c>
      <c r="H41" s="2" t="str">
        <f>IF(F41="","",VLOOKUP(F41,Productos!$A$2:$F$182,3,FALSE))</f>
        <v>2</v>
      </c>
      <c r="I41" s="2" t="str">
        <f>IF(F41="","",VLOOKUP(F41,Productos!$A$2:$F$182,4,FALSE))</f>
        <v>Productos alimenticios, bebidas y tabaco; textiles, prendas de vestir y productos de cuero</v>
      </c>
      <c r="J41" s="2">
        <f>IF(F41="","",VLOOKUP(F41,Productos!$A$2:$F$182,5,FALSE))</f>
        <v>3</v>
      </c>
      <c r="K41" s="2" t="str">
        <f>IF(F41="","",VLOOKUP(F41,Productos!$A$2:$F$182,6,FALSE))</f>
        <v>Manufacturas</v>
      </c>
      <c r="L41" s="2">
        <v>1</v>
      </c>
      <c r="M41" s="2" t="s">
        <v>14</v>
      </c>
      <c r="N41" s="2">
        <f>VLOOKUP(F41,Productos!$A$2:$J$182,5)</f>
        <v>3</v>
      </c>
      <c r="O41" s="2" t="str">
        <f>VLOOKUP(F41,Productos!$A$2:$J$182,6)</f>
        <v>Manufacturas</v>
      </c>
    </row>
    <row r="42" spans="1:15">
      <c r="A42" s="2" t="s">
        <v>94</v>
      </c>
      <c r="B42" s="2" t="s">
        <v>10</v>
      </c>
      <c r="C42" s="2" t="s">
        <v>11</v>
      </c>
      <c r="D42" s="2" t="s">
        <v>12</v>
      </c>
      <c r="E42" s="2" t="s">
        <v>11</v>
      </c>
      <c r="F42" s="3">
        <v>41</v>
      </c>
      <c r="G42" s="2" t="s">
        <v>95</v>
      </c>
      <c r="H42" s="2" t="str">
        <f>IF(F42="","",VLOOKUP(F42,Productos!$A$2:$F$182,3,FALSE))</f>
        <v>2</v>
      </c>
      <c r="I42" s="2" t="str">
        <f>IF(F42="","",VLOOKUP(F42,Productos!$A$2:$F$182,4,FALSE))</f>
        <v>Productos alimenticios, bebidas y tabaco; textiles, prendas de vestir y productos de cuero</v>
      </c>
      <c r="J42" s="2">
        <f>IF(F42="","",VLOOKUP(F42,Productos!$A$2:$F$182,5,FALSE))</f>
        <v>3</v>
      </c>
      <c r="K42" s="2" t="str">
        <f>IF(F42="","",VLOOKUP(F42,Productos!$A$2:$F$182,6,FALSE))</f>
        <v>Manufacturas</v>
      </c>
      <c r="L42" s="2">
        <v>1</v>
      </c>
      <c r="M42" s="2" t="s">
        <v>14</v>
      </c>
      <c r="N42" s="2">
        <f>VLOOKUP(F42,Productos!$A$2:$J$182,5)</f>
        <v>3</v>
      </c>
      <c r="O42" s="2" t="str">
        <f>VLOOKUP(F42,Productos!$A$2:$J$182,6)</f>
        <v>Manufacturas</v>
      </c>
    </row>
    <row r="43" spans="1:15">
      <c r="A43" s="2" t="s">
        <v>96</v>
      </c>
      <c r="B43" s="2" t="s">
        <v>10</v>
      </c>
      <c r="C43" s="2" t="s">
        <v>11</v>
      </c>
      <c r="D43" s="2" t="s">
        <v>12</v>
      </c>
      <c r="E43" s="2" t="s">
        <v>11</v>
      </c>
      <c r="F43" s="3">
        <v>42</v>
      </c>
      <c r="G43" s="2" t="s">
        <v>97</v>
      </c>
      <c r="H43" s="2" t="str">
        <f>IF(F43="","",VLOOKUP(F43,Productos!$A$2:$F$182,3,FALSE))</f>
        <v>2</v>
      </c>
      <c r="I43" s="2" t="str">
        <f>IF(F43="","",VLOOKUP(F43,Productos!$A$2:$F$182,4,FALSE))</f>
        <v>Productos alimenticios, bebidas y tabaco; textiles, prendas de vestir y productos de cuero</v>
      </c>
      <c r="J43" s="2">
        <f>IF(F43="","",VLOOKUP(F43,Productos!$A$2:$F$182,5,FALSE))</f>
        <v>3</v>
      </c>
      <c r="K43" s="2" t="str">
        <f>IF(F43="","",VLOOKUP(F43,Productos!$A$2:$F$182,6,FALSE))</f>
        <v>Manufacturas</v>
      </c>
      <c r="L43" s="2">
        <v>1</v>
      </c>
      <c r="M43" s="2" t="s">
        <v>14</v>
      </c>
      <c r="N43" s="2">
        <f>VLOOKUP(F43,Productos!$A$2:$J$182,5)</f>
        <v>3</v>
      </c>
      <c r="O43" s="2" t="str">
        <f>VLOOKUP(F43,Productos!$A$2:$J$182,6)</f>
        <v>Manufacturas</v>
      </c>
    </row>
    <row r="44" spans="1:15">
      <c r="A44" s="2" t="s">
        <v>98</v>
      </c>
      <c r="B44" s="2" t="s">
        <v>10</v>
      </c>
      <c r="C44" s="2" t="s">
        <v>11</v>
      </c>
      <c r="D44" s="2" t="s">
        <v>12</v>
      </c>
      <c r="E44" s="2" t="s">
        <v>11</v>
      </c>
      <c r="F44" s="3">
        <v>43</v>
      </c>
      <c r="G44" s="2" t="s">
        <v>99</v>
      </c>
      <c r="H44" s="2" t="str">
        <f>IF(F44="","",VLOOKUP(F44,Productos!$A$2:$F$182,3,FALSE))</f>
        <v>2</v>
      </c>
      <c r="I44" s="2" t="str">
        <f>IF(F44="","",VLOOKUP(F44,Productos!$A$2:$F$182,4,FALSE))</f>
        <v>Productos alimenticios, bebidas y tabaco; textiles, prendas de vestir y productos de cuero</v>
      </c>
      <c r="J44" s="2">
        <f>IF(F44="","",VLOOKUP(F44,Productos!$A$2:$F$182,5,FALSE))</f>
        <v>3</v>
      </c>
      <c r="K44" s="2" t="str">
        <f>IF(F44="","",VLOOKUP(F44,Productos!$A$2:$F$182,6,FALSE))</f>
        <v>Manufacturas</v>
      </c>
      <c r="L44" s="2">
        <v>1</v>
      </c>
      <c r="M44" s="2" t="s">
        <v>14</v>
      </c>
      <c r="N44" s="2">
        <f>VLOOKUP(F44,Productos!$A$2:$J$182,5)</f>
        <v>3</v>
      </c>
      <c r="O44" s="2" t="str">
        <f>VLOOKUP(F44,Productos!$A$2:$J$182,6)</f>
        <v>Manufacturas</v>
      </c>
    </row>
    <row r="45" spans="1:15">
      <c r="A45" s="2" t="s">
        <v>100</v>
      </c>
      <c r="B45" s="2" t="s">
        <v>10</v>
      </c>
      <c r="C45" s="2" t="s">
        <v>11</v>
      </c>
      <c r="D45" s="2" t="s">
        <v>12</v>
      </c>
      <c r="E45" s="2" t="s">
        <v>11</v>
      </c>
      <c r="F45" s="3">
        <v>44</v>
      </c>
      <c r="G45" s="2" t="s">
        <v>101</v>
      </c>
      <c r="H45" s="2" t="str">
        <f>IF(F45="","",VLOOKUP(F45,Productos!$A$2:$F$182,3,FALSE))</f>
        <v>2</v>
      </c>
      <c r="I45" s="2" t="str">
        <f>IF(F45="","",VLOOKUP(F45,Productos!$A$2:$F$182,4,FALSE))</f>
        <v>Productos alimenticios, bebidas y tabaco; textiles, prendas de vestir y productos de cuero</v>
      </c>
      <c r="J45" s="2">
        <f>IF(F45="","",VLOOKUP(F45,Productos!$A$2:$F$182,5,FALSE))</f>
        <v>3</v>
      </c>
      <c r="K45" s="2" t="str">
        <f>IF(F45="","",VLOOKUP(F45,Productos!$A$2:$F$182,6,FALSE))</f>
        <v>Manufacturas</v>
      </c>
      <c r="L45" s="2">
        <v>1</v>
      </c>
      <c r="M45" s="2" t="s">
        <v>14</v>
      </c>
      <c r="N45" s="2">
        <f>VLOOKUP(F45,Productos!$A$2:$J$182,5)</f>
        <v>3</v>
      </c>
      <c r="O45" s="2" t="str">
        <f>VLOOKUP(F45,Productos!$A$2:$J$182,6)</f>
        <v>Manufacturas</v>
      </c>
    </row>
    <row r="46" spans="1:15">
      <c r="A46" s="2" t="s">
        <v>102</v>
      </c>
      <c r="B46" s="2" t="s">
        <v>10</v>
      </c>
      <c r="C46" s="2" t="s">
        <v>11</v>
      </c>
      <c r="D46" s="2" t="s">
        <v>12</v>
      </c>
      <c r="E46" s="2" t="s">
        <v>11</v>
      </c>
      <c r="F46" s="3">
        <v>45</v>
      </c>
      <c r="G46" s="2" t="s">
        <v>103</v>
      </c>
      <c r="H46" s="2" t="str">
        <f>IF(F46="","",VLOOKUP(F46,Productos!$A$2:$F$182,3,FALSE))</f>
        <v>2</v>
      </c>
      <c r="I46" s="2" t="str">
        <f>IF(F46="","",VLOOKUP(F46,Productos!$A$2:$F$182,4,FALSE))</f>
        <v>Productos alimenticios, bebidas y tabaco; textiles, prendas de vestir y productos de cuero</v>
      </c>
      <c r="J46" s="2">
        <f>IF(F46="","",VLOOKUP(F46,Productos!$A$2:$F$182,5,FALSE))</f>
        <v>3</v>
      </c>
      <c r="K46" s="2" t="str">
        <f>IF(F46="","",VLOOKUP(F46,Productos!$A$2:$F$182,6,FALSE))</f>
        <v>Manufacturas</v>
      </c>
      <c r="L46" s="2">
        <v>1</v>
      </c>
      <c r="M46" s="2" t="s">
        <v>14</v>
      </c>
      <c r="N46" s="2">
        <f>VLOOKUP(F46,Productos!$A$2:$J$182,5)</f>
        <v>3</v>
      </c>
      <c r="O46" s="2" t="str">
        <f>VLOOKUP(F46,Productos!$A$2:$J$182,6)</f>
        <v>Manufacturas</v>
      </c>
    </row>
    <row r="47" spans="1:15">
      <c r="A47" s="2" t="s">
        <v>104</v>
      </c>
      <c r="B47" s="2" t="s">
        <v>10</v>
      </c>
      <c r="C47" s="2" t="s">
        <v>11</v>
      </c>
      <c r="D47" s="2" t="s">
        <v>12</v>
      </c>
      <c r="E47" s="2" t="s">
        <v>11</v>
      </c>
      <c r="F47" s="3">
        <v>46</v>
      </c>
      <c r="G47" s="2" t="s">
        <v>105</v>
      </c>
      <c r="H47" s="2" t="str">
        <f>IF(F47="","",VLOOKUP(F47,Productos!$A$2:$F$182,3,FALSE))</f>
        <v>2</v>
      </c>
      <c r="I47" s="2" t="str">
        <f>IF(F47="","",VLOOKUP(F47,Productos!$A$2:$F$182,4,FALSE))</f>
        <v>Productos alimenticios, bebidas y tabaco; textiles, prendas de vestir y productos de cuero</v>
      </c>
      <c r="J47" s="2">
        <f>IF(F47="","",VLOOKUP(F47,Productos!$A$2:$F$182,5,FALSE))</f>
        <v>3</v>
      </c>
      <c r="K47" s="2" t="str">
        <f>IF(F47="","",VLOOKUP(F47,Productos!$A$2:$F$182,6,FALSE))</f>
        <v>Manufacturas</v>
      </c>
      <c r="L47" s="2">
        <v>1</v>
      </c>
      <c r="M47" s="2" t="s">
        <v>14</v>
      </c>
      <c r="N47" s="2">
        <f>VLOOKUP(F47,Productos!$A$2:$J$182,5)</f>
        <v>3</v>
      </c>
      <c r="O47" s="2" t="str">
        <f>VLOOKUP(F47,Productos!$A$2:$J$182,6)</f>
        <v>Manufacturas</v>
      </c>
    </row>
    <row r="48" spans="1:15">
      <c r="A48" s="2" t="s">
        <v>106</v>
      </c>
      <c r="B48" s="2" t="s">
        <v>10</v>
      </c>
      <c r="C48" s="2" t="s">
        <v>11</v>
      </c>
      <c r="D48" s="2" t="s">
        <v>12</v>
      </c>
      <c r="E48" s="2" t="s">
        <v>11</v>
      </c>
      <c r="F48" s="3">
        <v>47</v>
      </c>
      <c r="G48" s="2" t="s">
        <v>107</v>
      </c>
      <c r="H48" s="2" t="str">
        <f>IF(F48="","",VLOOKUP(F48,Productos!$A$2:$F$182,3,FALSE))</f>
        <v>2</v>
      </c>
      <c r="I48" s="2" t="str">
        <f>IF(F48="","",VLOOKUP(F48,Productos!$A$2:$F$182,4,FALSE))</f>
        <v>Productos alimenticios, bebidas y tabaco; textiles, prendas de vestir y productos de cuero</v>
      </c>
      <c r="J48" s="2">
        <f>IF(F48="","",VLOOKUP(F48,Productos!$A$2:$F$182,5,FALSE))</f>
        <v>3</v>
      </c>
      <c r="K48" s="2" t="str">
        <f>IF(F48="","",VLOOKUP(F48,Productos!$A$2:$F$182,6,FALSE))</f>
        <v>Manufacturas</v>
      </c>
      <c r="L48" s="2">
        <v>1</v>
      </c>
      <c r="M48" s="2" t="s">
        <v>14</v>
      </c>
      <c r="N48" s="2">
        <f>VLOOKUP(F48,Productos!$A$2:$J$182,5)</f>
        <v>3</v>
      </c>
      <c r="O48" s="2" t="str">
        <f>VLOOKUP(F48,Productos!$A$2:$J$182,6)</f>
        <v>Manufacturas</v>
      </c>
    </row>
    <row r="49" spans="1:15">
      <c r="A49" s="2" t="s">
        <v>108</v>
      </c>
      <c r="B49" s="2" t="s">
        <v>10</v>
      </c>
      <c r="C49" s="2" t="s">
        <v>11</v>
      </c>
      <c r="D49" s="2" t="s">
        <v>12</v>
      </c>
      <c r="E49" s="2" t="s">
        <v>11</v>
      </c>
      <c r="F49" s="3">
        <v>48</v>
      </c>
      <c r="G49" s="2" t="s">
        <v>109</v>
      </c>
      <c r="H49" s="2" t="str">
        <f>IF(F49="","",VLOOKUP(F49,Productos!$A$2:$F$182,3,FALSE))</f>
        <v>2</v>
      </c>
      <c r="I49" s="2" t="str">
        <f>IF(F49="","",VLOOKUP(F49,Productos!$A$2:$F$182,4,FALSE))</f>
        <v>Productos alimenticios, bebidas y tabaco; textiles, prendas de vestir y productos de cuero</v>
      </c>
      <c r="J49" s="2">
        <f>IF(F49="","",VLOOKUP(F49,Productos!$A$2:$F$182,5,FALSE))</f>
        <v>3</v>
      </c>
      <c r="K49" s="2" t="str">
        <f>IF(F49="","",VLOOKUP(F49,Productos!$A$2:$F$182,6,FALSE))</f>
        <v>Manufacturas</v>
      </c>
      <c r="L49" s="2">
        <v>1</v>
      </c>
      <c r="M49" s="2" t="s">
        <v>14</v>
      </c>
      <c r="N49" s="2">
        <f>VLOOKUP(F49,Productos!$A$2:$J$182,5)</f>
        <v>3</v>
      </c>
      <c r="O49" s="2" t="str">
        <f>VLOOKUP(F49,Productos!$A$2:$J$182,6)</f>
        <v>Manufacturas</v>
      </c>
    </row>
    <row r="50" spans="1:15">
      <c r="A50" s="2" t="s">
        <v>110</v>
      </c>
      <c r="B50" s="2" t="s">
        <v>10</v>
      </c>
      <c r="C50" s="2" t="s">
        <v>11</v>
      </c>
      <c r="D50" s="2" t="s">
        <v>12</v>
      </c>
      <c r="E50" s="2" t="s">
        <v>11</v>
      </c>
      <c r="F50" s="3">
        <v>49</v>
      </c>
      <c r="G50" s="2" t="s">
        <v>111</v>
      </c>
      <c r="H50" s="2" t="str">
        <f>IF(F50="","",VLOOKUP(F50,Productos!$A$2:$F$182,3,FALSE))</f>
        <v>2</v>
      </c>
      <c r="I50" s="2" t="str">
        <f>IF(F50="","",VLOOKUP(F50,Productos!$A$2:$F$182,4,FALSE))</f>
        <v>Productos alimenticios, bebidas y tabaco; textiles, prendas de vestir y productos de cuero</v>
      </c>
      <c r="J50" s="2">
        <f>IF(F50="","",VLOOKUP(F50,Productos!$A$2:$F$182,5,FALSE))</f>
        <v>3</v>
      </c>
      <c r="K50" s="2" t="str">
        <f>IF(F50="","",VLOOKUP(F50,Productos!$A$2:$F$182,6,FALSE))</f>
        <v>Manufacturas</v>
      </c>
      <c r="L50" s="2">
        <v>1</v>
      </c>
      <c r="M50" s="2" t="s">
        <v>14</v>
      </c>
      <c r="N50" s="2">
        <f>VLOOKUP(F50,Productos!$A$2:$J$182,5)</f>
        <v>3</v>
      </c>
      <c r="O50" s="2" t="str">
        <f>VLOOKUP(F50,Productos!$A$2:$J$182,6)</f>
        <v>Manufacturas</v>
      </c>
    </row>
    <row r="51" spans="1:15">
      <c r="A51" s="2" t="s">
        <v>112</v>
      </c>
      <c r="B51" s="2" t="s">
        <v>10</v>
      </c>
      <c r="C51" s="2" t="s">
        <v>11</v>
      </c>
      <c r="D51" s="2" t="s">
        <v>12</v>
      </c>
      <c r="E51" s="2" t="s">
        <v>11</v>
      </c>
      <c r="F51" s="3">
        <v>50</v>
      </c>
      <c r="G51" s="2" t="s">
        <v>113</v>
      </c>
      <c r="H51" s="2" t="str">
        <f>IF(F51="","",VLOOKUP(F51,Productos!$A$2:$F$182,3,FALSE))</f>
        <v>2</v>
      </c>
      <c r="I51" s="2" t="str">
        <f>IF(F51="","",VLOOKUP(F51,Productos!$A$2:$F$182,4,FALSE))</f>
        <v>Productos alimenticios, bebidas y tabaco; textiles, prendas de vestir y productos de cuero</v>
      </c>
      <c r="J51" s="2">
        <f>IF(F51="","",VLOOKUP(F51,Productos!$A$2:$F$182,5,FALSE))</f>
        <v>3</v>
      </c>
      <c r="K51" s="2" t="str">
        <f>IF(F51="","",VLOOKUP(F51,Productos!$A$2:$F$182,6,FALSE))</f>
        <v>Manufacturas</v>
      </c>
      <c r="L51" s="2">
        <v>1</v>
      </c>
      <c r="M51" s="2" t="s">
        <v>14</v>
      </c>
      <c r="N51" s="2">
        <f>VLOOKUP(F51,Productos!$A$2:$J$182,5)</f>
        <v>3</v>
      </c>
      <c r="O51" s="2" t="str">
        <f>VLOOKUP(F51,Productos!$A$2:$J$182,6)</f>
        <v>Manufacturas</v>
      </c>
    </row>
    <row r="52" spans="1:15">
      <c r="A52" s="2" t="s">
        <v>114</v>
      </c>
      <c r="B52" s="2" t="s">
        <v>10</v>
      </c>
      <c r="C52" s="2" t="s">
        <v>11</v>
      </c>
      <c r="D52" s="2" t="s">
        <v>12</v>
      </c>
      <c r="E52" s="2" t="s">
        <v>11</v>
      </c>
      <c r="F52" s="3">
        <v>51</v>
      </c>
      <c r="G52" s="2" t="s">
        <v>115</v>
      </c>
      <c r="H52" s="2" t="str">
        <f>IF(F52="","",VLOOKUP(F52,Productos!$A$2:$F$182,3,FALSE))</f>
        <v>2</v>
      </c>
      <c r="I52" s="2" t="str">
        <f>IF(F52="","",VLOOKUP(F52,Productos!$A$2:$F$182,4,FALSE))</f>
        <v>Productos alimenticios, bebidas y tabaco; textiles, prendas de vestir y productos de cuero</v>
      </c>
      <c r="J52" s="2">
        <f>IF(F52="","",VLOOKUP(F52,Productos!$A$2:$F$182,5,FALSE))</f>
        <v>3</v>
      </c>
      <c r="K52" s="2" t="str">
        <f>IF(F52="","",VLOOKUP(F52,Productos!$A$2:$F$182,6,FALSE))</f>
        <v>Manufacturas</v>
      </c>
      <c r="L52" s="2">
        <v>1</v>
      </c>
      <c r="M52" s="2" t="s">
        <v>14</v>
      </c>
      <c r="N52" s="2">
        <f>VLOOKUP(F52,Productos!$A$2:$J$182,5)</f>
        <v>3</v>
      </c>
      <c r="O52" s="2" t="str">
        <f>VLOOKUP(F52,Productos!$A$2:$J$182,6)</f>
        <v>Manufacturas</v>
      </c>
    </row>
    <row r="53" spans="1:15">
      <c r="A53" s="2" t="s">
        <v>116</v>
      </c>
      <c r="B53" s="2" t="s">
        <v>10</v>
      </c>
      <c r="C53" s="2" t="s">
        <v>11</v>
      </c>
      <c r="D53" s="2" t="s">
        <v>12</v>
      </c>
      <c r="E53" s="2" t="s">
        <v>11</v>
      </c>
      <c r="F53" s="3">
        <v>52</v>
      </c>
      <c r="G53" s="2" t="s">
        <v>117</v>
      </c>
      <c r="H53" s="2" t="str">
        <f>IF(F53="","",VLOOKUP(F53,Productos!$A$2:$F$182,3,FALSE))</f>
        <v>2</v>
      </c>
      <c r="I53" s="2" t="str">
        <f>IF(F53="","",VLOOKUP(F53,Productos!$A$2:$F$182,4,FALSE))</f>
        <v>Productos alimenticios, bebidas y tabaco; textiles, prendas de vestir y productos de cuero</v>
      </c>
      <c r="J53" s="2">
        <f>IF(F53="","",VLOOKUP(F53,Productos!$A$2:$F$182,5,FALSE))</f>
        <v>3</v>
      </c>
      <c r="K53" s="2" t="str">
        <f>IF(F53="","",VLOOKUP(F53,Productos!$A$2:$F$182,6,FALSE))</f>
        <v>Manufacturas</v>
      </c>
      <c r="L53" s="2">
        <v>1</v>
      </c>
      <c r="M53" s="2" t="s">
        <v>14</v>
      </c>
      <c r="N53" s="2">
        <f>VLOOKUP(F53,Productos!$A$2:$J$182,5)</f>
        <v>3</v>
      </c>
      <c r="O53" s="2" t="str">
        <f>VLOOKUP(F53,Productos!$A$2:$J$182,6)</f>
        <v>Manufacturas</v>
      </c>
    </row>
    <row r="54" spans="1:15">
      <c r="A54" s="2" t="s">
        <v>118</v>
      </c>
      <c r="B54" s="2" t="s">
        <v>10</v>
      </c>
      <c r="C54" s="2" t="s">
        <v>11</v>
      </c>
      <c r="D54" s="2" t="s">
        <v>12</v>
      </c>
      <c r="E54" s="2" t="s">
        <v>11</v>
      </c>
      <c r="F54" s="3">
        <v>53</v>
      </c>
      <c r="G54" s="2" t="s">
        <v>119</v>
      </c>
      <c r="H54" s="2" t="str">
        <f>IF(F54="","",VLOOKUP(F54,Productos!$A$2:$F$182,3,FALSE))</f>
        <v>2</v>
      </c>
      <c r="I54" s="2" t="str">
        <f>IF(F54="","",VLOOKUP(F54,Productos!$A$2:$F$182,4,FALSE))</f>
        <v>Productos alimenticios, bebidas y tabaco; textiles, prendas de vestir y productos de cuero</v>
      </c>
      <c r="J54" s="2">
        <f>IF(F54="","",VLOOKUP(F54,Productos!$A$2:$F$182,5,FALSE))</f>
        <v>3</v>
      </c>
      <c r="K54" s="2" t="str">
        <f>IF(F54="","",VLOOKUP(F54,Productos!$A$2:$F$182,6,FALSE))</f>
        <v>Manufacturas</v>
      </c>
      <c r="L54" s="2">
        <v>1</v>
      </c>
      <c r="M54" s="2" t="s">
        <v>14</v>
      </c>
      <c r="N54" s="2">
        <f>VLOOKUP(F54,Productos!$A$2:$J$182,5)</f>
        <v>3</v>
      </c>
      <c r="O54" s="2" t="str">
        <f>VLOOKUP(F54,Productos!$A$2:$J$182,6)</f>
        <v>Manufacturas</v>
      </c>
    </row>
    <row r="55" spans="1:15">
      <c r="A55" s="2" t="s">
        <v>120</v>
      </c>
      <c r="B55" s="2" t="s">
        <v>10</v>
      </c>
      <c r="C55" s="2" t="s">
        <v>11</v>
      </c>
      <c r="D55" s="2" t="s">
        <v>12</v>
      </c>
      <c r="E55" s="2" t="s">
        <v>11</v>
      </c>
      <c r="F55" s="3">
        <v>54</v>
      </c>
      <c r="G55" s="2" t="s">
        <v>121</v>
      </c>
      <c r="H55" s="2" t="str">
        <f>IF(F55="","",VLOOKUP(F55,Productos!$A$2:$F$182,3,FALSE))</f>
        <v>2</v>
      </c>
      <c r="I55" s="2" t="str">
        <f>IF(F55="","",VLOOKUP(F55,Productos!$A$2:$F$182,4,FALSE))</f>
        <v>Productos alimenticios, bebidas y tabaco; textiles, prendas de vestir y productos de cuero</v>
      </c>
      <c r="J55" s="2">
        <f>IF(F55="","",VLOOKUP(F55,Productos!$A$2:$F$182,5,FALSE))</f>
        <v>3</v>
      </c>
      <c r="K55" s="2" t="str">
        <f>IF(F55="","",VLOOKUP(F55,Productos!$A$2:$F$182,6,FALSE))</f>
        <v>Manufacturas</v>
      </c>
      <c r="L55" s="2">
        <v>1</v>
      </c>
      <c r="M55" s="2" t="s">
        <v>14</v>
      </c>
      <c r="N55" s="2">
        <f>VLOOKUP(F55,Productos!$A$2:$J$182,5)</f>
        <v>3</v>
      </c>
      <c r="O55" s="2" t="str">
        <f>VLOOKUP(F55,Productos!$A$2:$J$182,6)</f>
        <v>Manufacturas</v>
      </c>
    </row>
    <row r="56" spans="1:15">
      <c r="A56" s="2" t="s">
        <v>122</v>
      </c>
      <c r="B56" s="2" t="s">
        <v>10</v>
      </c>
      <c r="C56" s="2" t="s">
        <v>11</v>
      </c>
      <c r="D56" s="2" t="s">
        <v>12</v>
      </c>
      <c r="E56" s="2" t="s">
        <v>11</v>
      </c>
      <c r="F56" s="3">
        <v>55</v>
      </c>
      <c r="G56" s="2" t="s">
        <v>123</v>
      </c>
      <c r="H56" s="2" t="str">
        <f>IF(F56="","",VLOOKUP(F56,Productos!$A$2:$F$182,3,FALSE))</f>
        <v>2</v>
      </c>
      <c r="I56" s="2" t="str">
        <f>IF(F56="","",VLOOKUP(F56,Productos!$A$2:$F$182,4,FALSE))</f>
        <v>Productos alimenticios, bebidas y tabaco; textiles, prendas de vestir y productos de cuero</v>
      </c>
      <c r="J56" s="2">
        <f>IF(F56="","",VLOOKUP(F56,Productos!$A$2:$F$182,5,FALSE))</f>
        <v>3</v>
      </c>
      <c r="K56" s="2" t="str">
        <f>IF(F56="","",VLOOKUP(F56,Productos!$A$2:$F$182,6,FALSE))</f>
        <v>Manufacturas</v>
      </c>
      <c r="L56" s="2">
        <v>1</v>
      </c>
      <c r="M56" s="2" t="s">
        <v>14</v>
      </c>
      <c r="N56" s="2">
        <f>VLOOKUP(F56,Productos!$A$2:$J$182,5)</f>
        <v>3</v>
      </c>
      <c r="O56" s="2" t="str">
        <f>VLOOKUP(F56,Productos!$A$2:$J$182,6)</f>
        <v>Manufacturas</v>
      </c>
    </row>
    <row r="57" spans="1:15">
      <c r="A57" s="2" t="s">
        <v>124</v>
      </c>
      <c r="B57" s="2" t="s">
        <v>10</v>
      </c>
      <c r="C57" s="2" t="s">
        <v>11</v>
      </c>
      <c r="D57" s="2" t="s">
        <v>12</v>
      </c>
      <c r="E57" s="2" t="s">
        <v>11</v>
      </c>
      <c r="F57" s="3">
        <v>56</v>
      </c>
      <c r="G57" s="2" t="s">
        <v>125</v>
      </c>
      <c r="H57" s="2" t="str">
        <f>IF(F57="","",VLOOKUP(F57,Productos!$A$2:$F$182,3,FALSE))</f>
        <v>2</v>
      </c>
      <c r="I57" s="2" t="str">
        <f>IF(F57="","",VLOOKUP(F57,Productos!$A$2:$F$182,4,FALSE))</f>
        <v>Productos alimenticios, bebidas y tabaco; textiles, prendas de vestir y productos de cuero</v>
      </c>
      <c r="J57" s="2">
        <f>IF(F57="","",VLOOKUP(F57,Productos!$A$2:$F$182,5,FALSE))</f>
        <v>3</v>
      </c>
      <c r="K57" s="2" t="str">
        <f>IF(F57="","",VLOOKUP(F57,Productos!$A$2:$F$182,6,FALSE))</f>
        <v>Manufacturas</v>
      </c>
      <c r="L57" s="2">
        <v>1</v>
      </c>
      <c r="M57" s="2" t="s">
        <v>14</v>
      </c>
      <c r="N57" s="2">
        <f>VLOOKUP(F57,Productos!$A$2:$J$182,5)</f>
        <v>3</v>
      </c>
      <c r="O57" s="2" t="str">
        <f>VLOOKUP(F57,Productos!$A$2:$J$182,6)</f>
        <v>Manufacturas</v>
      </c>
    </row>
    <row r="58" spans="1:15">
      <c r="A58" s="2" t="s">
        <v>126</v>
      </c>
      <c r="B58" s="2" t="s">
        <v>10</v>
      </c>
      <c r="C58" s="2" t="s">
        <v>11</v>
      </c>
      <c r="D58" s="2" t="s">
        <v>12</v>
      </c>
      <c r="E58" s="2" t="s">
        <v>11</v>
      </c>
      <c r="F58" s="3">
        <v>57</v>
      </c>
      <c r="G58" s="2" t="s">
        <v>127</v>
      </c>
      <c r="H58" s="2" t="str">
        <f>IF(F58="","",VLOOKUP(F58,Productos!$A$2:$F$182,3,FALSE))</f>
        <v>2</v>
      </c>
      <c r="I58" s="2" t="str">
        <f>IF(F58="","",VLOOKUP(F58,Productos!$A$2:$F$182,4,FALSE))</f>
        <v>Productos alimenticios, bebidas y tabaco; textiles, prendas de vestir y productos de cuero</v>
      </c>
      <c r="J58" s="2">
        <f>IF(F58="","",VLOOKUP(F58,Productos!$A$2:$F$182,5,FALSE))</f>
        <v>3</v>
      </c>
      <c r="K58" s="2" t="str">
        <f>IF(F58="","",VLOOKUP(F58,Productos!$A$2:$F$182,6,FALSE))</f>
        <v>Manufacturas</v>
      </c>
      <c r="L58" s="2">
        <v>1</v>
      </c>
      <c r="M58" s="2" t="s">
        <v>14</v>
      </c>
      <c r="N58" s="2">
        <f>VLOOKUP(F58,Productos!$A$2:$J$182,5)</f>
        <v>3</v>
      </c>
      <c r="O58" s="2" t="str">
        <f>VLOOKUP(F58,Productos!$A$2:$J$182,6)</f>
        <v>Manufacturas</v>
      </c>
    </row>
    <row r="59" spans="1:15">
      <c r="A59" s="2" t="s">
        <v>128</v>
      </c>
      <c r="B59" s="2" t="s">
        <v>10</v>
      </c>
      <c r="C59" s="2" t="s">
        <v>11</v>
      </c>
      <c r="D59" s="2" t="s">
        <v>12</v>
      </c>
      <c r="E59" s="2" t="s">
        <v>11</v>
      </c>
      <c r="F59" s="3">
        <v>58</v>
      </c>
      <c r="G59" s="2" t="s">
        <v>129</v>
      </c>
      <c r="H59" s="2" t="str">
        <f>IF(F59="","",VLOOKUP(F59,Productos!$A$2:$F$182,3,FALSE))</f>
        <v>2</v>
      </c>
      <c r="I59" s="2" t="str">
        <f>IF(F59="","",VLOOKUP(F59,Productos!$A$2:$F$182,4,FALSE))</f>
        <v>Productos alimenticios, bebidas y tabaco; textiles, prendas de vestir y productos de cuero</v>
      </c>
      <c r="J59" s="2">
        <f>IF(F59="","",VLOOKUP(F59,Productos!$A$2:$F$182,5,FALSE))</f>
        <v>3</v>
      </c>
      <c r="K59" s="2" t="str">
        <f>IF(F59="","",VLOOKUP(F59,Productos!$A$2:$F$182,6,FALSE))</f>
        <v>Manufacturas</v>
      </c>
      <c r="L59" s="2">
        <v>1</v>
      </c>
      <c r="M59" s="2" t="s">
        <v>14</v>
      </c>
      <c r="N59" s="2">
        <f>VLOOKUP(F59,Productos!$A$2:$J$182,5)</f>
        <v>3</v>
      </c>
      <c r="O59" s="2" t="str">
        <f>VLOOKUP(F59,Productos!$A$2:$J$182,6)</f>
        <v>Manufacturas</v>
      </c>
    </row>
    <row r="60" spans="1:15">
      <c r="A60" s="2" t="s">
        <v>130</v>
      </c>
      <c r="B60" s="2" t="s">
        <v>10</v>
      </c>
      <c r="C60" s="2" t="s">
        <v>11</v>
      </c>
      <c r="D60" s="2" t="s">
        <v>12</v>
      </c>
      <c r="E60" s="2" t="s">
        <v>11</v>
      </c>
      <c r="F60" s="3">
        <v>59</v>
      </c>
      <c r="G60" s="2" t="s">
        <v>131</v>
      </c>
      <c r="H60" s="2" t="str">
        <f>IF(F60="","",VLOOKUP(F60,Productos!$A$2:$F$182,3,FALSE))</f>
        <v>2</v>
      </c>
      <c r="I60" s="2" t="str">
        <f>IF(F60="","",VLOOKUP(F60,Productos!$A$2:$F$182,4,FALSE))</f>
        <v>Productos alimenticios, bebidas y tabaco; textiles, prendas de vestir y productos de cuero</v>
      </c>
      <c r="J60" s="2">
        <f>IF(F60="","",VLOOKUP(F60,Productos!$A$2:$F$182,5,FALSE))</f>
        <v>3</v>
      </c>
      <c r="K60" s="2" t="str">
        <f>IF(F60="","",VLOOKUP(F60,Productos!$A$2:$F$182,6,FALSE))</f>
        <v>Manufacturas</v>
      </c>
      <c r="L60" s="2">
        <v>1</v>
      </c>
      <c r="M60" s="2" t="s">
        <v>14</v>
      </c>
      <c r="N60" s="2">
        <f>VLOOKUP(F60,Productos!$A$2:$J$182,5)</f>
        <v>3</v>
      </c>
      <c r="O60" s="2" t="str">
        <f>VLOOKUP(F60,Productos!$A$2:$J$182,6)</f>
        <v>Manufacturas</v>
      </c>
    </row>
    <row r="61" spans="1:15">
      <c r="A61" s="2" t="s">
        <v>132</v>
      </c>
      <c r="B61" s="2" t="s">
        <v>10</v>
      </c>
      <c r="C61" s="2" t="s">
        <v>11</v>
      </c>
      <c r="D61" s="2" t="s">
        <v>12</v>
      </c>
      <c r="E61" s="2" t="s">
        <v>11</v>
      </c>
      <c r="F61" s="3">
        <v>60</v>
      </c>
      <c r="G61" s="2" t="s">
        <v>133</v>
      </c>
      <c r="H61" s="2" t="str">
        <f>IF(F61="","",VLOOKUP(F61,Productos!$A$2:$F$182,3,FALSE))</f>
        <v>2</v>
      </c>
      <c r="I61" s="2" t="str">
        <f>IF(F61="","",VLOOKUP(F61,Productos!$A$2:$F$182,4,FALSE))</f>
        <v>Productos alimenticios, bebidas y tabaco; textiles, prendas de vestir y productos de cuero</v>
      </c>
      <c r="J61" s="2">
        <f>IF(F61="","",VLOOKUP(F61,Productos!$A$2:$F$182,5,FALSE))</f>
        <v>3</v>
      </c>
      <c r="K61" s="2" t="str">
        <f>IF(F61="","",VLOOKUP(F61,Productos!$A$2:$F$182,6,FALSE))</f>
        <v>Manufacturas</v>
      </c>
      <c r="L61" s="2">
        <v>1</v>
      </c>
      <c r="M61" s="2" t="s">
        <v>14</v>
      </c>
      <c r="N61" s="2">
        <f>VLOOKUP(F61,Productos!$A$2:$J$182,5)</f>
        <v>3</v>
      </c>
      <c r="O61" s="2" t="str">
        <f>VLOOKUP(F61,Productos!$A$2:$J$182,6)</f>
        <v>Manufacturas</v>
      </c>
    </row>
    <row r="62" spans="1:15">
      <c r="A62" s="2" t="s">
        <v>134</v>
      </c>
      <c r="B62" s="2" t="s">
        <v>10</v>
      </c>
      <c r="C62" s="2" t="s">
        <v>11</v>
      </c>
      <c r="D62" s="2" t="s">
        <v>12</v>
      </c>
      <c r="E62" s="2" t="s">
        <v>11</v>
      </c>
      <c r="F62" s="3">
        <v>61</v>
      </c>
      <c r="G62" s="2" t="s">
        <v>135</v>
      </c>
      <c r="H62" s="2" t="str">
        <f>IF(F62="","",VLOOKUP(F62,Productos!$A$2:$F$182,3,FALSE))</f>
        <v>2</v>
      </c>
      <c r="I62" s="2" t="str">
        <f>IF(F62="","",VLOOKUP(F62,Productos!$A$2:$F$182,4,FALSE))</f>
        <v>Productos alimenticios, bebidas y tabaco; textiles, prendas de vestir y productos de cuero</v>
      </c>
      <c r="J62" s="2">
        <f>IF(F62="","",VLOOKUP(F62,Productos!$A$2:$F$182,5,FALSE))</f>
        <v>3</v>
      </c>
      <c r="K62" s="2" t="str">
        <f>IF(F62="","",VLOOKUP(F62,Productos!$A$2:$F$182,6,FALSE))</f>
        <v>Manufacturas</v>
      </c>
      <c r="L62" s="2">
        <v>1</v>
      </c>
      <c r="M62" s="2" t="s">
        <v>14</v>
      </c>
      <c r="N62" s="2">
        <f>VLOOKUP(F62,Productos!$A$2:$J$182,5)</f>
        <v>3</v>
      </c>
      <c r="O62" s="2" t="str">
        <f>VLOOKUP(F62,Productos!$A$2:$J$182,6)</f>
        <v>Manufacturas</v>
      </c>
    </row>
    <row r="63" spans="1:15">
      <c r="A63" s="2" t="s">
        <v>136</v>
      </c>
      <c r="B63" s="2" t="s">
        <v>10</v>
      </c>
      <c r="C63" s="2" t="s">
        <v>11</v>
      </c>
      <c r="D63" s="2" t="s">
        <v>12</v>
      </c>
      <c r="E63" s="2" t="s">
        <v>11</v>
      </c>
      <c r="F63" s="3">
        <v>62</v>
      </c>
      <c r="G63" s="2" t="s">
        <v>137</v>
      </c>
      <c r="H63" s="2" t="str">
        <f>IF(F63="","",VLOOKUP(F63,Productos!$A$2:$F$182,3,FALSE))</f>
        <v>2</v>
      </c>
      <c r="I63" s="2" t="str">
        <f>IF(F63="","",VLOOKUP(F63,Productos!$A$2:$F$182,4,FALSE))</f>
        <v>Productos alimenticios, bebidas y tabaco; textiles, prendas de vestir y productos de cuero</v>
      </c>
      <c r="J63" s="2">
        <f>IF(F63="","",VLOOKUP(F63,Productos!$A$2:$F$182,5,FALSE))</f>
        <v>3</v>
      </c>
      <c r="K63" s="2" t="str">
        <f>IF(F63="","",VLOOKUP(F63,Productos!$A$2:$F$182,6,FALSE))</f>
        <v>Manufacturas</v>
      </c>
      <c r="L63" s="2">
        <v>1</v>
      </c>
      <c r="M63" s="2" t="s">
        <v>14</v>
      </c>
      <c r="N63" s="2">
        <f>VLOOKUP(F63,Productos!$A$2:$J$182,5)</f>
        <v>3</v>
      </c>
      <c r="O63" s="2" t="str">
        <f>VLOOKUP(F63,Productos!$A$2:$J$182,6)</f>
        <v>Manufacturas</v>
      </c>
    </row>
    <row r="64" spans="1:15">
      <c r="A64" s="2" t="s">
        <v>138</v>
      </c>
      <c r="B64" s="2" t="s">
        <v>10</v>
      </c>
      <c r="C64" s="2" t="s">
        <v>11</v>
      </c>
      <c r="D64" s="2" t="s">
        <v>12</v>
      </c>
      <c r="E64" s="2" t="s">
        <v>11</v>
      </c>
      <c r="F64" s="3">
        <v>63</v>
      </c>
      <c r="G64" s="2" t="s">
        <v>139</v>
      </c>
      <c r="H64" s="2" t="str">
        <f>IF(F64="","",VLOOKUP(F64,Productos!$A$2:$F$182,3,FALSE))</f>
        <v>2</v>
      </c>
      <c r="I64" s="2" t="str">
        <f>IF(F64="","",VLOOKUP(F64,Productos!$A$2:$F$182,4,FALSE))</f>
        <v>Productos alimenticios, bebidas y tabaco; textiles, prendas de vestir y productos de cuero</v>
      </c>
      <c r="J64" s="2">
        <f>IF(F64="","",VLOOKUP(F64,Productos!$A$2:$F$182,5,FALSE))</f>
        <v>3</v>
      </c>
      <c r="K64" s="2" t="str">
        <f>IF(F64="","",VLOOKUP(F64,Productos!$A$2:$F$182,6,FALSE))</f>
        <v>Manufacturas</v>
      </c>
      <c r="L64" s="2">
        <v>1</v>
      </c>
      <c r="M64" s="2" t="s">
        <v>14</v>
      </c>
      <c r="N64" s="2">
        <f>VLOOKUP(F64,Productos!$A$2:$J$182,5)</f>
        <v>3</v>
      </c>
      <c r="O64" s="2" t="str">
        <f>VLOOKUP(F64,Productos!$A$2:$J$182,6)</f>
        <v>Manufacturas</v>
      </c>
    </row>
    <row r="65" spans="1:15">
      <c r="A65" s="2" t="s">
        <v>140</v>
      </c>
      <c r="B65" s="2" t="s">
        <v>10</v>
      </c>
      <c r="C65" s="2" t="s">
        <v>11</v>
      </c>
      <c r="D65" s="2" t="s">
        <v>12</v>
      </c>
      <c r="E65" s="2" t="s">
        <v>11</v>
      </c>
      <c r="F65" s="3">
        <v>64</v>
      </c>
      <c r="G65" s="2" t="s">
        <v>141</v>
      </c>
      <c r="H65" s="2" t="str">
        <f>IF(F65="","",VLOOKUP(F65,Productos!$A$2:$F$182,3,FALSE))</f>
        <v>2</v>
      </c>
      <c r="I65" s="2" t="str">
        <f>IF(F65="","",VLOOKUP(F65,Productos!$A$2:$F$182,4,FALSE))</f>
        <v>Productos alimenticios, bebidas y tabaco; textiles, prendas de vestir y productos de cuero</v>
      </c>
      <c r="J65" s="2">
        <f>IF(F65="","",VLOOKUP(F65,Productos!$A$2:$F$182,5,FALSE))</f>
        <v>3</v>
      </c>
      <c r="K65" s="2" t="str">
        <f>IF(F65="","",VLOOKUP(F65,Productos!$A$2:$F$182,6,FALSE))</f>
        <v>Manufacturas</v>
      </c>
      <c r="L65" s="2">
        <v>2</v>
      </c>
      <c r="M65" s="2" t="s">
        <v>142</v>
      </c>
      <c r="N65" s="2">
        <f>VLOOKUP(F65,Productos!$A$2:$J$182,5)</f>
        <v>3</v>
      </c>
      <c r="O65" s="2" t="str">
        <f>VLOOKUP(F65,Productos!$A$2:$J$182,6)</f>
        <v>Manufacturas</v>
      </c>
    </row>
    <row r="66" spans="1:15">
      <c r="A66" s="2" t="s">
        <v>143</v>
      </c>
      <c r="B66" s="2" t="s">
        <v>10</v>
      </c>
      <c r="C66" s="2" t="s">
        <v>11</v>
      </c>
      <c r="D66" s="2" t="s">
        <v>12</v>
      </c>
      <c r="E66" s="2" t="s">
        <v>11</v>
      </c>
      <c r="F66" s="3">
        <v>65</v>
      </c>
      <c r="G66" s="2" t="s">
        <v>144</v>
      </c>
      <c r="H66" s="2" t="str">
        <f>IF(F66="","",VLOOKUP(F66,Productos!$A$2:$F$182,3,FALSE))</f>
        <v>2</v>
      </c>
      <c r="I66" s="2" t="str">
        <f>IF(F66="","",VLOOKUP(F66,Productos!$A$2:$F$182,4,FALSE))</f>
        <v>Productos alimenticios, bebidas y tabaco; textiles, prendas de vestir y productos de cuero</v>
      </c>
      <c r="J66" s="2">
        <f>IF(F66="","",VLOOKUP(F66,Productos!$A$2:$F$182,5,FALSE))</f>
        <v>3</v>
      </c>
      <c r="K66" s="2" t="str">
        <f>IF(F66="","",VLOOKUP(F66,Productos!$A$2:$F$182,6,FALSE))</f>
        <v>Manufacturas</v>
      </c>
      <c r="L66" s="2">
        <v>2</v>
      </c>
      <c r="M66" s="2" t="s">
        <v>142</v>
      </c>
      <c r="N66" s="2">
        <f>VLOOKUP(F66,Productos!$A$2:$J$182,5)</f>
        <v>3</v>
      </c>
      <c r="O66" s="2" t="str">
        <f>VLOOKUP(F66,Productos!$A$2:$J$182,6)</f>
        <v>Manufacturas</v>
      </c>
    </row>
    <row r="67" spans="1:15">
      <c r="A67" s="2" t="s">
        <v>145</v>
      </c>
      <c r="B67" s="2" t="s">
        <v>10</v>
      </c>
      <c r="C67" s="2" t="s">
        <v>11</v>
      </c>
      <c r="D67" s="2" t="s">
        <v>12</v>
      </c>
      <c r="E67" s="2" t="s">
        <v>11</v>
      </c>
      <c r="F67" s="3">
        <v>66</v>
      </c>
      <c r="G67" s="2" t="s">
        <v>146</v>
      </c>
      <c r="H67" s="2" t="str">
        <f>IF(F67="","",VLOOKUP(F67,Productos!$A$2:$F$182,3,FALSE))</f>
        <v>2</v>
      </c>
      <c r="I67" s="2" t="str">
        <f>IF(F67="","",VLOOKUP(F67,Productos!$A$2:$F$182,4,FALSE))</f>
        <v>Productos alimenticios, bebidas y tabaco; textiles, prendas de vestir y productos de cuero</v>
      </c>
      <c r="J67" s="2">
        <f>IF(F67="","",VLOOKUP(F67,Productos!$A$2:$F$182,5,FALSE))</f>
        <v>3</v>
      </c>
      <c r="K67" s="2" t="str">
        <f>IF(F67="","",VLOOKUP(F67,Productos!$A$2:$F$182,6,FALSE))</f>
        <v>Manufacturas</v>
      </c>
      <c r="L67" s="2">
        <v>1</v>
      </c>
      <c r="M67" s="2" t="s">
        <v>14</v>
      </c>
      <c r="N67" s="2">
        <f>VLOOKUP(F67,Productos!$A$2:$J$182,5)</f>
        <v>3</v>
      </c>
      <c r="O67" s="2" t="str">
        <f>VLOOKUP(F67,Productos!$A$2:$J$182,6)</f>
        <v>Manufacturas</v>
      </c>
    </row>
    <row r="68" spans="1:15">
      <c r="A68" s="2" t="s">
        <v>147</v>
      </c>
      <c r="B68" s="2" t="s">
        <v>10</v>
      </c>
      <c r="C68" s="2" t="s">
        <v>11</v>
      </c>
      <c r="D68" s="2" t="s">
        <v>12</v>
      </c>
      <c r="E68" s="2" t="s">
        <v>11</v>
      </c>
      <c r="F68" s="3">
        <v>67</v>
      </c>
      <c r="G68" s="2" t="s">
        <v>148</v>
      </c>
      <c r="H68" s="2" t="str">
        <f>IF(F68="","",VLOOKUP(F68,Productos!$A$2:$F$182,3,FALSE))</f>
        <v>2</v>
      </c>
      <c r="I68" s="2" t="str">
        <f>IF(F68="","",VLOOKUP(F68,Productos!$A$2:$F$182,4,FALSE))</f>
        <v>Productos alimenticios, bebidas y tabaco; textiles, prendas de vestir y productos de cuero</v>
      </c>
      <c r="J68" s="2">
        <f>IF(F68="","",VLOOKUP(F68,Productos!$A$2:$F$182,5,FALSE))</f>
        <v>3</v>
      </c>
      <c r="K68" s="2" t="str">
        <f>IF(F68="","",VLOOKUP(F68,Productos!$A$2:$F$182,6,FALSE))</f>
        <v>Manufacturas</v>
      </c>
      <c r="L68" s="2">
        <v>2</v>
      </c>
      <c r="M68" s="2" t="s">
        <v>142</v>
      </c>
      <c r="N68" s="2">
        <f>VLOOKUP(F68,Productos!$A$2:$J$182,5)</f>
        <v>3</v>
      </c>
      <c r="O68" s="2" t="str">
        <f>VLOOKUP(F68,Productos!$A$2:$J$182,6)</f>
        <v>Manufacturas</v>
      </c>
    </row>
    <row r="69" spans="1:15">
      <c r="A69" s="2" t="s">
        <v>149</v>
      </c>
      <c r="B69" s="2" t="s">
        <v>10</v>
      </c>
      <c r="C69" s="2" t="s">
        <v>11</v>
      </c>
      <c r="D69" s="2" t="s">
        <v>12</v>
      </c>
      <c r="E69" s="2" t="s">
        <v>11</v>
      </c>
      <c r="F69" s="3">
        <v>68</v>
      </c>
      <c r="G69" s="2" t="s">
        <v>150</v>
      </c>
      <c r="H69" s="2" t="str">
        <f>IF(F69="","",VLOOKUP(F69,Productos!$A$2:$F$182,3,FALSE))</f>
        <v>3</v>
      </c>
      <c r="I69" s="2" t="str">
        <f>IF(F69="","",VLOOKUP(F69,Productos!$A$2:$F$182,4,FALSE))</f>
        <v>Otros bienes transportables, excepto productos metálicos, maquinaria y equipo</v>
      </c>
      <c r="J69" s="2">
        <f>IF(F69="","",VLOOKUP(F69,Productos!$A$2:$F$182,5,FALSE))</f>
        <v>3</v>
      </c>
      <c r="K69" s="2" t="str">
        <f>IF(F69="","",VLOOKUP(F69,Productos!$A$2:$F$182,6,FALSE))</f>
        <v>Manufacturas</v>
      </c>
      <c r="L69" s="2">
        <v>2</v>
      </c>
      <c r="M69" s="2" t="s">
        <v>142</v>
      </c>
      <c r="N69" s="2">
        <f>VLOOKUP(F69,Productos!$A$2:$J$182,5)</f>
        <v>3</v>
      </c>
      <c r="O69" s="2" t="str">
        <f>VLOOKUP(F69,Productos!$A$2:$J$182,6)</f>
        <v>Manufacturas</v>
      </c>
    </row>
    <row r="70" spans="1:15">
      <c r="A70" s="2" t="s">
        <v>151</v>
      </c>
      <c r="B70" s="2" t="s">
        <v>10</v>
      </c>
      <c r="C70" s="2" t="s">
        <v>11</v>
      </c>
      <c r="D70" s="2" t="s">
        <v>12</v>
      </c>
      <c r="E70" s="2" t="s">
        <v>11</v>
      </c>
      <c r="F70" s="3">
        <v>69</v>
      </c>
      <c r="G70" s="2" t="s">
        <v>152</v>
      </c>
      <c r="H70" s="2" t="str">
        <f>IF(F70="","",VLOOKUP(F70,Productos!$A$2:$F$182,3,FALSE))</f>
        <v>3</v>
      </c>
      <c r="I70" s="2" t="str">
        <f>IF(F70="","",VLOOKUP(F70,Productos!$A$2:$F$182,4,FALSE))</f>
        <v>Otros bienes transportables, excepto productos metálicos, maquinaria y equipo</v>
      </c>
      <c r="J70" s="2">
        <f>IF(F70="","",VLOOKUP(F70,Productos!$A$2:$F$182,5,FALSE))</f>
        <v>3</v>
      </c>
      <c r="K70" s="2" t="str">
        <f>IF(F70="","",VLOOKUP(F70,Productos!$A$2:$F$182,6,FALSE))</f>
        <v>Manufacturas</v>
      </c>
      <c r="L70" s="2">
        <v>2</v>
      </c>
      <c r="M70" s="2" t="s">
        <v>142</v>
      </c>
      <c r="N70" s="2">
        <f>VLOOKUP(F70,Productos!$A$2:$J$182,5)</f>
        <v>3</v>
      </c>
      <c r="O70" s="2" t="str">
        <f>VLOOKUP(F70,Productos!$A$2:$J$182,6)</f>
        <v>Manufacturas</v>
      </c>
    </row>
    <row r="71" spans="1:15">
      <c r="A71" s="2" t="s">
        <v>153</v>
      </c>
      <c r="B71" s="2" t="s">
        <v>10</v>
      </c>
      <c r="C71" s="2" t="s">
        <v>11</v>
      </c>
      <c r="D71" s="2" t="s">
        <v>12</v>
      </c>
      <c r="E71" s="2" t="s">
        <v>11</v>
      </c>
      <c r="F71" s="3">
        <v>70</v>
      </c>
      <c r="G71" s="2" t="s">
        <v>154</v>
      </c>
      <c r="H71" s="2" t="str">
        <f>IF(F71="","",VLOOKUP(F71,Productos!$A$2:$F$182,3,FALSE))</f>
        <v>3</v>
      </c>
      <c r="I71" s="2" t="str">
        <f>IF(F71="","",VLOOKUP(F71,Productos!$A$2:$F$182,4,FALSE))</f>
        <v>Otros bienes transportables, excepto productos metálicos, maquinaria y equipo</v>
      </c>
      <c r="J71" s="2">
        <f>IF(F71="","",VLOOKUP(F71,Productos!$A$2:$F$182,5,FALSE))</f>
        <v>3</v>
      </c>
      <c r="K71" s="2" t="str">
        <f>IF(F71="","",VLOOKUP(F71,Productos!$A$2:$F$182,6,FALSE))</f>
        <v>Manufacturas</v>
      </c>
      <c r="L71" s="2">
        <v>2</v>
      </c>
      <c r="M71" s="2" t="s">
        <v>142</v>
      </c>
      <c r="N71" s="2">
        <f>VLOOKUP(F71,Productos!$A$2:$J$182,5)</f>
        <v>3</v>
      </c>
      <c r="O71" s="2" t="str">
        <f>VLOOKUP(F71,Productos!$A$2:$J$182,6)</f>
        <v>Manufacturas</v>
      </c>
    </row>
    <row r="72" spans="1:15">
      <c r="A72" s="2" t="s">
        <v>155</v>
      </c>
      <c r="B72" s="2" t="s">
        <v>10</v>
      </c>
      <c r="C72" s="2" t="s">
        <v>11</v>
      </c>
      <c r="D72" s="2" t="s">
        <v>12</v>
      </c>
      <c r="E72" s="2" t="s">
        <v>11</v>
      </c>
      <c r="F72" s="3">
        <v>71</v>
      </c>
      <c r="G72" s="2" t="s">
        <v>156</v>
      </c>
      <c r="H72" s="2" t="str">
        <f>IF(F72="","",VLOOKUP(F72,Productos!$A$2:$F$182,3,FALSE))</f>
        <v>3</v>
      </c>
      <c r="I72" s="2" t="str">
        <f>IF(F72="","",VLOOKUP(F72,Productos!$A$2:$F$182,4,FALSE))</f>
        <v>Otros bienes transportables, excepto productos metálicos, maquinaria y equipo</v>
      </c>
      <c r="J72" s="2">
        <f>IF(F72="","",VLOOKUP(F72,Productos!$A$2:$F$182,5,FALSE))</f>
        <v>3</v>
      </c>
      <c r="K72" s="2" t="str">
        <f>IF(F72="","",VLOOKUP(F72,Productos!$A$2:$F$182,6,FALSE))</f>
        <v>Manufacturas</v>
      </c>
      <c r="L72" s="2">
        <v>2</v>
      </c>
      <c r="M72" s="2" t="s">
        <v>142</v>
      </c>
      <c r="N72" s="2">
        <f>VLOOKUP(F72,Productos!$A$2:$J$182,5)</f>
        <v>3</v>
      </c>
      <c r="O72" s="2" t="str">
        <f>VLOOKUP(F72,Productos!$A$2:$J$182,6)</f>
        <v>Manufacturas</v>
      </c>
    </row>
    <row r="73" spans="1:15">
      <c r="A73" s="2" t="s">
        <v>157</v>
      </c>
      <c r="B73" s="2" t="s">
        <v>10</v>
      </c>
      <c r="C73" s="2" t="s">
        <v>11</v>
      </c>
      <c r="D73" s="2" t="s">
        <v>12</v>
      </c>
      <c r="E73" s="2" t="s">
        <v>11</v>
      </c>
      <c r="F73" s="3">
        <v>72</v>
      </c>
      <c r="G73" s="2" t="s">
        <v>158</v>
      </c>
      <c r="H73" s="2" t="str">
        <f>IF(F73="","",VLOOKUP(F73,Productos!$A$2:$F$182,3,FALSE))</f>
        <v>3</v>
      </c>
      <c r="I73" s="2" t="str">
        <f>IF(F73="","",VLOOKUP(F73,Productos!$A$2:$F$182,4,FALSE))</f>
        <v>Otros bienes transportables, excepto productos metálicos, maquinaria y equipo</v>
      </c>
      <c r="J73" s="2">
        <f>IF(F73="","",VLOOKUP(F73,Productos!$A$2:$F$182,5,FALSE))</f>
        <v>3</v>
      </c>
      <c r="K73" s="2" t="str">
        <f>IF(F73="","",VLOOKUP(F73,Productos!$A$2:$F$182,6,FALSE))</f>
        <v>Manufacturas</v>
      </c>
      <c r="L73" s="2">
        <v>2</v>
      </c>
      <c r="M73" s="2" t="s">
        <v>142</v>
      </c>
      <c r="N73" s="2">
        <f>VLOOKUP(F73,Productos!$A$2:$J$182,5)</f>
        <v>3</v>
      </c>
      <c r="O73" s="2" t="str">
        <f>VLOOKUP(F73,Productos!$A$2:$J$182,6)</f>
        <v>Manufacturas</v>
      </c>
    </row>
    <row r="74" spans="1:15">
      <c r="A74" s="2" t="s">
        <v>159</v>
      </c>
      <c r="B74" s="2" t="s">
        <v>10</v>
      </c>
      <c r="C74" s="2" t="s">
        <v>11</v>
      </c>
      <c r="D74" s="2" t="s">
        <v>12</v>
      </c>
      <c r="E74" s="2" t="s">
        <v>11</v>
      </c>
      <c r="F74" s="3">
        <v>73</v>
      </c>
      <c r="G74" s="2" t="s">
        <v>160</v>
      </c>
      <c r="H74" s="2" t="str">
        <f>IF(F74="","",VLOOKUP(F74,Productos!$A$2:$F$182,3,FALSE))</f>
        <v>3</v>
      </c>
      <c r="I74" s="2" t="str">
        <f>IF(F74="","",VLOOKUP(F74,Productos!$A$2:$F$182,4,FALSE))</f>
        <v>Otros bienes transportables, excepto productos metálicos, maquinaria y equipo</v>
      </c>
      <c r="J74" s="2">
        <f>IF(F74="","",VLOOKUP(F74,Productos!$A$2:$F$182,5,FALSE))</f>
        <v>3</v>
      </c>
      <c r="K74" s="2" t="str">
        <f>IF(F74="","",VLOOKUP(F74,Productos!$A$2:$F$182,6,FALSE))</f>
        <v>Manufacturas</v>
      </c>
      <c r="L74" s="2">
        <v>2</v>
      </c>
      <c r="M74" s="2" t="s">
        <v>142</v>
      </c>
      <c r="N74" s="2">
        <f>VLOOKUP(F74,Productos!$A$2:$J$182,5)</f>
        <v>3</v>
      </c>
      <c r="O74" s="2" t="str">
        <f>VLOOKUP(F74,Productos!$A$2:$J$182,6)</f>
        <v>Manufacturas</v>
      </c>
    </row>
    <row r="75" spans="1:15">
      <c r="A75" s="2" t="s">
        <v>161</v>
      </c>
      <c r="B75" s="2" t="s">
        <v>10</v>
      </c>
      <c r="C75" s="2" t="s">
        <v>11</v>
      </c>
      <c r="D75" s="2" t="s">
        <v>12</v>
      </c>
      <c r="E75" s="2" t="s">
        <v>11</v>
      </c>
      <c r="F75" s="3">
        <v>74</v>
      </c>
      <c r="G75" s="2" t="s">
        <v>162</v>
      </c>
      <c r="H75" s="2" t="str">
        <f>IF(F75="","",VLOOKUP(F75,Productos!$A$2:$F$182,3,FALSE))</f>
        <v>3</v>
      </c>
      <c r="I75" s="2" t="str">
        <f>IF(F75="","",VLOOKUP(F75,Productos!$A$2:$F$182,4,FALSE))</f>
        <v>Otros bienes transportables, excepto productos metálicos, maquinaria y equipo</v>
      </c>
      <c r="J75" s="2">
        <f>IF(F75="","",VLOOKUP(F75,Productos!$A$2:$F$182,5,FALSE))</f>
        <v>3</v>
      </c>
      <c r="K75" s="2" t="str">
        <f>IF(F75="","",VLOOKUP(F75,Productos!$A$2:$F$182,6,FALSE))</f>
        <v>Manufacturas</v>
      </c>
      <c r="L75" s="2">
        <v>2</v>
      </c>
      <c r="M75" s="2" t="s">
        <v>142</v>
      </c>
      <c r="N75" s="2">
        <f>VLOOKUP(F75,Productos!$A$2:$J$182,5)</f>
        <v>3</v>
      </c>
      <c r="O75" s="2" t="str">
        <f>VLOOKUP(F75,Productos!$A$2:$J$182,6)</f>
        <v>Manufacturas</v>
      </c>
    </row>
    <row r="76" spans="1:15">
      <c r="A76" s="2" t="s">
        <v>163</v>
      </c>
      <c r="B76" s="2" t="s">
        <v>10</v>
      </c>
      <c r="C76" s="2" t="s">
        <v>11</v>
      </c>
      <c r="D76" s="2" t="s">
        <v>12</v>
      </c>
      <c r="E76" s="2" t="s">
        <v>11</v>
      </c>
      <c r="F76" s="3">
        <v>75</v>
      </c>
      <c r="G76" s="2" t="s">
        <v>164</v>
      </c>
      <c r="H76" s="2" t="str">
        <f>IF(F76="","",VLOOKUP(F76,Productos!$A$2:$F$182,3,FALSE))</f>
        <v>3</v>
      </c>
      <c r="I76" s="2" t="str">
        <f>IF(F76="","",VLOOKUP(F76,Productos!$A$2:$F$182,4,FALSE))</f>
        <v>Otros bienes transportables, excepto productos metálicos, maquinaria y equipo</v>
      </c>
      <c r="J76" s="2">
        <f>IF(F76="","",VLOOKUP(F76,Productos!$A$2:$F$182,5,FALSE))</f>
        <v>3</v>
      </c>
      <c r="K76" s="2" t="str">
        <f>IF(F76="","",VLOOKUP(F76,Productos!$A$2:$F$182,6,FALSE))</f>
        <v>Manufacturas</v>
      </c>
      <c r="L76" s="2">
        <v>2</v>
      </c>
      <c r="M76" s="2" t="s">
        <v>142</v>
      </c>
      <c r="N76" s="2">
        <f>VLOOKUP(F76,Productos!$A$2:$J$182,5)</f>
        <v>3</v>
      </c>
      <c r="O76" s="2" t="str">
        <f>VLOOKUP(F76,Productos!$A$2:$J$182,6)</f>
        <v>Manufacturas</v>
      </c>
    </row>
    <row r="77" spans="1:15">
      <c r="A77" s="2" t="s">
        <v>165</v>
      </c>
      <c r="B77" s="2" t="s">
        <v>10</v>
      </c>
      <c r="C77" s="2" t="s">
        <v>11</v>
      </c>
      <c r="D77" s="2" t="s">
        <v>12</v>
      </c>
      <c r="E77" s="2" t="s">
        <v>11</v>
      </c>
      <c r="F77" s="3">
        <v>76</v>
      </c>
      <c r="G77" s="2" t="s">
        <v>166</v>
      </c>
      <c r="H77" s="2" t="str">
        <f>IF(F77="","",VLOOKUP(F77,Productos!$A$2:$F$182,3,FALSE))</f>
        <v>3</v>
      </c>
      <c r="I77" s="2" t="str">
        <f>IF(F77="","",VLOOKUP(F77,Productos!$A$2:$F$182,4,FALSE))</f>
        <v>Otros bienes transportables, excepto productos metálicos, maquinaria y equipo</v>
      </c>
      <c r="J77" s="2">
        <f>IF(F77="","",VLOOKUP(F77,Productos!$A$2:$F$182,5,FALSE))</f>
        <v>3</v>
      </c>
      <c r="K77" s="2" t="str">
        <f>IF(F77="","",VLOOKUP(F77,Productos!$A$2:$F$182,6,FALSE))</f>
        <v>Manufacturas</v>
      </c>
      <c r="L77" s="2">
        <v>3</v>
      </c>
      <c r="M77" s="2" t="s">
        <v>67</v>
      </c>
      <c r="N77" s="2">
        <f>VLOOKUP(F77,Productos!$A$2:$J$182,5)</f>
        <v>3</v>
      </c>
      <c r="O77" s="2" t="str">
        <f>VLOOKUP(F77,Productos!$A$2:$J$182,6)</f>
        <v>Manufacturas</v>
      </c>
    </row>
    <row r="78" spans="1:15">
      <c r="A78" s="2" t="s">
        <v>167</v>
      </c>
      <c r="B78" s="2" t="s">
        <v>10</v>
      </c>
      <c r="C78" s="2" t="s">
        <v>11</v>
      </c>
      <c r="D78" s="2" t="s">
        <v>12</v>
      </c>
      <c r="E78" s="2" t="s">
        <v>11</v>
      </c>
      <c r="F78" s="3">
        <v>77</v>
      </c>
      <c r="G78" s="2" t="s">
        <v>168</v>
      </c>
      <c r="H78" s="2" t="str">
        <f>IF(F78="","",VLOOKUP(F78,Productos!$A$2:$F$182,3,FALSE))</f>
        <v>3</v>
      </c>
      <c r="I78" s="2" t="str">
        <f>IF(F78="","",VLOOKUP(F78,Productos!$A$2:$F$182,4,FALSE))</f>
        <v>Otros bienes transportables, excepto productos metálicos, maquinaria y equipo</v>
      </c>
      <c r="J78" s="2">
        <f>IF(F78="","",VLOOKUP(F78,Productos!$A$2:$F$182,5,FALSE))</f>
        <v>3</v>
      </c>
      <c r="K78" s="2" t="str">
        <f>IF(F78="","",VLOOKUP(F78,Productos!$A$2:$F$182,6,FALSE))</f>
        <v>Manufacturas</v>
      </c>
      <c r="L78" s="2">
        <v>3</v>
      </c>
      <c r="M78" s="2" t="s">
        <v>67</v>
      </c>
      <c r="N78" s="2">
        <f>VLOOKUP(F78,Productos!$A$2:$J$182,5)</f>
        <v>3</v>
      </c>
      <c r="O78" s="2" t="str">
        <f>VLOOKUP(F78,Productos!$A$2:$J$182,6)</f>
        <v>Manufacturas</v>
      </c>
    </row>
    <row r="79" spans="1:15">
      <c r="A79" s="2" t="s">
        <v>169</v>
      </c>
      <c r="B79" s="2" t="s">
        <v>10</v>
      </c>
      <c r="C79" s="2" t="s">
        <v>11</v>
      </c>
      <c r="D79" s="2" t="s">
        <v>12</v>
      </c>
      <c r="E79" s="2" t="s">
        <v>11</v>
      </c>
      <c r="F79" s="3">
        <v>78</v>
      </c>
      <c r="G79" s="2" t="s">
        <v>170</v>
      </c>
      <c r="H79" s="2" t="str">
        <f>IF(F79="","",VLOOKUP(F79,Productos!$A$2:$F$182,3,FALSE))</f>
        <v>3</v>
      </c>
      <c r="I79" s="2" t="str">
        <f>IF(F79="","",VLOOKUP(F79,Productos!$A$2:$F$182,4,FALSE))</f>
        <v>Otros bienes transportables, excepto productos metálicos, maquinaria y equipo</v>
      </c>
      <c r="J79" s="2">
        <f>IF(F79="","",VLOOKUP(F79,Productos!$A$2:$F$182,5,FALSE))</f>
        <v>3</v>
      </c>
      <c r="K79" s="2" t="str">
        <f>IF(F79="","",VLOOKUP(F79,Productos!$A$2:$F$182,6,FALSE))</f>
        <v>Manufacturas</v>
      </c>
      <c r="L79" s="2">
        <v>3</v>
      </c>
      <c r="M79" s="2" t="s">
        <v>67</v>
      </c>
      <c r="N79" s="2">
        <f>VLOOKUP(F79,Productos!$A$2:$J$182,5)</f>
        <v>3</v>
      </c>
      <c r="O79" s="2" t="str">
        <f>VLOOKUP(F79,Productos!$A$2:$J$182,6)</f>
        <v>Manufacturas</v>
      </c>
    </row>
    <row r="80" spans="1:15">
      <c r="A80" s="2" t="s">
        <v>171</v>
      </c>
      <c r="B80" s="2" t="s">
        <v>10</v>
      </c>
      <c r="C80" s="2" t="s">
        <v>11</v>
      </c>
      <c r="D80" s="2" t="s">
        <v>12</v>
      </c>
      <c r="E80" s="2" t="s">
        <v>11</v>
      </c>
      <c r="F80" s="3">
        <v>79</v>
      </c>
      <c r="G80" s="2" t="s">
        <v>172</v>
      </c>
      <c r="H80" s="2" t="str">
        <f>IF(F80="","",VLOOKUP(F80,Productos!$A$2:$F$182,3,FALSE))</f>
        <v>3</v>
      </c>
      <c r="I80" s="2" t="str">
        <f>IF(F80="","",VLOOKUP(F80,Productos!$A$2:$F$182,4,FALSE))</f>
        <v>Otros bienes transportables, excepto productos metálicos, maquinaria y equipo</v>
      </c>
      <c r="J80" s="2">
        <f>IF(F80="","",VLOOKUP(F80,Productos!$A$2:$F$182,5,FALSE))</f>
        <v>3</v>
      </c>
      <c r="K80" s="2" t="str">
        <f>IF(F80="","",VLOOKUP(F80,Productos!$A$2:$F$182,6,FALSE))</f>
        <v>Manufacturas</v>
      </c>
      <c r="L80" s="2">
        <v>3</v>
      </c>
      <c r="M80" s="2" t="s">
        <v>67</v>
      </c>
      <c r="N80" s="2">
        <f>VLOOKUP(F80,Productos!$A$2:$J$182,5)</f>
        <v>3</v>
      </c>
      <c r="O80" s="2" t="str">
        <f>VLOOKUP(F80,Productos!$A$2:$J$182,6)</f>
        <v>Manufacturas</v>
      </c>
    </row>
    <row r="81" spans="1:15">
      <c r="A81" s="2" t="s">
        <v>173</v>
      </c>
      <c r="B81" s="2" t="s">
        <v>10</v>
      </c>
      <c r="C81" s="2" t="s">
        <v>11</v>
      </c>
      <c r="D81" s="2" t="s">
        <v>12</v>
      </c>
      <c r="E81" s="2" t="s">
        <v>11</v>
      </c>
      <c r="F81" s="3">
        <v>80</v>
      </c>
      <c r="G81" s="2" t="s">
        <v>174</v>
      </c>
      <c r="H81" s="2" t="str">
        <f>IF(F81="","",VLOOKUP(F81,Productos!$A$2:$F$182,3,FALSE))</f>
        <v>3</v>
      </c>
      <c r="I81" s="2" t="str">
        <f>IF(F81="","",VLOOKUP(F81,Productos!$A$2:$F$182,4,FALSE))</f>
        <v>Otros bienes transportables, excepto productos metálicos, maquinaria y equipo</v>
      </c>
      <c r="J81" s="2">
        <f>IF(F81="","",VLOOKUP(F81,Productos!$A$2:$F$182,5,FALSE))</f>
        <v>3</v>
      </c>
      <c r="K81" s="2" t="str">
        <f>IF(F81="","",VLOOKUP(F81,Productos!$A$2:$F$182,6,FALSE))</f>
        <v>Manufacturas</v>
      </c>
      <c r="L81" s="2">
        <v>3</v>
      </c>
      <c r="M81" s="2" t="s">
        <v>67</v>
      </c>
      <c r="N81" s="2">
        <f>VLOOKUP(F81,Productos!$A$2:$J$182,5)</f>
        <v>3</v>
      </c>
      <c r="O81" s="2" t="str">
        <f>VLOOKUP(F81,Productos!$A$2:$J$182,6)</f>
        <v>Manufacturas</v>
      </c>
    </row>
    <row r="82" spans="1:15">
      <c r="A82" s="2" t="s">
        <v>175</v>
      </c>
      <c r="B82" s="2" t="s">
        <v>10</v>
      </c>
      <c r="C82" s="2" t="s">
        <v>11</v>
      </c>
      <c r="D82" s="2" t="s">
        <v>12</v>
      </c>
      <c r="E82" s="2" t="s">
        <v>11</v>
      </c>
      <c r="F82" s="3">
        <v>81</v>
      </c>
      <c r="G82" s="2" t="s">
        <v>176</v>
      </c>
      <c r="H82" s="2" t="str">
        <f>IF(F82="","",VLOOKUP(F82,Productos!$A$2:$F$182,3,FALSE))</f>
        <v>3</v>
      </c>
      <c r="I82" s="2" t="str">
        <f>IF(F82="","",VLOOKUP(F82,Productos!$A$2:$F$182,4,FALSE))</f>
        <v>Otros bienes transportables, excepto productos metálicos, maquinaria y equipo</v>
      </c>
      <c r="J82" s="2">
        <f>IF(F82="","",VLOOKUP(F82,Productos!$A$2:$F$182,5,FALSE))</f>
        <v>3</v>
      </c>
      <c r="K82" s="2" t="str">
        <f>IF(F82="","",VLOOKUP(F82,Productos!$A$2:$F$182,6,FALSE))</f>
        <v>Manufacturas</v>
      </c>
      <c r="L82" s="2">
        <v>3</v>
      </c>
      <c r="M82" s="2" t="s">
        <v>67</v>
      </c>
      <c r="N82" s="2">
        <f>VLOOKUP(F82,Productos!$A$2:$J$182,5)</f>
        <v>3</v>
      </c>
      <c r="O82" s="2" t="str">
        <f>VLOOKUP(F82,Productos!$A$2:$J$182,6)</f>
        <v>Manufacturas</v>
      </c>
    </row>
    <row r="83" spans="1:15">
      <c r="A83" s="2" t="s">
        <v>177</v>
      </c>
      <c r="B83" s="2" t="s">
        <v>10</v>
      </c>
      <c r="C83" s="2" t="s">
        <v>11</v>
      </c>
      <c r="D83" s="2" t="s">
        <v>12</v>
      </c>
      <c r="E83" s="2" t="s">
        <v>11</v>
      </c>
      <c r="F83" s="3">
        <v>82</v>
      </c>
      <c r="G83" s="2" t="s">
        <v>178</v>
      </c>
      <c r="H83" s="2" t="str">
        <f>IF(F83="","",VLOOKUP(F83,Productos!$A$2:$F$182,3,FALSE))</f>
        <v>3</v>
      </c>
      <c r="I83" s="2" t="str">
        <f>IF(F83="","",VLOOKUP(F83,Productos!$A$2:$F$182,4,FALSE))</f>
        <v>Otros bienes transportables, excepto productos metálicos, maquinaria y equipo</v>
      </c>
      <c r="J83" s="2">
        <f>IF(F83="","",VLOOKUP(F83,Productos!$A$2:$F$182,5,FALSE))</f>
        <v>3</v>
      </c>
      <c r="K83" s="2" t="str">
        <f>IF(F83="","",VLOOKUP(F83,Productos!$A$2:$F$182,6,FALSE))</f>
        <v>Manufacturas</v>
      </c>
      <c r="L83" s="2">
        <v>2</v>
      </c>
      <c r="M83" s="2" t="s">
        <v>142</v>
      </c>
      <c r="N83" s="2">
        <f>VLOOKUP(F83,Productos!$A$2:$J$182,5)</f>
        <v>3</v>
      </c>
      <c r="O83" s="2" t="str">
        <f>VLOOKUP(F83,Productos!$A$2:$J$182,6)</f>
        <v>Manufacturas</v>
      </c>
    </row>
    <row r="84" spans="1:15">
      <c r="A84" s="2" t="s">
        <v>179</v>
      </c>
      <c r="B84" s="2" t="s">
        <v>10</v>
      </c>
      <c r="C84" s="2" t="s">
        <v>11</v>
      </c>
      <c r="D84" s="2" t="s">
        <v>12</v>
      </c>
      <c r="E84" s="2" t="s">
        <v>11</v>
      </c>
      <c r="F84" s="3">
        <v>83</v>
      </c>
      <c r="G84" s="2" t="s">
        <v>180</v>
      </c>
      <c r="H84" s="2" t="str">
        <f>IF(F84="","",VLOOKUP(F84,Productos!$A$2:$F$182,3,FALSE))</f>
        <v>3</v>
      </c>
      <c r="I84" s="2" t="str">
        <f>IF(F84="","",VLOOKUP(F84,Productos!$A$2:$F$182,4,FALSE))</f>
        <v>Otros bienes transportables, excepto productos metálicos, maquinaria y equipo</v>
      </c>
      <c r="J84" s="2">
        <f>IF(F84="","",VLOOKUP(F84,Productos!$A$2:$F$182,5,FALSE))</f>
        <v>3</v>
      </c>
      <c r="K84" s="2" t="str">
        <f>IF(F84="","",VLOOKUP(F84,Productos!$A$2:$F$182,6,FALSE))</f>
        <v>Manufacturas</v>
      </c>
      <c r="L84" s="2">
        <v>3</v>
      </c>
      <c r="M84" s="2" t="s">
        <v>67</v>
      </c>
      <c r="N84" s="2">
        <f>VLOOKUP(F84,Productos!$A$2:$J$182,5)</f>
        <v>3</v>
      </c>
      <c r="O84" s="2" t="str">
        <f>VLOOKUP(F84,Productos!$A$2:$J$182,6)</f>
        <v>Manufacturas</v>
      </c>
    </row>
    <row r="85" spans="1:15">
      <c r="A85" s="2" t="s">
        <v>181</v>
      </c>
      <c r="B85" s="2" t="s">
        <v>10</v>
      </c>
      <c r="C85" s="2" t="s">
        <v>11</v>
      </c>
      <c r="D85" s="2" t="s">
        <v>12</v>
      </c>
      <c r="E85" s="2" t="s">
        <v>11</v>
      </c>
      <c r="F85" s="3">
        <v>84</v>
      </c>
      <c r="G85" s="2" t="s">
        <v>182</v>
      </c>
      <c r="H85" s="2" t="str">
        <f>IF(F85="","",VLOOKUP(F85,Productos!$A$2:$F$182,3,FALSE))</f>
        <v>3</v>
      </c>
      <c r="I85" s="2" t="str">
        <f>IF(F85="","",VLOOKUP(F85,Productos!$A$2:$F$182,4,FALSE))</f>
        <v>Otros bienes transportables, excepto productos metálicos, maquinaria y equipo</v>
      </c>
      <c r="J85" s="2">
        <f>IF(F85="","",VLOOKUP(F85,Productos!$A$2:$F$182,5,FALSE))</f>
        <v>3</v>
      </c>
      <c r="K85" s="2" t="str">
        <f>IF(F85="","",VLOOKUP(F85,Productos!$A$2:$F$182,6,FALSE))</f>
        <v>Manufacturas</v>
      </c>
      <c r="L85" s="2">
        <v>3</v>
      </c>
      <c r="M85" s="2" t="s">
        <v>67</v>
      </c>
      <c r="N85" s="2">
        <f>VLOOKUP(F85,Productos!$A$2:$J$182,5)</f>
        <v>3</v>
      </c>
      <c r="O85" s="2" t="str">
        <f>VLOOKUP(F85,Productos!$A$2:$J$182,6)</f>
        <v>Manufacturas</v>
      </c>
    </row>
    <row r="86" spans="1:15">
      <c r="A86" s="2" t="s">
        <v>183</v>
      </c>
      <c r="B86" s="2" t="s">
        <v>10</v>
      </c>
      <c r="C86" s="2" t="s">
        <v>11</v>
      </c>
      <c r="D86" s="2" t="s">
        <v>12</v>
      </c>
      <c r="E86" s="2" t="s">
        <v>11</v>
      </c>
      <c r="F86" s="3">
        <v>85</v>
      </c>
      <c r="G86" s="2" t="s">
        <v>184</v>
      </c>
      <c r="H86" s="2" t="str">
        <f>IF(F86="","",VLOOKUP(F86,Productos!$A$2:$F$182,3,FALSE))</f>
        <v>3</v>
      </c>
      <c r="I86" s="2" t="str">
        <f>IF(F86="","",VLOOKUP(F86,Productos!$A$2:$F$182,4,FALSE))</f>
        <v>Otros bienes transportables, excepto productos metálicos, maquinaria y equipo</v>
      </c>
      <c r="J86" s="2">
        <f>IF(F86="","",VLOOKUP(F86,Productos!$A$2:$F$182,5,FALSE))</f>
        <v>3</v>
      </c>
      <c r="K86" s="2" t="str">
        <f>IF(F86="","",VLOOKUP(F86,Productos!$A$2:$F$182,6,FALSE))</f>
        <v>Manufacturas</v>
      </c>
      <c r="L86" s="2">
        <v>3</v>
      </c>
      <c r="M86" s="2" t="s">
        <v>67</v>
      </c>
      <c r="N86" s="2">
        <f>VLOOKUP(F86,Productos!$A$2:$J$182,5)</f>
        <v>3</v>
      </c>
      <c r="O86" s="2" t="str">
        <f>VLOOKUP(F86,Productos!$A$2:$J$182,6)</f>
        <v>Manufacturas</v>
      </c>
    </row>
    <row r="87" spans="1:15">
      <c r="A87" s="2" t="s">
        <v>185</v>
      </c>
      <c r="B87" s="2" t="s">
        <v>10</v>
      </c>
      <c r="C87" s="2" t="s">
        <v>11</v>
      </c>
      <c r="D87" s="2" t="s">
        <v>12</v>
      </c>
      <c r="E87" s="2" t="s">
        <v>11</v>
      </c>
      <c r="F87" s="3">
        <v>86</v>
      </c>
      <c r="G87" s="2" t="s">
        <v>186</v>
      </c>
      <c r="H87" s="2" t="str">
        <f>IF(F87="","",VLOOKUP(F87,Productos!$A$2:$F$182,3,FALSE))</f>
        <v>3</v>
      </c>
      <c r="I87" s="2" t="str">
        <f>IF(F87="","",VLOOKUP(F87,Productos!$A$2:$F$182,4,FALSE))</f>
        <v>Otros bienes transportables, excepto productos metálicos, maquinaria y equipo</v>
      </c>
      <c r="J87" s="2">
        <f>IF(F87="","",VLOOKUP(F87,Productos!$A$2:$F$182,5,FALSE))</f>
        <v>3</v>
      </c>
      <c r="K87" s="2" t="str">
        <f>IF(F87="","",VLOOKUP(F87,Productos!$A$2:$F$182,6,FALSE))</f>
        <v>Manufacturas</v>
      </c>
      <c r="L87" s="2">
        <v>2</v>
      </c>
      <c r="M87" s="2" t="s">
        <v>142</v>
      </c>
      <c r="N87" s="2">
        <f>VLOOKUP(F87,Productos!$A$2:$J$182,5)</f>
        <v>3</v>
      </c>
      <c r="O87" s="2" t="str">
        <f>VLOOKUP(F87,Productos!$A$2:$J$182,6)</f>
        <v>Manufacturas</v>
      </c>
    </row>
    <row r="88" spans="1:15">
      <c r="A88" s="2" t="s">
        <v>187</v>
      </c>
      <c r="B88" s="2" t="s">
        <v>10</v>
      </c>
      <c r="C88" s="2" t="s">
        <v>11</v>
      </c>
      <c r="D88" s="2" t="s">
        <v>12</v>
      </c>
      <c r="E88" s="2" t="s">
        <v>11</v>
      </c>
      <c r="F88" s="3">
        <v>87</v>
      </c>
      <c r="G88" s="2" t="s">
        <v>188</v>
      </c>
      <c r="H88" s="2" t="str">
        <f>IF(F88="","",VLOOKUP(F88,Productos!$A$2:$F$182,3,FALSE))</f>
        <v>3</v>
      </c>
      <c r="I88" s="2" t="str">
        <f>IF(F88="","",VLOOKUP(F88,Productos!$A$2:$F$182,4,FALSE))</f>
        <v>Otros bienes transportables, excepto productos metálicos, maquinaria y equipo</v>
      </c>
      <c r="J88" s="2">
        <f>IF(F88="","",VLOOKUP(F88,Productos!$A$2:$F$182,5,FALSE))</f>
        <v>3</v>
      </c>
      <c r="K88" s="2" t="str">
        <f>IF(F88="","",VLOOKUP(F88,Productos!$A$2:$F$182,6,FALSE))</f>
        <v>Manufacturas</v>
      </c>
      <c r="L88" s="2">
        <v>2</v>
      </c>
      <c r="M88" s="2" t="s">
        <v>142</v>
      </c>
      <c r="N88" s="2">
        <f>VLOOKUP(F88,Productos!$A$2:$J$182,5)</f>
        <v>3</v>
      </c>
      <c r="O88" s="2" t="str">
        <f>VLOOKUP(F88,Productos!$A$2:$J$182,6)</f>
        <v>Manufacturas</v>
      </c>
    </row>
    <row r="89" spans="1:15">
      <c r="A89" s="2" t="s">
        <v>189</v>
      </c>
      <c r="B89" s="2" t="s">
        <v>10</v>
      </c>
      <c r="C89" s="2" t="s">
        <v>11</v>
      </c>
      <c r="D89" s="2" t="s">
        <v>12</v>
      </c>
      <c r="E89" s="2" t="s">
        <v>11</v>
      </c>
      <c r="F89" s="3">
        <v>88</v>
      </c>
      <c r="G89" s="2" t="s">
        <v>190</v>
      </c>
      <c r="H89" s="2" t="str">
        <f>IF(F89="","",VLOOKUP(F89,Productos!$A$2:$F$182,3,FALSE))</f>
        <v>3</v>
      </c>
      <c r="I89" s="2" t="str">
        <f>IF(F89="","",VLOOKUP(F89,Productos!$A$2:$F$182,4,FALSE))</f>
        <v>Otros bienes transportables, excepto productos metálicos, maquinaria y equipo</v>
      </c>
      <c r="J89" s="2">
        <f>IF(F89="","",VLOOKUP(F89,Productos!$A$2:$F$182,5,FALSE))</f>
        <v>3</v>
      </c>
      <c r="K89" s="2" t="str">
        <f>IF(F89="","",VLOOKUP(F89,Productos!$A$2:$F$182,6,FALSE))</f>
        <v>Manufacturas</v>
      </c>
      <c r="L89" s="2">
        <v>3</v>
      </c>
      <c r="M89" s="2" t="s">
        <v>67</v>
      </c>
      <c r="N89" s="2">
        <f>VLOOKUP(F89,Productos!$A$2:$J$182,5)</f>
        <v>3</v>
      </c>
      <c r="O89" s="2" t="str">
        <f>VLOOKUP(F89,Productos!$A$2:$J$182,6)</f>
        <v>Manufacturas</v>
      </c>
    </row>
    <row r="90" spans="1:15">
      <c r="A90" s="2" t="s">
        <v>191</v>
      </c>
      <c r="B90" s="2" t="s">
        <v>10</v>
      </c>
      <c r="C90" s="2" t="s">
        <v>11</v>
      </c>
      <c r="D90" s="2" t="s">
        <v>12</v>
      </c>
      <c r="E90" s="2" t="s">
        <v>11</v>
      </c>
      <c r="F90" s="3">
        <v>89</v>
      </c>
      <c r="G90" s="2" t="s">
        <v>192</v>
      </c>
      <c r="H90" s="2" t="str">
        <f>IF(F90="","",VLOOKUP(F90,Productos!$A$2:$F$182,3,FALSE))</f>
        <v>3</v>
      </c>
      <c r="I90" s="2" t="str">
        <f>IF(F90="","",VLOOKUP(F90,Productos!$A$2:$F$182,4,FALSE))</f>
        <v>Otros bienes transportables, excepto productos metálicos, maquinaria y equipo</v>
      </c>
      <c r="J90" s="2">
        <f>IF(F90="","",VLOOKUP(F90,Productos!$A$2:$F$182,5,FALSE))</f>
        <v>3</v>
      </c>
      <c r="K90" s="2" t="str">
        <f>IF(F90="","",VLOOKUP(F90,Productos!$A$2:$F$182,6,FALSE))</f>
        <v>Manufacturas</v>
      </c>
      <c r="L90" s="2">
        <v>3</v>
      </c>
      <c r="M90" s="2" t="s">
        <v>67</v>
      </c>
      <c r="N90" s="2">
        <f>VLOOKUP(F90,Productos!$A$2:$J$182,5)</f>
        <v>3</v>
      </c>
      <c r="O90" s="2" t="str">
        <f>VLOOKUP(F90,Productos!$A$2:$J$182,6)</f>
        <v>Manufacturas</v>
      </c>
    </row>
    <row r="91" spans="1:15">
      <c r="A91" s="2" t="s">
        <v>193</v>
      </c>
      <c r="B91" s="2" t="s">
        <v>10</v>
      </c>
      <c r="C91" s="2" t="s">
        <v>11</v>
      </c>
      <c r="D91" s="2" t="s">
        <v>12</v>
      </c>
      <c r="E91" s="2" t="s">
        <v>11</v>
      </c>
      <c r="F91" s="3">
        <v>90</v>
      </c>
      <c r="G91" s="2" t="s">
        <v>194</v>
      </c>
      <c r="H91" s="2" t="str">
        <f>IF(F91="","",VLOOKUP(F91,Productos!$A$2:$F$182,3,FALSE))</f>
        <v>3</v>
      </c>
      <c r="I91" s="2" t="str">
        <f>IF(F91="","",VLOOKUP(F91,Productos!$A$2:$F$182,4,FALSE))</f>
        <v>Otros bienes transportables, excepto productos metálicos, maquinaria y equipo</v>
      </c>
      <c r="J91" s="2">
        <f>IF(F91="","",VLOOKUP(F91,Productos!$A$2:$F$182,5,FALSE))</f>
        <v>3</v>
      </c>
      <c r="K91" s="2" t="str">
        <f>IF(F91="","",VLOOKUP(F91,Productos!$A$2:$F$182,6,FALSE))</f>
        <v>Manufacturas</v>
      </c>
      <c r="L91" s="2">
        <v>3</v>
      </c>
      <c r="M91" s="2" t="s">
        <v>67</v>
      </c>
      <c r="N91" s="2">
        <f>VLOOKUP(F91,Productos!$A$2:$J$182,5)</f>
        <v>3</v>
      </c>
      <c r="O91" s="2" t="str">
        <f>VLOOKUP(F91,Productos!$A$2:$J$182,6)</f>
        <v>Manufacturas</v>
      </c>
    </row>
    <row r="92" spans="1:15">
      <c r="A92" s="2" t="s">
        <v>195</v>
      </c>
      <c r="B92" s="2" t="s">
        <v>10</v>
      </c>
      <c r="C92" s="2" t="s">
        <v>11</v>
      </c>
      <c r="D92" s="2" t="s">
        <v>12</v>
      </c>
      <c r="E92" s="2" t="s">
        <v>11</v>
      </c>
      <c r="F92" s="3">
        <v>91</v>
      </c>
      <c r="G92" s="2" t="s">
        <v>196</v>
      </c>
      <c r="H92" s="2" t="str">
        <f>IF(F92="","",VLOOKUP(F92,Productos!$A$2:$F$182,3,FALSE))</f>
        <v>3</v>
      </c>
      <c r="I92" s="2" t="str">
        <f>IF(F92="","",VLOOKUP(F92,Productos!$A$2:$F$182,4,FALSE))</f>
        <v>Otros bienes transportables, excepto productos metálicos, maquinaria y equipo</v>
      </c>
      <c r="J92" s="2">
        <f>IF(F92="","",VLOOKUP(F92,Productos!$A$2:$F$182,5,FALSE))</f>
        <v>3</v>
      </c>
      <c r="K92" s="2" t="str">
        <f>IF(F92="","",VLOOKUP(F92,Productos!$A$2:$F$182,6,FALSE))</f>
        <v>Manufacturas</v>
      </c>
      <c r="L92" s="2">
        <v>3</v>
      </c>
      <c r="M92" s="2" t="s">
        <v>67</v>
      </c>
      <c r="N92" s="2">
        <f>VLOOKUP(F92,Productos!$A$2:$J$182,5)</f>
        <v>3</v>
      </c>
      <c r="O92" s="2" t="str">
        <f>VLOOKUP(F92,Productos!$A$2:$J$182,6)</f>
        <v>Manufacturas</v>
      </c>
    </row>
    <row r="93" spans="1:15">
      <c r="A93" s="2" t="s">
        <v>197</v>
      </c>
      <c r="B93" s="2" t="s">
        <v>10</v>
      </c>
      <c r="C93" s="2" t="s">
        <v>11</v>
      </c>
      <c r="D93" s="2" t="s">
        <v>12</v>
      </c>
      <c r="E93" s="2" t="s">
        <v>11</v>
      </c>
      <c r="F93" s="3">
        <v>92</v>
      </c>
      <c r="G93" s="2" t="s">
        <v>198</v>
      </c>
      <c r="H93" s="2" t="str">
        <f>IF(F93="","",VLOOKUP(F93,Productos!$A$2:$F$182,3,FALSE))</f>
        <v>3</v>
      </c>
      <c r="I93" s="2" t="str">
        <f>IF(F93="","",VLOOKUP(F93,Productos!$A$2:$F$182,4,FALSE))</f>
        <v>Otros bienes transportables, excepto productos metálicos, maquinaria y equipo</v>
      </c>
      <c r="J93" s="2">
        <f>IF(F93="","",VLOOKUP(F93,Productos!$A$2:$F$182,5,FALSE))</f>
        <v>3</v>
      </c>
      <c r="K93" s="2" t="str">
        <f>IF(F93="","",VLOOKUP(F93,Productos!$A$2:$F$182,6,FALSE))</f>
        <v>Manufacturas</v>
      </c>
      <c r="L93" s="2">
        <v>3</v>
      </c>
      <c r="M93" s="2" t="s">
        <v>67</v>
      </c>
      <c r="N93" s="2">
        <f>VLOOKUP(F93,Productos!$A$2:$J$182,5)</f>
        <v>3</v>
      </c>
      <c r="O93" s="2" t="str">
        <f>VLOOKUP(F93,Productos!$A$2:$J$182,6)</f>
        <v>Manufacturas</v>
      </c>
    </row>
    <row r="94" spans="1:15">
      <c r="A94" s="2" t="s">
        <v>199</v>
      </c>
      <c r="B94" s="2" t="s">
        <v>10</v>
      </c>
      <c r="C94" s="2" t="s">
        <v>11</v>
      </c>
      <c r="D94" s="2" t="s">
        <v>12</v>
      </c>
      <c r="E94" s="2" t="s">
        <v>11</v>
      </c>
      <c r="F94" s="3">
        <v>93</v>
      </c>
      <c r="G94" s="2" t="s">
        <v>200</v>
      </c>
      <c r="H94" s="2" t="str">
        <f>IF(F94="","",VLOOKUP(F94,Productos!$A$2:$F$182,3,FALSE))</f>
        <v>3</v>
      </c>
      <c r="I94" s="2" t="str">
        <f>IF(F94="","",VLOOKUP(F94,Productos!$A$2:$F$182,4,FALSE))</f>
        <v>Otros bienes transportables, excepto productos metálicos, maquinaria y equipo</v>
      </c>
      <c r="J94" s="2">
        <f>IF(F94="","",VLOOKUP(F94,Productos!$A$2:$F$182,5,FALSE))</f>
        <v>3</v>
      </c>
      <c r="K94" s="2" t="str">
        <f>IF(F94="","",VLOOKUP(F94,Productos!$A$2:$F$182,6,FALSE))</f>
        <v>Manufacturas</v>
      </c>
      <c r="L94" s="2">
        <v>3</v>
      </c>
      <c r="M94" s="2" t="s">
        <v>67</v>
      </c>
      <c r="N94" s="2">
        <f>VLOOKUP(F94,Productos!$A$2:$J$182,5)</f>
        <v>3</v>
      </c>
      <c r="O94" s="2" t="str">
        <f>VLOOKUP(F94,Productos!$A$2:$J$182,6)</f>
        <v>Manufacturas</v>
      </c>
    </row>
    <row r="95" spans="1:15">
      <c r="A95" s="2" t="s">
        <v>201</v>
      </c>
      <c r="B95" s="2" t="s">
        <v>10</v>
      </c>
      <c r="C95" s="2" t="s">
        <v>11</v>
      </c>
      <c r="D95" s="2" t="s">
        <v>12</v>
      </c>
      <c r="E95" s="2" t="s">
        <v>11</v>
      </c>
      <c r="F95" s="3">
        <v>94</v>
      </c>
      <c r="G95" s="2" t="s">
        <v>202</v>
      </c>
      <c r="H95" s="2" t="str">
        <f>IF(F95="","",VLOOKUP(F95,Productos!$A$2:$F$182,3,FALSE))</f>
        <v>3</v>
      </c>
      <c r="I95" s="2" t="str">
        <f>IF(F95="","",VLOOKUP(F95,Productos!$A$2:$F$182,4,FALSE))</f>
        <v>Otros bienes transportables, excepto productos metálicos, maquinaria y equipo</v>
      </c>
      <c r="J95" s="2">
        <f>IF(F95="","",VLOOKUP(F95,Productos!$A$2:$F$182,5,FALSE))</f>
        <v>3</v>
      </c>
      <c r="K95" s="2" t="str">
        <f>IF(F95="","",VLOOKUP(F95,Productos!$A$2:$F$182,6,FALSE))</f>
        <v>Manufacturas</v>
      </c>
      <c r="L95" s="2">
        <v>3</v>
      </c>
      <c r="M95" s="2" t="s">
        <v>67</v>
      </c>
      <c r="N95" s="2">
        <f>VLOOKUP(F95,Productos!$A$2:$J$182,5)</f>
        <v>3</v>
      </c>
      <c r="O95" s="2" t="str">
        <f>VLOOKUP(F95,Productos!$A$2:$J$182,6)</f>
        <v>Manufacturas</v>
      </c>
    </row>
    <row r="96" spans="1:15">
      <c r="A96" s="2" t="s">
        <v>203</v>
      </c>
      <c r="B96" s="2" t="s">
        <v>10</v>
      </c>
      <c r="C96" s="2" t="s">
        <v>11</v>
      </c>
      <c r="D96" s="2" t="s">
        <v>12</v>
      </c>
      <c r="E96" s="2" t="s">
        <v>11</v>
      </c>
      <c r="F96" s="3">
        <v>95</v>
      </c>
      <c r="G96" s="2" t="s">
        <v>204</v>
      </c>
      <c r="H96" s="2" t="str">
        <f>IF(F96="","",VLOOKUP(F96,Productos!$A$2:$F$182,3,FALSE))</f>
        <v>3</v>
      </c>
      <c r="I96" s="2" t="str">
        <f>IF(F96="","",VLOOKUP(F96,Productos!$A$2:$F$182,4,FALSE))</f>
        <v>Otros bienes transportables, excepto productos metálicos, maquinaria y equipo</v>
      </c>
      <c r="J96" s="2">
        <f>IF(F96="","",VLOOKUP(F96,Productos!$A$2:$F$182,5,FALSE))</f>
        <v>3</v>
      </c>
      <c r="K96" s="2" t="str">
        <f>IF(F96="","",VLOOKUP(F96,Productos!$A$2:$F$182,6,FALSE))</f>
        <v>Manufacturas</v>
      </c>
      <c r="L96" s="2">
        <v>3</v>
      </c>
      <c r="M96" s="2" t="s">
        <v>67</v>
      </c>
      <c r="N96" s="2">
        <f>VLOOKUP(F96,Productos!$A$2:$J$182,5)</f>
        <v>3</v>
      </c>
      <c r="O96" s="2" t="str">
        <f>VLOOKUP(F96,Productos!$A$2:$J$182,6)</f>
        <v>Manufacturas</v>
      </c>
    </row>
    <row r="97" spans="1:15">
      <c r="A97" s="2" t="s">
        <v>205</v>
      </c>
      <c r="B97" s="2" t="s">
        <v>10</v>
      </c>
      <c r="C97" s="2" t="s">
        <v>11</v>
      </c>
      <c r="D97" s="2" t="s">
        <v>12</v>
      </c>
      <c r="E97" s="2" t="s">
        <v>11</v>
      </c>
      <c r="F97" s="3">
        <v>96</v>
      </c>
      <c r="G97" s="2" t="s">
        <v>206</v>
      </c>
      <c r="H97" s="2" t="str">
        <f>IF(F97="","",VLOOKUP(F97,Productos!$A$2:$F$182,3,FALSE))</f>
        <v>3</v>
      </c>
      <c r="I97" s="2" t="str">
        <f>IF(F97="","",VLOOKUP(F97,Productos!$A$2:$F$182,4,FALSE))</f>
        <v>Otros bienes transportables, excepto productos metálicos, maquinaria y equipo</v>
      </c>
      <c r="J97" s="2">
        <f>IF(F97="","",VLOOKUP(F97,Productos!$A$2:$F$182,5,FALSE))</f>
        <v>3</v>
      </c>
      <c r="K97" s="2" t="str">
        <f>IF(F97="","",VLOOKUP(F97,Productos!$A$2:$F$182,6,FALSE))</f>
        <v>Manufacturas</v>
      </c>
      <c r="L97" s="2">
        <v>3</v>
      </c>
      <c r="M97" s="2" t="s">
        <v>67</v>
      </c>
      <c r="N97" s="2">
        <f>VLOOKUP(F97,Productos!$A$2:$J$182,5)</f>
        <v>3</v>
      </c>
      <c r="O97" s="2" t="str">
        <f>VLOOKUP(F97,Productos!$A$2:$J$182,6)</f>
        <v>Manufacturas</v>
      </c>
    </row>
    <row r="98" spans="1:15">
      <c r="A98" s="2" t="s">
        <v>207</v>
      </c>
      <c r="B98" s="2" t="s">
        <v>10</v>
      </c>
      <c r="C98" s="2" t="s">
        <v>11</v>
      </c>
      <c r="D98" s="2" t="s">
        <v>12</v>
      </c>
      <c r="E98" s="2" t="s">
        <v>11</v>
      </c>
      <c r="F98" s="3">
        <v>97</v>
      </c>
      <c r="G98" s="2" t="s">
        <v>208</v>
      </c>
      <c r="H98" s="2" t="str">
        <f>IF(F98="","",VLOOKUP(F98,Productos!$A$2:$F$182,3,FALSE))</f>
        <v>3</v>
      </c>
      <c r="I98" s="2" t="str">
        <f>IF(F98="","",VLOOKUP(F98,Productos!$A$2:$F$182,4,FALSE))</f>
        <v>Otros bienes transportables, excepto productos metálicos, maquinaria y equipo</v>
      </c>
      <c r="J98" s="2">
        <f>IF(F98="","",VLOOKUP(F98,Productos!$A$2:$F$182,5,FALSE))</f>
        <v>3</v>
      </c>
      <c r="K98" s="2" t="str">
        <f>IF(F98="","",VLOOKUP(F98,Productos!$A$2:$F$182,6,FALSE))</f>
        <v>Manufacturas</v>
      </c>
      <c r="L98" s="2">
        <v>3</v>
      </c>
      <c r="M98" s="2" t="s">
        <v>67</v>
      </c>
      <c r="N98" s="2">
        <f>VLOOKUP(F98,Productos!$A$2:$J$182,5)</f>
        <v>3</v>
      </c>
      <c r="O98" s="2" t="str">
        <f>VLOOKUP(F98,Productos!$A$2:$J$182,6)</f>
        <v>Manufacturas</v>
      </c>
    </row>
    <row r="99" spans="1:15">
      <c r="A99" s="2" t="s">
        <v>209</v>
      </c>
      <c r="B99" s="2" t="s">
        <v>10</v>
      </c>
      <c r="C99" s="2" t="s">
        <v>11</v>
      </c>
      <c r="D99" s="2" t="s">
        <v>12</v>
      </c>
      <c r="E99" s="2" t="s">
        <v>11</v>
      </c>
      <c r="F99" s="3">
        <v>98</v>
      </c>
      <c r="G99" s="2" t="s">
        <v>210</v>
      </c>
      <c r="H99" s="2" t="str">
        <f>IF(F99="","",VLOOKUP(F99,Productos!$A$2:$F$182,3,FALSE))</f>
        <v>4</v>
      </c>
      <c r="I99" s="2" t="str">
        <f>IF(F99="","",VLOOKUP(F99,Productos!$A$2:$F$182,4,FALSE))</f>
        <v>Productos metálicos, maquinaria y equipo</v>
      </c>
      <c r="J99" s="2">
        <f>IF(F99="","",VLOOKUP(F99,Productos!$A$2:$F$182,5,FALSE))</f>
        <v>3</v>
      </c>
      <c r="K99" s="2" t="str">
        <f>IF(F99="","",VLOOKUP(F99,Productos!$A$2:$F$182,6,FALSE))</f>
        <v>Manufacturas</v>
      </c>
      <c r="L99" s="2">
        <v>3</v>
      </c>
      <c r="M99" s="2" t="s">
        <v>67</v>
      </c>
      <c r="N99" s="2">
        <f>VLOOKUP(F99,Productos!$A$2:$J$182,5)</f>
        <v>3</v>
      </c>
      <c r="O99" s="2" t="str">
        <f>VLOOKUP(F99,Productos!$A$2:$J$182,6)</f>
        <v>Manufacturas</v>
      </c>
    </row>
    <row r="100" spans="1:15">
      <c r="A100" s="2" t="s">
        <v>211</v>
      </c>
      <c r="B100" s="2" t="s">
        <v>10</v>
      </c>
      <c r="C100" s="2" t="s">
        <v>11</v>
      </c>
      <c r="D100" s="2" t="s">
        <v>12</v>
      </c>
      <c r="E100" s="2" t="s">
        <v>11</v>
      </c>
      <c r="F100" s="3">
        <v>99</v>
      </c>
      <c r="G100" s="2" t="s">
        <v>212</v>
      </c>
      <c r="H100" s="2" t="str">
        <f>IF(F100="","",VLOOKUP(F100,Productos!$A$2:$F$182,3,FALSE))</f>
        <v>4</v>
      </c>
      <c r="I100" s="2" t="str">
        <f>IF(F100="","",VLOOKUP(F100,Productos!$A$2:$F$182,4,FALSE))</f>
        <v>Productos metálicos, maquinaria y equipo</v>
      </c>
      <c r="J100" s="2">
        <f>IF(F100="","",VLOOKUP(F100,Productos!$A$2:$F$182,5,FALSE))</f>
        <v>3</v>
      </c>
      <c r="K100" s="2" t="str">
        <f>IF(F100="","",VLOOKUP(F100,Productos!$A$2:$F$182,6,FALSE))</f>
        <v>Manufacturas</v>
      </c>
      <c r="L100" s="2">
        <v>3</v>
      </c>
      <c r="M100" s="2" t="s">
        <v>67</v>
      </c>
      <c r="N100" s="2">
        <f>VLOOKUP(F100,Productos!$A$2:$J$182,5)</f>
        <v>3</v>
      </c>
      <c r="O100" s="2" t="str">
        <f>VLOOKUP(F100,Productos!$A$2:$J$182,6)</f>
        <v>Manufacturas</v>
      </c>
    </row>
    <row r="101" spans="1:15">
      <c r="A101" s="2" t="s">
        <v>213</v>
      </c>
      <c r="B101" s="2" t="s">
        <v>10</v>
      </c>
      <c r="C101" s="2" t="s">
        <v>11</v>
      </c>
      <c r="D101" s="2" t="s">
        <v>12</v>
      </c>
      <c r="E101" s="2" t="s">
        <v>11</v>
      </c>
      <c r="F101" s="3">
        <v>100</v>
      </c>
      <c r="G101" s="2" t="s">
        <v>214</v>
      </c>
      <c r="H101" s="2" t="str">
        <f>IF(F101="","",VLOOKUP(F101,Productos!$A$2:$F$182,3,FALSE))</f>
        <v>4</v>
      </c>
      <c r="I101" s="2" t="str">
        <f>IF(F101="","",VLOOKUP(F101,Productos!$A$2:$F$182,4,FALSE))</f>
        <v>Productos metálicos, maquinaria y equipo</v>
      </c>
      <c r="J101" s="2">
        <f>IF(F101="","",VLOOKUP(F101,Productos!$A$2:$F$182,5,FALSE))</f>
        <v>3</v>
      </c>
      <c r="K101" s="2" t="str">
        <f>IF(F101="","",VLOOKUP(F101,Productos!$A$2:$F$182,6,FALSE))</f>
        <v>Manufacturas</v>
      </c>
      <c r="L101" s="2">
        <v>3</v>
      </c>
      <c r="M101" s="2" t="s">
        <v>67</v>
      </c>
      <c r="N101" s="2">
        <f>VLOOKUP(F101,Productos!$A$2:$J$182,5)</f>
        <v>3</v>
      </c>
      <c r="O101" s="2" t="str">
        <f>VLOOKUP(F101,Productos!$A$2:$J$182,6)</f>
        <v>Manufacturas</v>
      </c>
    </row>
    <row r="102" spans="1:15">
      <c r="A102" s="2" t="s">
        <v>215</v>
      </c>
      <c r="B102" s="2" t="s">
        <v>10</v>
      </c>
      <c r="C102" s="2" t="s">
        <v>11</v>
      </c>
      <c r="D102" s="2" t="s">
        <v>12</v>
      </c>
      <c r="E102" s="2" t="s">
        <v>11</v>
      </c>
      <c r="F102" s="3">
        <v>101</v>
      </c>
      <c r="G102" s="2" t="s">
        <v>216</v>
      </c>
      <c r="H102" s="2" t="str">
        <f>IF(F102="","",VLOOKUP(F102,Productos!$A$2:$F$182,3,FALSE))</f>
        <v>4</v>
      </c>
      <c r="I102" s="2" t="str">
        <f>IF(F102="","",VLOOKUP(F102,Productos!$A$2:$F$182,4,FALSE))</f>
        <v>Productos metálicos, maquinaria y equipo</v>
      </c>
      <c r="J102" s="2">
        <f>IF(F102="","",VLOOKUP(F102,Productos!$A$2:$F$182,5,FALSE))</f>
        <v>3</v>
      </c>
      <c r="K102" s="2" t="str">
        <f>IF(F102="","",VLOOKUP(F102,Productos!$A$2:$F$182,6,FALSE))</f>
        <v>Manufacturas</v>
      </c>
      <c r="L102" s="2">
        <v>3</v>
      </c>
      <c r="M102" s="2" t="s">
        <v>67</v>
      </c>
      <c r="N102" s="2">
        <f>VLOOKUP(F102,Productos!$A$2:$J$182,5)</f>
        <v>3</v>
      </c>
      <c r="O102" s="2" t="str">
        <f>VLOOKUP(F102,Productos!$A$2:$J$182,6)</f>
        <v>Manufacturas</v>
      </c>
    </row>
    <row r="103" spans="1:15">
      <c r="A103" s="2" t="s">
        <v>217</v>
      </c>
      <c r="B103" s="2" t="s">
        <v>10</v>
      </c>
      <c r="C103" s="2" t="s">
        <v>11</v>
      </c>
      <c r="D103" s="2" t="s">
        <v>12</v>
      </c>
      <c r="E103" s="2" t="s">
        <v>11</v>
      </c>
      <c r="F103" s="3">
        <v>102</v>
      </c>
      <c r="G103" s="2" t="s">
        <v>218</v>
      </c>
      <c r="H103" s="2" t="str">
        <f>IF(F103="","",VLOOKUP(F103,Productos!$A$2:$F$182,3,FALSE))</f>
        <v>4</v>
      </c>
      <c r="I103" s="2" t="str">
        <f>IF(F103="","",VLOOKUP(F103,Productos!$A$2:$F$182,4,FALSE))</f>
        <v>Productos metálicos, maquinaria y equipo</v>
      </c>
      <c r="J103" s="2">
        <f>IF(F103="","",VLOOKUP(F103,Productos!$A$2:$F$182,5,FALSE))</f>
        <v>3</v>
      </c>
      <c r="K103" s="2" t="str">
        <f>IF(F103="","",VLOOKUP(F103,Productos!$A$2:$F$182,6,FALSE))</f>
        <v>Manufacturas</v>
      </c>
      <c r="L103" s="2">
        <v>3</v>
      </c>
      <c r="M103" s="2" t="s">
        <v>67</v>
      </c>
      <c r="N103" s="2">
        <f>VLOOKUP(F103,Productos!$A$2:$J$182,5)</f>
        <v>3</v>
      </c>
      <c r="O103" s="2" t="str">
        <f>VLOOKUP(F103,Productos!$A$2:$J$182,6)</f>
        <v>Manufacturas</v>
      </c>
    </row>
    <row r="104" spans="1:15">
      <c r="A104" s="2" t="s">
        <v>219</v>
      </c>
      <c r="B104" s="2" t="s">
        <v>10</v>
      </c>
      <c r="C104" s="2" t="s">
        <v>11</v>
      </c>
      <c r="D104" s="2" t="s">
        <v>12</v>
      </c>
      <c r="E104" s="2" t="s">
        <v>11</v>
      </c>
      <c r="F104" s="3">
        <v>103</v>
      </c>
      <c r="G104" s="2" t="s">
        <v>220</v>
      </c>
      <c r="H104" s="2" t="str">
        <f>IF(F104="","",VLOOKUP(F104,Productos!$A$2:$F$182,3,FALSE))</f>
        <v>4</v>
      </c>
      <c r="I104" s="2" t="str">
        <f>IF(F104="","",VLOOKUP(F104,Productos!$A$2:$F$182,4,FALSE))</f>
        <v>Productos metálicos, maquinaria y equipo</v>
      </c>
      <c r="J104" s="2">
        <f>IF(F104="","",VLOOKUP(F104,Productos!$A$2:$F$182,5,FALSE))</f>
        <v>3</v>
      </c>
      <c r="K104" s="2" t="str">
        <f>IF(F104="","",VLOOKUP(F104,Productos!$A$2:$F$182,6,FALSE))</f>
        <v>Manufacturas</v>
      </c>
      <c r="L104" s="2">
        <v>3</v>
      </c>
      <c r="M104" s="2" t="s">
        <v>67</v>
      </c>
      <c r="N104" s="2">
        <f>VLOOKUP(F104,Productos!$A$2:$J$182,5)</f>
        <v>3</v>
      </c>
      <c r="O104" s="2" t="str">
        <f>VLOOKUP(F104,Productos!$A$2:$J$182,6)</f>
        <v>Manufacturas</v>
      </c>
    </row>
    <row r="105" spans="1:15">
      <c r="A105" s="2" t="s">
        <v>221</v>
      </c>
      <c r="B105" s="2" t="s">
        <v>10</v>
      </c>
      <c r="C105" s="2" t="s">
        <v>11</v>
      </c>
      <c r="D105" s="2" t="s">
        <v>12</v>
      </c>
      <c r="E105" s="2" t="s">
        <v>11</v>
      </c>
      <c r="F105" s="3">
        <v>104</v>
      </c>
      <c r="G105" s="2" t="s">
        <v>222</v>
      </c>
      <c r="H105" s="2" t="str">
        <f>IF(F105="","",VLOOKUP(F105,Productos!$A$2:$F$182,3,FALSE))</f>
        <v>4</v>
      </c>
      <c r="I105" s="2" t="str">
        <f>IF(F105="","",VLOOKUP(F105,Productos!$A$2:$F$182,4,FALSE))</f>
        <v>Productos metálicos, maquinaria y equipo</v>
      </c>
      <c r="J105" s="2">
        <f>IF(F105="","",VLOOKUP(F105,Productos!$A$2:$F$182,5,FALSE))</f>
        <v>3</v>
      </c>
      <c r="K105" s="2" t="str">
        <f>IF(F105="","",VLOOKUP(F105,Productos!$A$2:$F$182,6,FALSE))</f>
        <v>Manufacturas</v>
      </c>
      <c r="L105" s="2">
        <v>3</v>
      </c>
      <c r="M105" s="2" t="s">
        <v>67</v>
      </c>
      <c r="N105" s="2">
        <f>VLOOKUP(F105,Productos!$A$2:$J$182,5)</f>
        <v>3</v>
      </c>
      <c r="O105" s="2" t="str">
        <f>VLOOKUP(F105,Productos!$A$2:$J$182,6)</f>
        <v>Manufacturas</v>
      </c>
    </row>
    <row r="106" spans="1:15">
      <c r="A106" s="2" t="s">
        <v>223</v>
      </c>
      <c r="B106" s="2" t="s">
        <v>10</v>
      </c>
      <c r="C106" s="2" t="s">
        <v>11</v>
      </c>
      <c r="D106" s="2" t="s">
        <v>12</v>
      </c>
      <c r="E106" s="2" t="s">
        <v>11</v>
      </c>
      <c r="F106" s="3">
        <v>105</v>
      </c>
      <c r="G106" s="2" t="s">
        <v>224</v>
      </c>
      <c r="H106" s="2" t="str">
        <f>IF(F106="","",VLOOKUP(F106,Productos!$A$2:$F$182,3,FALSE))</f>
        <v>4</v>
      </c>
      <c r="I106" s="2" t="str">
        <f>IF(F106="","",VLOOKUP(F106,Productos!$A$2:$F$182,4,FALSE))</f>
        <v>Productos metálicos, maquinaria y equipo</v>
      </c>
      <c r="J106" s="2">
        <f>IF(F106="","",VLOOKUP(F106,Productos!$A$2:$F$182,5,FALSE))</f>
        <v>3</v>
      </c>
      <c r="K106" s="2" t="str">
        <f>IF(F106="","",VLOOKUP(F106,Productos!$A$2:$F$182,6,FALSE))</f>
        <v>Manufacturas</v>
      </c>
      <c r="L106" s="2">
        <v>3</v>
      </c>
      <c r="M106" s="2" t="s">
        <v>67</v>
      </c>
      <c r="N106" s="2">
        <f>VLOOKUP(F106,Productos!$A$2:$J$182,5)</f>
        <v>3</v>
      </c>
      <c r="O106" s="2" t="str">
        <f>VLOOKUP(F106,Productos!$A$2:$J$182,6)</f>
        <v>Manufacturas</v>
      </c>
    </row>
    <row r="107" spans="1:15">
      <c r="A107" s="2" t="s">
        <v>225</v>
      </c>
      <c r="B107" s="2" t="s">
        <v>10</v>
      </c>
      <c r="C107" s="2" t="s">
        <v>11</v>
      </c>
      <c r="D107" s="2" t="s">
        <v>12</v>
      </c>
      <c r="E107" s="2" t="s">
        <v>11</v>
      </c>
      <c r="F107" s="3">
        <v>106</v>
      </c>
      <c r="G107" s="2" t="s">
        <v>226</v>
      </c>
      <c r="H107" s="2" t="str">
        <f>IF(F107="","",VLOOKUP(F107,Productos!$A$2:$F$182,3,FALSE))</f>
        <v>4</v>
      </c>
      <c r="I107" s="2" t="str">
        <f>IF(F107="","",VLOOKUP(F107,Productos!$A$2:$F$182,4,FALSE))</f>
        <v>Productos metálicos, maquinaria y equipo</v>
      </c>
      <c r="J107" s="2">
        <f>IF(F107="","",VLOOKUP(F107,Productos!$A$2:$F$182,5,FALSE))</f>
        <v>3</v>
      </c>
      <c r="K107" s="2" t="str">
        <f>IF(F107="","",VLOOKUP(F107,Productos!$A$2:$F$182,6,FALSE))</f>
        <v>Manufacturas</v>
      </c>
      <c r="L107" s="2">
        <v>3</v>
      </c>
      <c r="M107" s="2" t="s">
        <v>67</v>
      </c>
      <c r="N107" s="2">
        <f>VLOOKUP(F107,Productos!$A$2:$J$182,5)</f>
        <v>3</v>
      </c>
      <c r="O107" s="2" t="str">
        <f>VLOOKUP(F107,Productos!$A$2:$J$182,6)</f>
        <v>Manufacturas</v>
      </c>
    </row>
    <row r="108" spans="1:15">
      <c r="A108" s="2" t="s">
        <v>227</v>
      </c>
      <c r="B108" s="2" t="s">
        <v>10</v>
      </c>
      <c r="C108" s="2" t="s">
        <v>11</v>
      </c>
      <c r="D108" s="2" t="s">
        <v>12</v>
      </c>
      <c r="E108" s="2" t="s">
        <v>11</v>
      </c>
      <c r="F108" s="3">
        <v>107</v>
      </c>
      <c r="G108" s="2" t="s">
        <v>228</v>
      </c>
      <c r="H108" s="2" t="str">
        <f>IF(F108="","",VLOOKUP(F108,Productos!$A$2:$F$182,3,FALSE))</f>
        <v>4</v>
      </c>
      <c r="I108" s="2" t="str">
        <f>IF(F108="","",VLOOKUP(F108,Productos!$A$2:$F$182,4,FALSE))</f>
        <v>Productos metálicos, maquinaria y equipo</v>
      </c>
      <c r="J108" s="2">
        <f>IF(F108="","",VLOOKUP(F108,Productos!$A$2:$F$182,5,FALSE))</f>
        <v>3</v>
      </c>
      <c r="K108" s="2" t="str">
        <f>IF(F108="","",VLOOKUP(F108,Productos!$A$2:$F$182,6,FALSE))</f>
        <v>Manufacturas</v>
      </c>
      <c r="L108" s="2">
        <v>3</v>
      </c>
      <c r="M108" s="2" t="s">
        <v>67</v>
      </c>
      <c r="N108" s="2">
        <f>VLOOKUP(F108,Productos!$A$2:$J$182,5)</f>
        <v>3</v>
      </c>
      <c r="O108" s="2" t="str">
        <f>VLOOKUP(F108,Productos!$A$2:$J$182,6)</f>
        <v>Manufacturas</v>
      </c>
    </row>
    <row r="109" spans="1:15">
      <c r="A109" s="2" t="s">
        <v>229</v>
      </c>
      <c r="B109" s="2" t="s">
        <v>10</v>
      </c>
      <c r="C109" s="2" t="s">
        <v>11</v>
      </c>
      <c r="D109" s="2" t="s">
        <v>12</v>
      </c>
      <c r="E109" s="2" t="s">
        <v>11</v>
      </c>
      <c r="F109" s="3">
        <v>108</v>
      </c>
      <c r="G109" s="2" t="s">
        <v>230</v>
      </c>
      <c r="H109" s="2" t="str">
        <f>IF(F109="","",VLOOKUP(F109,Productos!$A$2:$F$182,3,FALSE))</f>
        <v>4</v>
      </c>
      <c r="I109" s="2" t="str">
        <f>IF(F109="","",VLOOKUP(F109,Productos!$A$2:$F$182,4,FALSE))</f>
        <v>Productos metálicos, maquinaria y equipo</v>
      </c>
      <c r="J109" s="2">
        <f>IF(F109="","",VLOOKUP(F109,Productos!$A$2:$F$182,5,FALSE))</f>
        <v>3</v>
      </c>
      <c r="K109" s="2" t="str">
        <f>IF(F109="","",VLOOKUP(F109,Productos!$A$2:$F$182,6,FALSE))</f>
        <v>Manufacturas</v>
      </c>
      <c r="L109" s="2">
        <v>3</v>
      </c>
      <c r="M109" s="2" t="s">
        <v>67</v>
      </c>
      <c r="N109" s="2">
        <f>VLOOKUP(F109,Productos!$A$2:$J$182,5)</f>
        <v>3</v>
      </c>
      <c r="O109" s="2" t="str">
        <f>VLOOKUP(F109,Productos!$A$2:$J$182,6)</f>
        <v>Manufacturas</v>
      </c>
    </row>
    <row r="110" spans="1:15">
      <c r="A110" s="2" t="s">
        <v>231</v>
      </c>
      <c r="B110" s="2" t="s">
        <v>10</v>
      </c>
      <c r="C110" s="2" t="s">
        <v>11</v>
      </c>
      <c r="D110" s="2" t="s">
        <v>12</v>
      </c>
      <c r="E110" s="2" t="s">
        <v>11</v>
      </c>
      <c r="F110" s="3">
        <v>109</v>
      </c>
      <c r="G110" s="2" t="s">
        <v>232</v>
      </c>
      <c r="H110" s="2" t="str">
        <f>IF(F110="","",VLOOKUP(F110,Productos!$A$2:$F$182,3,FALSE))</f>
        <v>4</v>
      </c>
      <c r="I110" s="2" t="str">
        <f>IF(F110="","",VLOOKUP(F110,Productos!$A$2:$F$182,4,FALSE))</f>
        <v>Productos metálicos, maquinaria y equipo</v>
      </c>
      <c r="J110" s="2">
        <f>IF(F110="","",VLOOKUP(F110,Productos!$A$2:$F$182,5,FALSE))</f>
        <v>3</v>
      </c>
      <c r="K110" s="2" t="str">
        <f>IF(F110="","",VLOOKUP(F110,Productos!$A$2:$F$182,6,FALSE))</f>
        <v>Manufacturas</v>
      </c>
      <c r="L110" s="2">
        <v>3</v>
      </c>
      <c r="M110" s="2" t="s">
        <v>67</v>
      </c>
      <c r="N110" s="2">
        <f>VLOOKUP(F110,Productos!$A$2:$J$182,5)</f>
        <v>3</v>
      </c>
      <c r="O110" s="2" t="str">
        <f>VLOOKUP(F110,Productos!$A$2:$J$182,6)</f>
        <v>Manufacturas</v>
      </c>
    </row>
    <row r="111" spans="1:15">
      <c r="A111" s="2" t="s">
        <v>233</v>
      </c>
      <c r="B111" s="2" t="s">
        <v>10</v>
      </c>
      <c r="C111" s="2" t="s">
        <v>11</v>
      </c>
      <c r="D111" s="2" t="s">
        <v>12</v>
      </c>
      <c r="E111" s="2" t="s">
        <v>11</v>
      </c>
      <c r="F111" s="3">
        <v>110</v>
      </c>
      <c r="G111" s="2" t="s">
        <v>234</v>
      </c>
      <c r="H111" s="2" t="str">
        <f>IF(F111="","",VLOOKUP(F111,Productos!$A$2:$F$182,3,FALSE))</f>
        <v>4</v>
      </c>
      <c r="I111" s="2" t="str">
        <f>IF(F111="","",VLOOKUP(F111,Productos!$A$2:$F$182,4,FALSE))</f>
        <v>Productos metálicos, maquinaria y equipo</v>
      </c>
      <c r="J111" s="2">
        <f>IF(F111="","",VLOOKUP(F111,Productos!$A$2:$F$182,5,FALSE))</f>
        <v>3</v>
      </c>
      <c r="K111" s="2" t="str">
        <f>IF(F111="","",VLOOKUP(F111,Productos!$A$2:$F$182,6,FALSE))</f>
        <v>Manufacturas</v>
      </c>
      <c r="L111" s="2">
        <v>3</v>
      </c>
      <c r="M111" s="2" t="s">
        <v>67</v>
      </c>
      <c r="N111" s="2">
        <f>VLOOKUP(F111,Productos!$A$2:$J$182,5)</f>
        <v>3</v>
      </c>
      <c r="O111" s="2" t="str">
        <f>VLOOKUP(F111,Productos!$A$2:$J$182,6)</f>
        <v>Manufacturas</v>
      </c>
    </row>
    <row r="112" spans="1:15">
      <c r="A112" s="2" t="s">
        <v>235</v>
      </c>
      <c r="B112" s="2" t="s">
        <v>10</v>
      </c>
      <c r="C112" s="2" t="s">
        <v>11</v>
      </c>
      <c r="D112" s="2" t="s">
        <v>12</v>
      </c>
      <c r="E112" s="2" t="s">
        <v>11</v>
      </c>
      <c r="F112" s="3">
        <v>111</v>
      </c>
      <c r="G112" s="2" t="s">
        <v>236</v>
      </c>
      <c r="H112" s="2" t="str">
        <f>IF(F112="","",VLOOKUP(F112,Productos!$A$2:$F$182,3,FALSE))</f>
        <v>4</v>
      </c>
      <c r="I112" s="2" t="str">
        <f>IF(F112="","",VLOOKUP(F112,Productos!$A$2:$F$182,4,FALSE))</f>
        <v>Productos metálicos, maquinaria y equipo</v>
      </c>
      <c r="J112" s="2">
        <f>IF(F112="","",VLOOKUP(F112,Productos!$A$2:$F$182,5,FALSE))</f>
        <v>3</v>
      </c>
      <c r="K112" s="2" t="str">
        <f>IF(F112="","",VLOOKUP(F112,Productos!$A$2:$F$182,6,FALSE))</f>
        <v>Manufacturas</v>
      </c>
      <c r="L112" s="2">
        <v>3</v>
      </c>
      <c r="M112" s="2" t="s">
        <v>67</v>
      </c>
      <c r="N112" s="2">
        <f>VLOOKUP(F112,Productos!$A$2:$J$182,5)</f>
        <v>3</v>
      </c>
      <c r="O112" s="2" t="str">
        <f>VLOOKUP(F112,Productos!$A$2:$J$182,6)</f>
        <v>Manufacturas</v>
      </c>
    </row>
    <row r="113" spans="1:15">
      <c r="A113" s="2" t="s">
        <v>237</v>
      </c>
      <c r="B113" s="2" t="s">
        <v>10</v>
      </c>
      <c r="C113" s="2" t="s">
        <v>11</v>
      </c>
      <c r="D113" s="2" t="s">
        <v>12</v>
      </c>
      <c r="E113" s="2" t="s">
        <v>11</v>
      </c>
      <c r="F113" s="3">
        <v>112</v>
      </c>
      <c r="G113" s="2" t="s">
        <v>238</v>
      </c>
      <c r="H113" s="2" t="str">
        <f>IF(F113="","",VLOOKUP(F113,Productos!$A$2:$F$182,3,FALSE))</f>
        <v>4</v>
      </c>
      <c r="I113" s="2" t="str">
        <f>IF(F113="","",VLOOKUP(F113,Productos!$A$2:$F$182,4,FALSE))</f>
        <v>Productos metálicos, maquinaria y equipo</v>
      </c>
      <c r="J113" s="2">
        <f>IF(F113="","",VLOOKUP(F113,Productos!$A$2:$F$182,5,FALSE))</f>
        <v>3</v>
      </c>
      <c r="K113" s="2" t="str">
        <f>IF(F113="","",VLOOKUP(F113,Productos!$A$2:$F$182,6,FALSE))</f>
        <v>Manufacturas</v>
      </c>
      <c r="L113" s="2">
        <v>3</v>
      </c>
      <c r="M113" s="2" t="s">
        <v>67</v>
      </c>
      <c r="N113" s="2">
        <f>VLOOKUP(F113,Productos!$A$2:$J$182,5)</f>
        <v>3</v>
      </c>
      <c r="O113" s="2" t="str">
        <f>VLOOKUP(F113,Productos!$A$2:$J$182,6)</f>
        <v>Manufacturas</v>
      </c>
    </row>
    <row r="114" spans="1:15">
      <c r="A114" s="2" t="s">
        <v>239</v>
      </c>
      <c r="B114" s="2" t="s">
        <v>10</v>
      </c>
      <c r="C114" s="2" t="s">
        <v>11</v>
      </c>
      <c r="D114" s="2" t="s">
        <v>12</v>
      </c>
      <c r="E114" s="2" t="s">
        <v>11</v>
      </c>
      <c r="F114" s="3">
        <v>113</v>
      </c>
      <c r="G114" s="2" t="s">
        <v>240</v>
      </c>
      <c r="H114" s="2" t="str">
        <f>IF(F114="","",VLOOKUP(F114,Productos!$A$2:$F$182,3,FALSE))</f>
        <v>4</v>
      </c>
      <c r="I114" s="2" t="str">
        <f>IF(F114="","",VLOOKUP(F114,Productos!$A$2:$F$182,4,FALSE))</f>
        <v>Productos metálicos, maquinaria y equipo</v>
      </c>
      <c r="J114" s="2">
        <f>IF(F114="","",VLOOKUP(F114,Productos!$A$2:$F$182,5,FALSE))</f>
        <v>3</v>
      </c>
      <c r="K114" s="2" t="str">
        <f>IF(F114="","",VLOOKUP(F114,Productos!$A$2:$F$182,6,FALSE))</f>
        <v>Manufacturas</v>
      </c>
      <c r="L114" s="2">
        <v>3</v>
      </c>
      <c r="M114" s="2" t="s">
        <v>67</v>
      </c>
      <c r="N114" s="2">
        <f>VLOOKUP(F114,Productos!$A$2:$J$182,5)</f>
        <v>3</v>
      </c>
      <c r="O114" s="2" t="str">
        <f>VLOOKUP(F114,Productos!$A$2:$J$182,6)</f>
        <v>Manufacturas</v>
      </c>
    </row>
    <row r="115" spans="1:15">
      <c r="A115" s="2" t="s">
        <v>241</v>
      </c>
      <c r="B115" s="2" t="s">
        <v>10</v>
      </c>
      <c r="C115" s="2" t="s">
        <v>11</v>
      </c>
      <c r="D115" s="2" t="s">
        <v>12</v>
      </c>
      <c r="E115" s="2" t="s">
        <v>11</v>
      </c>
      <c r="F115" s="3">
        <v>114</v>
      </c>
      <c r="G115" s="2" t="s">
        <v>242</v>
      </c>
      <c r="H115" s="2" t="str">
        <f>IF(F115="","",VLOOKUP(F115,Productos!$A$2:$F$182,3,FALSE))</f>
        <v>4</v>
      </c>
      <c r="I115" s="2" t="str">
        <f>IF(F115="","",VLOOKUP(F115,Productos!$A$2:$F$182,4,FALSE))</f>
        <v>Productos metálicos, maquinaria y equipo</v>
      </c>
      <c r="J115" s="2">
        <f>IF(F115="","",VLOOKUP(F115,Productos!$A$2:$F$182,5,FALSE))</f>
        <v>3</v>
      </c>
      <c r="K115" s="2" t="str">
        <f>IF(F115="","",VLOOKUP(F115,Productos!$A$2:$F$182,6,FALSE))</f>
        <v>Manufacturas</v>
      </c>
      <c r="L115" s="2">
        <v>3</v>
      </c>
      <c r="M115" s="2" t="s">
        <v>67</v>
      </c>
      <c r="N115" s="2">
        <f>VLOOKUP(F115,Productos!$A$2:$J$182,5)</f>
        <v>3</v>
      </c>
      <c r="O115" s="2" t="str">
        <f>VLOOKUP(F115,Productos!$A$2:$J$182,6)</f>
        <v>Manufacturas</v>
      </c>
    </row>
    <row r="116" spans="1:15">
      <c r="A116" s="2" t="s">
        <v>243</v>
      </c>
      <c r="B116" s="2" t="s">
        <v>10</v>
      </c>
      <c r="C116" s="2" t="s">
        <v>11</v>
      </c>
      <c r="D116" s="2" t="s">
        <v>12</v>
      </c>
      <c r="E116" s="2" t="s">
        <v>11</v>
      </c>
      <c r="F116" s="3">
        <v>115</v>
      </c>
      <c r="G116" s="2" t="s">
        <v>244</v>
      </c>
      <c r="H116" s="2" t="str">
        <f>IF(F116="","",VLOOKUP(F116,Productos!$A$2:$F$182,3,FALSE))</f>
        <v>4</v>
      </c>
      <c r="I116" s="2" t="str">
        <f>IF(F116="","",VLOOKUP(F116,Productos!$A$2:$F$182,4,FALSE))</f>
        <v>Productos metálicos, maquinaria y equipo</v>
      </c>
      <c r="J116" s="2">
        <f>IF(F116="","",VLOOKUP(F116,Productos!$A$2:$F$182,5,FALSE))</f>
        <v>3</v>
      </c>
      <c r="K116" s="2" t="str">
        <f>IF(F116="","",VLOOKUP(F116,Productos!$A$2:$F$182,6,FALSE))</f>
        <v>Manufacturas</v>
      </c>
      <c r="L116" s="2">
        <v>3</v>
      </c>
      <c r="M116" s="2" t="s">
        <v>67</v>
      </c>
      <c r="N116" s="2">
        <f>VLOOKUP(F116,Productos!$A$2:$J$182,5)</f>
        <v>3</v>
      </c>
      <c r="O116" s="2" t="str">
        <f>VLOOKUP(F116,Productos!$A$2:$J$182,6)</f>
        <v>Manufacturas</v>
      </c>
    </row>
    <row r="117" spans="1:15">
      <c r="A117" s="2" t="s">
        <v>245</v>
      </c>
      <c r="B117" s="2" t="s">
        <v>10</v>
      </c>
      <c r="C117" s="2" t="s">
        <v>11</v>
      </c>
      <c r="D117" s="2" t="s">
        <v>12</v>
      </c>
      <c r="E117" s="2" t="s">
        <v>11</v>
      </c>
      <c r="F117" s="3">
        <v>116</v>
      </c>
      <c r="G117" s="2" t="s">
        <v>246</v>
      </c>
      <c r="H117" s="2" t="str">
        <f>IF(F117="","",VLOOKUP(F117,Productos!$A$2:$F$182,3,FALSE))</f>
        <v>4</v>
      </c>
      <c r="I117" s="2" t="str">
        <f>IF(F117="","",VLOOKUP(F117,Productos!$A$2:$F$182,4,FALSE))</f>
        <v>Productos metálicos, maquinaria y equipo</v>
      </c>
      <c r="J117" s="2">
        <f>IF(F117="","",VLOOKUP(F117,Productos!$A$2:$F$182,5,FALSE))</f>
        <v>3</v>
      </c>
      <c r="K117" s="2" t="str">
        <f>IF(F117="","",VLOOKUP(F117,Productos!$A$2:$F$182,6,FALSE))</f>
        <v>Manufacturas</v>
      </c>
      <c r="L117" s="2">
        <v>3</v>
      </c>
      <c r="M117" s="2" t="s">
        <v>67</v>
      </c>
      <c r="N117" s="2">
        <f>VLOOKUP(F117,Productos!$A$2:$J$182,5)</f>
        <v>3</v>
      </c>
      <c r="O117" s="2" t="str">
        <f>VLOOKUP(F117,Productos!$A$2:$J$182,6)</f>
        <v>Manufacturas</v>
      </c>
    </row>
    <row r="118" spans="1:15">
      <c r="A118" s="2" t="s">
        <v>247</v>
      </c>
      <c r="B118" s="2" t="s">
        <v>10</v>
      </c>
      <c r="C118" s="2" t="s">
        <v>11</v>
      </c>
      <c r="D118" s="2" t="s">
        <v>12</v>
      </c>
      <c r="E118" s="2" t="s">
        <v>11</v>
      </c>
      <c r="F118" s="3">
        <v>117</v>
      </c>
      <c r="G118" s="2" t="s">
        <v>248</v>
      </c>
      <c r="H118" s="2" t="str">
        <f>IF(F118="","",VLOOKUP(F118,Productos!$A$2:$F$182,3,FALSE))</f>
        <v>4</v>
      </c>
      <c r="I118" s="2" t="str">
        <f>IF(F118="","",VLOOKUP(F118,Productos!$A$2:$F$182,4,FALSE))</f>
        <v>Productos metálicos, maquinaria y equipo</v>
      </c>
      <c r="J118" s="2">
        <f>IF(F118="","",VLOOKUP(F118,Productos!$A$2:$F$182,5,FALSE))</f>
        <v>3</v>
      </c>
      <c r="K118" s="2" t="str">
        <f>IF(F118="","",VLOOKUP(F118,Productos!$A$2:$F$182,6,FALSE))</f>
        <v>Manufacturas</v>
      </c>
      <c r="L118" s="2">
        <v>3</v>
      </c>
      <c r="M118" s="2" t="s">
        <v>67</v>
      </c>
      <c r="N118" s="2">
        <f>VLOOKUP(F118,Productos!$A$2:$J$182,5)</f>
        <v>3</v>
      </c>
      <c r="O118" s="2" t="str">
        <f>VLOOKUP(F118,Productos!$A$2:$J$182,6)</f>
        <v>Manufacturas</v>
      </c>
    </row>
    <row r="119" spans="1:15">
      <c r="A119" s="2" t="s">
        <v>249</v>
      </c>
      <c r="B119" s="2" t="s">
        <v>10</v>
      </c>
      <c r="C119" s="2" t="s">
        <v>11</v>
      </c>
      <c r="D119" s="2" t="s">
        <v>12</v>
      </c>
      <c r="E119" s="2" t="s">
        <v>11</v>
      </c>
      <c r="F119" s="3">
        <v>118</v>
      </c>
      <c r="G119" s="2" t="s">
        <v>250</v>
      </c>
      <c r="H119" s="2" t="str">
        <f>IF(F119="","",VLOOKUP(F119,Productos!$A$2:$F$182,3,FALSE))</f>
        <v>4</v>
      </c>
      <c r="I119" s="2" t="str">
        <f>IF(F119="","",VLOOKUP(F119,Productos!$A$2:$F$182,4,FALSE))</f>
        <v>Productos metálicos, maquinaria y equipo</v>
      </c>
      <c r="J119" s="2">
        <f>IF(F119="","",VLOOKUP(F119,Productos!$A$2:$F$182,5,FALSE))</f>
        <v>3</v>
      </c>
      <c r="K119" s="2" t="str">
        <f>IF(F119="","",VLOOKUP(F119,Productos!$A$2:$F$182,6,FALSE))</f>
        <v>Manufacturas</v>
      </c>
      <c r="L119" s="2">
        <v>3</v>
      </c>
      <c r="M119" s="2" t="s">
        <v>67</v>
      </c>
      <c r="N119" s="2">
        <f>VLOOKUP(F119,Productos!$A$2:$J$182,5)</f>
        <v>3</v>
      </c>
      <c r="O119" s="2" t="str">
        <f>VLOOKUP(F119,Productos!$A$2:$J$182,6)</f>
        <v>Manufacturas</v>
      </c>
    </row>
    <row r="120" spans="1:15">
      <c r="A120" s="2" t="s">
        <v>251</v>
      </c>
      <c r="B120" s="2" t="s">
        <v>10</v>
      </c>
      <c r="C120" s="2" t="s">
        <v>11</v>
      </c>
      <c r="D120" s="2" t="s">
        <v>12</v>
      </c>
      <c r="E120" s="2" t="s">
        <v>11</v>
      </c>
      <c r="F120" s="3">
        <v>119</v>
      </c>
      <c r="G120" s="2" t="s">
        <v>252</v>
      </c>
      <c r="H120" s="2" t="str">
        <f>IF(F120="","",VLOOKUP(F120,Productos!$A$2:$F$182,3,FALSE))</f>
        <v>1</v>
      </c>
      <c r="I120" s="2" t="str">
        <f>IF(F120="","",VLOOKUP(F120,Productos!$A$2:$F$182,4,FALSE))</f>
        <v>Minerales; electricidad, gas y agua</v>
      </c>
      <c r="J120" s="2">
        <f>IF(F120="","",VLOOKUP(F120,Productos!$A$2:$F$182,5,FALSE))</f>
        <v>4</v>
      </c>
      <c r="K120" s="2" t="str">
        <f>IF(F120="","",VLOOKUP(F120,Productos!$A$2:$F$182,6,FALSE))</f>
        <v>Servicios básicos</v>
      </c>
      <c r="L120" s="2">
        <v>3</v>
      </c>
      <c r="M120" s="2" t="s">
        <v>67</v>
      </c>
      <c r="N120" s="2">
        <f>VLOOKUP(F120,Productos!$A$2:$J$182,5)</f>
        <v>4</v>
      </c>
      <c r="O120" s="2" t="str">
        <f>VLOOKUP(F120,Productos!$A$2:$J$182,6)</f>
        <v>Servicios básicos</v>
      </c>
    </row>
    <row r="121" spans="1:15">
      <c r="A121" s="2" t="s">
        <v>253</v>
      </c>
      <c r="B121" s="2" t="s">
        <v>10</v>
      </c>
      <c r="C121" s="2" t="s">
        <v>11</v>
      </c>
      <c r="D121" s="2" t="s">
        <v>12</v>
      </c>
      <c r="E121" s="2" t="s">
        <v>11</v>
      </c>
      <c r="F121" s="3">
        <v>120</v>
      </c>
      <c r="G121" s="2" t="s">
        <v>254</v>
      </c>
      <c r="H121" s="2" t="str">
        <f>IF(F121="","",VLOOKUP(F121,Productos!$A$2:$F$182,3,FALSE))</f>
        <v>1</v>
      </c>
      <c r="I121" s="2" t="str">
        <f>IF(F121="","",VLOOKUP(F121,Productos!$A$2:$F$182,4,FALSE))</f>
        <v>Minerales; electricidad, gas y agua</v>
      </c>
      <c r="J121" s="2">
        <f>IF(F121="","",VLOOKUP(F121,Productos!$A$2:$F$182,5,FALSE))</f>
        <v>4</v>
      </c>
      <c r="K121" s="2" t="str">
        <f>IF(F121="","",VLOOKUP(F121,Productos!$A$2:$F$182,6,FALSE))</f>
        <v>Servicios básicos</v>
      </c>
      <c r="L121" s="2">
        <v>3</v>
      </c>
      <c r="M121" s="2" t="s">
        <v>67</v>
      </c>
      <c r="N121" s="2">
        <f>VLOOKUP(F121,Productos!$A$2:$J$182,5)</f>
        <v>4</v>
      </c>
      <c r="O121" s="2" t="str">
        <f>VLOOKUP(F121,Productos!$A$2:$J$182,6)</f>
        <v>Servicios básicos</v>
      </c>
    </row>
    <row r="122" spans="1:15">
      <c r="A122" s="2" t="s">
        <v>255</v>
      </c>
      <c r="B122" s="2" t="s">
        <v>10</v>
      </c>
      <c r="C122" s="2" t="s">
        <v>11</v>
      </c>
      <c r="D122" s="2" t="s">
        <v>12</v>
      </c>
      <c r="E122" s="2" t="s">
        <v>11</v>
      </c>
      <c r="F122" s="3">
        <v>121</v>
      </c>
      <c r="G122" s="2" t="s">
        <v>256</v>
      </c>
      <c r="H122" s="2" t="str">
        <f>IF(F122="","",VLOOKUP(F122,Productos!$A$2:$F$182,3,FALSE))</f>
        <v>1</v>
      </c>
      <c r="I122" s="2" t="str">
        <f>IF(F122="","",VLOOKUP(F122,Productos!$A$2:$F$182,4,FALSE))</f>
        <v>Minerales; electricidad, gas y agua</v>
      </c>
      <c r="J122" s="2">
        <f>IF(F122="","",VLOOKUP(F122,Productos!$A$2:$F$182,5,FALSE))</f>
        <v>4</v>
      </c>
      <c r="K122" s="2" t="str">
        <f>IF(F122="","",VLOOKUP(F122,Productos!$A$2:$F$182,6,FALSE))</f>
        <v>Servicios básicos</v>
      </c>
      <c r="L122" s="2">
        <v>3</v>
      </c>
      <c r="M122" s="2" t="s">
        <v>67</v>
      </c>
      <c r="N122" s="2">
        <f>VLOOKUP(F122,Productos!$A$2:$J$182,5)</f>
        <v>4</v>
      </c>
      <c r="O122" s="2" t="str">
        <f>VLOOKUP(F122,Productos!$A$2:$J$182,6)</f>
        <v>Servicios básicos</v>
      </c>
    </row>
    <row r="123" spans="1:15">
      <c r="A123" s="2" t="s">
        <v>257</v>
      </c>
      <c r="B123" s="2" t="s">
        <v>10</v>
      </c>
      <c r="C123" s="2" t="s">
        <v>11</v>
      </c>
      <c r="D123" s="2" t="s">
        <v>12</v>
      </c>
      <c r="E123" s="2" t="s">
        <v>11</v>
      </c>
      <c r="F123" s="3">
        <v>122</v>
      </c>
      <c r="G123" s="2" t="s">
        <v>258</v>
      </c>
      <c r="H123" s="2" t="str">
        <f>IF(F123="","",VLOOKUP(F123,Productos!$A$2:$F$182,3,FALSE))</f>
        <v>1</v>
      </c>
      <c r="I123" s="2" t="str">
        <f>IF(F123="","",VLOOKUP(F123,Productos!$A$2:$F$182,4,FALSE))</f>
        <v>Minerales; electricidad, gas y agua</v>
      </c>
      <c r="J123" s="2">
        <f>IF(F123="","",VLOOKUP(F123,Productos!$A$2:$F$182,5,FALSE))</f>
        <v>4</v>
      </c>
      <c r="K123" s="2" t="str">
        <f>IF(F123="","",VLOOKUP(F123,Productos!$A$2:$F$182,6,FALSE))</f>
        <v>Servicios básicos</v>
      </c>
      <c r="L123" s="2">
        <v>3</v>
      </c>
      <c r="M123" s="2" t="s">
        <v>67</v>
      </c>
      <c r="N123" s="2">
        <f>VLOOKUP(F123,Productos!$A$2:$J$182,5)</f>
        <v>4</v>
      </c>
      <c r="O123" s="2" t="str">
        <f>VLOOKUP(F123,Productos!$A$2:$J$182,6)</f>
        <v>Servicios básicos</v>
      </c>
    </row>
    <row r="124" spans="1:15">
      <c r="A124" s="2" t="s">
        <v>259</v>
      </c>
      <c r="B124" s="2" t="s">
        <v>10</v>
      </c>
      <c r="C124" s="2" t="s">
        <v>11</v>
      </c>
      <c r="D124" s="2" t="s">
        <v>12</v>
      </c>
      <c r="E124" s="2" t="s">
        <v>11</v>
      </c>
      <c r="F124" s="3">
        <v>123</v>
      </c>
      <c r="G124" s="2" t="s">
        <v>260</v>
      </c>
      <c r="H124" s="2" t="str">
        <f>IF(F124="","",VLOOKUP(F124,Productos!$A$2:$F$182,3,FALSE))</f>
        <v>1</v>
      </c>
      <c r="I124" s="2" t="str">
        <f>IF(F124="","",VLOOKUP(F124,Productos!$A$2:$F$182,4,FALSE))</f>
        <v>Minerales; electricidad, gas y agua</v>
      </c>
      <c r="J124" s="2">
        <f>IF(F124="","",VLOOKUP(F124,Productos!$A$2:$F$182,5,FALSE))</f>
        <v>4</v>
      </c>
      <c r="K124" s="2" t="str">
        <f>IF(F124="","",VLOOKUP(F124,Productos!$A$2:$F$182,6,FALSE))</f>
        <v>Servicios básicos</v>
      </c>
      <c r="L124" s="2">
        <v>2</v>
      </c>
      <c r="M124" s="2" t="s">
        <v>142</v>
      </c>
      <c r="N124" s="2">
        <f>VLOOKUP(F124,Productos!$A$2:$J$182,5)</f>
        <v>4</v>
      </c>
      <c r="O124" s="2" t="str">
        <f>VLOOKUP(F124,Productos!$A$2:$J$182,6)</f>
        <v>Servicios básicos</v>
      </c>
    </row>
    <row r="125" spans="1:15">
      <c r="A125" s="2" t="s">
        <v>261</v>
      </c>
      <c r="B125" s="2" t="s">
        <v>10</v>
      </c>
      <c r="C125" s="2" t="s">
        <v>11</v>
      </c>
      <c r="D125" s="2" t="s">
        <v>12</v>
      </c>
      <c r="E125" s="2" t="s">
        <v>11</v>
      </c>
      <c r="F125" s="3">
        <v>124</v>
      </c>
      <c r="G125" s="2" t="s">
        <v>262</v>
      </c>
      <c r="H125" s="2" t="str">
        <f>IF(F125="","",VLOOKUP(F125,Productos!$A$2:$F$182,3,FALSE))</f>
        <v>1</v>
      </c>
      <c r="I125" s="2" t="str">
        <f>IF(F125="","",VLOOKUP(F125,Productos!$A$2:$F$182,4,FALSE))</f>
        <v>Minerales; electricidad, gas y agua</v>
      </c>
      <c r="J125" s="2">
        <f>IF(F125="","",VLOOKUP(F125,Productos!$A$2:$F$182,5,FALSE))</f>
        <v>4</v>
      </c>
      <c r="K125" s="2" t="str">
        <f>IF(F125="","",VLOOKUP(F125,Productos!$A$2:$F$182,6,FALSE))</f>
        <v>Servicios básicos</v>
      </c>
      <c r="L125" s="2">
        <v>2</v>
      </c>
      <c r="M125" s="2" t="s">
        <v>142</v>
      </c>
      <c r="N125" s="2">
        <f>VLOOKUP(F125,Productos!$A$2:$J$182,5)</f>
        <v>4</v>
      </c>
      <c r="O125" s="2" t="str">
        <f>VLOOKUP(F125,Productos!$A$2:$J$182,6)</f>
        <v>Servicios básicos</v>
      </c>
    </row>
    <row r="126" spans="1:15">
      <c r="A126" s="2" t="s">
        <v>263</v>
      </c>
      <c r="B126" s="2" t="s">
        <v>10</v>
      </c>
      <c r="C126" s="2" t="s">
        <v>11</v>
      </c>
      <c r="D126" s="2" t="s">
        <v>12</v>
      </c>
      <c r="E126" s="2" t="s">
        <v>11</v>
      </c>
      <c r="F126" s="3">
        <v>125</v>
      </c>
      <c r="G126" s="2" t="s">
        <v>264</v>
      </c>
      <c r="H126" s="2" t="str">
        <f>IF(F126="","",VLOOKUP(F126,Productos!$A$2:$F$182,3,FALSE))</f>
        <v>5</v>
      </c>
      <c r="I126" s="2" t="str">
        <f>IF(F126="","",VLOOKUP(F126,Productos!$A$2:$F$182,4,FALSE))</f>
        <v>Construcciones y servicios de construcción</v>
      </c>
      <c r="J126" s="2">
        <f>IF(F126="","",VLOOKUP(F126,Productos!$A$2:$F$182,5,FALSE))</f>
        <v>5</v>
      </c>
      <c r="K126" s="2" t="str">
        <f>IF(F126="","",VLOOKUP(F126,Productos!$A$2:$F$182,6,FALSE))</f>
        <v>Construcción</v>
      </c>
      <c r="L126" s="2">
        <v>3</v>
      </c>
      <c r="M126" s="2" t="s">
        <v>67</v>
      </c>
      <c r="N126" s="2">
        <f>VLOOKUP(F126,Productos!$A$2:$J$182,5)</f>
        <v>5</v>
      </c>
      <c r="O126" s="2" t="str">
        <f>VLOOKUP(F126,Productos!$A$2:$J$182,6)</f>
        <v>Construcción</v>
      </c>
    </row>
    <row r="127" spans="1:15">
      <c r="A127" s="2" t="s">
        <v>265</v>
      </c>
      <c r="B127" s="2" t="s">
        <v>10</v>
      </c>
      <c r="C127" s="2" t="s">
        <v>11</v>
      </c>
      <c r="D127" s="2" t="s">
        <v>12</v>
      </c>
      <c r="E127" s="2" t="s">
        <v>11</v>
      </c>
      <c r="F127" s="3">
        <v>126</v>
      </c>
      <c r="G127" s="2" t="s">
        <v>266</v>
      </c>
      <c r="H127" s="2" t="str">
        <f>IF(F127="","",VLOOKUP(F127,Productos!$A$2:$F$182,3,FALSE))</f>
        <v>5</v>
      </c>
      <c r="I127" s="2" t="str">
        <f>IF(F127="","",VLOOKUP(F127,Productos!$A$2:$F$182,4,FALSE))</f>
        <v>Construcciones y servicios de construcción</v>
      </c>
      <c r="J127" s="2">
        <f>IF(F127="","",VLOOKUP(F127,Productos!$A$2:$F$182,5,FALSE))</f>
        <v>5</v>
      </c>
      <c r="K127" s="2" t="str">
        <f>IF(F127="","",VLOOKUP(F127,Productos!$A$2:$F$182,6,FALSE))</f>
        <v>Construcción</v>
      </c>
      <c r="L127" s="2">
        <v>3</v>
      </c>
      <c r="M127" s="2" t="s">
        <v>67</v>
      </c>
      <c r="N127" s="2">
        <f>VLOOKUP(F127,Productos!$A$2:$J$182,5)</f>
        <v>5</v>
      </c>
      <c r="O127" s="2" t="str">
        <f>VLOOKUP(F127,Productos!$A$2:$J$182,6)</f>
        <v>Construcción</v>
      </c>
    </row>
    <row r="128" spans="1:15">
      <c r="A128" s="2" t="s">
        <v>267</v>
      </c>
      <c r="B128" s="2" t="s">
        <v>10</v>
      </c>
      <c r="C128" s="2" t="s">
        <v>11</v>
      </c>
      <c r="D128" s="2" t="s">
        <v>12</v>
      </c>
      <c r="E128" s="2" t="s">
        <v>11</v>
      </c>
      <c r="F128" s="3">
        <v>127</v>
      </c>
      <c r="G128" s="2" t="s">
        <v>268</v>
      </c>
      <c r="H128" s="2" t="str">
        <f>IF(F128="","",VLOOKUP(F128,Productos!$A$2:$F$182,3,FALSE))</f>
        <v>5</v>
      </c>
      <c r="I128" s="2" t="str">
        <f>IF(F128="","",VLOOKUP(F128,Productos!$A$2:$F$182,4,FALSE))</f>
        <v>Construcciones y servicios de construcción</v>
      </c>
      <c r="J128" s="2">
        <f>IF(F128="","",VLOOKUP(F128,Productos!$A$2:$F$182,5,FALSE))</f>
        <v>5</v>
      </c>
      <c r="K128" s="2" t="str">
        <f>IF(F128="","",VLOOKUP(F128,Productos!$A$2:$F$182,6,FALSE))</f>
        <v>Construcción</v>
      </c>
      <c r="L128" s="2">
        <v>3</v>
      </c>
      <c r="M128" s="2" t="s">
        <v>67</v>
      </c>
      <c r="N128" s="2">
        <f>VLOOKUP(F128,Productos!$A$2:$J$182,5)</f>
        <v>5</v>
      </c>
      <c r="O128" s="2" t="str">
        <f>VLOOKUP(F128,Productos!$A$2:$J$182,6)</f>
        <v>Construcción</v>
      </c>
    </row>
    <row r="129" spans="1:15">
      <c r="A129" s="2" t="s">
        <v>269</v>
      </c>
      <c r="B129" s="2" t="s">
        <v>10</v>
      </c>
      <c r="C129" s="2" t="s">
        <v>11</v>
      </c>
      <c r="D129" s="2" t="s">
        <v>12</v>
      </c>
      <c r="E129" s="2" t="s">
        <v>11</v>
      </c>
      <c r="F129" s="3">
        <v>128</v>
      </c>
      <c r="G129" s="2" t="s">
        <v>270</v>
      </c>
      <c r="H129" s="2" t="str">
        <f>IF(F129="","",VLOOKUP(F129,Productos!$A$2:$F$182,3,FALSE))</f>
        <v>5</v>
      </c>
      <c r="I129" s="2" t="str">
        <f>IF(F129="","",VLOOKUP(F129,Productos!$A$2:$F$182,4,FALSE))</f>
        <v>Construcciones y servicios de construcción</v>
      </c>
      <c r="J129" s="2">
        <f>IF(F129="","",VLOOKUP(F129,Productos!$A$2:$F$182,5,FALSE))</f>
        <v>5</v>
      </c>
      <c r="K129" s="2" t="str">
        <f>IF(F129="","",VLOOKUP(F129,Productos!$A$2:$F$182,6,FALSE))</f>
        <v>Construcción</v>
      </c>
      <c r="L129" s="2">
        <v>3</v>
      </c>
      <c r="M129" s="2" t="s">
        <v>67</v>
      </c>
      <c r="N129" s="2">
        <f>VLOOKUP(F129,Productos!$A$2:$J$182,5)</f>
        <v>5</v>
      </c>
      <c r="O129" s="2" t="str">
        <f>VLOOKUP(F129,Productos!$A$2:$J$182,6)</f>
        <v>Construcción</v>
      </c>
    </row>
    <row r="130" spans="1:15">
      <c r="A130" s="2" t="s">
        <v>271</v>
      </c>
      <c r="B130" s="2" t="s">
        <v>10</v>
      </c>
      <c r="C130" s="2" t="s">
        <v>11</v>
      </c>
      <c r="D130" s="2" t="s">
        <v>12</v>
      </c>
      <c r="E130" s="2" t="s">
        <v>11</v>
      </c>
      <c r="F130" s="3">
        <v>129</v>
      </c>
      <c r="G130" s="2" t="s">
        <v>272</v>
      </c>
      <c r="H130" s="2" t="str">
        <f>IF(F130="","",VLOOKUP(F130,Productos!$A$2:$F$182,3,FALSE))</f>
        <v>5</v>
      </c>
      <c r="I130" s="2" t="str">
        <f>IF(F130="","",VLOOKUP(F130,Productos!$A$2:$F$182,4,FALSE))</f>
        <v>Construcciones y servicios de construcción</v>
      </c>
      <c r="J130" s="2">
        <f>IF(F130="","",VLOOKUP(F130,Productos!$A$2:$F$182,5,FALSE))</f>
        <v>5</v>
      </c>
      <c r="K130" s="2" t="str">
        <f>IF(F130="","",VLOOKUP(F130,Productos!$A$2:$F$182,6,FALSE))</f>
        <v>Construcción</v>
      </c>
      <c r="L130" s="2">
        <v>3</v>
      </c>
      <c r="M130" s="2" t="s">
        <v>67</v>
      </c>
      <c r="N130" s="2">
        <f>VLOOKUP(F130,Productos!$A$2:$J$182,5)</f>
        <v>5</v>
      </c>
      <c r="O130" s="2" t="str">
        <f>VLOOKUP(F130,Productos!$A$2:$J$182,6)</f>
        <v>Construcción</v>
      </c>
    </row>
    <row r="131" spans="1:15">
      <c r="A131" s="2" t="s">
        <v>273</v>
      </c>
      <c r="B131" s="2" t="s">
        <v>10</v>
      </c>
      <c r="C131" s="2" t="s">
        <v>11</v>
      </c>
      <c r="D131" s="2" t="s">
        <v>12</v>
      </c>
      <c r="E131" s="2" t="s">
        <v>11</v>
      </c>
      <c r="F131" s="3">
        <v>130</v>
      </c>
      <c r="G131" s="2" t="s">
        <v>274</v>
      </c>
      <c r="H131" s="2" t="str">
        <f>IF(F131="","",VLOOKUP(F131,Productos!$A$2:$F$182,3,FALSE))</f>
        <v>5</v>
      </c>
      <c r="I131" s="2" t="str">
        <f>IF(F131="","",VLOOKUP(F131,Productos!$A$2:$F$182,4,FALSE))</f>
        <v>Construcciones y servicios de construcción</v>
      </c>
      <c r="J131" s="2">
        <f>IF(F131="","",VLOOKUP(F131,Productos!$A$2:$F$182,5,FALSE))</f>
        <v>5</v>
      </c>
      <c r="K131" s="2" t="str">
        <f>IF(F131="","",VLOOKUP(F131,Productos!$A$2:$F$182,6,FALSE))</f>
        <v>Construcción</v>
      </c>
      <c r="L131" s="2">
        <v>3</v>
      </c>
      <c r="M131" s="2" t="s">
        <v>67</v>
      </c>
      <c r="N131" s="2">
        <f>VLOOKUP(F131,Productos!$A$2:$J$182,5)</f>
        <v>5</v>
      </c>
      <c r="O131" s="2" t="str">
        <f>VLOOKUP(F131,Productos!$A$2:$J$182,6)</f>
        <v>Construcción</v>
      </c>
    </row>
    <row r="132" spans="1:15">
      <c r="A132" s="2" t="s">
        <v>275</v>
      </c>
      <c r="B132" s="2" t="s">
        <v>10</v>
      </c>
      <c r="C132" s="2" t="s">
        <v>11</v>
      </c>
      <c r="D132" s="2" t="s">
        <v>12</v>
      </c>
      <c r="E132" s="2" t="s">
        <v>11</v>
      </c>
      <c r="F132" s="3">
        <v>131</v>
      </c>
      <c r="G132" s="2" t="s">
        <v>276</v>
      </c>
      <c r="H132" s="2" t="str">
        <f>IF(F132="","",VLOOKUP(F132,Productos!$A$2:$F$182,3,FALSE))</f>
        <v>5</v>
      </c>
      <c r="I132" s="2" t="str">
        <f>IF(F132="","",VLOOKUP(F132,Productos!$A$2:$F$182,4,FALSE))</f>
        <v>Construcciones y servicios de construcción</v>
      </c>
      <c r="J132" s="2">
        <f>IF(F132="","",VLOOKUP(F132,Productos!$A$2:$F$182,5,FALSE))</f>
        <v>5</v>
      </c>
      <c r="K132" s="2" t="str">
        <f>IF(F132="","",VLOOKUP(F132,Productos!$A$2:$F$182,6,FALSE))</f>
        <v>Construcción</v>
      </c>
      <c r="L132" s="2">
        <v>3</v>
      </c>
      <c r="M132" s="2" t="s">
        <v>67</v>
      </c>
      <c r="N132" s="2">
        <f>VLOOKUP(F132,Productos!$A$2:$J$182,5)</f>
        <v>5</v>
      </c>
      <c r="O132" s="2" t="str">
        <f>VLOOKUP(F132,Productos!$A$2:$J$182,6)</f>
        <v>Construcción</v>
      </c>
    </row>
    <row r="133" spans="1:15">
      <c r="A133" s="2" t="s">
        <v>277</v>
      </c>
      <c r="B133" s="2" t="s">
        <v>10</v>
      </c>
      <c r="C133" s="2" t="s">
        <v>11</v>
      </c>
      <c r="D133" s="2" t="s">
        <v>12</v>
      </c>
      <c r="E133" s="2" t="s">
        <v>11</v>
      </c>
      <c r="F133" s="3">
        <v>132</v>
      </c>
      <c r="G133" s="2" t="s">
        <v>278</v>
      </c>
      <c r="H133" s="2" t="str">
        <f>IF(F133="","",VLOOKUP(F133,Productos!$A$2:$F$182,3,FALSE))</f>
        <v>6</v>
      </c>
      <c r="I133" s="2" t="str">
        <f>IF(F133="","",VLOOKUP(F133,Productos!$A$2:$F$182,4,FALSE))</f>
        <v>Servicios comerciales de distribución; alojamiento, servicios de suministro de comidas y bebidas; servicios de transporte; y servicios de distribución de electricidad, gas y agua</v>
      </c>
      <c r="J133" s="2">
        <f>IF(F133="","",VLOOKUP(F133,Productos!$A$2:$F$182,5,FALSE))</f>
        <v>6</v>
      </c>
      <c r="K133" s="2" t="str">
        <f>IF(F133="","",VLOOKUP(F133,Productos!$A$2:$F$182,6,FALSE))</f>
        <v>Comercio</v>
      </c>
      <c r="L133" s="2">
        <v>3</v>
      </c>
      <c r="M133" s="2" t="s">
        <v>67</v>
      </c>
      <c r="N133" s="2">
        <f>VLOOKUP(F133,Productos!$A$2:$J$182,5)</f>
        <v>6</v>
      </c>
      <c r="O133" s="2" t="str">
        <f>VLOOKUP(F133,Productos!$A$2:$J$182,6)</f>
        <v>Comercio</v>
      </c>
    </row>
    <row r="134" spans="1:15">
      <c r="A134" s="2" t="s">
        <v>279</v>
      </c>
      <c r="B134" s="2" t="s">
        <v>10</v>
      </c>
      <c r="C134" s="2" t="s">
        <v>11</v>
      </c>
      <c r="D134" s="2" t="s">
        <v>12</v>
      </c>
      <c r="E134" s="2" t="s">
        <v>11</v>
      </c>
      <c r="F134" s="3">
        <v>133</v>
      </c>
      <c r="G134" s="2" t="s">
        <v>280</v>
      </c>
      <c r="H134" s="2" t="str">
        <f>IF(F134="","",VLOOKUP(F134,Productos!$A$2:$F$182,3,FALSE))</f>
        <v>6</v>
      </c>
      <c r="I134" s="2" t="str">
        <f>IF(F134="","",VLOOKUP(F134,Productos!$A$2:$F$182,4,FALSE))</f>
        <v>Servicios comerciales de distribución; alojamiento, servicios de suministro de comidas y bebidas; servicios de transporte; y servicios de distribución de electricidad, gas y agua</v>
      </c>
      <c r="J134" s="2">
        <f>IF(F134="","",VLOOKUP(F134,Productos!$A$2:$F$182,5,FALSE))</f>
        <v>6</v>
      </c>
      <c r="K134" s="2" t="str">
        <f>IF(F134="","",VLOOKUP(F134,Productos!$A$2:$F$182,6,FALSE))</f>
        <v>Comercio</v>
      </c>
      <c r="L134" s="2">
        <v>3</v>
      </c>
      <c r="M134" s="2" t="s">
        <v>67</v>
      </c>
      <c r="N134" s="2">
        <f>VLOOKUP(F134,Productos!$A$2:$J$182,5)</f>
        <v>6</v>
      </c>
      <c r="O134" s="2" t="str">
        <f>VLOOKUP(F134,Productos!$A$2:$J$182,6)</f>
        <v>Comercio</v>
      </c>
    </row>
    <row r="135" spans="1:15">
      <c r="A135" s="2" t="s">
        <v>281</v>
      </c>
      <c r="B135" s="2" t="s">
        <v>10</v>
      </c>
      <c r="C135" s="2" t="s">
        <v>11</v>
      </c>
      <c r="D135" s="2" t="s">
        <v>12</v>
      </c>
      <c r="E135" s="2" t="s">
        <v>11</v>
      </c>
      <c r="F135" s="3">
        <v>134</v>
      </c>
      <c r="G135" s="2" t="s">
        <v>282</v>
      </c>
      <c r="H135" s="2" t="str">
        <f>IF(F135="","",VLOOKUP(F135,Productos!$A$2:$F$182,3,FALSE))</f>
        <v>6</v>
      </c>
      <c r="I135" s="2" t="str">
        <f>IF(F135="","",VLOOKUP(F135,Productos!$A$2:$F$182,4,FALSE))</f>
        <v>Servicios comerciales de distribución; alojamiento, servicios de suministro de comidas y bebidas; servicios de transporte; y servicios de distribución de electricidad, gas y agua</v>
      </c>
      <c r="J135" s="2">
        <f>IF(F135="","",VLOOKUP(F135,Productos!$A$2:$F$182,5,FALSE))</f>
        <v>6</v>
      </c>
      <c r="K135" s="2" t="str">
        <f>IF(F135="","",VLOOKUP(F135,Productos!$A$2:$F$182,6,FALSE))</f>
        <v>Comercio</v>
      </c>
      <c r="L135" s="2">
        <v>3</v>
      </c>
      <c r="M135" s="2" t="s">
        <v>67</v>
      </c>
      <c r="N135" s="2">
        <f>VLOOKUP(F135,Productos!$A$2:$J$182,5)</f>
        <v>6</v>
      </c>
      <c r="O135" s="2" t="str">
        <f>VLOOKUP(F135,Productos!$A$2:$J$182,6)</f>
        <v>Comercio</v>
      </c>
    </row>
    <row r="136" spans="1:15">
      <c r="A136" s="2" t="s">
        <v>283</v>
      </c>
      <c r="B136" s="2" t="s">
        <v>10</v>
      </c>
      <c r="C136" s="2" t="s">
        <v>11</v>
      </c>
      <c r="D136" s="2" t="s">
        <v>12</v>
      </c>
      <c r="E136" s="2" t="s">
        <v>11</v>
      </c>
      <c r="F136" s="3">
        <v>135</v>
      </c>
      <c r="G136" s="2" t="s">
        <v>284</v>
      </c>
      <c r="H136" s="2" t="str">
        <f>IF(F136="","",VLOOKUP(F136,Productos!$A$2:$F$182,3,FALSE))</f>
        <v>6</v>
      </c>
      <c r="I136" s="2" t="str">
        <f>IF(F136="","",VLOOKUP(F136,Productos!$A$2:$F$182,4,FALSE))</f>
        <v>Servicios comerciales de distribución; alojamiento, servicios de suministro de comidas y bebidas; servicios de transporte; y servicios de distribución de electricidad, gas y agua</v>
      </c>
      <c r="J136" s="2">
        <f>IF(F136="","",VLOOKUP(F136,Productos!$A$2:$F$182,5,FALSE))</f>
        <v>6</v>
      </c>
      <c r="K136" s="2" t="str">
        <f>IF(F136="","",VLOOKUP(F136,Productos!$A$2:$F$182,6,FALSE))</f>
        <v>Comercio</v>
      </c>
      <c r="L136" s="2">
        <v>3</v>
      </c>
      <c r="M136" s="2" t="s">
        <v>67</v>
      </c>
      <c r="N136" s="2">
        <f>VLOOKUP(F136,Productos!$A$2:$J$182,5)</f>
        <v>6</v>
      </c>
      <c r="O136" s="2" t="str">
        <f>VLOOKUP(F136,Productos!$A$2:$J$182,6)</f>
        <v>Comercio</v>
      </c>
    </row>
    <row r="137" spans="1:15">
      <c r="A137" s="2" t="s">
        <v>285</v>
      </c>
      <c r="B137" s="2" t="s">
        <v>10</v>
      </c>
      <c r="C137" s="2" t="s">
        <v>11</v>
      </c>
      <c r="D137" s="2" t="s">
        <v>12</v>
      </c>
      <c r="E137" s="2" t="s">
        <v>11</v>
      </c>
      <c r="F137" s="3">
        <v>136</v>
      </c>
      <c r="G137" s="2" t="s">
        <v>286</v>
      </c>
      <c r="H137" s="2" t="str">
        <f>IF(F137="","",VLOOKUP(F137,Productos!$A$2:$F$182,3,FALSE))</f>
        <v>6</v>
      </c>
      <c r="I137" s="2" t="str">
        <f>IF(F137="","",VLOOKUP(F137,Productos!$A$2:$F$182,4,FALSE))</f>
        <v>Servicios comerciales de distribución; alojamiento, servicios de suministro de comidas y bebidas; servicios de transporte; y servicios de distribución de electricidad, gas y agua</v>
      </c>
      <c r="J137" s="2">
        <f>IF(F137="","",VLOOKUP(F137,Productos!$A$2:$F$182,5,FALSE))</f>
        <v>7</v>
      </c>
      <c r="K137" s="2" t="str">
        <f>IF(F137="","",VLOOKUP(F137,Productos!$A$2:$F$182,6,FALSE))</f>
        <v>Otros servicios</v>
      </c>
      <c r="L137" s="2">
        <v>3</v>
      </c>
      <c r="M137" s="2" t="s">
        <v>67</v>
      </c>
      <c r="N137" s="2">
        <f>VLOOKUP(F137,Productos!$A$2:$J$182,5)</f>
        <v>7</v>
      </c>
      <c r="O137" s="2" t="str">
        <f>VLOOKUP(F137,Productos!$A$2:$J$182,6)</f>
        <v>Otros servicios</v>
      </c>
    </row>
    <row r="138" spans="1:15">
      <c r="A138" s="2" t="s">
        <v>287</v>
      </c>
      <c r="B138" s="2" t="s">
        <v>10</v>
      </c>
      <c r="C138" s="2" t="s">
        <v>11</v>
      </c>
      <c r="D138" s="2" t="s">
        <v>12</v>
      </c>
      <c r="E138" s="2" t="s">
        <v>11</v>
      </c>
      <c r="F138" s="3">
        <v>137</v>
      </c>
      <c r="G138" s="2" t="s">
        <v>288</v>
      </c>
      <c r="H138" s="2" t="str">
        <f>IF(F138="","",VLOOKUP(F138,Productos!$A$2:$F$182,3,FALSE))</f>
        <v>6</v>
      </c>
      <c r="I138" s="2" t="str">
        <f>IF(F138="","",VLOOKUP(F138,Productos!$A$2:$F$182,4,FALSE))</f>
        <v>Servicios comerciales de distribución; alojamiento, servicios de suministro de comidas y bebidas; servicios de transporte; y servicios de distribución de electricidad, gas y agua</v>
      </c>
      <c r="J138" s="2">
        <f>IF(F138="","",VLOOKUP(F138,Productos!$A$2:$F$182,5,FALSE))</f>
        <v>7</v>
      </c>
      <c r="K138" s="2" t="str">
        <f>IF(F138="","",VLOOKUP(F138,Productos!$A$2:$F$182,6,FALSE))</f>
        <v>Otros servicios</v>
      </c>
      <c r="L138" s="2">
        <v>3</v>
      </c>
      <c r="M138" s="2" t="s">
        <v>67</v>
      </c>
      <c r="N138" s="2">
        <f>VLOOKUP(F138,Productos!$A$2:$J$182,5)</f>
        <v>7</v>
      </c>
      <c r="O138" s="2" t="str">
        <f>VLOOKUP(F138,Productos!$A$2:$J$182,6)</f>
        <v>Otros servicios</v>
      </c>
    </row>
    <row r="139" spans="1:15">
      <c r="A139" s="2" t="s">
        <v>289</v>
      </c>
      <c r="B139" s="2" t="s">
        <v>10</v>
      </c>
      <c r="C139" s="2" t="s">
        <v>11</v>
      </c>
      <c r="D139" s="2" t="s">
        <v>12</v>
      </c>
      <c r="E139" s="2" t="s">
        <v>11</v>
      </c>
      <c r="F139" s="3">
        <v>138</v>
      </c>
      <c r="G139" s="2" t="s">
        <v>290</v>
      </c>
      <c r="H139" s="2" t="str">
        <f>IF(F139="","",VLOOKUP(F139,Productos!$A$2:$F$182,3,FALSE))</f>
        <v>6</v>
      </c>
      <c r="I139" s="2" t="str">
        <f>IF(F139="","",VLOOKUP(F139,Productos!$A$2:$F$182,4,FALSE))</f>
        <v>Servicios comerciales de distribución; alojamiento, servicios de suministro de comidas y bebidas; servicios de transporte; y servicios de distribución de electricidad, gas y agua</v>
      </c>
      <c r="J139" s="2">
        <f>IF(F139="","",VLOOKUP(F139,Productos!$A$2:$F$182,5,FALSE))</f>
        <v>7</v>
      </c>
      <c r="K139" s="2" t="str">
        <f>IF(F139="","",VLOOKUP(F139,Productos!$A$2:$F$182,6,FALSE))</f>
        <v>Otros servicios</v>
      </c>
      <c r="L139" s="2">
        <v>2</v>
      </c>
      <c r="M139" s="2" t="s">
        <v>142</v>
      </c>
      <c r="N139" s="2">
        <f>VLOOKUP(F139,Productos!$A$2:$J$182,5)</f>
        <v>7</v>
      </c>
      <c r="O139" s="2" t="str">
        <f>VLOOKUP(F139,Productos!$A$2:$J$182,6)</f>
        <v>Otros servicios</v>
      </c>
    </row>
    <row r="140" spans="1:15">
      <c r="A140" s="2" t="s">
        <v>291</v>
      </c>
      <c r="B140" s="2" t="s">
        <v>10</v>
      </c>
      <c r="C140" s="2" t="s">
        <v>11</v>
      </c>
      <c r="D140" s="2" t="s">
        <v>12</v>
      </c>
      <c r="E140" s="2" t="s">
        <v>11</v>
      </c>
      <c r="F140" s="3">
        <v>139</v>
      </c>
      <c r="G140" s="2" t="s">
        <v>292</v>
      </c>
      <c r="H140" s="2" t="str">
        <f>IF(F140="","",VLOOKUP(F140,Productos!$A$2:$F$182,3,FALSE))</f>
        <v>6</v>
      </c>
      <c r="I140" s="2" t="str">
        <f>IF(F140="","",VLOOKUP(F140,Productos!$A$2:$F$182,4,FALSE))</f>
        <v>Servicios comerciales de distribución; alojamiento, servicios de suministro de comidas y bebidas; servicios de transporte; y servicios de distribución de electricidad, gas y agua</v>
      </c>
      <c r="J140" s="2">
        <f>IF(F140="","",VLOOKUP(F140,Productos!$A$2:$F$182,5,FALSE))</f>
        <v>7</v>
      </c>
      <c r="K140" s="2" t="str">
        <f>IF(F140="","",VLOOKUP(F140,Productos!$A$2:$F$182,6,FALSE))</f>
        <v>Otros servicios</v>
      </c>
      <c r="L140" s="2">
        <v>3</v>
      </c>
      <c r="M140" s="2" t="s">
        <v>67</v>
      </c>
      <c r="N140" s="2">
        <f>VLOOKUP(F140,Productos!$A$2:$J$182,5)</f>
        <v>7</v>
      </c>
      <c r="O140" s="2" t="str">
        <f>VLOOKUP(F140,Productos!$A$2:$J$182,6)</f>
        <v>Otros servicios</v>
      </c>
    </row>
    <row r="141" spans="1:15">
      <c r="A141" s="2" t="s">
        <v>293</v>
      </c>
      <c r="B141" s="2" t="s">
        <v>10</v>
      </c>
      <c r="C141" s="2" t="s">
        <v>11</v>
      </c>
      <c r="D141" s="2" t="s">
        <v>12</v>
      </c>
      <c r="E141" s="2" t="s">
        <v>11</v>
      </c>
      <c r="F141" s="3">
        <v>140</v>
      </c>
      <c r="G141" s="2" t="s">
        <v>294</v>
      </c>
      <c r="H141" s="2" t="str">
        <f>IF(F141="","",VLOOKUP(F141,Productos!$A$2:$F$182,3,FALSE))</f>
        <v>6</v>
      </c>
      <c r="I141" s="2" t="str">
        <f>IF(F141="","",VLOOKUP(F141,Productos!$A$2:$F$182,4,FALSE))</f>
        <v>Servicios comerciales de distribución; alojamiento, servicios de suministro de comidas y bebidas; servicios de transporte; y servicios de distribución de electricidad, gas y agua</v>
      </c>
      <c r="J141" s="2">
        <f>IF(F141="","",VLOOKUP(F141,Productos!$A$2:$F$182,5,FALSE))</f>
        <v>7</v>
      </c>
      <c r="K141" s="2" t="str">
        <f>IF(F141="","",VLOOKUP(F141,Productos!$A$2:$F$182,6,FALSE))</f>
        <v>Otros servicios</v>
      </c>
      <c r="L141" s="2">
        <v>3</v>
      </c>
      <c r="M141" s="2" t="s">
        <v>67</v>
      </c>
      <c r="N141" s="2">
        <f>VLOOKUP(F141,Productos!$A$2:$J$182,5)</f>
        <v>7</v>
      </c>
      <c r="O141" s="2" t="str">
        <f>VLOOKUP(F141,Productos!$A$2:$J$182,6)</f>
        <v>Otros servicios</v>
      </c>
    </row>
    <row r="142" spans="1:15">
      <c r="A142" s="2" t="s">
        <v>295</v>
      </c>
      <c r="B142" s="2" t="s">
        <v>10</v>
      </c>
      <c r="C142" s="2" t="s">
        <v>11</v>
      </c>
      <c r="D142" s="2" t="s">
        <v>12</v>
      </c>
      <c r="E142" s="2" t="s">
        <v>11</v>
      </c>
      <c r="F142" s="3">
        <v>141</v>
      </c>
      <c r="G142" s="2" t="s">
        <v>296</v>
      </c>
      <c r="H142" s="2" t="str">
        <f>IF(F142="","",VLOOKUP(F142,Productos!$A$2:$F$182,3,FALSE))</f>
        <v>6</v>
      </c>
      <c r="I142" s="2" t="str">
        <f>IF(F142="","",VLOOKUP(F142,Productos!$A$2:$F$182,4,FALSE))</f>
        <v>Servicios comerciales de distribución; alojamiento, servicios de suministro de comidas y bebidas; servicios de transporte; y servicios de distribución de electricidad, gas y agua</v>
      </c>
      <c r="J142" s="2">
        <f>IF(F142="","",VLOOKUP(F142,Productos!$A$2:$F$182,5,FALSE))</f>
        <v>7</v>
      </c>
      <c r="K142" s="2" t="str">
        <f>IF(F142="","",VLOOKUP(F142,Productos!$A$2:$F$182,6,FALSE))</f>
        <v>Otros servicios</v>
      </c>
      <c r="L142" s="2">
        <v>3</v>
      </c>
      <c r="M142" s="2" t="s">
        <v>67</v>
      </c>
      <c r="N142" s="2">
        <f>VLOOKUP(F142,Productos!$A$2:$J$182,5)</f>
        <v>7</v>
      </c>
      <c r="O142" s="2" t="str">
        <f>VLOOKUP(F142,Productos!$A$2:$J$182,6)</f>
        <v>Otros servicios</v>
      </c>
    </row>
    <row r="143" spans="1:15">
      <c r="A143" s="2" t="s">
        <v>297</v>
      </c>
      <c r="B143" s="2" t="s">
        <v>10</v>
      </c>
      <c r="C143" s="2" t="s">
        <v>11</v>
      </c>
      <c r="D143" s="2" t="s">
        <v>12</v>
      </c>
      <c r="E143" s="2" t="s">
        <v>11</v>
      </c>
      <c r="F143" s="3">
        <v>142</v>
      </c>
      <c r="G143" s="2" t="s">
        <v>298</v>
      </c>
      <c r="H143" s="2" t="str">
        <f>IF(F143="","",VLOOKUP(F143,Productos!$A$2:$F$182,3,FALSE))</f>
        <v>6</v>
      </c>
      <c r="I143" s="2" t="str">
        <f>IF(F143="","",VLOOKUP(F143,Productos!$A$2:$F$182,4,FALSE))</f>
        <v>Servicios comerciales de distribución; alojamiento, servicios de suministro de comidas y bebidas; servicios de transporte; y servicios de distribución de electricidad, gas y agua</v>
      </c>
      <c r="J143" s="2">
        <f>IF(F143="","",VLOOKUP(F143,Productos!$A$2:$F$182,5,FALSE))</f>
        <v>7</v>
      </c>
      <c r="K143" s="2" t="str">
        <f>IF(F143="","",VLOOKUP(F143,Productos!$A$2:$F$182,6,FALSE))</f>
        <v>Otros servicios</v>
      </c>
      <c r="L143" s="2">
        <v>3</v>
      </c>
      <c r="M143" s="2" t="s">
        <v>67</v>
      </c>
      <c r="N143" s="2">
        <f>VLOOKUP(F143,Productos!$A$2:$J$182,5)</f>
        <v>7</v>
      </c>
      <c r="O143" s="2" t="str">
        <f>VLOOKUP(F143,Productos!$A$2:$J$182,6)</f>
        <v>Otros servicios</v>
      </c>
    </row>
    <row r="144" spans="1:15">
      <c r="A144" s="2" t="s">
        <v>299</v>
      </c>
      <c r="B144" s="2" t="s">
        <v>10</v>
      </c>
      <c r="C144" s="2" t="s">
        <v>11</v>
      </c>
      <c r="D144" s="2" t="s">
        <v>12</v>
      </c>
      <c r="E144" s="2" t="s">
        <v>11</v>
      </c>
      <c r="F144" s="3">
        <v>143</v>
      </c>
      <c r="G144" s="2" t="s">
        <v>300</v>
      </c>
      <c r="H144" s="2" t="str">
        <f>IF(F144="","",VLOOKUP(F144,Productos!$A$2:$F$182,3,FALSE))</f>
        <v>6</v>
      </c>
      <c r="I144" s="2" t="str">
        <f>IF(F144="","",VLOOKUP(F144,Productos!$A$2:$F$182,4,FALSE))</f>
        <v>Servicios comerciales de distribución; alojamiento, servicios de suministro de comidas y bebidas; servicios de transporte; y servicios de distribución de electricidad, gas y agua</v>
      </c>
      <c r="J144" s="2">
        <f>IF(F144="","",VLOOKUP(F144,Productos!$A$2:$F$182,5,FALSE))</f>
        <v>7</v>
      </c>
      <c r="K144" s="2" t="str">
        <f>IF(F144="","",VLOOKUP(F144,Productos!$A$2:$F$182,6,FALSE))</f>
        <v>Otros servicios</v>
      </c>
      <c r="L144" s="2">
        <v>3</v>
      </c>
      <c r="M144" s="2" t="s">
        <v>67</v>
      </c>
      <c r="N144" s="2">
        <f>VLOOKUP(F144,Productos!$A$2:$J$182,5)</f>
        <v>7</v>
      </c>
      <c r="O144" s="2" t="str">
        <f>VLOOKUP(F144,Productos!$A$2:$J$182,6)</f>
        <v>Otros servicios</v>
      </c>
    </row>
    <row r="145" spans="1:15">
      <c r="A145" s="2" t="s">
        <v>301</v>
      </c>
      <c r="B145" s="2" t="s">
        <v>10</v>
      </c>
      <c r="C145" s="2" t="s">
        <v>11</v>
      </c>
      <c r="D145" s="2" t="s">
        <v>12</v>
      </c>
      <c r="E145" s="2" t="s">
        <v>11</v>
      </c>
      <c r="F145" s="3">
        <v>144</v>
      </c>
      <c r="G145" s="2" t="s">
        <v>302</v>
      </c>
      <c r="H145" s="2" t="str">
        <f>IF(F145="","",VLOOKUP(F145,Productos!$A$2:$F$182,3,FALSE))</f>
        <v>6</v>
      </c>
      <c r="I145" s="2" t="str">
        <f>IF(F145="","",VLOOKUP(F145,Productos!$A$2:$F$182,4,FALSE))</f>
        <v>Servicios comerciales de distribución; alojamiento, servicios de suministro de comidas y bebidas; servicios de transporte; y servicios de distribución de electricidad, gas y agua</v>
      </c>
      <c r="J145" s="2">
        <f>IF(F145="","",VLOOKUP(F145,Productos!$A$2:$F$182,5,FALSE))</f>
        <v>7</v>
      </c>
      <c r="K145" s="2" t="str">
        <f>IF(F145="","",VLOOKUP(F145,Productos!$A$2:$F$182,6,FALSE))</f>
        <v>Otros servicios</v>
      </c>
      <c r="L145" s="2">
        <v>3</v>
      </c>
      <c r="M145" s="2" t="s">
        <v>67</v>
      </c>
      <c r="N145" s="2">
        <f>VLOOKUP(F145,Productos!$A$2:$J$182,5)</f>
        <v>7</v>
      </c>
      <c r="O145" s="2" t="str">
        <f>VLOOKUP(F145,Productos!$A$2:$J$182,6)</f>
        <v>Otros servicios</v>
      </c>
    </row>
    <row r="146" spans="1:15">
      <c r="A146" s="2" t="s">
        <v>303</v>
      </c>
      <c r="B146" s="2" t="s">
        <v>10</v>
      </c>
      <c r="C146" s="2" t="s">
        <v>11</v>
      </c>
      <c r="D146" s="2" t="s">
        <v>12</v>
      </c>
      <c r="E146" s="2" t="s">
        <v>11</v>
      </c>
      <c r="F146" s="3">
        <v>145</v>
      </c>
      <c r="G146" s="2" t="s">
        <v>304</v>
      </c>
      <c r="H146" s="2" t="str">
        <f>IF(F146="","",VLOOKUP(F146,Productos!$A$2:$F$182,3,FALSE))</f>
        <v>6</v>
      </c>
      <c r="I146" s="2" t="str">
        <f>IF(F146="","",VLOOKUP(F146,Productos!$A$2:$F$182,4,FALSE))</f>
        <v>Servicios comerciales de distribución; alojamiento, servicios de suministro de comidas y bebidas; servicios de transporte; y servicios de distribución de electricidad, gas y agua</v>
      </c>
      <c r="J146" s="2">
        <f>IF(F146="","",VLOOKUP(F146,Productos!$A$2:$F$182,5,FALSE))</f>
        <v>7</v>
      </c>
      <c r="K146" s="2" t="str">
        <f>IF(F146="","",VLOOKUP(F146,Productos!$A$2:$F$182,6,FALSE))</f>
        <v>Otros servicios</v>
      </c>
      <c r="L146" s="2">
        <v>3</v>
      </c>
      <c r="M146" s="2" t="s">
        <v>67</v>
      </c>
      <c r="N146" s="2">
        <f>VLOOKUP(F146,Productos!$A$2:$J$182,5)</f>
        <v>7</v>
      </c>
      <c r="O146" s="2" t="str">
        <f>VLOOKUP(F146,Productos!$A$2:$J$182,6)</f>
        <v>Otros servicios</v>
      </c>
    </row>
    <row r="147" spans="1:15">
      <c r="A147" s="2" t="s">
        <v>305</v>
      </c>
      <c r="B147" s="2" t="s">
        <v>10</v>
      </c>
      <c r="C147" s="2" t="s">
        <v>11</v>
      </c>
      <c r="D147" s="2" t="s">
        <v>12</v>
      </c>
      <c r="E147" s="2" t="s">
        <v>11</v>
      </c>
      <c r="F147" s="3">
        <v>146</v>
      </c>
      <c r="G147" s="2" t="s">
        <v>306</v>
      </c>
      <c r="H147" s="2" t="str">
        <f>IF(F147="","",VLOOKUP(F147,Productos!$A$2:$F$182,3,FALSE))</f>
        <v>6</v>
      </c>
      <c r="I147" s="2" t="str">
        <f>IF(F147="","",VLOOKUP(F147,Productos!$A$2:$F$182,4,FALSE))</f>
        <v>Servicios comerciales de distribución; alojamiento, servicios de suministro de comidas y bebidas; servicios de transporte; y servicios de distribución de electricidad, gas y agua</v>
      </c>
      <c r="J147" s="2">
        <f>IF(F147="","",VLOOKUP(F147,Productos!$A$2:$F$182,5,FALSE))</f>
        <v>7</v>
      </c>
      <c r="K147" s="2" t="str">
        <f>IF(F147="","",VLOOKUP(F147,Productos!$A$2:$F$182,6,FALSE))</f>
        <v>Otros servicios</v>
      </c>
      <c r="L147" s="2">
        <v>3</v>
      </c>
      <c r="M147" s="2" t="s">
        <v>67</v>
      </c>
      <c r="N147" s="2">
        <f>VLOOKUP(F147,Productos!$A$2:$J$182,5)</f>
        <v>7</v>
      </c>
      <c r="O147" s="2" t="str">
        <f>VLOOKUP(F147,Productos!$A$2:$J$182,6)</f>
        <v>Otros servicios</v>
      </c>
    </row>
    <row r="148" spans="1:15">
      <c r="A148" s="2" t="s">
        <v>307</v>
      </c>
      <c r="B148" s="2" t="s">
        <v>10</v>
      </c>
      <c r="C148" s="2" t="s">
        <v>11</v>
      </c>
      <c r="D148" s="2" t="s">
        <v>12</v>
      </c>
      <c r="E148" s="2" t="s">
        <v>11</v>
      </c>
      <c r="F148" s="3">
        <v>147</v>
      </c>
      <c r="G148" s="2" t="s">
        <v>308</v>
      </c>
      <c r="H148" s="2" t="str">
        <f>IF(F148="","",VLOOKUP(F148,Productos!$A$2:$F$182,3,FALSE))</f>
        <v>6</v>
      </c>
      <c r="I148" s="2" t="str">
        <f>IF(F148="","",VLOOKUP(F148,Productos!$A$2:$F$182,4,FALSE))</f>
        <v>Servicios comerciales de distribución; alojamiento, servicios de suministro de comidas y bebidas; servicios de transporte; y servicios de distribución de electricidad, gas y agua</v>
      </c>
      <c r="J148" s="2">
        <f>IF(F148="","",VLOOKUP(F148,Productos!$A$2:$F$182,5,FALSE))</f>
        <v>7</v>
      </c>
      <c r="K148" s="2" t="str">
        <f>IF(F148="","",VLOOKUP(F148,Productos!$A$2:$F$182,6,FALSE))</f>
        <v>Otros servicios</v>
      </c>
      <c r="L148" s="2">
        <v>3</v>
      </c>
      <c r="M148" s="2" t="s">
        <v>67</v>
      </c>
      <c r="N148" s="2">
        <f>VLOOKUP(F148,Productos!$A$2:$J$182,5)</f>
        <v>7</v>
      </c>
      <c r="O148" s="2" t="str">
        <f>VLOOKUP(F148,Productos!$A$2:$J$182,6)</f>
        <v>Otros servicios</v>
      </c>
    </row>
    <row r="149" spans="1:15">
      <c r="A149" s="2" t="s">
        <v>309</v>
      </c>
      <c r="B149" s="2" t="s">
        <v>10</v>
      </c>
      <c r="C149" s="2" t="s">
        <v>11</v>
      </c>
      <c r="D149" s="2" t="s">
        <v>12</v>
      </c>
      <c r="E149" s="2" t="s">
        <v>11</v>
      </c>
      <c r="F149" s="3">
        <v>148</v>
      </c>
      <c r="G149" s="2" t="s">
        <v>310</v>
      </c>
      <c r="H149" s="2" t="str">
        <f>IF(F149="","",VLOOKUP(F149,Productos!$A$2:$F$182,3,FALSE))</f>
        <v>6</v>
      </c>
      <c r="I149" s="2" t="str">
        <f>IF(F149="","",VLOOKUP(F149,Productos!$A$2:$F$182,4,FALSE))</f>
        <v>Servicios comerciales de distribución; alojamiento, servicios de suministro de comidas y bebidas; servicios de transporte; y servicios de distribución de electricidad, gas y agua</v>
      </c>
      <c r="J149" s="2">
        <f>IF(F149="","",VLOOKUP(F149,Productos!$A$2:$F$182,5,FALSE))</f>
        <v>7</v>
      </c>
      <c r="K149" s="2" t="str">
        <f>IF(F149="","",VLOOKUP(F149,Productos!$A$2:$F$182,6,FALSE))</f>
        <v>Otros servicios</v>
      </c>
      <c r="L149" s="2">
        <v>3</v>
      </c>
      <c r="M149" s="2" t="s">
        <v>67</v>
      </c>
      <c r="N149" s="2">
        <f>VLOOKUP(F149,Productos!$A$2:$J$182,5)</f>
        <v>7</v>
      </c>
      <c r="O149" s="2" t="str">
        <f>VLOOKUP(F149,Productos!$A$2:$J$182,6)</f>
        <v>Otros servicios</v>
      </c>
    </row>
    <row r="150" spans="1:15">
      <c r="A150" s="2" t="s">
        <v>311</v>
      </c>
      <c r="B150" s="2" t="s">
        <v>10</v>
      </c>
      <c r="C150" s="2" t="s">
        <v>11</v>
      </c>
      <c r="D150" s="2" t="s">
        <v>12</v>
      </c>
      <c r="E150" s="2" t="s">
        <v>11</v>
      </c>
      <c r="F150" s="3">
        <v>149</v>
      </c>
      <c r="G150" s="2" t="s">
        <v>312</v>
      </c>
      <c r="H150" s="2" t="str">
        <f>IF(F150="","",VLOOKUP(F150,Productos!$A$2:$F$182,3,FALSE))</f>
        <v>6</v>
      </c>
      <c r="I150" s="2" t="str">
        <f>IF(F150="","",VLOOKUP(F150,Productos!$A$2:$F$182,4,FALSE))</f>
        <v>Servicios comerciales de distribución; alojamiento, servicios de suministro de comidas y bebidas; servicios de transporte; y servicios de distribución de electricidad, gas y agua</v>
      </c>
      <c r="J150" s="2">
        <f>IF(F150="","",VLOOKUP(F150,Productos!$A$2:$F$182,5,FALSE))</f>
        <v>7</v>
      </c>
      <c r="K150" s="2" t="str">
        <f>IF(F150="","",VLOOKUP(F150,Productos!$A$2:$F$182,6,FALSE))</f>
        <v>Otros servicios</v>
      </c>
      <c r="L150" s="2">
        <v>3</v>
      </c>
      <c r="M150" s="2" t="s">
        <v>67</v>
      </c>
      <c r="N150" s="2">
        <f>VLOOKUP(F150,Productos!$A$2:$J$182,5)</f>
        <v>7</v>
      </c>
      <c r="O150" s="2" t="str">
        <f>VLOOKUP(F150,Productos!$A$2:$J$182,6)</f>
        <v>Otros servicios</v>
      </c>
    </row>
    <row r="151" spans="1:15">
      <c r="A151" s="2" t="s">
        <v>313</v>
      </c>
      <c r="B151" s="2" t="s">
        <v>10</v>
      </c>
      <c r="C151" s="2" t="s">
        <v>11</v>
      </c>
      <c r="D151" s="2" t="s">
        <v>12</v>
      </c>
      <c r="E151" s="2" t="s">
        <v>11</v>
      </c>
      <c r="F151" s="3">
        <v>150</v>
      </c>
      <c r="G151" s="2" t="s">
        <v>314</v>
      </c>
      <c r="H151" s="2" t="str">
        <f>IF(F151="","",VLOOKUP(F151,Productos!$A$2:$F$182,3,FALSE))</f>
        <v>6</v>
      </c>
      <c r="I151" s="2" t="str">
        <f>IF(F151="","",VLOOKUP(F151,Productos!$A$2:$F$182,4,FALSE))</f>
        <v>Servicios comerciales de distribución; alojamiento, servicios de suministro de comidas y bebidas; servicios de transporte; y servicios de distribución de electricidad, gas y agua</v>
      </c>
      <c r="J151" s="2">
        <f>IF(F151="","",VLOOKUP(F151,Productos!$A$2:$F$182,5,FALSE))</f>
        <v>7</v>
      </c>
      <c r="K151" s="2" t="str">
        <f>IF(F151="","",VLOOKUP(F151,Productos!$A$2:$F$182,6,FALSE))</f>
        <v>Otros servicios</v>
      </c>
      <c r="L151" s="2">
        <v>3</v>
      </c>
      <c r="M151" s="2" t="s">
        <v>67</v>
      </c>
      <c r="N151" s="2">
        <f>VLOOKUP(F151,Productos!$A$2:$J$182,5)</f>
        <v>7</v>
      </c>
      <c r="O151" s="2" t="str">
        <f>VLOOKUP(F151,Productos!$A$2:$J$182,6)</f>
        <v>Otros servicios</v>
      </c>
    </row>
    <row r="152" spans="1:15">
      <c r="A152" s="2" t="s">
        <v>315</v>
      </c>
      <c r="B152" s="2" t="s">
        <v>10</v>
      </c>
      <c r="C152" s="2" t="s">
        <v>11</v>
      </c>
      <c r="D152" s="2" t="s">
        <v>12</v>
      </c>
      <c r="E152" s="2" t="s">
        <v>11</v>
      </c>
      <c r="F152" s="3">
        <v>151</v>
      </c>
      <c r="G152" s="2" t="s">
        <v>316</v>
      </c>
      <c r="H152" s="2" t="str">
        <f>IF(F152="","",VLOOKUP(F152,Productos!$A$2:$F$182,3,FALSE))</f>
        <v>6</v>
      </c>
      <c r="I152" s="2" t="str">
        <f>IF(F152="","",VLOOKUP(F152,Productos!$A$2:$F$182,4,FALSE))</f>
        <v>Servicios comerciales de distribución; alojamiento, servicios de suministro de comidas y bebidas; servicios de transporte; y servicios de distribución de electricidad, gas y agua</v>
      </c>
      <c r="J152" s="2">
        <f>IF(F152="","",VLOOKUP(F152,Productos!$A$2:$F$182,5,FALSE))</f>
        <v>7</v>
      </c>
      <c r="K152" s="2" t="str">
        <f>IF(F152="","",VLOOKUP(F152,Productos!$A$2:$F$182,6,FALSE))</f>
        <v>Otros servicios</v>
      </c>
      <c r="L152" s="2">
        <v>3</v>
      </c>
      <c r="M152" s="2" t="s">
        <v>67</v>
      </c>
      <c r="N152" s="2">
        <f>VLOOKUP(F152,Productos!$A$2:$J$182,5)</f>
        <v>7</v>
      </c>
      <c r="O152" s="2" t="str">
        <f>VLOOKUP(F152,Productos!$A$2:$J$182,6)</f>
        <v>Otros servicios</v>
      </c>
    </row>
    <row r="153" spans="1:15">
      <c r="A153" s="2" t="s">
        <v>317</v>
      </c>
      <c r="B153" s="2" t="s">
        <v>10</v>
      </c>
      <c r="C153" s="2" t="s">
        <v>11</v>
      </c>
      <c r="D153" s="2" t="s">
        <v>12</v>
      </c>
      <c r="E153" s="2" t="s">
        <v>11</v>
      </c>
      <c r="F153" s="3">
        <v>152</v>
      </c>
      <c r="G153" s="2" t="s">
        <v>318</v>
      </c>
      <c r="H153" s="2" t="str">
        <f>IF(F153="","",VLOOKUP(F153,Productos!$A$2:$F$182,3,FALSE))</f>
        <v>6</v>
      </c>
      <c r="I153" s="2" t="str">
        <f>IF(F153="","",VLOOKUP(F153,Productos!$A$2:$F$182,4,FALSE))</f>
        <v>Servicios comerciales de distribución; alojamiento, servicios de suministro de comidas y bebidas; servicios de transporte; y servicios de distribución de electricidad, gas y agua</v>
      </c>
      <c r="J153" s="2">
        <f>IF(F153="","",VLOOKUP(F153,Productos!$A$2:$F$182,5,FALSE))</f>
        <v>7</v>
      </c>
      <c r="K153" s="2" t="str">
        <f>IF(F153="","",VLOOKUP(F153,Productos!$A$2:$F$182,6,FALSE))</f>
        <v>Otros servicios</v>
      </c>
      <c r="L153" s="2">
        <v>3</v>
      </c>
      <c r="M153" s="2" t="s">
        <v>67</v>
      </c>
      <c r="N153" s="2">
        <f>VLOOKUP(F153,Productos!$A$2:$J$182,5)</f>
        <v>7</v>
      </c>
      <c r="O153" s="2" t="str">
        <f>VLOOKUP(F153,Productos!$A$2:$J$182,6)</f>
        <v>Otros servicios</v>
      </c>
    </row>
    <row r="154" spans="1:15">
      <c r="A154" s="2" t="s">
        <v>319</v>
      </c>
      <c r="B154" s="2" t="s">
        <v>10</v>
      </c>
      <c r="C154" s="2" t="s">
        <v>11</v>
      </c>
      <c r="D154" s="2" t="s">
        <v>12</v>
      </c>
      <c r="E154" s="2" t="s">
        <v>11</v>
      </c>
      <c r="F154" s="3">
        <v>153</v>
      </c>
      <c r="G154" s="2" t="s">
        <v>320</v>
      </c>
      <c r="H154" s="2" t="str">
        <f>IF(F154="","",VLOOKUP(F154,Productos!$A$2:$F$182,3,FALSE))</f>
        <v>6</v>
      </c>
      <c r="I154" s="2" t="str">
        <f>IF(F154="","",VLOOKUP(F154,Productos!$A$2:$F$182,4,FALSE))</f>
        <v>Servicios comerciales de distribución; alojamiento, servicios de suministro de comidas y bebidas; servicios de transporte; y servicios de distribución de electricidad, gas y agua</v>
      </c>
      <c r="J154" s="2">
        <f>IF(F154="","",VLOOKUP(F154,Productos!$A$2:$F$182,5,FALSE))</f>
        <v>7</v>
      </c>
      <c r="K154" s="2" t="str">
        <f>IF(F154="","",VLOOKUP(F154,Productos!$A$2:$F$182,6,FALSE))</f>
        <v>Otros servicios</v>
      </c>
      <c r="L154" s="2">
        <v>3</v>
      </c>
      <c r="M154" s="2" t="s">
        <v>67</v>
      </c>
      <c r="N154" s="2">
        <f>VLOOKUP(F154,Productos!$A$2:$J$182,5)</f>
        <v>7</v>
      </c>
      <c r="O154" s="2" t="str">
        <f>VLOOKUP(F154,Productos!$A$2:$J$182,6)</f>
        <v>Otros servicios</v>
      </c>
    </row>
    <row r="155" spans="1:15">
      <c r="A155" s="2" t="s">
        <v>321</v>
      </c>
      <c r="B155" s="2" t="s">
        <v>10</v>
      </c>
      <c r="C155" s="2" t="s">
        <v>11</v>
      </c>
      <c r="D155" s="2" t="s">
        <v>12</v>
      </c>
      <c r="E155" s="2" t="s">
        <v>11</v>
      </c>
      <c r="F155" s="3">
        <v>154</v>
      </c>
      <c r="G155" s="2" t="s">
        <v>322</v>
      </c>
      <c r="H155" s="2" t="str">
        <f>IF(F155="","",VLOOKUP(F155,Productos!$A$2:$F$182,3,FALSE))</f>
        <v>6</v>
      </c>
      <c r="I155" s="2" t="str">
        <f>IF(F155="","",VLOOKUP(F155,Productos!$A$2:$F$182,4,FALSE))</f>
        <v>Servicios comerciales de distribución; alojamiento, servicios de suministro de comidas y bebidas; servicios de transporte; y servicios de distribución de electricidad, gas y agua</v>
      </c>
      <c r="J155" s="2">
        <f>IF(F155="","",VLOOKUP(F155,Productos!$A$2:$F$182,5,FALSE))</f>
        <v>7</v>
      </c>
      <c r="K155" s="2" t="str">
        <f>IF(F155="","",VLOOKUP(F155,Productos!$A$2:$F$182,6,FALSE))</f>
        <v>Otros servicios</v>
      </c>
      <c r="L155" s="2">
        <v>3</v>
      </c>
      <c r="M155" s="2" t="s">
        <v>67</v>
      </c>
      <c r="N155" s="2">
        <f>VLOOKUP(F155,Productos!$A$2:$J$182,5)</f>
        <v>7</v>
      </c>
      <c r="O155" s="2" t="str">
        <f>VLOOKUP(F155,Productos!$A$2:$J$182,6)</f>
        <v>Otros servicios</v>
      </c>
    </row>
    <row r="156" spans="1:15">
      <c r="A156" s="2" t="s">
        <v>323</v>
      </c>
      <c r="B156" s="2" t="s">
        <v>10</v>
      </c>
      <c r="C156" s="2" t="s">
        <v>11</v>
      </c>
      <c r="D156" s="2" t="s">
        <v>12</v>
      </c>
      <c r="E156" s="2" t="s">
        <v>11</v>
      </c>
      <c r="F156" s="3">
        <v>155</v>
      </c>
      <c r="G156" s="2" t="s">
        <v>324</v>
      </c>
      <c r="H156" s="2" t="str">
        <f>IF(F156="","",VLOOKUP(F156,Productos!$A$2:$F$182,3,FALSE))</f>
        <v>6</v>
      </c>
      <c r="I156" s="2" t="str">
        <f>IF(F156="","",VLOOKUP(F156,Productos!$A$2:$F$182,4,FALSE))</f>
        <v>Servicios comerciales de distribución; alojamiento, servicios de suministro de comidas y bebidas; servicios de transporte; y servicios de distribución de electricidad, gas y agua</v>
      </c>
      <c r="J156" s="2">
        <f>IF(F156="","",VLOOKUP(F156,Productos!$A$2:$F$182,5,FALSE))</f>
        <v>7</v>
      </c>
      <c r="K156" s="2" t="str">
        <f>IF(F156="","",VLOOKUP(F156,Productos!$A$2:$F$182,6,FALSE))</f>
        <v>Otros servicios</v>
      </c>
      <c r="L156" s="2">
        <v>3</v>
      </c>
      <c r="M156" s="2" t="s">
        <v>67</v>
      </c>
      <c r="N156" s="2">
        <f>VLOOKUP(F156,Productos!$A$2:$J$182,5)</f>
        <v>7</v>
      </c>
      <c r="O156" s="2" t="str">
        <f>VLOOKUP(F156,Productos!$A$2:$J$182,6)</f>
        <v>Otros servicios</v>
      </c>
    </row>
    <row r="157" spans="1:15">
      <c r="A157" s="2" t="s">
        <v>325</v>
      </c>
      <c r="B157" s="2" t="s">
        <v>10</v>
      </c>
      <c r="C157" s="2" t="s">
        <v>11</v>
      </c>
      <c r="D157" s="2" t="s">
        <v>12</v>
      </c>
      <c r="E157" s="2" t="s">
        <v>11</v>
      </c>
      <c r="F157" s="3">
        <v>156</v>
      </c>
      <c r="G157" s="2" t="s">
        <v>326</v>
      </c>
      <c r="H157" s="2" t="str">
        <f>IF(F157="","",VLOOKUP(F157,Productos!$A$2:$F$182,3,FALSE))</f>
        <v>6</v>
      </c>
      <c r="I157" s="2" t="str">
        <f>IF(F157="","",VLOOKUP(F157,Productos!$A$2:$F$182,4,FALSE))</f>
        <v>Servicios comerciales de distribución; alojamiento, servicios de suministro de comidas y bebidas; servicios de transporte; y servicios de distribución de electricidad, gas y agua</v>
      </c>
      <c r="J157" s="2">
        <f>IF(F157="","",VLOOKUP(F157,Productos!$A$2:$F$182,5,FALSE))</f>
        <v>7</v>
      </c>
      <c r="K157" s="2" t="str">
        <f>IF(F157="","",VLOOKUP(F157,Productos!$A$2:$F$182,6,FALSE))</f>
        <v>Otros servicios</v>
      </c>
      <c r="L157" s="2">
        <v>3</v>
      </c>
      <c r="M157" s="2" t="s">
        <v>67</v>
      </c>
      <c r="N157" s="2">
        <f>VLOOKUP(F157,Productos!$A$2:$J$182,5)</f>
        <v>7</v>
      </c>
      <c r="O157" s="2" t="str">
        <f>VLOOKUP(F157,Productos!$A$2:$J$182,6)</f>
        <v>Otros servicios</v>
      </c>
    </row>
    <row r="158" spans="1:15">
      <c r="A158" s="2" t="s">
        <v>327</v>
      </c>
      <c r="B158" s="2" t="s">
        <v>10</v>
      </c>
      <c r="C158" s="2" t="s">
        <v>11</v>
      </c>
      <c r="D158" s="2" t="s">
        <v>12</v>
      </c>
      <c r="E158" s="2" t="s">
        <v>11</v>
      </c>
      <c r="F158" s="3">
        <v>157</v>
      </c>
      <c r="G158" s="2" t="s">
        <v>328</v>
      </c>
      <c r="H158" s="2" t="str">
        <f>IF(F158="","",VLOOKUP(F158,Productos!$A$2:$F$182,3,FALSE))</f>
        <v>7</v>
      </c>
      <c r="I158" s="2" t="str">
        <f>IF(F158="","",VLOOKUP(F158,Productos!$A$2:$F$182,4,FALSE))</f>
        <v>Servicios financieros y servicios conexos; servicios inmobiliarios; y servicios de alquiler y arrendamiento</v>
      </c>
      <c r="J158" s="2">
        <f>IF(F158="","",VLOOKUP(F158,Productos!$A$2:$F$182,5,FALSE))</f>
        <v>7</v>
      </c>
      <c r="K158" s="2" t="str">
        <f>IF(F158="","",VLOOKUP(F158,Productos!$A$2:$F$182,6,FALSE))</f>
        <v>Otros servicios</v>
      </c>
      <c r="L158" s="2">
        <v>3</v>
      </c>
      <c r="M158" s="2" t="s">
        <v>67</v>
      </c>
      <c r="N158" s="2">
        <f>VLOOKUP(F158,Productos!$A$2:$J$182,5)</f>
        <v>7</v>
      </c>
      <c r="O158" s="2" t="str">
        <f>VLOOKUP(F158,Productos!$A$2:$J$182,6)</f>
        <v>Otros servicios</v>
      </c>
    </row>
    <row r="159" spans="1:15">
      <c r="A159" s="2" t="s">
        <v>329</v>
      </c>
      <c r="B159" s="2" t="s">
        <v>10</v>
      </c>
      <c r="C159" s="2" t="s">
        <v>11</v>
      </c>
      <c r="D159" s="2" t="s">
        <v>12</v>
      </c>
      <c r="E159" s="2" t="s">
        <v>11</v>
      </c>
      <c r="F159" s="3">
        <v>158</v>
      </c>
      <c r="G159" s="2" t="s">
        <v>330</v>
      </c>
      <c r="H159" s="2" t="str">
        <f>IF(F159="","",VLOOKUP(F159,Productos!$A$2:$F$182,3,FALSE))</f>
        <v>7</v>
      </c>
      <c r="I159" s="2" t="str">
        <f>IF(F159="","",VLOOKUP(F159,Productos!$A$2:$F$182,4,FALSE))</f>
        <v>Servicios financieros y servicios conexos; servicios inmobiliarios; y servicios de alquiler y arrendamiento</v>
      </c>
      <c r="J159" s="2">
        <f>IF(F159="","",VLOOKUP(F159,Productos!$A$2:$F$182,5,FALSE))</f>
        <v>7</v>
      </c>
      <c r="K159" s="2" t="str">
        <f>IF(F159="","",VLOOKUP(F159,Productos!$A$2:$F$182,6,FALSE))</f>
        <v>Otros servicios</v>
      </c>
      <c r="L159" s="2">
        <v>3</v>
      </c>
      <c r="M159" s="2" t="s">
        <v>67</v>
      </c>
      <c r="N159" s="2">
        <f>VLOOKUP(F159,Productos!$A$2:$J$182,5)</f>
        <v>7</v>
      </c>
      <c r="O159" s="2" t="str">
        <f>VLOOKUP(F159,Productos!$A$2:$J$182,6)</f>
        <v>Otros servicios</v>
      </c>
    </row>
    <row r="160" spans="1:15">
      <c r="A160" s="2" t="s">
        <v>331</v>
      </c>
      <c r="B160" s="2" t="s">
        <v>10</v>
      </c>
      <c r="C160" s="2" t="s">
        <v>11</v>
      </c>
      <c r="D160" s="2" t="s">
        <v>12</v>
      </c>
      <c r="E160" s="2" t="s">
        <v>11</v>
      </c>
      <c r="F160" s="3">
        <v>159</v>
      </c>
      <c r="G160" s="2" t="s">
        <v>332</v>
      </c>
      <c r="H160" s="2" t="str">
        <f>IF(F160="","",VLOOKUP(F160,Productos!$A$2:$F$182,3,FALSE))</f>
        <v>7</v>
      </c>
      <c r="I160" s="2" t="str">
        <f>IF(F160="","",VLOOKUP(F160,Productos!$A$2:$F$182,4,FALSE))</f>
        <v>Servicios financieros y servicios conexos; servicios inmobiliarios; y servicios de alquiler y arrendamiento</v>
      </c>
      <c r="J160" s="2">
        <f>IF(F160="","",VLOOKUP(F160,Productos!$A$2:$F$182,5,FALSE))</f>
        <v>7</v>
      </c>
      <c r="K160" s="2" t="str">
        <f>IF(F160="","",VLOOKUP(F160,Productos!$A$2:$F$182,6,FALSE))</f>
        <v>Otros servicios</v>
      </c>
      <c r="L160" s="2">
        <v>3</v>
      </c>
      <c r="M160" s="2" t="s">
        <v>67</v>
      </c>
      <c r="N160" s="2">
        <f>VLOOKUP(F160,Productos!$A$2:$J$182,5)</f>
        <v>7</v>
      </c>
      <c r="O160" s="2" t="str">
        <f>VLOOKUP(F160,Productos!$A$2:$J$182,6)</f>
        <v>Otros servicios</v>
      </c>
    </row>
    <row r="161" spans="1:15">
      <c r="A161" s="2" t="s">
        <v>333</v>
      </c>
      <c r="B161" s="2" t="s">
        <v>10</v>
      </c>
      <c r="C161" s="2" t="s">
        <v>11</v>
      </c>
      <c r="D161" s="2" t="s">
        <v>12</v>
      </c>
      <c r="E161" s="2" t="s">
        <v>11</v>
      </c>
      <c r="F161" s="3">
        <v>160</v>
      </c>
      <c r="G161" s="2" t="s">
        <v>334</v>
      </c>
      <c r="H161" s="2" t="str">
        <f>IF(F161="","",VLOOKUP(F161,Productos!$A$2:$F$182,3,FALSE))</f>
        <v>7</v>
      </c>
      <c r="I161" s="2" t="str">
        <f>IF(F161="","",VLOOKUP(F161,Productos!$A$2:$F$182,4,FALSE))</f>
        <v>Servicios financieros y servicios conexos; servicios inmobiliarios; y servicios de alquiler y arrendamiento</v>
      </c>
      <c r="J161" s="2">
        <f>IF(F161="","",VLOOKUP(F161,Productos!$A$2:$F$182,5,FALSE))</f>
        <v>7</v>
      </c>
      <c r="K161" s="2" t="str">
        <f>IF(F161="","",VLOOKUP(F161,Productos!$A$2:$F$182,6,FALSE))</f>
        <v>Otros servicios</v>
      </c>
      <c r="L161" s="2">
        <v>3</v>
      </c>
      <c r="M161" s="2" t="s">
        <v>67</v>
      </c>
      <c r="N161" s="2">
        <f>VLOOKUP(F161,Productos!$A$2:$J$182,5)</f>
        <v>7</v>
      </c>
      <c r="O161" s="2" t="str">
        <f>VLOOKUP(F161,Productos!$A$2:$J$182,6)</f>
        <v>Otros servicios</v>
      </c>
    </row>
    <row r="162" spans="1:15">
      <c r="A162" s="2" t="s">
        <v>335</v>
      </c>
      <c r="B162" s="2" t="s">
        <v>10</v>
      </c>
      <c r="C162" s="2" t="s">
        <v>11</v>
      </c>
      <c r="D162" s="2" t="s">
        <v>12</v>
      </c>
      <c r="E162" s="2" t="s">
        <v>11</v>
      </c>
      <c r="F162" s="3">
        <v>161</v>
      </c>
      <c r="G162" s="2" t="s">
        <v>336</v>
      </c>
      <c r="H162" s="2" t="str">
        <f>IF(F162="","",VLOOKUP(F162,Productos!$A$2:$F$182,3,FALSE))</f>
        <v>7</v>
      </c>
      <c r="I162" s="2" t="str">
        <f>IF(F162="","",VLOOKUP(F162,Productos!$A$2:$F$182,4,FALSE))</f>
        <v>Servicios financieros y servicios conexos; servicios inmobiliarios; y servicios de alquiler y arrendamiento</v>
      </c>
      <c r="J162" s="2">
        <f>IF(F162="","",VLOOKUP(F162,Productos!$A$2:$F$182,5,FALSE))</f>
        <v>7</v>
      </c>
      <c r="K162" s="2" t="str">
        <f>IF(F162="","",VLOOKUP(F162,Productos!$A$2:$F$182,6,FALSE))</f>
        <v>Otros servicios</v>
      </c>
      <c r="L162" s="2">
        <v>3</v>
      </c>
      <c r="M162" s="2" t="s">
        <v>67</v>
      </c>
      <c r="N162" s="2">
        <f>VLOOKUP(F162,Productos!$A$2:$J$182,5)</f>
        <v>7</v>
      </c>
      <c r="O162" s="2" t="str">
        <f>VLOOKUP(F162,Productos!$A$2:$J$182,6)</f>
        <v>Otros servicios</v>
      </c>
    </row>
    <row r="163" spans="1:15">
      <c r="A163" s="2" t="s">
        <v>337</v>
      </c>
      <c r="B163" s="2" t="s">
        <v>10</v>
      </c>
      <c r="C163" s="2" t="s">
        <v>11</v>
      </c>
      <c r="D163" s="2" t="s">
        <v>12</v>
      </c>
      <c r="E163" s="2" t="s">
        <v>11</v>
      </c>
      <c r="F163" s="3">
        <v>162</v>
      </c>
      <c r="G163" s="2" t="s">
        <v>338</v>
      </c>
      <c r="H163" s="2" t="str">
        <f>IF(F163="","",VLOOKUP(F163,Productos!$A$2:$F$182,3,FALSE))</f>
        <v>7</v>
      </c>
      <c r="I163" s="2" t="str">
        <f>IF(F163="","",VLOOKUP(F163,Productos!$A$2:$F$182,4,FALSE))</f>
        <v>Servicios financieros y servicios conexos; servicios inmobiliarios; y servicios de alquiler y arrendamiento</v>
      </c>
      <c r="J163" s="2">
        <f>IF(F163="","",VLOOKUP(F163,Productos!$A$2:$F$182,5,FALSE))</f>
        <v>7</v>
      </c>
      <c r="K163" s="2" t="str">
        <f>IF(F163="","",VLOOKUP(F163,Productos!$A$2:$F$182,6,FALSE))</f>
        <v>Otros servicios</v>
      </c>
      <c r="L163" s="2">
        <v>3</v>
      </c>
      <c r="M163" s="2" t="s">
        <v>67</v>
      </c>
      <c r="N163" s="2">
        <f>VLOOKUP(F163,Productos!$A$2:$J$182,5)</f>
        <v>7</v>
      </c>
      <c r="O163" s="2" t="str">
        <f>VLOOKUP(F163,Productos!$A$2:$J$182,6)</f>
        <v>Otros servicios</v>
      </c>
    </row>
    <row r="164" spans="1:15">
      <c r="A164" s="2" t="s">
        <v>339</v>
      </c>
      <c r="B164" s="2" t="s">
        <v>10</v>
      </c>
      <c r="C164" s="2" t="s">
        <v>11</v>
      </c>
      <c r="D164" s="2" t="s">
        <v>12</v>
      </c>
      <c r="E164" s="2" t="s">
        <v>11</v>
      </c>
      <c r="F164" s="3">
        <v>163</v>
      </c>
      <c r="G164" s="2" t="s">
        <v>340</v>
      </c>
      <c r="H164" s="2" t="str">
        <f>IF(F164="","",VLOOKUP(F164,Productos!$A$2:$F$182,3,FALSE))</f>
        <v>7</v>
      </c>
      <c r="I164" s="2" t="str">
        <f>IF(F164="","",VLOOKUP(F164,Productos!$A$2:$F$182,4,FALSE))</f>
        <v>Servicios financieros y servicios conexos; servicios inmobiliarios; y servicios de alquiler y arrendamiento</v>
      </c>
      <c r="J164" s="2">
        <f>IF(F164="","",VLOOKUP(F164,Productos!$A$2:$F$182,5,FALSE))</f>
        <v>7</v>
      </c>
      <c r="K164" s="2" t="str">
        <f>IF(F164="","",VLOOKUP(F164,Productos!$A$2:$F$182,6,FALSE))</f>
        <v>Otros servicios</v>
      </c>
      <c r="L164" s="2">
        <v>3</v>
      </c>
      <c r="M164" s="2" t="s">
        <v>67</v>
      </c>
      <c r="N164" s="2">
        <f>VLOOKUP(F164,Productos!$A$2:$J$182,5)</f>
        <v>7</v>
      </c>
      <c r="O164" s="2" t="str">
        <f>VLOOKUP(F164,Productos!$A$2:$J$182,6)</f>
        <v>Otros servicios</v>
      </c>
    </row>
    <row r="165" spans="1:15">
      <c r="A165" s="2" t="s">
        <v>341</v>
      </c>
      <c r="B165" s="2" t="s">
        <v>10</v>
      </c>
      <c r="C165" s="2" t="s">
        <v>11</v>
      </c>
      <c r="D165" s="2" t="s">
        <v>12</v>
      </c>
      <c r="E165" s="2" t="s">
        <v>11</v>
      </c>
      <c r="F165" s="3">
        <v>164</v>
      </c>
      <c r="G165" s="2" t="s">
        <v>342</v>
      </c>
      <c r="H165" s="2" t="str">
        <f>IF(F165="","",VLOOKUP(F165,Productos!$A$2:$F$182,3,FALSE))</f>
        <v>8</v>
      </c>
      <c r="I165" s="2" t="str">
        <f>IF(F165="","",VLOOKUP(F165,Productos!$A$2:$F$182,4,FALSE))</f>
        <v>Servicios prestados a las empresas y servicios de producción</v>
      </c>
      <c r="J165" s="2">
        <f>IF(F165="","",VLOOKUP(F165,Productos!$A$2:$F$182,5,FALSE))</f>
        <v>7</v>
      </c>
      <c r="K165" s="2" t="str">
        <f>IF(F165="","",VLOOKUP(F165,Productos!$A$2:$F$182,6,FALSE))</f>
        <v>Otros servicios</v>
      </c>
      <c r="L165" s="2">
        <v>3</v>
      </c>
      <c r="M165" s="2" t="s">
        <v>67</v>
      </c>
      <c r="N165" s="2">
        <f>VLOOKUP(F165,Productos!$A$2:$J$182,5)</f>
        <v>7</v>
      </c>
      <c r="O165" s="2" t="str">
        <f>VLOOKUP(F165,Productos!$A$2:$J$182,6)</f>
        <v>Otros servicios</v>
      </c>
    </row>
    <row r="166" spans="1:15">
      <c r="A166" s="2" t="s">
        <v>343</v>
      </c>
      <c r="B166" s="2" t="s">
        <v>10</v>
      </c>
      <c r="C166" s="2" t="s">
        <v>11</v>
      </c>
      <c r="D166" s="2" t="s">
        <v>12</v>
      </c>
      <c r="E166" s="2" t="s">
        <v>11</v>
      </c>
      <c r="F166" s="3">
        <v>165</v>
      </c>
      <c r="G166" s="2" t="s">
        <v>344</v>
      </c>
      <c r="H166" s="2" t="str">
        <f>IF(F166="","",VLOOKUP(F166,Productos!$A$2:$F$182,3,FALSE))</f>
        <v>8</v>
      </c>
      <c r="I166" s="2" t="str">
        <f>IF(F166="","",VLOOKUP(F166,Productos!$A$2:$F$182,4,FALSE))</f>
        <v>Servicios prestados a las empresas y servicios de producción</v>
      </c>
      <c r="J166" s="2">
        <f>IF(F166="","",VLOOKUP(F166,Productos!$A$2:$F$182,5,FALSE))</f>
        <v>7</v>
      </c>
      <c r="K166" s="2" t="str">
        <f>IF(F166="","",VLOOKUP(F166,Productos!$A$2:$F$182,6,FALSE))</f>
        <v>Otros servicios</v>
      </c>
      <c r="L166" s="2">
        <v>3</v>
      </c>
      <c r="M166" s="2" t="s">
        <v>67</v>
      </c>
      <c r="N166" s="2">
        <f>VLOOKUP(F166,Productos!$A$2:$J$182,5)</f>
        <v>7</v>
      </c>
      <c r="O166" s="2" t="str">
        <f>VLOOKUP(F166,Productos!$A$2:$J$182,6)</f>
        <v>Otros servicios</v>
      </c>
    </row>
    <row r="167" spans="1:15">
      <c r="A167" s="2" t="s">
        <v>345</v>
      </c>
      <c r="B167" s="2" t="s">
        <v>10</v>
      </c>
      <c r="C167" s="2" t="s">
        <v>11</v>
      </c>
      <c r="D167" s="2" t="s">
        <v>12</v>
      </c>
      <c r="E167" s="2" t="s">
        <v>11</v>
      </c>
      <c r="F167" s="3">
        <v>166</v>
      </c>
      <c r="G167" s="2" t="s">
        <v>346</v>
      </c>
      <c r="H167" s="2" t="str">
        <f>IF(F167="","",VLOOKUP(F167,Productos!$A$2:$F$182,3,FALSE))</f>
        <v>8</v>
      </c>
      <c r="I167" s="2" t="str">
        <f>IF(F167="","",VLOOKUP(F167,Productos!$A$2:$F$182,4,FALSE))</f>
        <v>Servicios prestados a las empresas y servicios de producción</v>
      </c>
      <c r="J167" s="2">
        <f>IF(F167="","",VLOOKUP(F167,Productos!$A$2:$F$182,5,FALSE))</f>
        <v>7</v>
      </c>
      <c r="K167" s="2" t="str">
        <f>IF(F167="","",VLOOKUP(F167,Productos!$A$2:$F$182,6,FALSE))</f>
        <v>Otros servicios</v>
      </c>
      <c r="L167" s="2">
        <v>3</v>
      </c>
      <c r="M167" s="2" t="s">
        <v>67</v>
      </c>
      <c r="N167" s="2">
        <f>VLOOKUP(F167,Productos!$A$2:$J$182,5)</f>
        <v>7</v>
      </c>
      <c r="O167" s="2" t="str">
        <f>VLOOKUP(F167,Productos!$A$2:$J$182,6)</f>
        <v>Otros servicios</v>
      </c>
    </row>
    <row r="168" spans="1:15">
      <c r="A168" s="2" t="s">
        <v>347</v>
      </c>
      <c r="B168" s="2" t="s">
        <v>10</v>
      </c>
      <c r="C168" s="2" t="s">
        <v>11</v>
      </c>
      <c r="D168" s="2" t="s">
        <v>12</v>
      </c>
      <c r="E168" s="2" t="s">
        <v>11</v>
      </c>
      <c r="F168" s="3">
        <v>167</v>
      </c>
      <c r="G168" s="2" t="s">
        <v>348</v>
      </c>
      <c r="H168" s="2" t="str">
        <f>IF(F168="","",VLOOKUP(F168,Productos!$A$2:$F$182,3,FALSE))</f>
        <v>8</v>
      </c>
      <c r="I168" s="2" t="str">
        <f>IF(F168="","",VLOOKUP(F168,Productos!$A$2:$F$182,4,FALSE))</f>
        <v>Servicios prestados a las empresas y servicios de producción</v>
      </c>
      <c r="J168" s="2">
        <f>IF(F168="","",VLOOKUP(F168,Productos!$A$2:$F$182,5,FALSE))</f>
        <v>7</v>
      </c>
      <c r="K168" s="2" t="str">
        <f>IF(F168="","",VLOOKUP(F168,Productos!$A$2:$F$182,6,FALSE))</f>
        <v>Otros servicios</v>
      </c>
      <c r="L168" s="2">
        <v>2</v>
      </c>
      <c r="M168" s="2" t="s">
        <v>142</v>
      </c>
      <c r="N168" s="2">
        <f>VLOOKUP(F168,Productos!$A$2:$J$182,5)</f>
        <v>7</v>
      </c>
      <c r="O168" s="2" t="str">
        <f>VLOOKUP(F168,Productos!$A$2:$J$182,6)</f>
        <v>Otros servicios</v>
      </c>
    </row>
    <row r="169" spans="1:15">
      <c r="A169" s="2" t="s">
        <v>349</v>
      </c>
      <c r="B169" s="2" t="s">
        <v>10</v>
      </c>
      <c r="C169" s="2" t="s">
        <v>11</v>
      </c>
      <c r="D169" s="2" t="s">
        <v>12</v>
      </c>
      <c r="E169" s="2" t="s">
        <v>11</v>
      </c>
      <c r="F169" s="3">
        <v>168</v>
      </c>
      <c r="G169" s="2" t="s">
        <v>350</v>
      </c>
      <c r="H169" s="2" t="str">
        <f>IF(F169="","",VLOOKUP(F169,Productos!$A$2:$F$182,3,FALSE))</f>
        <v>8</v>
      </c>
      <c r="I169" s="2" t="str">
        <f>IF(F169="","",VLOOKUP(F169,Productos!$A$2:$F$182,4,FALSE))</f>
        <v>Servicios prestados a las empresas y servicios de producción</v>
      </c>
      <c r="J169" s="2">
        <f>IF(F169="","",VLOOKUP(F169,Productos!$A$2:$F$182,5,FALSE))</f>
        <v>7</v>
      </c>
      <c r="K169" s="2" t="str">
        <f>IF(F169="","",VLOOKUP(F169,Productos!$A$2:$F$182,6,FALSE))</f>
        <v>Otros servicios</v>
      </c>
      <c r="L169" s="2">
        <v>3</v>
      </c>
      <c r="M169" s="2" t="s">
        <v>67</v>
      </c>
      <c r="N169" s="2">
        <f>VLOOKUP(F169,Productos!$A$2:$J$182,5)</f>
        <v>7</v>
      </c>
      <c r="O169" s="2" t="str">
        <f>VLOOKUP(F169,Productos!$A$2:$J$182,6)</f>
        <v>Otros servicios</v>
      </c>
    </row>
    <row r="170" spans="1:15">
      <c r="A170" s="2" t="s">
        <v>351</v>
      </c>
      <c r="B170" s="2" t="s">
        <v>10</v>
      </c>
      <c r="C170" s="2" t="s">
        <v>11</v>
      </c>
      <c r="D170" s="2" t="s">
        <v>12</v>
      </c>
      <c r="E170" s="2" t="s">
        <v>11</v>
      </c>
      <c r="F170" s="3">
        <v>169</v>
      </c>
      <c r="G170" s="2" t="s">
        <v>352</v>
      </c>
      <c r="H170" s="2" t="str">
        <f>IF(F170="","",VLOOKUP(F170,Productos!$A$2:$F$182,3,FALSE))</f>
        <v>8</v>
      </c>
      <c r="I170" s="2" t="str">
        <f>IF(F170="","",VLOOKUP(F170,Productos!$A$2:$F$182,4,FALSE))</f>
        <v>Servicios prestados a las empresas y servicios de producción</v>
      </c>
      <c r="J170" s="2">
        <f>IF(F170="","",VLOOKUP(F170,Productos!$A$2:$F$182,5,FALSE))</f>
        <v>7</v>
      </c>
      <c r="K170" s="2" t="str">
        <f>IF(F170="","",VLOOKUP(F170,Productos!$A$2:$F$182,6,FALSE))</f>
        <v>Otros servicios</v>
      </c>
      <c r="L170" s="2">
        <v>3</v>
      </c>
      <c r="M170" s="2" t="s">
        <v>67</v>
      </c>
      <c r="N170" s="2">
        <f>VLOOKUP(F170,Productos!$A$2:$J$182,5)</f>
        <v>7</v>
      </c>
      <c r="O170" s="2" t="str">
        <f>VLOOKUP(F170,Productos!$A$2:$J$182,6)</f>
        <v>Otros servicios</v>
      </c>
    </row>
    <row r="171" spans="1:15">
      <c r="A171" s="2" t="s">
        <v>353</v>
      </c>
      <c r="B171" s="2" t="s">
        <v>10</v>
      </c>
      <c r="C171" s="2" t="s">
        <v>11</v>
      </c>
      <c r="D171" s="2" t="s">
        <v>12</v>
      </c>
      <c r="E171" s="2" t="s">
        <v>11</v>
      </c>
      <c r="F171" s="3">
        <v>170</v>
      </c>
      <c r="G171" s="2" t="s">
        <v>354</v>
      </c>
      <c r="H171" s="2" t="str">
        <f>IF(F171="","",VLOOKUP(F171,Productos!$A$2:$F$182,3,FALSE))</f>
        <v>8</v>
      </c>
      <c r="I171" s="2" t="str">
        <f>IF(F171="","",VLOOKUP(F171,Productos!$A$2:$F$182,4,FALSE))</f>
        <v>Servicios prestados a las empresas y servicios de producción</v>
      </c>
      <c r="J171" s="2">
        <f>IF(F171="","",VLOOKUP(F171,Productos!$A$2:$F$182,5,FALSE))</f>
        <v>7</v>
      </c>
      <c r="K171" s="2" t="str">
        <f>IF(F171="","",VLOOKUP(F171,Productos!$A$2:$F$182,6,FALSE))</f>
        <v>Otros servicios</v>
      </c>
      <c r="L171" s="2">
        <v>3</v>
      </c>
      <c r="M171" s="2" t="s">
        <v>67</v>
      </c>
      <c r="N171" s="2">
        <f>VLOOKUP(F171,Productos!$A$2:$J$182,5)</f>
        <v>7</v>
      </c>
      <c r="O171" s="2" t="str">
        <f>VLOOKUP(F171,Productos!$A$2:$J$182,6)</f>
        <v>Otros servicios</v>
      </c>
    </row>
    <row r="172" spans="1:15">
      <c r="A172" s="2" t="s">
        <v>355</v>
      </c>
      <c r="B172" s="2" t="s">
        <v>10</v>
      </c>
      <c r="C172" s="2" t="s">
        <v>11</v>
      </c>
      <c r="D172" s="2" t="s">
        <v>12</v>
      </c>
      <c r="E172" s="2" t="s">
        <v>11</v>
      </c>
      <c r="F172" s="3">
        <v>171</v>
      </c>
      <c r="G172" s="2" t="s">
        <v>356</v>
      </c>
      <c r="H172" s="2" t="str">
        <f>IF(F172="","",VLOOKUP(F172,Productos!$A$2:$F$182,3,FALSE))</f>
        <v>9</v>
      </c>
      <c r="I172" s="2" t="str">
        <f>IF(F172="","",VLOOKUP(F172,Productos!$A$2:$F$182,4,FALSE))</f>
        <v>Servicios para la comunidad, sociales y personales</v>
      </c>
      <c r="J172" s="2">
        <f>IF(F172="","",VLOOKUP(F172,Productos!$A$2:$F$182,5,FALSE))</f>
        <v>7</v>
      </c>
      <c r="K172" s="2" t="str">
        <f>IF(F172="","",VLOOKUP(F172,Productos!$A$2:$F$182,6,FALSE))</f>
        <v>Otros servicios</v>
      </c>
      <c r="L172" s="2">
        <v>3</v>
      </c>
      <c r="M172" s="2" t="s">
        <v>67</v>
      </c>
      <c r="N172" s="2">
        <f>VLOOKUP(F172,Productos!$A$2:$J$182,5)</f>
        <v>7</v>
      </c>
      <c r="O172" s="2" t="str">
        <f>VLOOKUP(F172,Productos!$A$2:$J$182,6)</f>
        <v>Otros servicios</v>
      </c>
    </row>
    <row r="173" spans="1:15">
      <c r="A173" s="2" t="s">
        <v>357</v>
      </c>
      <c r="B173" s="2" t="s">
        <v>10</v>
      </c>
      <c r="C173" s="2" t="s">
        <v>11</v>
      </c>
      <c r="D173" s="2" t="s">
        <v>12</v>
      </c>
      <c r="E173" s="2" t="s">
        <v>11</v>
      </c>
      <c r="F173" s="3">
        <v>172</v>
      </c>
      <c r="G173" s="2" t="s">
        <v>358</v>
      </c>
      <c r="H173" s="2" t="str">
        <f>IF(F173="","",VLOOKUP(F173,Productos!$A$2:$F$182,3,FALSE))</f>
        <v>9</v>
      </c>
      <c r="I173" s="2" t="str">
        <f>IF(F173="","",VLOOKUP(F173,Productos!$A$2:$F$182,4,FALSE))</f>
        <v>Servicios para la comunidad, sociales y personales</v>
      </c>
      <c r="J173" s="2">
        <f>IF(F173="","",VLOOKUP(F173,Productos!$A$2:$F$182,5,FALSE))</f>
        <v>7</v>
      </c>
      <c r="K173" s="2" t="str">
        <f>IF(F173="","",VLOOKUP(F173,Productos!$A$2:$F$182,6,FALSE))</f>
        <v>Otros servicios</v>
      </c>
      <c r="L173" s="2">
        <v>3</v>
      </c>
      <c r="M173" s="2" t="s">
        <v>67</v>
      </c>
      <c r="N173" s="2">
        <f>VLOOKUP(F173,Productos!$A$2:$J$182,5)</f>
        <v>7</v>
      </c>
      <c r="O173" s="2" t="str">
        <f>VLOOKUP(F173,Productos!$A$2:$J$182,6)</f>
        <v>Otros servicios</v>
      </c>
    </row>
    <row r="174" spans="1:15">
      <c r="A174" s="2" t="s">
        <v>359</v>
      </c>
      <c r="B174" s="2" t="s">
        <v>10</v>
      </c>
      <c r="C174" s="2" t="s">
        <v>11</v>
      </c>
      <c r="D174" s="2" t="s">
        <v>12</v>
      </c>
      <c r="E174" s="2" t="s">
        <v>11</v>
      </c>
      <c r="F174" s="3">
        <v>173</v>
      </c>
      <c r="G174" s="2" t="s">
        <v>360</v>
      </c>
      <c r="H174" s="2" t="str">
        <f>IF(F174="","",VLOOKUP(F174,Productos!$A$2:$F$182,3,FALSE))</f>
        <v>9</v>
      </c>
      <c r="I174" s="2" t="str">
        <f>IF(F174="","",VLOOKUP(F174,Productos!$A$2:$F$182,4,FALSE))</f>
        <v>Servicios para la comunidad, sociales y personales</v>
      </c>
      <c r="J174" s="2">
        <f>IF(F174="","",VLOOKUP(F174,Productos!$A$2:$F$182,5,FALSE))</f>
        <v>7</v>
      </c>
      <c r="K174" s="2" t="str">
        <f>IF(F174="","",VLOOKUP(F174,Productos!$A$2:$F$182,6,FALSE))</f>
        <v>Otros servicios</v>
      </c>
      <c r="L174" s="2">
        <v>3</v>
      </c>
      <c r="M174" s="2" t="s">
        <v>67</v>
      </c>
      <c r="N174" s="2">
        <f>VLOOKUP(F174,Productos!$A$2:$J$182,5)</f>
        <v>7</v>
      </c>
      <c r="O174" s="2" t="str">
        <f>VLOOKUP(F174,Productos!$A$2:$J$182,6)</f>
        <v>Otros servicios</v>
      </c>
    </row>
    <row r="175" spans="1:15">
      <c r="A175" s="2" t="s">
        <v>361</v>
      </c>
      <c r="B175" s="2" t="s">
        <v>10</v>
      </c>
      <c r="C175" s="2" t="s">
        <v>11</v>
      </c>
      <c r="D175" s="2" t="s">
        <v>12</v>
      </c>
      <c r="E175" s="2" t="s">
        <v>11</v>
      </c>
      <c r="F175" s="3">
        <v>174</v>
      </c>
      <c r="G175" s="2" t="s">
        <v>362</v>
      </c>
      <c r="H175" s="2" t="str">
        <f>IF(F175="","",VLOOKUP(F175,Productos!$A$2:$F$182,3,FALSE))</f>
        <v>9</v>
      </c>
      <c r="I175" s="2" t="str">
        <f>IF(F175="","",VLOOKUP(F175,Productos!$A$2:$F$182,4,FALSE))</f>
        <v>Servicios para la comunidad, sociales y personales</v>
      </c>
      <c r="J175" s="2">
        <f>IF(F175="","",VLOOKUP(F175,Productos!$A$2:$F$182,5,FALSE))</f>
        <v>7</v>
      </c>
      <c r="K175" s="2" t="str">
        <f>IF(F175="","",VLOOKUP(F175,Productos!$A$2:$F$182,6,FALSE))</f>
        <v>Otros servicios</v>
      </c>
      <c r="L175" s="2">
        <v>3</v>
      </c>
      <c r="M175" s="2" t="s">
        <v>67</v>
      </c>
      <c r="N175" s="2">
        <f>VLOOKUP(F175,Productos!$A$2:$J$182,5)</f>
        <v>7</v>
      </c>
      <c r="O175" s="2" t="str">
        <f>VLOOKUP(F175,Productos!$A$2:$J$182,6)</f>
        <v>Otros servicios</v>
      </c>
    </row>
    <row r="176" spans="1:15">
      <c r="A176" s="2" t="s">
        <v>363</v>
      </c>
      <c r="B176" s="2" t="s">
        <v>10</v>
      </c>
      <c r="C176" s="2" t="s">
        <v>11</v>
      </c>
      <c r="D176" s="2" t="s">
        <v>12</v>
      </c>
      <c r="E176" s="2" t="s">
        <v>11</v>
      </c>
      <c r="F176" s="3">
        <v>175</v>
      </c>
      <c r="G176" s="2" t="s">
        <v>364</v>
      </c>
      <c r="H176" s="2" t="str">
        <f>IF(F176="","",VLOOKUP(F176,Productos!$A$2:$F$182,3,FALSE))</f>
        <v>9</v>
      </c>
      <c r="I176" s="2" t="str">
        <f>IF(F176="","",VLOOKUP(F176,Productos!$A$2:$F$182,4,FALSE))</f>
        <v>Servicios para la comunidad, sociales y personales</v>
      </c>
      <c r="J176" s="2">
        <f>IF(F176="","",VLOOKUP(F176,Productos!$A$2:$F$182,5,FALSE))</f>
        <v>7</v>
      </c>
      <c r="K176" s="2" t="str">
        <f>IF(F176="","",VLOOKUP(F176,Productos!$A$2:$F$182,6,FALSE))</f>
        <v>Otros servicios</v>
      </c>
      <c r="L176" s="2">
        <v>3</v>
      </c>
      <c r="M176" s="2" t="s">
        <v>67</v>
      </c>
      <c r="N176" s="2">
        <f>VLOOKUP(F176,Productos!$A$2:$J$182,5)</f>
        <v>7</v>
      </c>
      <c r="O176" s="2" t="str">
        <f>VLOOKUP(F176,Productos!$A$2:$J$182,6)</f>
        <v>Otros servicios</v>
      </c>
    </row>
    <row r="177" spans="1:15">
      <c r="A177" s="2" t="s">
        <v>365</v>
      </c>
      <c r="B177" s="2" t="s">
        <v>10</v>
      </c>
      <c r="C177" s="2" t="s">
        <v>11</v>
      </c>
      <c r="D177" s="2" t="s">
        <v>12</v>
      </c>
      <c r="E177" s="2" t="s">
        <v>11</v>
      </c>
      <c r="F177" s="3">
        <v>176</v>
      </c>
      <c r="G177" s="2" t="s">
        <v>366</v>
      </c>
      <c r="H177" s="2" t="str">
        <f>IF(F177="","",VLOOKUP(F177,Productos!$A$2:$F$182,3,FALSE))</f>
        <v>9</v>
      </c>
      <c r="I177" s="2" t="str">
        <f>IF(F177="","",VLOOKUP(F177,Productos!$A$2:$F$182,4,FALSE))</f>
        <v>Servicios para la comunidad, sociales y personales</v>
      </c>
      <c r="J177" s="2">
        <f>IF(F177="","",VLOOKUP(F177,Productos!$A$2:$F$182,5,FALSE))</f>
        <v>7</v>
      </c>
      <c r="K177" s="2" t="str">
        <f>IF(F177="","",VLOOKUP(F177,Productos!$A$2:$F$182,6,FALSE))</f>
        <v>Otros servicios</v>
      </c>
      <c r="L177" s="2">
        <v>3</v>
      </c>
      <c r="M177" s="2" t="s">
        <v>67</v>
      </c>
      <c r="N177" s="2">
        <f>VLOOKUP(F177,Productos!$A$2:$J$182,5)</f>
        <v>7</v>
      </c>
      <c r="O177" s="2" t="str">
        <f>VLOOKUP(F177,Productos!$A$2:$J$182,6)</f>
        <v>Otros servicios</v>
      </c>
    </row>
    <row r="178" spans="1:15">
      <c r="A178" s="2" t="s">
        <v>367</v>
      </c>
      <c r="B178" s="2" t="s">
        <v>10</v>
      </c>
      <c r="C178" s="2" t="s">
        <v>11</v>
      </c>
      <c r="D178" s="2" t="s">
        <v>12</v>
      </c>
      <c r="E178" s="2" t="s">
        <v>11</v>
      </c>
      <c r="F178" s="3">
        <v>177</v>
      </c>
      <c r="G178" s="2" t="s">
        <v>368</v>
      </c>
      <c r="H178" s="2" t="str">
        <f>IF(F178="","",VLOOKUP(F178,Productos!$A$2:$F$182,3,FALSE))</f>
        <v>9</v>
      </c>
      <c r="I178" s="2" t="str">
        <f>IF(F178="","",VLOOKUP(F178,Productos!$A$2:$F$182,4,FALSE))</f>
        <v>Servicios para la comunidad, sociales y personales</v>
      </c>
      <c r="J178" s="2">
        <f>IF(F178="","",VLOOKUP(F178,Productos!$A$2:$F$182,5,FALSE))</f>
        <v>7</v>
      </c>
      <c r="K178" s="2" t="str">
        <f>IF(F178="","",VLOOKUP(F178,Productos!$A$2:$F$182,6,FALSE))</f>
        <v>Otros servicios</v>
      </c>
      <c r="L178" s="2">
        <v>3</v>
      </c>
      <c r="M178" s="2" t="s">
        <v>67</v>
      </c>
      <c r="N178" s="2">
        <f>VLOOKUP(F178,Productos!$A$2:$J$182,5)</f>
        <v>7</v>
      </c>
      <c r="O178" s="2" t="str">
        <f>VLOOKUP(F178,Productos!$A$2:$J$182,6)</f>
        <v>Otros servicios</v>
      </c>
    </row>
    <row r="179" spans="1:15">
      <c r="A179" s="2" t="s">
        <v>369</v>
      </c>
      <c r="B179" s="2" t="s">
        <v>10</v>
      </c>
      <c r="C179" s="2" t="s">
        <v>11</v>
      </c>
      <c r="D179" s="2" t="s">
        <v>12</v>
      </c>
      <c r="E179" s="2" t="s">
        <v>11</v>
      </c>
      <c r="F179" s="3">
        <v>178</v>
      </c>
      <c r="G179" s="2" t="s">
        <v>370</v>
      </c>
      <c r="H179" s="2" t="str">
        <f>IF(F179="","",VLOOKUP(F179,Productos!$A$2:$F$182,3,FALSE))</f>
        <v>9</v>
      </c>
      <c r="I179" s="2" t="str">
        <f>IF(F179="","",VLOOKUP(F179,Productos!$A$2:$F$182,4,FALSE))</f>
        <v>Servicios para la comunidad, sociales y personales</v>
      </c>
      <c r="J179" s="2">
        <f>IF(F179="","",VLOOKUP(F179,Productos!$A$2:$F$182,5,FALSE))</f>
        <v>7</v>
      </c>
      <c r="K179" s="2" t="str">
        <f>IF(F179="","",VLOOKUP(F179,Productos!$A$2:$F$182,6,FALSE))</f>
        <v>Otros servicios</v>
      </c>
      <c r="L179" s="2">
        <v>3</v>
      </c>
      <c r="M179" s="2" t="s">
        <v>67</v>
      </c>
      <c r="N179" s="2">
        <f>VLOOKUP(F179,Productos!$A$2:$J$182,5)</f>
        <v>7</v>
      </c>
      <c r="O179" s="2" t="str">
        <f>VLOOKUP(F179,Productos!$A$2:$J$182,6)</f>
        <v>Otros servicios</v>
      </c>
    </row>
    <row r="180" spans="1:15">
      <c r="A180" s="2" t="s">
        <v>371</v>
      </c>
      <c r="B180" s="2" t="s">
        <v>10</v>
      </c>
      <c r="C180" s="2" t="s">
        <v>11</v>
      </c>
      <c r="D180" s="2" t="s">
        <v>12</v>
      </c>
      <c r="E180" s="2" t="s">
        <v>11</v>
      </c>
      <c r="F180" s="3">
        <v>179</v>
      </c>
      <c r="G180" s="2" t="s">
        <v>372</v>
      </c>
      <c r="H180" s="2" t="str">
        <f>IF(F180="","",VLOOKUP(F180,Productos!$A$2:$F$182,3,FALSE))</f>
        <v>9</v>
      </c>
      <c r="I180" s="2" t="str">
        <f>IF(F180="","",VLOOKUP(F180,Productos!$A$2:$F$182,4,FALSE))</f>
        <v>Servicios para la comunidad, sociales y personales</v>
      </c>
      <c r="J180" s="2">
        <f>IF(F180="","",VLOOKUP(F180,Productos!$A$2:$F$182,5,FALSE))</f>
        <v>7</v>
      </c>
      <c r="K180" s="2" t="str">
        <f>IF(F180="","",VLOOKUP(F180,Productos!$A$2:$F$182,6,FALSE))</f>
        <v>Otros servicios</v>
      </c>
      <c r="L180" s="2">
        <v>3</v>
      </c>
      <c r="M180" s="2" t="s">
        <v>67</v>
      </c>
      <c r="N180" s="2">
        <f>VLOOKUP(F180,Productos!$A$2:$J$182,5)</f>
        <v>7</v>
      </c>
      <c r="O180" s="2" t="str">
        <f>VLOOKUP(F180,Productos!$A$2:$J$182,6)</f>
        <v>Otros servicios</v>
      </c>
    </row>
    <row r="181" spans="1:15">
      <c r="A181" s="2" t="s">
        <v>373</v>
      </c>
      <c r="B181" s="2" t="s">
        <v>10</v>
      </c>
      <c r="C181" s="2" t="s">
        <v>11</v>
      </c>
      <c r="D181" s="2" t="s">
        <v>12</v>
      </c>
      <c r="E181" s="2" t="s">
        <v>11</v>
      </c>
      <c r="F181" s="3">
        <v>180</v>
      </c>
      <c r="G181" s="2" t="s">
        <v>374</v>
      </c>
      <c r="H181" s="2" t="str">
        <f>IF(F181="","",VLOOKUP(F181,Productos!$A$2:$F$182,3,FALSE))</f>
        <v>9</v>
      </c>
      <c r="I181" s="2" t="str">
        <f>IF(F181="","",VLOOKUP(F181,Productos!$A$2:$F$182,4,FALSE))</f>
        <v>Servicios para la comunidad, sociales y personales</v>
      </c>
      <c r="J181" s="2">
        <f>IF(F181="","",VLOOKUP(F181,Productos!$A$2:$F$182,5,FALSE))</f>
        <v>7</v>
      </c>
      <c r="K181" s="2" t="str">
        <f>IF(F181="","",VLOOKUP(F181,Productos!$A$2:$F$182,6,FALSE))</f>
        <v>Otros servicios</v>
      </c>
      <c r="L181" s="2">
        <v>3</v>
      </c>
      <c r="M181" s="2" t="s">
        <v>67</v>
      </c>
      <c r="N181" s="2">
        <f>VLOOKUP(F181,Productos!$A$2:$J$182,5)</f>
        <v>7</v>
      </c>
      <c r="O181" s="2" t="str">
        <f>VLOOKUP(F181,Productos!$A$2:$J$182,6)</f>
        <v>Otros servicios</v>
      </c>
    </row>
    <row r="182" spans="1:15">
      <c r="A182" s="2" t="s">
        <v>375</v>
      </c>
      <c r="B182" s="2" t="s">
        <v>10</v>
      </c>
      <c r="C182" s="2" t="s">
        <v>11</v>
      </c>
      <c r="D182" s="2" t="s">
        <v>12</v>
      </c>
      <c r="E182" s="2" t="s">
        <v>11</v>
      </c>
      <c r="F182" s="3">
        <v>181</v>
      </c>
      <c r="G182" s="2" t="s">
        <v>376</v>
      </c>
      <c r="H182" s="2" t="str">
        <f>IF(F182="","",VLOOKUP(F182,Productos!$A$2:$F$182,3,FALSE))</f>
        <v>9</v>
      </c>
      <c r="I182" s="2" t="str">
        <f>IF(F182="","",VLOOKUP(F182,Productos!$A$2:$F$182,4,FALSE))</f>
        <v>Servicios para la comunidad, sociales y personales</v>
      </c>
      <c r="J182" s="2">
        <f>IF(F182="","",VLOOKUP(F182,Productos!$A$2:$F$182,5,FALSE))</f>
        <v>7</v>
      </c>
      <c r="K182" s="2" t="str">
        <f>IF(F182="","",VLOOKUP(F182,Productos!$A$2:$F$182,6,FALSE))</f>
        <v>Otros servicios</v>
      </c>
      <c r="L182" s="2">
        <v>3</v>
      </c>
      <c r="M182" s="2" t="s">
        <v>67</v>
      </c>
      <c r="N182" s="2">
        <f>VLOOKUP(F182,Productos!$A$2:$J$182,5)</f>
        <v>7</v>
      </c>
      <c r="O182" s="2" t="str">
        <f>VLOOKUP(F182,Productos!$A$2:$J$182,6)</f>
        <v>Otros servicios</v>
      </c>
    </row>
    <row r="183" spans="1:15">
      <c r="A183" s="4" t="s">
        <v>377</v>
      </c>
      <c r="B183" s="4" t="s">
        <v>10</v>
      </c>
      <c r="C183" s="4" t="s">
        <v>11</v>
      </c>
      <c r="D183" s="4" t="s">
        <v>12</v>
      </c>
      <c r="E183" s="4" t="s">
        <v>11</v>
      </c>
      <c r="F183" s="5">
        <v>1</v>
      </c>
      <c r="G183" s="4" t="s">
        <v>13</v>
      </c>
      <c r="H183" s="4" t="str">
        <f>IF(F183="","",VLOOKUP(F183,Productos!$A$2:$F$182,3,FALSE))</f>
        <v>0</v>
      </c>
      <c r="I183" s="4" t="str">
        <f>IF(F183="","",VLOOKUP(F183,Productos!$A$2:$F$182,4,FALSE))</f>
        <v>Productos de la agricultura, la silvicultura y la pesca</v>
      </c>
      <c r="J183" s="4">
        <f>IF(F183="","",VLOOKUP(F183,Productos!$A$2:$F$182,5,FALSE))</f>
        <v>1</v>
      </c>
      <c r="K183" s="4" t="str">
        <f>IF(F183="","",VLOOKUP(F183,Productos!$A$2:$F$182,6,FALSE))</f>
        <v>Agropecuarios</v>
      </c>
      <c r="L183" s="4">
        <v>1</v>
      </c>
      <c r="M183" s="4" t="s">
        <v>14</v>
      </c>
      <c r="N183" s="4">
        <f>VLOOKUP(F183,Productos!$A$2:$J$182,5)</f>
        <v>1</v>
      </c>
      <c r="O183" s="4" t="str">
        <f>VLOOKUP(F183,Productos!$A$2:$J$182,6)</f>
        <v>Agropecuarios</v>
      </c>
    </row>
    <row r="184" spans="1:15">
      <c r="A184" s="4" t="s">
        <v>378</v>
      </c>
      <c r="B184" s="4" t="s">
        <v>10</v>
      </c>
      <c r="C184" s="4" t="s">
        <v>11</v>
      </c>
      <c r="D184" s="4" t="s">
        <v>12</v>
      </c>
      <c r="E184" s="4" t="s">
        <v>11</v>
      </c>
      <c r="F184" s="5">
        <v>2</v>
      </c>
      <c r="G184" s="4" t="s">
        <v>16</v>
      </c>
      <c r="H184" s="4" t="str">
        <f>IF(F184="","",VLOOKUP(F184,Productos!$A$2:$F$182,3,FALSE))</f>
        <v>0</v>
      </c>
      <c r="I184" s="4" t="str">
        <f>IF(F184="","",VLOOKUP(F184,Productos!$A$2:$F$182,4,FALSE))</f>
        <v>Productos de la agricultura, la silvicultura y la pesca</v>
      </c>
      <c r="J184" s="4">
        <f>IF(F184="","",VLOOKUP(F184,Productos!$A$2:$F$182,5,FALSE))</f>
        <v>1</v>
      </c>
      <c r="K184" s="4" t="str">
        <f>IF(F184="","",VLOOKUP(F184,Productos!$A$2:$F$182,6,FALSE))</f>
        <v>Agropecuarios</v>
      </c>
      <c r="L184" s="4">
        <v>1</v>
      </c>
      <c r="M184" s="4" t="s">
        <v>14</v>
      </c>
      <c r="N184" s="4">
        <f>VLOOKUP(F184,Productos!$A$2:$J$182,5)</f>
        <v>1</v>
      </c>
      <c r="O184" s="4" t="str">
        <f>VLOOKUP(F184,Productos!$A$2:$J$182,6)</f>
        <v>Agropecuarios</v>
      </c>
    </row>
    <row r="185" spans="1:15">
      <c r="A185" s="4" t="s">
        <v>379</v>
      </c>
      <c r="B185" s="4" t="s">
        <v>10</v>
      </c>
      <c r="C185" s="4" t="s">
        <v>11</v>
      </c>
      <c r="D185" s="4" t="s">
        <v>12</v>
      </c>
      <c r="E185" s="4" t="s">
        <v>11</v>
      </c>
      <c r="F185" s="5">
        <v>3</v>
      </c>
      <c r="G185" s="4" t="s">
        <v>18</v>
      </c>
      <c r="H185" s="4" t="str">
        <f>IF(F185="","",VLOOKUP(F185,Productos!$A$2:$F$182,3,FALSE))</f>
        <v>0</v>
      </c>
      <c r="I185" s="4" t="str">
        <f>IF(F185="","",VLOOKUP(F185,Productos!$A$2:$F$182,4,FALSE))</f>
        <v>Productos de la agricultura, la silvicultura y la pesca</v>
      </c>
      <c r="J185" s="4">
        <f>IF(F185="","",VLOOKUP(F185,Productos!$A$2:$F$182,5,FALSE))</f>
        <v>1</v>
      </c>
      <c r="K185" s="4" t="str">
        <f>IF(F185="","",VLOOKUP(F185,Productos!$A$2:$F$182,6,FALSE))</f>
        <v>Agropecuarios</v>
      </c>
      <c r="L185" s="4">
        <v>1</v>
      </c>
      <c r="M185" s="4" t="s">
        <v>14</v>
      </c>
      <c r="N185" s="4">
        <f>VLOOKUP(F185,Productos!$A$2:$J$182,5)</f>
        <v>1</v>
      </c>
      <c r="O185" s="4" t="str">
        <f>VLOOKUP(F185,Productos!$A$2:$J$182,6)</f>
        <v>Agropecuarios</v>
      </c>
    </row>
    <row r="186" spans="1:15">
      <c r="A186" s="4" t="s">
        <v>380</v>
      </c>
      <c r="B186" s="4" t="s">
        <v>10</v>
      </c>
      <c r="C186" s="4" t="s">
        <v>11</v>
      </c>
      <c r="D186" s="4" t="s">
        <v>12</v>
      </c>
      <c r="E186" s="4" t="s">
        <v>11</v>
      </c>
      <c r="F186" s="5">
        <v>4</v>
      </c>
      <c r="G186" s="4" t="s">
        <v>20</v>
      </c>
      <c r="H186" s="4" t="str">
        <f>IF(F186="","",VLOOKUP(F186,Productos!$A$2:$F$182,3,FALSE))</f>
        <v>0</v>
      </c>
      <c r="I186" s="4" t="str">
        <f>IF(F186="","",VLOOKUP(F186,Productos!$A$2:$F$182,4,FALSE))</f>
        <v>Productos de la agricultura, la silvicultura y la pesca</v>
      </c>
      <c r="J186" s="4">
        <f>IF(F186="","",VLOOKUP(F186,Productos!$A$2:$F$182,5,FALSE))</f>
        <v>1</v>
      </c>
      <c r="K186" s="4" t="str">
        <f>IF(F186="","",VLOOKUP(F186,Productos!$A$2:$F$182,6,FALSE))</f>
        <v>Agropecuarios</v>
      </c>
      <c r="L186" s="4">
        <v>1</v>
      </c>
      <c r="M186" s="4" t="s">
        <v>14</v>
      </c>
      <c r="N186" s="4">
        <f>VLOOKUP(F186,Productos!$A$2:$J$182,5)</f>
        <v>1</v>
      </c>
      <c r="O186" s="4" t="str">
        <f>VLOOKUP(F186,Productos!$A$2:$J$182,6)</f>
        <v>Agropecuarios</v>
      </c>
    </row>
    <row r="187" spans="1:15">
      <c r="A187" s="4" t="s">
        <v>381</v>
      </c>
      <c r="B187" s="4" t="s">
        <v>10</v>
      </c>
      <c r="C187" s="4" t="s">
        <v>11</v>
      </c>
      <c r="D187" s="4" t="s">
        <v>12</v>
      </c>
      <c r="E187" s="4" t="s">
        <v>11</v>
      </c>
      <c r="F187" s="5">
        <v>5</v>
      </c>
      <c r="G187" s="4" t="s">
        <v>22</v>
      </c>
      <c r="H187" s="4" t="str">
        <f>IF(F187="","",VLOOKUP(F187,Productos!$A$2:$F$182,3,FALSE))</f>
        <v>0</v>
      </c>
      <c r="I187" s="4" t="str">
        <f>IF(F187="","",VLOOKUP(F187,Productos!$A$2:$F$182,4,FALSE))</f>
        <v>Productos de la agricultura, la silvicultura y la pesca</v>
      </c>
      <c r="J187" s="4">
        <f>IF(F187="","",VLOOKUP(F187,Productos!$A$2:$F$182,5,FALSE))</f>
        <v>1</v>
      </c>
      <c r="K187" s="4" t="str">
        <f>IF(F187="","",VLOOKUP(F187,Productos!$A$2:$F$182,6,FALSE))</f>
        <v>Agropecuarios</v>
      </c>
      <c r="L187" s="4">
        <v>1</v>
      </c>
      <c r="M187" s="4" t="s">
        <v>14</v>
      </c>
      <c r="N187" s="4">
        <f>VLOOKUP(F187,Productos!$A$2:$J$182,5)</f>
        <v>1</v>
      </c>
      <c r="O187" s="4" t="str">
        <f>VLOOKUP(F187,Productos!$A$2:$J$182,6)</f>
        <v>Agropecuarios</v>
      </c>
    </row>
    <row r="188" spans="1:15">
      <c r="A188" s="4" t="s">
        <v>382</v>
      </c>
      <c r="B188" s="4" t="s">
        <v>10</v>
      </c>
      <c r="C188" s="4" t="s">
        <v>11</v>
      </c>
      <c r="D188" s="4" t="s">
        <v>12</v>
      </c>
      <c r="E188" s="4" t="s">
        <v>11</v>
      </c>
      <c r="F188" s="5">
        <v>6</v>
      </c>
      <c r="G188" s="4" t="s">
        <v>24</v>
      </c>
      <c r="H188" s="4" t="str">
        <f>IF(F188="","",VLOOKUP(F188,Productos!$A$2:$F$182,3,FALSE))</f>
        <v>0</v>
      </c>
      <c r="I188" s="4" t="str">
        <f>IF(F188="","",VLOOKUP(F188,Productos!$A$2:$F$182,4,FALSE))</f>
        <v>Productos de la agricultura, la silvicultura y la pesca</v>
      </c>
      <c r="J188" s="4">
        <f>IF(F188="","",VLOOKUP(F188,Productos!$A$2:$F$182,5,FALSE))</f>
        <v>1</v>
      </c>
      <c r="K188" s="4" t="str">
        <f>IF(F188="","",VLOOKUP(F188,Productos!$A$2:$F$182,6,FALSE))</f>
        <v>Agropecuarios</v>
      </c>
      <c r="L188" s="4">
        <v>1</v>
      </c>
      <c r="M188" s="4" t="s">
        <v>14</v>
      </c>
      <c r="N188" s="4">
        <f>VLOOKUP(F188,Productos!$A$2:$J$182,5)</f>
        <v>1</v>
      </c>
      <c r="O188" s="4" t="str">
        <f>VLOOKUP(F188,Productos!$A$2:$J$182,6)</f>
        <v>Agropecuarios</v>
      </c>
    </row>
    <row r="189" spans="1:15">
      <c r="A189" s="4" t="s">
        <v>383</v>
      </c>
      <c r="B189" s="4" t="s">
        <v>10</v>
      </c>
      <c r="C189" s="4" t="s">
        <v>11</v>
      </c>
      <c r="D189" s="4" t="s">
        <v>12</v>
      </c>
      <c r="E189" s="4" t="s">
        <v>11</v>
      </c>
      <c r="F189" s="5">
        <v>7</v>
      </c>
      <c r="G189" s="4" t="s">
        <v>26</v>
      </c>
      <c r="H189" s="4" t="str">
        <f>IF(F189="","",VLOOKUP(F189,Productos!$A$2:$F$182,3,FALSE))</f>
        <v>0</v>
      </c>
      <c r="I189" s="4" t="str">
        <f>IF(F189="","",VLOOKUP(F189,Productos!$A$2:$F$182,4,FALSE))</f>
        <v>Productos de la agricultura, la silvicultura y la pesca</v>
      </c>
      <c r="J189" s="4">
        <f>IF(F189="","",VLOOKUP(F189,Productos!$A$2:$F$182,5,FALSE))</f>
        <v>1</v>
      </c>
      <c r="K189" s="4" t="str">
        <f>IF(F189="","",VLOOKUP(F189,Productos!$A$2:$F$182,6,FALSE))</f>
        <v>Agropecuarios</v>
      </c>
      <c r="L189" s="4">
        <v>1</v>
      </c>
      <c r="M189" s="4" t="s">
        <v>14</v>
      </c>
      <c r="N189" s="4">
        <f>VLOOKUP(F189,Productos!$A$2:$J$182,5)</f>
        <v>1</v>
      </c>
      <c r="O189" s="4" t="str">
        <f>VLOOKUP(F189,Productos!$A$2:$J$182,6)</f>
        <v>Agropecuarios</v>
      </c>
    </row>
    <row r="190" spans="1:15">
      <c r="A190" s="4" t="s">
        <v>384</v>
      </c>
      <c r="B190" s="4" t="s">
        <v>10</v>
      </c>
      <c r="C190" s="4" t="s">
        <v>11</v>
      </c>
      <c r="D190" s="4" t="s">
        <v>12</v>
      </c>
      <c r="E190" s="4" t="s">
        <v>11</v>
      </c>
      <c r="F190" s="5">
        <v>8</v>
      </c>
      <c r="G190" s="4" t="s">
        <v>28</v>
      </c>
      <c r="H190" s="4" t="str">
        <f>IF(F190="","",VLOOKUP(F190,Productos!$A$2:$F$182,3,FALSE))</f>
        <v>0</v>
      </c>
      <c r="I190" s="4" t="str">
        <f>IF(F190="","",VLOOKUP(F190,Productos!$A$2:$F$182,4,FALSE))</f>
        <v>Productos de la agricultura, la silvicultura y la pesca</v>
      </c>
      <c r="J190" s="4">
        <f>IF(F190="","",VLOOKUP(F190,Productos!$A$2:$F$182,5,FALSE))</f>
        <v>1</v>
      </c>
      <c r="K190" s="4" t="str">
        <f>IF(F190="","",VLOOKUP(F190,Productos!$A$2:$F$182,6,FALSE))</f>
        <v>Agropecuarios</v>
      </c>
      <c r="L190" s="4">
        <v>1</v>
      </c>
      <c r="M190" s="4" t="s">
        <v>14</v>
      </c>
      <c r="N190" s="4">
        <f>VLOOKUP(F190,Productos!$A$2:$J$182,5)</f>
        <v>1</v>
      </c>
      <c r="O190" s="4" t="str">
        <f>VLOOKUP(F190,Productos!$A$2:$J$182,6)</f>
        <v>Agropecuarios</v>
      </c>
    </row>
    <row r="191" spans="1:15">
      <c r="A191" s="4" t="s">
        <v>385</v>
      </c>
      <c r="B191" s="4" t="s">
        <v>10</v>
      </c>
      <c r="C191" s="4" t="s">
        <v>11</v>
      </c>
      <c r="D191" s="4" t="s">
        <v>12</v>
      </c>
      <c r="E191" s="4" t="s">
        <v>11</v>
      </c>
      <c r="F191" s="5">
        <v>9</v>
      </c>
      <c r="G191" s="4" t="s">
        <v>30</v>
      </c>
      <c r="H191" s="4" t="str">
        <f>IF(F191="","",VLOOKUP(F191,Productos!$A$2:$F$182,3,FALSE))</f>
        <v>0</v>
      </c>
      <c r="I191" s="4" t="str">
        <f>IF(F191="","",VLOOKUP(F191,Productos!$A$2:$F$182,4,FALSE))</f>
        <v>Productos de la agricultura, la silvicultura y la pesca</v>
      </c>
      <c r="J191" s="4">
        <f>IF(F191="","",VLOOKUP(F191,Productos!$A$2:$F$182,5,FALSE))</f>
        <v>1</v>
      </c>
      <c r="K191" s="4" t="str">
        <f>IF(F191="","",VLOOKUP(F191,Productos!$A$2:$F$182,6,FALSE))</f>
        <v>Agropecuarios</v>
      </c>
      <c r="L191" s="4">
        <v>1</v>
      </c>
      <c r="M191" s="4" t="s">
        <v>14</v>
      </c>
      <c r="N191" s="4">
        <f>VLOOKUP(F191,Productos!$A$2:$J$182,5)</f>
        <v>1</v>
      </c>
      <c r="O191" s="4" t="str">
        <f>VLOOKUP(F191,Productos!$A$2:$J$182,6)</f>
        <v>Agropecuarios</v>
      </c>
    </row>
    <row r="192" spans="1:15">
      <c r="A192" s="4" t="s">
        <v>386</v>
      </c>
      <c r="B192" s="4" t="s">
        <v>10</v>
      </c>
      <c r="C192" s="4" t="s">
        <v>11</v>
      </c>
      <c r="D192" s="4" t="s">
        <v>12</v>
      </c>
      <c r="E192" s="4" t="s">
        <v>11</v>
      </c>
      <c r="F192" s="5">
        <v>10</v>
      </c>
      <c r="G192" s="4" t="s">
        <v>32</v>
      </c>
      <c r="H192" s="4" t="str">
        <f>IF(F192="","",VLOOKUP(F192,Productos!$A$2:$F$182,3,FALSE))</f>
        <v>0</v>
      </c>
      <c r="I192" s="4" t="str">
        <f>IF(F192="","",VLOOKUP(F192,Productos!$A$2:$F$182,4,FALSE))</f>
        <v>Productos de la agricultura, la silvicultura y la pesca</v>
      </c>
      <c r="J192" s="4">
        <f>IF(F192="","",VLOOKUP(F192,Productos!$A$2:$F$182,5,FALSE))</f>
        <v>1</v>
      </c>
      <c r="K192" s="4" t="str">
        <f>IF(F192="","",VLOOKUP(F192,Productos!$A$2:$F$182,6,FALSE))</f>
        <v>Agropecuarios</v>
      </c>
      <c r="L192" s="4">
        <v>1</v>
      </c>
      <c r="M192" s="4" t="s">
        <v>14</v>
      </c>
      <c r="N192" s="4">
        <f>VLOOKUP(F192,Productos!$A$2:$J$182,5)</f>
        <v>1</v>
      </c>
      <c r="O192" s="4" t="str">
        <f>VLOOKUP(F192,Productos!$A$2:$J$182,6)</f>
        <v>Agropecuarios</v>
      </c>
    </row>
    <row r="193" spans="1:15">
      <c r="A193" s="4" t="s">
        <v>387</v>
      </c>
      <c r="B193" s="4" t="s">
        <v>10</v>
      </c>
      <c r="C193" s="4" t="s">
        <v>11</v>
      </c>
      <c r="D193" s="4" t="s">
        <v>12</v>
      </c>
      <c r="E193" s="4" t="s">
        <v>11</v>
      </c>
      <c r="F193" s="5">
        <v>11</v>
      </c>
      <c r="G193" s="4" t="s">
        <v>34</v>
      </c>
      <c r="H193" s="4" t="str">
        <f>IF(F193="","",VLOOKUP(F193,Productos!$A$2:$F$182,3,FALSE))</f>
        <v>0</v>
      </c>
      <c r="I193" s="4" t="str">
        <f>IF(F193="","",VLOOKUP(F193,Productos!$A$2:$F$182,4,FALSE))</f>
        <v>Productos de la agricultura, la silvicultura y la pesca</v>
      </c>
      <c r="J193" s="4">
        <f>IF(F193="","",VLOOKUP(F193,Productos!$A$2:$F$182,5,FALSE))</f>
        <v>1</v>
      </c>
      <c r="K193" s="4" t="str">
        <f>IF(F193="","",VLOOKUP(F193,Productos!$A$2:$F$182,6,FALSE))</f>
        <v>Agropecuarios</v>
      </c>
      <c r="L193" s="4">
        <v>1</v>
      </c>
      <c r="M193" s="4" t="s">
        <v>14</v>
      </c>
      <c r="N193" s="4">
        <f>VLOOKUP(F193,Productos!$A$2:$J$182,5)</f>
        <v>1</v>
      </c>
      <c r="O193" s="4" t="str">
        <f>VLOOKUP(F193,Productos!$A$2:$J$182,6)</f>
        <v>Agropecuarios</v>
      </c>
    </row>
    <row r="194" spans="1:15">
      <c r="A194" s="4" t="s">
        <v>388</v>
      </c>
      <c r="B194" s="4" t="s">
        <v>10</v>
      </c>
      <c r="C194" s="4" t="s">
        <v>11</v>
      </c>
      <c r="D194" s="4" t="s">
        <v>12</v>
      </c>
      <c r="E194" s="4" t="s">
        <v>11</v>
      </c>
      <c r="F194" s="5">
        <v>12</v>
      </c>
      <c r="G194" s="4" t="s">
        <v>36</v>
      </c>
      <c r="H194" s="4" t="str">
        <f>IF(F194="","",VLOOKUP(F194,Productos!$A$2:$F$182,3,FALSE))</f>
        <v>0</v>
      </c>
      <c r="I194" s="4" t="str">
        <f>IF(F194="","",VLOOKUP(F194,Productos!$A$2:$F$182,4,FALSE))</f>
        <v>Productos de la agricultura, la silvicultura y la pesca</v>
      </c>
      <c r="J194" s="4">
        <f>IF(F194="","",VLOOKUP(F194,Productos!$A$2:$F$182,5,FALSE))</f>
        <v>1</v>
      </c>
      <c r="K194" s="4" t="str">
        <f>IF(F194="","",VLOOKUP(F194,Productos!$A$2:$F$182,6,FALSE))</f>
        <v>Agropecuarios</v>
      </c>
      <c r="L194" s="4">
        <v>1</v>
      </c>
      <c r="M194" s="4" t="s">
        <v>14</v>
      </c>
      <c r="N194" s="4">
        <f>VLOOKUP(F194,Productos!$A$2:$J$182,5)</f>
        <v>1</v>
      </c>
      <c r="O194" s="4" t="str">
        <f>VLOOKUP(F194,Productos!$A$2:$J$182,6)</f>
        <v>Agropecuarios</v>
      </c>
    </row>
    <row r="195" spans="1:15">
      <c r="A195" s="4" t="s">
        <v>389</v>
      </c>
      <c r="B195" s="4" t="s">
        <v>10</v>
      </c>
      <c r="C195" s="4" t="s">
        <v>11</v>
      </c>
      <c r="D195" s="4" t="s">
        <v>12</v>
      </c>
      <c r="E195" s="4" t="s">
        <v>11</v>
      </c>
      <c r="F195" s="5">
        <v>13</v>
      </c>
      <c r="G195" s="4" t="s">
        <v>38</v>
      </c>
      <c r="H195" s="4" t="str">
        <f>IF(F195="","",VLOOKUP(F195,Productos!$A$2:$F$182,3,FALSE))</f>
        <v>0</v>
      </c>
      <c r="I195" s="4" t="str">
        <f>IF(F195="","",VLOOKUP(F195,Productos!$A$2:$F$182,4,FALSE))</f>
        <v>Productos de la agricultura, la silvicultura y la pesca</v>
      </c>
      <c r="J195" s="4">
        <f>IF(F195="","",VLOOKUP(F195,Productos!$A$2:$F$182,5,FALSE))</f>
        <v>1</v>
      </c>
      <c r="K195" s="4" t="str">
        <f>IF(F195="","",VLOOKUP(F195,Productos!$A$2:$F$182,6,FALSE))</f>
        <v>Agropecuarios</v>
      </c>
      <c r="L195" s="4">
        <v>1</v>
      </c>
      <c r="M195" s="4" t="s">
        <v>14</v>
      </c>
      <c r="N195" s="4">
        <f>VLOOKUP(F195,Productos!$A$2:$J$182,5)</f>
        <v>1</v>
      </c>
      <c r="O195" s="4" t="str">
        <f>VLOOKUP(F195,Productos!$A$2:$J$182,6)</f>
        <v>Agropecuarios</v>
      </c>
    </row>
    <row r="196" spans="1:15">
      <c r="A196" s="4" t="s">
        <v>390</v>
      </c>
      <c r="B196" s="4" t="s">
        <v>10</v>
      </c>
      <c r="C196" s="4" t="s">
        <v>11</v>
      </c>
      <c r="D196" s="4" t="s">
        <v>12</v>
      </c>
      <c r="E196" s="4" t="s">
        <v>11</v>
      </c>
      <c r="F196" s="5">
        <v>14</v>
      </c>
      <c r="G196" s="4" t="s">
        <v>40</v>
      </c>
      <c r="H196" s="4" t="str">
        <f>IF(F196="","",VLOOKUP(F196,Productos!$A$2:$F$182,3,FALSE))</f>
        <v>0</v>
      </c>
      <c r="I196" s="4" t="str">
        <f>IF(F196="","",VLOOKUP(F196,Productos!$A$2:$F$182,4,FALSE))</f>
        <v>Productos de la agricultura, la silvicultura y la pesca</v>
      </c>
      <c r="J196" s="4">
        <f>IF(F196="","",VLOOKUP(F196,Productos!$A$2:$F$182,5,FALSE))</f>
        <v>1</v>
      </c>
      <c r="K196" s="4" t="str">
        <f>IF(F196="","",VLOOKUP(F196,Productos!$A$2:$F$182,6,FALSE))</f>
        <v>Agropecuarios</v>
      </c>
      <c r="L196" s="4">
        <v>1</v>
      </c>
      <c r="M196" s="4" t="s">
        <v>14</v>
      </c>
      <c r="N196" s="4">
        <f>VLOOKUP(F196,Productos!$A$2:$J$182,5)</f>
        <v>1</v>
      </c>
      <c r="O196" s="4" t="str">
        <f>VLOOKUP(F196,Productos!$A$2:$J$182,6)</f>
        <v>Agropecuarios</v>
      </c>
    </row>
    <row r="197" spans="1:15">
      <c r="A197" s="4" t="s">
        <v>391</v>
      </c>
      <c r="B197" s="4" t="s">
        <v>10</v>
      </c>
      <c r="C197" s="4" t="s">
        <v>11</v>
      </c>
      <c r="D197" s="4" t="s">
        <v>12</v>
      </c>
      <c r="E197" s="4" t="s">
        <v>11</v>
      </c>
      <c r="F197" s="5">
        <v>15</v>
      </c>
      <c r="G197" s="4" t="s">
        <v>42</v>
      </c>
      <c r="H197" s="4" t="str">
        <f>IF(F197="","",VLOOKUP(F197,Productos!$A$2:$F$182,3,FALSE))</f>
        <v>0</v>
      </c>
      <c r="I197" s="4" t="str">
        <f>IF(F197="","",VLOOKUP(F197,Productos!$A$2:$F$182,4,FALSE))</f>
        <v>Productos de la agricultura, la silvicultura y la pesca</v>
      </c>
      <c r="J197" s="4">
        <f>IF(F197="","",VLOOKUP(F197,Productos!$A$2:$F$182,5,FALSE))</f>
        <v>1</v>
      </c>
      <c r="K197" s="4" t="str">
        <f>IF(F197="","",VLOOKUP(F197,Productos!$A$2:$F$182,6,FALSE))</f>
        <v>Agropecuarios</v>
      </c>
      <c r="L197" s="4">
        <v>1</v>
      </c>
      <c r="M197" s="4" t="s">
        <v>14</v>
      </c>
      <c r="N197" s="4">
        <f>VLOOKUP(F197,Productos!$A$2:$J$182,5)</f>
        <v>1</v>
      </c>
      <c r="O197" s="4" t="str">
        <f>VLOOKUP(F197,Productos!$A$2:$J$182,6)</f>
        <v>Agropecuarios</v>
      </c>
    </row>
    <row r="198" spans="1:15">
      <c r="A198" s="4" t="s">
        <v>392</v>
      </c>
      <c r="B198" s="4" t="s">
        <v>10</v>
      </c>
      <c r="C198" s="4" t="s">
        <v>11</v>
      </c>
      <c r="D198" s="4" t="s">
        <v>12</v>
      </c>
      <c r="E198" s="4" t="s">
        <v>11</v>
      </c>
      <c r="F198" s="5">
        <v>16</v>
      </c>
      <c r="G198" s="4" t="s">
        <v>44</v>
      </c>
      <c r="H198" s="4" t="str">
        <f>IF(F198="","",VLOOKUP(F198,Productos!$A$2:$F$182,3,FALSE))</f>
        <v>0</v>
      </c>
      <c r="I198" s="4" t="str">
        <f>IF(F198="","",VLOOKUP(F198,Productos!$A$2:$F$182,4,FALSE))</f>
        <v>Productos de la agricultura, la silvicultura y la pesca</v>
      </c>
      <c r="J198" s="4">
        <f>IF(F198="","",VLOOKUP(F198,Productos!$A$2:$F$182,5,FALSE))</f>
        <v>1</v>
      </c>
      <c r="K198" s="4" t="str">
        <f>IF(F198="","",VLOOKUP(F198,Productos!$A$2:$F$182,6,FALSE))</f>
        <v>Agropecuarios</v>
      </c>
      <c r="L198" s="4">
        <v>1</v>
      </c>
      <c r="M198" s="4" t="s">
        <v>14</v>
      </c>
      <c r="N198" s="4">
        <f>VLOOKUP(F198,Productos!$A$2:$J$182,5)</f>
        <v>1</v>
      </c>
      <c r="O198" s="4" t="str">
        <f>VLOOKUP(F198,Productos!$A$2:$J$182,6)</f>
        <v>Agropecuarios</v>
      </c>
    </row>
    <row r="199" spans="1:15">
      <c r="A199" s="4" t="s">
        <v>393</v>
      </c>
      <c r="B199" s="4" t="s">
        <v>10</v>
      </c>
      <c r="C199" s="4" t="s">
        <v>11</v>
      </c>
      <c r="D199" s="4" t="s">
        <v>12</v>
      </c>
      <c r="E199" s="4" t="s">
        <v>11</v>
      </c>
      <c r="F199" s="5">
        <v>17</v>
      </c>
      <c r="G199" s="4" t="s">
        <v>46</v>
      </c>
      <c r="H199" s="4" t="str">
        <f>IF(F199="","",VLOOKUP(F199,Productos!$A$2:$F$182,3,FALSE))</f>
        <v>0</v>
      </c>
      <c r="I199" s="4" t="str">
        <f>IF(F199="","",VLOOKUP(F199,Productos!$A$2:$F$182,4,FALSE))</f>
        <v>Productos de la agricultura, la silvicultura y la pesca</v>
      </c>
      <c r="J199" s="4">
        <f>IF(F199="","",VLOOKUP(F199,Productos!$A$2:$F$182,5,FALSE))</f>
        <v>1</v>
      </c>
      <c r="K199" s="4" t="str">
        <f>IF(F199="","",VLOOKUP(F199,Productos!$A$2:$F$182,6,FALSE))</f>
        <v>Agropecuarios</v>
      </c>
      <c r="L199" s="4">
        <v>1</v>
      </c>
      <c r="M199" s="4" t="s">
        <v>14</v>
      </c>
      <c r="N199" s="4">
        <f>VLOOKUP(F199,Productos!$A$2:$J$182,5)</f>
        <v>1</v>
      </c>
      <c r="O199" s="4" t="str">
        <f>VLOOKUP(F199,Productos!$A$2:$J$182,6)</f>
        <v>Agropecuarios</v>
      </c>
    </row>
    <row r="200" spans="1:15">
      <c r="A200" s="4" t="s">
        <v>394</v>
      </c>
      <c r="B200" s="4" t="s">
        <v>10</v>
      </c>
      <c r="C200" s="4" t="s">
        <v>11</v>
      </c>
      <c r="D200" s="4" t="s">
        <v>12</v>
      </c>
      <c r="E200" s="4" t="s">
        <v>11</v>
      </c>
      <c r="F200" s="5">
        <v>18</v>
      </c>
      <c r="G200" s="4" t="s">
        <v>48</v>
      </c>
      <c r="H200" s="4" t="str">
        <f>IF(F200="","",VLOOKUP(F200,Productos!$A$2:$F$182,3,FALSE))</f>
        <v>0</v>
      </c>
      <c r="I200" s="4" t="str">
        <f>IF(F200="","",VLOOKUP(F200,Productos!$A$2:$F$182,4,FALSE))</f>
        <v>Productos de la agricultura, la silvicultura y la pesca</v>
      </c>
      <c r="J200" s="4">
        <f>IF(F200="","",VLOOKUP(F200,Productos!$A$2:$F$182,5,FALSE))</f>
        <v>1</v>
      </c>
      <c r="K200" s="4" t="str">
        <f>IF(F200="","",VLOOKUP(F200,Productos!$A$2:$F$182,6,FALSE))</f>
        <v>Agropecuarios</v>
      </c>
      <c r="L200" s="4">
        <v>1</v>
      </c>
      <c r="M200" s="4" t="s">
        <v>14</v>
      </c>
      <c r="N200" s="4">
        <f>VLOOKUP(F200,Productos!$A$2:$J$182,5)</f>
        <v>1</v>
      </c>
      <c r="O200" s="4" t="str">
        <f>VLOOKUP(F200,Productos!$A$2:$J$182,6)</f>
        <v>Agropecuarios</v>
      </c>
    </row>
    <row r="201" spans="1:15">
      <c r="A201" s="4" t="s">
        <v>395</v>
      </c>
      <c r="B201" s="4" t="s">
        <v>10</v>
      </c>
      <c r="C201" s="4" t="s">
        <v>11</v>
      </c>
      <c r="D201" s="4" t="s">
        <v>12</v>
      </c>
      <c r="E201" s="4" t="s">
        <v>11</v>
      </c>
      <c r="F201" s="5">
        <v>19</v>
      </c>
      <c r="G201" s="4" t="s">
        <v>50</v>
      </c>
      <c r="H201" s="4" t="str">
        <f>IF(F201="","",VLOOKUP(F201,Productos!$A$2:$F$182,3,FALSE))</f>
        <v>0</v>
      </c>
      <c r="I201" s="4" t="str">
        <f>IF(F201="","",VLOOKUP(F201,Productos!$A$2:$F$182,4,FALSE))</f>
        <v>Productos de la agricultura, la silvicultura y la pesca</v>
      </c>
      <c r="J201" s="4">
        <f>IF(F201="","",VLOOKUP(F201,Productos!$A$2:$F$182,5,FALSE))</f>
        <v>1</v>
      </c>
      <c r="K201" s="4" t="str">
        <f>IF(F201="","",VLOOKUP(F201,Productos!$A$2:$F$182,6,FALSE))</f>
        <v>Agropecuarios</v>
      </c>
      <c r="L201" s="4">
        <v>1</v>
      </c>
      <c r="M201" s="4" t="s">
        <v>14</v>
      </c>
      <c r="N201" s="4">
        <f>VLOOKUP(F201,Productos!$A$2:$J$182,5)</f>
        <v>1</v>
      </c>
      <c r="O201" s="4" t="str">
        <f>VLOOKUP(F201,Productos!$A$2:$J$182,6)</f>
        <v>Agropecuarios</v>
      </c>
    </row>
    <row r="202" spans="1:15">
      <c r="A202" s="4" t="s">
        <v>396</v>
      </c>
      <c r="B202" s="4" t="s">
        <v>10</v>
      </c>
      <c r="C202" s="4" t="s">
        <v>11</v>
      </c>
      <c r="D202" s="4" t="s">
        <v>12</v>
      </c>
      <c r="E202" s="4" t="s">
        <v>11</v>
      </c>
      <c r="F202" s="5">
        <v>20</v>
      </c>
      <c r="G202" s="4" t="s">
        <v>52</v>
      </c>
      <c r="H202" s="4" t="str">
        <f>IF(F202="","",VLOOKUP(F202,Productos!$A$2:$F$182,3,FALSE))</f>
        <v>0</v>
      </c>
      <c r="I202" s="4" t="str">
        <f>IF(F202="","",VLOOKUP(F202,Productos!$A$2:$F$182,4,FALSE))</f>
        <v>Productos de la agricultura, la silvicultura y la pesca</v>
      </c>
      <c r="J202" s="4">
        <f>IF(F202="","",VLOOKUP(F202,Productos!$A$2:$F$182,5,FALSE))</f>
        <v>1</v>
      </c>
      <c r="K202" s="4" t="str">
        <f>IF(F202="","",VLOOKUP(F202,Productos!$A$2:$F$182,6,FALSE))</f>
        <v>Agropecuarios</v>
      </c>
      <c r="L202" s="4">
        <v>1</v>
      </c>
      <c r="M202" s="4" t="s">
        <v>14</v>
      </c>
      <c r="N202" s="4">
        <f>VLOOKUP(F202,Productos!$A$2:$J$182,5)</f>
        <v>1</v>
      </c>
      <c r="O202" s="4" t="str">
        <f>VLOOKUP(F202,Productos!$A$2:$J$182,6)</f>
        <v>Agropecuarios</v>
      </c>
    </row>
    <row r="203" spans="1:15">
      <c r="A203" s="4" t="s">
        <v>397</v>
      </c>
      <c r="B203" s="4" t="s">
        <v>10</v>
      </c>
      <c r="C203" s="4" t="s">
        <v>11</v>
      </c>
      <c r="D203" s="4" t="s">
        <v>12</v>
      </c>
      <c r="E203" s="4" t="s">
        <v>11</v>
      </c>
      <c r="F203" s="5">
        <v>21</v>
      </c>
      <c r="G203" s="4" t="s">
        <v>54</v>
      </c>
      <c r="H203" s="4" t="str">
        <f>IF(F203="","",VLOOKUP(F203,Productos!$A$2:$F$182,3,FALSE))</f>
        <v>0</v>
      </c>
      <c r="I203" s="4" t="str">
        <f>IF(F203="","",VLOOKUP(F203,Productos!$A$2:$F$182,4,FALSE))</f>
        <v>Productos de la agricultura, la silvicultura y la pesca</v>
      </c>
      <c r="J203" s="4">
        <f>IF(F203="","",VLOOKUP(F203,Productos!$A$2:$F$182,5,FALSE))</f>
        <v>1</v>
      </c>
      <c r="K203" s="4" t="str">
        <f>IF(F203="","",VLOOKUP(F203,Productos!$A$2:$F$182,6,FALSE))</f>
        <v>Agropecuarios</v>
      </c>
      <c r="L203" s="4">
        <v>1</v>
      </c>
      <c r="M203" s="4" t="s">
        <v>14</v>
      </c>
      <c r="N203" s="4">
        <f>VLOOKUP(F203,Productos!$A$2:$J$182,5)</f>
        <v>1</v>
      </c>
      <c r="O203" s="4" t="str">
        <f>VLOOKUP(F203,Productos!$A$2:$J$182,6)</f>
        <v>Agropecuarios</v>
      </c>
    </row>
    <row r="204" spans="1:15">
      <c r="A204" s="4" t="s">
        <v>398</v>
      </c>
      <c r="B204" s="4" t="s">
        <v>10</v>
      </c>
      <c r="C204" s="4" t="s">
        <v>11</v>
      </c>
      <c r="D204" s="4" t="s">
        <v>12</v>
      </c>
      <c r="E204" s="4" t="s">
        <v>11</v>
      </c>
      <c r="F204" s="5">
        <v>22</v>
      </c>
      <c r="G204" s="4" t="s">
        <v>56</v>
      </c>
      <c r="H204" s="4" t="str">
        <f>IF(F204="","",VLOOKUP(F204,Productos!$A$2:$F$182,3,FALSE))</f>
        <v>0</v>
      </c>
      <c r="I204" s="4" t="str">
        <f>IF(F204="","",VLOOKUP(F204,Productos!$A$2:$F$182,4,FALSE))</f>
        <v>Productos de la agricultura, la silvicultura y la pesca</v>
      </c>
      <c r="J204" s="4">
        <f>IF(F204="","",VLOOKUP(F204,Productos!$A$2:$F$182,5,FALSE))</f>
        <v>1</v>
      </c>
      <c r="K204" s="4" t="str">
        <f>IF(F204="","",VLOOKUP(F204,Productos!$A$2:$F$182,6,FALSE))</f>
        <v>Agropecuarios</v>
      </c>
      <c r="L204" s="4">
        <v>1</v>
      </c>
      <c r="M204" s="4" t="s">
        <v>14</v>
      </c>
      <c r="N204" s="4">
        <f>VLOOKUP(F204,Productos!$A$2:$J$182,5)</f>
        <v>1</v>
      </c>
      <c r="O204" s="4" t="str">
        <f>VLOOKUP(F204,Productos!$A$2:$J$182,6)</f>
        <v>Agropecuarios</v>
      </c>
    </row>
    <row r="205" spans="1:15">
      <c r="A205" s="4" t="s">
        <v>399</v>
      </c>
      <c r="B205" s="4" t="s">
        <v>10</v>
      </c>
      <c r="C205" s="4" t="s">
        <v>11</v>
      </c>
      <c r="D205" s="4" t="s">
        <v>12</v>
      </c>
      <c r="E205" s="4" t="s">
        <v>11</v>
      </c>
      <c r="F205" s="5">
        <v>23</v>
      </c>
      <c r="G205" s="4" t="s">
        <v>58</v>
      </c>
      <c r="H205" s="4" t="str">
        <f>IF(F205="","",VLOOKUP(F205,Productos!$A$2:$F$182,3,FALSE))</f>
        <v>0</v>
      </c>
      <c r="I205" s="4" t="str">
        <f>IF(F205="","",VLOOKUP(F205,Productos!$A$2:$F$182,4,FALSE))</f>
        <v>Productos de la agricultura, la silvicultura y la pesca</v>
      </c>
      <c r="J205" s="4">
        <f>IF(F205="","",VLOOKUP(F205,Productos!$A$2:$F$182,5,FALSE))</f>
        <v>1</v>
      </c>
      <c r="K205" s="4" t="str">
        <f>IF(F205="","",VLOOKUP(F205,Productos!$A$2:$F$182,6,FALSE))</f>
        <v>Agropecuarios</v>
      </c>
      <c r="L205" s="4">
        <v>1</v>
      </c>
      <c r="M205" s="4" t="s">
        <v>14</v>
      </c>
      <c r="N205" s="4">
        <f>VLOOKUP(F205,Productos!$A$2:$J$182,5)</f>
        <v>1</v>
      </c>
      <c r="O205" s="4" t="str">
        <f>VLOOKUP(F205,Productos!$A$2:$J$182,6)</f>
        <v>Agropecuarios</v>
      </c>
    </row>
    <row r="206" spans="1:15">
      <c r="A206" s="4" t="s">
        <v>400</v>
      </c>
      <c r="B206" s="4" t="s">
        <v>10</v>
      </c>
      <c r="C206" s="4" t="s">
        <v>11</v>
      </c>
      <c r="D206" s="4" t="s">
        <v>12</v>
      </c>
      <c r="E206" s="4" t="s">
        <v>11</v>
      </c>
      <c r="F206" s="5">
        <v>24</v>
      </c>
      <c r="G206" s="4" t="s">
        <v>60</v>
      </c>
      <c r="H206" s="4" t="str">
        <f>IF(F206="","",VLOOKUP(F206,Productos!$A$2:$F$182,3,FALSE))</f>
        <v>0</v>
      </c>
      <c r="I206" s="4" t="str">
        <f>IF(F206="","",VLOOKUP(F206,Productos!$A$2:$F$182,4,FALSE))</f>
        <v>Productos de la agricultura, la silvicultura y la pesca</v>
      </c>
      <c r="J206" s="4">
        <f>IF(F206="","",VLOOKUP(F206,Productos!$A$2:$F$182,5,FALSE))</f>
        <v>1</v>
      </c>
      <c r="K206" s="4" t="str">
        <f>IF(F206="","",VLOOKUP(F206,Productos!$A$2:$F$182,6,FALSE))</f>
        <v>Agropecuarios</v>
      </c>
      <c r="L206" s="4">
        <v>1</v>
      </c>
      <c r="M206" s="4" t="s">
        <v>14</v>
      </c>
      <c r="N206" s="4">
        <f>VLOOKUP(F206,Productos!$A$2:$J$182,5)</f>
        <v>1</v>
      </c>
      <c r="O206" s="4" t="str">
        <f>VLOOKUP(F206,Productos!$A$2:$J$182,6)</f>
        <v>Agropecuarios</v>
      </c>
    </row>
    <row r="207" spans="1:15">
      <c r="A207" s="4" t="s">
        <v>401</v>
      </c>
      <c r="B207" s="4" t="s">
        <v>10</v>
      </c>
      <c r="C207" s="4" t="s">
        <v>11</v>
      </c>
      <c r="D207" s="4" t="s">
        <v>12</v>
      </c>
      <c r="E207" s="4" t="s">
        <v>11</v>
      </c>
      <c r="F207" s="5">
        <v>25</v>
      </c>
      <c r="G207" s="4" t="s">
        <v>62</v>
      </c>
      <c r="H207" s="4" t="str">
        <f>IF(F207="","",VLOOKUP(F207,Productos!$A$2:$F$182,3,FALSE))</f>
        <v>0</v>
      </c>
      <c r="I207" s="4" t="str">
        <f>IF(F207="","",VLOOKUP(F207,Productos!$A$2:$F$182,4,FALSE))</f>
        <v>Productos de la agricultura, la silvicultura y la pesca</v>
      </c>
      <c r="J207" s="4">
        <f>IF(F207="","",VLOOKUP(F207,Productos!$A$2:$F$182,5,FALSE))</f>
        <v>1</v>
      </c>
      <c r="K207" s="4" t="str">
        <f>IF(F207="","",VLOOKUP(F207,Productos!$A$2:$F$182,6,FALSE))</f>
        <v>Agropecuarios</v>
      </c>
      <c r="L207" s="4">
        <v>1</v>
      </c>
      <c r="M207" s="4" t="s">
        <v>14</v>
      </c>
      <c r="N207" s="4">
        <f>VLOOKUP(F207,Productos!$A$2:$J$182,5)</f>
        <v>1</v>
      </c>
      <c r="O207" s="4" t="str">
        <f>VLOOKUP(F207,Productos!$A$2:$J$182,6)</f>
        <v>Agropecuarios</v>
      </c>
    </row>
    <row r="208" spans="1:15">
      <c r="A208" s="4" t="s">
        <v>402</v>
      </c>
      <c r="B208" s="4" t="s">
        <v>10</v>
      </c>
      <c r="C208" s="4" t="s">
        <v>11</v>
      </c>
      <c r="D208" s="4" t="s">
        <v>12</v>
      </c>
      <c r="E208" s="4" t="s">
        <v>11</v>
      </c>
      <c r="F208" s="5">
        <v>26</v>
      </c>
      <c r="G208" s="4" t="s">
        <v>64</v>
      </c>
      <c r="H208" s="4" t="str">
        <f>IF(F208="","",VLOOKUP(F208,Productos!$A$2:$F$182,3,FALSE))</f>
        <v>0</v>
      </c>
      <c r="I208" s="4" t="str">
        <f>IF(F208="","",VLOOKUP(F208,Productos!$A$2:$F$182,4,FALSE))</f>
        <v>Productos de la agricultura, la silvicultura y la pesca</v>
      </c>
      <c r="J208" s="4">
        <f>IF(F208="","",VLOOKUP(F208,Productos!$A$2:$F$182,5,FALSE))</f>
        <v>1</v>
      </c>
      <c r="K208" s="4" t="str">
        <f>IF(F208="","",VLOOKUP(F208,Productos!$A$2:$F$182,6,FALSE))</f>
        <v>Agropecuarios</v>
      </c>
      <c r="L208" s="4">
        <v>1</v>
      </c>
      <c r="M208" s="4" t="s">
        <v>14</v>
      </c>
      <c r="N208" s="4">
        <f>VLOOKUP(F208,Productos!$A$2:$J$182,5)</f>
        <v>1</v>
      </c>
      <c r="O208" s="4" t="str">
        <f>VLOOKUP(F208,Productos!$A$2:$J$182,6)</f>
        <v>Agropecuarios</v>
      </c>
    </row>
    <row r="209" spans="1:15">
      <c r="A209" s="4" t="s">
        <v>403</v>
      </c>
      <c r="B209" s="4" t="s">
        <v>10</v>
      </c>
      <c r="C209" s="4" t="s">
        <v>11</v>
      </c>
      <c r="D209" s="4" t="s">
        <v>12</v>
      </c>
      <c r="E209" s="4" t="s">
        <v>11</v>
      </c>
      <c r="F209" s="5">
        <v>27</v>
      </c>
      <c r="G209" s="4" t="s">
        <v>66</v>
      </c>
      <c r="H209" s="4" t="str">
        <f>IF(F209="","",VLOOKUP(F209,Productos!$A$2:$F$182,3,FALSE))</f>
        <v>1</v>
      </c>
      <c r="I209" s="4" t="str">
        <f>IF(F209="","",VLOOKUP(F209,Productos!$A$2:$F$182,4,FALSE))</f>
        <v>Minerales; electricidad, gas y agua</v>
      </c>
      <c r="J209" s="4">
        <f>IF(F209="","",VLOOKUP(F209,Productos!$A$2:$F$182,5,FALSE))</f>
        <v>2</v>
      </c>
      <c r="K209" s="4" t="str">
        <f>IF(F209="","",VLOOKUP(F209,Productos!$A$2:$F$182,6,FALSE))</f>
        <v>Minería</v>
      </c>
      <c r="L209" s="4">
        <v>3</v>
      </c>
      <c r="M209" s="4" t="s">
        <v>67</v>
      </c>
      <c r="N209" s="4">
        <f>VLOOKUP(F209,Productos!$A$2:$J$182,5)</f>
        <v>2</v>
      </c>
      <c r="O209" s="4" t="str">
        <f>VLOOKUP(F209,Productos!$A$2:$J$182,6)</f>
        <v>Minería</v>
      </c>
    </row>
    <row r="210" spans="1:15">
      <c r="A210" s="4" t="s">
        <v>404</v>
      </c>
      <c r="B210" s="4" t="s">
        <v>10</v>
      </c>
      <c r="C210" s="4" t="s">
        <v>11</v>
      </c>
      <c r="D210" s="4" t="s">
        <v>12</v>
      </c>
      <c r="E210" s="4" t="s">
        <v>11</v>
      </c>
      <c r="F210" s="5">
        <v>28</v>
      </c>
      <c r="G210" s="4" t="s">
        <v>69</v>
      </c>
      <c r="H210" s="4" t="str">
        <f>IF(F210="","",VLOOKUP(F210,Productos!$A$2:$F$182,3,FALSE))</f>
        <v>1</v>
      </c>
      <c r="I210" s="4" t="str">
        <f>IF(F210="","",VLOOKUP(F210,Productos!$A$2:$F$182,4,FALSE))</f>
        <v>Minerales; electricidad, gas y agua</v>
      </c>
      <c r="J210" s="4">
        <f>IF(F210="","",VLOOKUP(F210,Productos!$A$2:$F$182,5,FALSE))</f>
        <v>2</v>
      </c>
      <c r="K210" s="4" t="str">
        <f>IF(F210="","",VLOOKUP(F210,Productos!$A$2:$F$182,6,FALSE))</f>
        <v>Minería</v>
      </c>
      <c r="L210" s="4">
        <v>3</v>
      </c>
      <c r="M210" s="4" t="s">
        <v>67</v>
      </c>
      <c r="N210" s="4">
        <f>VLOOKUP(F210,Productos!$A$2:$J$182,5)</f>
        <v>2</v>
      </c>
      <c r="O210" s="4" t="str">
        <f>VLOOKUP(F210,Productos!$A$2:$J$182,6)</f>
        <v>Minería</v>
      </c>
    </row>
    <row r="211" spans="1:15">
      <c r="A211" s="4" t="s">
        <v>405</v>
      </c>
      <c r="B211" s="4" t="s">
        <v>10</v>
      </c>
      <c r="C211" s="4" t="s">
        <v>11</v>
      </c>
      <c r="D211" s="4" t="s">
        <v>12</v>
      </c>
      <c r="E211" s="4" t="s">
        <v>11</v>
      </c>
      <c r="F211" s="5">
        <v>29</v>
      </c>
      <c r="G211" s="4" t="s">
        <v>71</v>
      </c>
      <c r="H211" s="4" t="str">
        <f>IF(F211="","",VLOOKUP(F211,Productos!$A$2:$F$182,3,FALSE))</f>
        <v>1</v>
      </c>
      <c r="I211" s="4" t="str">
        <f>IF(F211="","",VLOOKUP(F211,Productos!$A$2:$F$182,4,FALSE))</f>
        <v>Minerales; electricidad, gas y agua</v>
      </c>
      <c r="J211" s="4">
        <f>IF(F211="","",VLOOKUP(F211,Productos!$A$2:$F$182,5,FALSE))</f>
        <v>2</v>
      </c>
      <c r="K211" s="4" t="str">
        <f>IF(F211="","",VLOOKUP(F211,Productos!$A$2:$F$182,6,FALSE))</f>
        <v>Minería</v>
      </c>
      <c r="L211" s="4">
        <v>3</v>
      </c>
      <c r="M211" s="4" t="s">
        <v>67</v>
      </c>
      <c r="N211" s="4">
        <f>VLOOKUP(F211,Productos!$A$2:$J$182,5)</f>
        <v>2</v>
      </c>
      <c r="O211" s="4" t="str">
        <f>VLOOKUP(F211,Productos!$A$2:$J$182,6)</f>
        <v>Minería</v>
      </c>
    </row>
    <row r="212" spans="1:15">
      <c r="A212" s="4" t="s">
        <v>406</v>
      </c>
      <c r="B212" s="4" t="s">
        <v>10</v>
      </c>
      <c r="C212" s="4" t="s">
        <v>11</v>
      </c>
      <c r="D212" s="4" t="s">
        <v>12</v>
      </c>
      <c r="E212" s="4" t="s">
        <v>11</v>
      </c>
      <c r="F212" s="5">
        <v>30</v>
      </c>
      <c r="G212" s="4" t="s">
        <v>73</v>
      </c>
      <c r="H212" s="4" t="str">
        <f>IF(F212="","",VLOOKUP(F212,Productos!$A$2:$F$182,3,FALSE))</f>
        <v>1</v>
      </c>
      <c r="I212" s="4" t="str">
        <f>IF(F212="","",VLOOKUP(F212,Productos!$A$2:$F$182,4,FALSE))</f>
        <v>Minerales; electricidad, gas y agua</v>
      </c>
      <c r="J212" s="4">
        <f>IF(F212="","",VLOOKUP(F212,Productos!$A$2:$F$182,5,FALSE))</f>
        <v>2</v>
      </c>
      <c r="K212" s="4" t="str">
        <f>IF(F212="","",VLOOKUP(F212,Productos!$A$2:$F$182,6,FALSE))</f>
        <v>Minería</v>
      </c>
      <c r="L212" s="4">
        <v>3</v>
      </c>
      <c r="M212" s="4" t="s">
        <v>67</v>
      </c>
      <c r="N212" s="4">
        <f>VLOOKUP(F212,Productos!$A$2:$J$182,5)</f>
        <v>2</v>
      </c>
      <c r="O212" s="4" t="str">
        <f>VLOOKUP(F212,Productos!$A$2:$J$182,6)</f>
        <v>Minería</v>
      </c>
    </row>
    <row r="213" spans="1:15">
      <c r="A213" s="4" t="s">
        <v>407</v>
      </c>
      <c r="B213" s="4" t="s">
        <v>10</v>
      </c>
      <c r="C213" s="4" t="s">
        <v>11</v>
      </c>
      <c r="D213" s="4" t="s">
        <v>12</v>
      </c>
      <c r="E213" s="4" t="s">
        <v>11</v>
      </c>
      <c r="F213" s="5">
        <v>31</v>
      </c>
      <c r="G213" s="4" t="s">
        <v>75</v>
      </c>
      <c r="H213" s="4" t="str">
        <f>IF(F213="","",VLOOKUP(F213,Productos!$A$2:$F$182,3,FALSE))</f>
        <v>1</v>
      </c>
      <c r="I213" s="4" t="str">
        <f>IF(F213="","",VLOOKUP(F213,Productos!$A$2:$F$182,4,FALSE))</f>
        <v>Minerales; electricidad, gas y agua</v>
      </c>
      <c r="J213" s="4">
        <f>IF(F213="","",VLOOKUP(F213,Productos!$A$2:$F$182,5,FALSE))</f>
        <v>2</v>
      </c>
      <c r="K213" s="4" t="str">
        <f>IF(F213="","",VLOOKUP(F213,Productos!$A$2:$F$182,6,FALSE))</f>
        <v>Minería</v>
      </c>
      <c r="L213" s="4">
        <v>3</v>
      </c>
      <c r="M213" s="4" t="s">
        <v>67</v>
      </c>
      <c r="N213" s="4">
        <f>VLOOKUP(F213,Productos!$A$2:$J$182,5)</f>
        <v>2</v>
      </c>
      <c r="O213" s="4" t="str">
        <f>VLOOKUP(F213,Productos!$A$2:$J$182,6)</f>
        <v>Minería</v>
      </c>
    </row>
    <row r="214" spans="1:15">
      <c r="A214" s="4" t="s">
        <v>408</v>
      </c>
      <c r="B214" s="4" t="s">
        <v>10</v>
      </c>
      <c r="C214" s="4" t="s">
        <v>11</v>
      </c>
      <c r="D214" s="4" t="s">
        <v>12</v>
      </c>
      <c r="E214" s="4" t="s">
        <v>11</v>
      </c>
      <c r="F214" s="5">
        <v>32</v>
      </c>
      <c r="G214" s="4" t="s">
        <v>77</v>
      </c>
      <c r="H214" s="4" t="str">
        <f>IF(F214="","",VLOOKUP(F214,Productos!$A$2:$F$182,3,FALSE))</f>
        <v>1</v>
      </c>
      <c r="I214" s="4" t="str">
        <f>IF(F214="","",VLOOKUP(F214,Productos!$A$2:$F$182,4,FALSE))</f>
        <v>Minerales; electricidad, gas y agua</v>
      </c>
      <c r="J214" s="4">
        <f>IF(F214="","",VLOOKUP(F214,Productos!$A$2:$F$182,5,FALSE))</f>
        <v>2</v>
      </c>
      <c r="K214" s="4" t="str">
        <f>IF(F214="","",VLOOKUP(F214,Productos!$A$2:$F$182,6,FALSE))</f>
        <v>Minería</v>
      </c>
      <c r="L214" s="4">
        <v>3</v>
      </c>
      <c r="M214" s="4" t="s">
        <v>67</v>
      </c>
      <c r="N214" s="4">
        <f>VLOOKUP(F214,Productos!$A$2:$J$182,5)</f>
        <v>2</v>
      </c>
      <c r="O214" s="4" t="str">
        <f>VLOOKUP(F214,Productos!$A$2:$J$182,6)</f>
        <v>Minería</v>
      </c>
    </row>
    <row r="215" spans="1:15">
      <c r="A215" s="4" t="s">
        <v>409</v>
      </c>
      <c r="B215" s="4" t="s">
        <v>10</v>
      </c>
      <c r="C215" s="4" t="s">
        <v>11</v>
      </c>
      <c r="D215" s="4" t="s">
        <v>12</v>
      </c>
      <c r="E215" s="4" t="s">
        <v>11</v>
      </c>
      <c r="F215" s="5">
        <v>33</v>
      </c>
      <c r="G215" s="4" t="s">
        <v>79</v>
      </c>
      <c r="H215" s="4" t="str">
        <f>IF(F215="","",VLOOKUP(F215,Productos!$A$2:$F$182,3,FALSE))</f>
        <v>1</v>
      </c>
      <c r="I215" s="4" t="str">
        <f>IF(F215="","",VLOOKUP(F215,Productos!$A$2:$F$182,4,FALSE))</f>
        <v>Minerales; electricidad, gas y agua</v>
      </c>
      <c r="J215" s="4">
        <f>IF(F215="","",VLOOKUP(F215,Productos!$A$2:$F$182,5,FALSE))</f>
        <v>2</v>
      </c>
      <c r="K215" s="4" t="str">
        <f>IF(F215="","",VLOOKUP(F215,Productos!$A$2:$F$182,6,FALSE))</f>
        <v>Minería</v>
      </c>
      <c r="L215" s="4">
        <v>3</v>
      </c>
      <c r="M215" s="4" t="s">
        <v>67</v>
      </c>
      <c r="N215" s="4">
        <f>VLOOKUP(F215,Productos!$A$2:$J$182,5)</f>
        <v>2</v>
      </c>
      <c r="O215" s="4" t="str">
        <f>VLOOKUP(F215,Productos!$A$2:$J$182,6)</f>
        <v>Minería</v>
      </c>
    </row>
    <row r="216" spans="1:15">
      <c r="A216" s="4" t="s">
        <v>410</v>
      </c>
      <c r="B216" s="4" t="s">
        <v>10</v>
      </c>
      <c r="C216" s="4" t="s">
        <v>11</v>
      </c>
      <c r="D216" s="4" t="s">
        <v>12</v>
      </c>
      <c r="E216" s="4" t="s">
        <v>11</v>
      </c>
      <c r="F216" s="5">
        <v>34</v>
      </c>
      <c r="G216" s="4" t="s">
        <v>81</v>
      </c>
      <c r="H216" s="4" t="str">
        <f>IF(F216="","",VLOOKUP(F216,Productos!$A$2:$F$182,3,FALSE))</f>
        <v>1</v>
      </c>
      <c r="I216" s="4" t="str">
        <f>IF(F216="","",VLOOKUP(F216,Productos!$A$2:$F$182,4,FALSE))</f>
        <v>Minerales; electricidad, gas y agua</v>
      </c>
      <c r="J216" s="4">
        <f>IF(F216="","",VLOOKUP(F216,Productos!$A$2:$F$182,5,FALSE))</f>
        <v>2</v>
      </c>
      <c r="K216" s="4" t="str">
        <f>IF(F216="","",VLOOKUP(F216,Productos!$A$2:$F$182,6,FALSE))</f>
        <v>Minería</v>
      </c>
      <c r="L216" s="4">
        <v>3</v>
      </c>
      <c r="M216" s="4" t="s">
        <v>67</v>
      </c>
      <c r="N216" s="4">
        <f>VLOOKUP(F216,Productos!$A$2:$J$182,5)</f>
        <v>2</v>
      </c>
      <c r="O216" s="4" t="str">
        <f>VLOOKUP(F216,Productos!$A$2:$J$182,6)</f>
        <v>Minería</v>
      </c>
    </row>
    <row r="217" spans="1:15">
      <c r="A217" s="4" t="s">
        <v>411</v>
      </c>
      <c r="B217" s="4" t="s">
        <v>10</v>
      </c>
      <c r="C217" s="4" t="s">
        <v>11</v>
      </c>
      <c r="D217" s="4" t="s">
        <v>12</v>
      </c>
      <c r="E217" s="4" t="s">
        <v>11</v>
      </c>
      <c r="F217" s="5">
        <v>35</v>
      </c>
      <c r="G217" s="4" t="s">
        <v>83</v>
      </c>
      <c r="H217" s="4" t="str">
        <f>IF(F217="","",VLOOKUP(F217,Productos!$A$2:$F$182,3,FALSE))</f>
        <v>1</v>
      </c>
      <c r="I217" s="4" t="str">
        <f>IF(F217="","",VLOOKUP(F217,Productos!$A$2:$F$182,4,FALSE))</f>
        <v>Minerales; electricidad, gas y agua</v>
      </c>
      <c r="J217" s="4">
        <f>IF(F217="","",VLOOKUP(F217,Productos!$A$2:$F$182,5,FALSE))</f>
        <v>2</v>
      </c>
      <c r="K217" s="4" t="str">
        <f>IF(F217="","",VLOOKUP(F217,Productos!$A$2:$F$182,6,FALSE))</f>
        <v>Minería</v>
      </c>
      <c r="L217" s="4">
        <v>3</v>
      </c>
      <c r="M217" s="4" t="s">
        <v>67</v>
      </c>
      <c r="N217" s="4">
        <f>VLOOKUP(F217,Productos!$A$2:$J$182,5)</f>
        <v>2</v>
      </c>
      <c r="O217" s="4" t="str">
        <f>VLOOKUP(F217,Productos!$A$2:$J$182,6)</f>
        <v>Minería</v>
      </c>
    </row>
    <row r="218" spans="1:15">
      <c r="A218" s="4" t="s">
        <v>412</v>
      </c>
      <c r="B218" s="4" t="s">
        <v>10</v>
      </c>
      <c r="C218" s="4" t="s">
        <v>11</v>
      </c>
      <c r="D218" s="4" t="s">
        <v>12</v>
      </c>
      <c r="E218" s="4" t="s">
        <v>11</v>
      </c>
      <c r="F218" s="5">
        <v>36</v>
      </c>
      <c r="G218" s="4" t="s">
        <v>85</v>
      </c>
      <c r="H218" s="4" t="str">
        <f>IF(F218="","",VLOOKUP(F218,Productos!$A$2:$F$182,3,FALSE))</f>
        <v>1</v>
      </c>
      <c r="I218" s="4" t="str">
        <f>IF(F218="","",VLOOKUP(F218,Productos!$A$2:$F$182,4,FALSE))</f>
        <v>Minerales; electricidad, gas y agua</v>
      </c>
      <c r="J218" s="4">
        <f>IF(F218="","",VLOOKUP(F218,Productos!$A$2:$F$182,5,FALSE))</f>
        <v>2</v>
      </c>
      <c r="K218" s="4" t="str">
        <f>IF(F218="","",VLOOKUP(F218,Productos!$A$2:$F$182,6,FALSE))</f>
        <v>Minería</v>
      </c>
      <c r="L218" s="4">
        <v>3</v>
      </c>
      <c r="M218" s="4" t="s">
        <v>67</v>
      </c>
      <c r="N218" s="4">
        <f>VLOOKUP(F218,Productos!$A$2:$J$182,5)</f>
        <v>2</v>
      </c>
      <c r="O218" s="4" t="str">
        <f>VLOOKUP(F218,Productos!$A$2:$J$182,6)</f>
        <v>Minería</v>
      </c>
    </row>
    <row r="219" spans="1:15">
      <c r="A219" s="4" t="s">
        <v>413</v>
      </c>
      <c r="B219" s="4" t="s">
        <v>10</v>
      </c>
      <c r="C219" s="4" t="s">
        <v>11</v>
      </c>
      <c r="D219" s="4" t="s">
        <v>12</v>
      </c>
      <c r="E219" s="4" t="s">
        <v>11</v>
      </c>
      <c r="F219" s="5">
        <v>37</v>
      </c>
      <c r="G219" s="4" t="s">
        <v>87</v>
      </c>
      <c r="H219" s="4" t="str">
        <f>IF(F219="","",VLOOKUP(F219,Productos!$A$2:$F$182,3,FALSE))</f>
        <v>2</v>
      </c>
      <c r="I219" s="4" t="str">
        <f>IF(F219="","",VLOOKUP(F219,Productos!$A$2:$F$182,4,FALSE))</f>
        <v>Productos alimenticios, bebidas y tabaco; textiles, prendas de vestir y productos de cuero</v>
      </c>
      <c r="J219" s="4">
        <f>IF(F219="","",VLOOKUP(F219,Productos!$A$2:$F$182,5,FALSE))</f>
        <v>3</v>
      </c>
      <c r="K219" s="4" t="str">
        <f>IF(F219="","",VLOOKUP(F219,Productos!$A$2:$F$182,6,FALSE))</f>
        <v>Manufacturas</v>
      </c>
      <c r="L219" s="4">
        <v>1</v>
      </c>
      <c r="M219" s="4" t="s">
        <v>14</v>
      </c>
      <c r="N219" s="4">
        <f>VLOOKUP(F219,Productos!$A$2:$J$182,5)</f>
        <v>3</v>
      </c>
      <c r="O219" s="4" t="str">
        <f>VLOOKUP(F219,Productos!$A$2:$J$182,6)</f>
        <v>Manufacturas</v>
      </c>
    </row>
    <row r="220" spans="1:15">
      <c r="A220" s="4" t="s">
        <v>414</v>
      </c>
      <c r="B220" s="4" t="s">
        <v>10</v>
      </c>
      <c r="C220" s="4" t="s">
        <v>11</v>
      </c>
      <c r="D220" s="4" t="s">
        <v>12</v>
      </c>
      <c r="E220" s="4" t="s">
        <v>11</v>
      </c>
      <c r="F220" s="5">
        <v>38</v>
      </c>
      <c r="G220" s="4" t="s">
        <v>89</v>
      </c>
      <c r="H220" s="4" t="str">
        <f>IF(F220="","",VLOOKUP(F220,Productos!$A$2:$F$182,3,FALSE))</f>
        <v>2</v>
      </c>
      <c r="I220" s="4" t="str">
        <f>IF(F220="","",VLOOKUP(F220,Productos!$A$2:$F$182,4,FALSE))</f>
        <v>Productos alimenticios, bebidas y tabaco; textiles, prendas de vestir y productos de cuero</v>
      </c>
      <c r="J220" s="4">
        <f>IF(F220="","",VLOOKUP(F220,Productos!$A$2:$F$182,5,FALSE))</f>
        <v>3</v>
      </c>
      <c r="K220" s="4" t="str">
        <f>IF(F220="","",VLOOKUP(F220,Productos!$A$2:$F$182,6,FALSE))</f>
        <v>Manufacturas</v>
      </c>
      <c r="L220" s="4">
        <v>1</v>
      </c>
      <c r="M220" s="4" t="s">
        <v>14</v>
      </c>
      <c r="N220" s="4">
        <f>VLOOKUP(F220,Productos!$A$2:$J$182,5)</f>
        <v>3</v>
      </c>
      <c r="O220" s="4" t="str">
        <f>VLOOKUP(F220,Productos!$A$2:$J$182,6)</f>
        <v>Manufacturas</v>
      </c>
    </row>
    <row r="221" spans="1:15">
      <c r="A221" s="4" t="s">
        <v>415</v>
      </c>
      <c r="B221" s="4" t="s">
        <v>10</v>
      </c>
      <c r="C221" s="4" t="s">
        <v>11</v>
      </c>
      <c r="D221" s="4" t="s">
        <v>12</v>
      </c>
      <c r="E221" s="4" t="s">
        <v>11</v>
      </c>
      <c r="F221" s="5">
        <v>39</v>
      </c>
      <c r="G221" s="4" t="s">
        <v>91</v>
      </c>
      <c r="H221" s="4" t="str">
        <f>IF(F221="","",VLOOKUP(F221,Productos!$A$2:$F$182,3,FALSE))</f>
        <v>2</v>
      </c>
      <c r="I221" s="4" t="str">
        <f>IF(F221="","",VLOOKUP(F221,Productos!$A$2:$F$182,4,FALSE))</f>
        <v>Productos alimenticios, bebidas y tabaco; textiles, prendas de vestir y productos de cuero</v>
      </c>
      <c r="J221" s="4">
        <f>IF(F221="","",VLOOKUP(F221,Productos!$A$2:$F$182,5,FALSE))</f>
        <v>3</v>
      </c>
      <c r="K221" s="4" t="str">
        <f>IF(F221="","",VLOOKUP(F221,Productos!$A$2:$F$182,6,FALSE))</f>
        <v>Manufacturas</v>
      </c>
      <c r="L221" s="4">
        <v>1</v>
      </c>
      <c r="M221" s="4" t="s">
        <v>14</v>
      </c>
      <c r="N221" s="4">
        <f>VLOOKUP(F221,Productos!$A$2:$J$182,5)</f>
        <v>3</v>
      </c>
      <c r="O221" s="4" t="str">
        <f>VLOOKUP(F221,Productos!$A$2:$J$182,6)</f>
        <v>Manufacturas</v>
      </c>
    </row>
    <row r="222" spans="1:15">
      <c r="A222" s="4" t="s">
        <v>416</v>
      </c>
      <c r="B222" s="4" t="s">
        <v>10</v>
      </c>
      <c r="C222" s="4" t="s">
        <v>11</v>
      </c>
      <c r="D222" s="4" t="s">
        <v>12</v>
      </c>
      <c r="E222" s="4" t="s">
        <v>11</v>
      </c>
      <c r="F222" s="5">
        <v>40</v>
      </c>
      <c r="G222" s="4" t="s">
        <v>93</v>
      </c>
      <c r="H222" s="4" t="str">
        <f>IF(F222="","",VLOOKUP(F222,Productos!$A$2:$F$182,3,FALSE))</f>
        <v>2</v>
      </c>
      <c r="I222" s="4" t="str">
        <f>IF(F222="","",VLOOKUP(F222,Productos!$A$2:$F$182,4,FALSE))</f>
        <v>Productos alimenticios, bebidas y tabaco; textiles, prendas de vestir y productos de cuero</v>
      </c>
      <c r="J222" s="4">
        <f>IF(F222="","",VLOOKUP(F222,Productos!$A$2:$F$182,5,FALSE))</f>
        <v>3</v>
      </c>
      <c r="K222" s="4" t="str">
        <f>IF(F222="","",VLOOKUP(F222,Productos!$A$2:$F$182,6,FALSE))</f>
        <v>Manufacturas</v>
      </c>
      <c r="L222" s="4">
        <v>1</v>
      </c>
      <c r="M222" s="4" t="s">
        <v>14</v>
      </c>
      <c r="N222" s="4">
        <f>VLOOKUP(F222,Productos!$A$2:$J$182,5)</f>
        <v>3</v>
      </c>
      <c r="O222" s="4" t="str">
        <f>VLOOKUP(F222,Productos!$A$2:$J$182,6)</f>
        <v>Manufacturas</v>
      </c>
    </row>
    <row r="223" spans="1:15">
      <c r="A223" s="4" t="s">
        <v>417</v>
      </c>
      <c r="B223" s="4" t="s">
        <v>10</v>
      </c>
      <c r="C223" s="4" t="s">
        <v>11</v>
      </c>
      <c r="D223" s="4" t="s">
        <v>12</v>
      </c>
      <c r="E223" s="4" t="s">
        <v>11</v>
      </c>
      <c r="F223" s="5">
        <v>41</v>
      </c>
      <c r="G223" s="4" t="s">
        <v>95</v>
      </c>
      <c r="H223" s="4" t="str">
        <f>IF(F223="","",VLOOKUP(F223,Productos!$A$2:$F$182,3,FALSE))</f>
        <v>2</v>
      </c>
      <c r="I223" s="4" t="str">
        <f>IF(F223="","",VLOOKUP(F223,Productos!$A$2:$F$182,4,FALSE))</f>
        <v>Productos alimenticios, bebidas y tabaco; textiles, prendas de vestir y productos de cuero</v>
      </c>
      <c r="J223" s="4">
        <f>IF(F223="","",VLOOKUP(F223,Productos!$A$2:$F$182,5,FALSE))</f>
        <v>3</v>
      </c>
      <c r="K223" s="4" t="str">
        <f>IF(F223="","",VLOOKUP(F223,Productos!$A$2:$F$182,6,FALSE))</f>
        <v>Manufacturas</v>
      </c>
      <c r="L223" s="4">
        <v>1</v>
      </c>
      <c r="M223" s="4" t="s">
        <v>14</v>
      </c>
      <c r="N223" s="4">
        <f>VLOOKUP(F223,Productos!$A$2:$J$182,5)</f>
        <v>3</v>
      </c>
      <c r="O223" s="4" t="str">
        <f>VLOOKUP(F223,Productos!$A$2:$J$182,6)</f>
        <v>Manufacturas</v>
      </c>
    </row>
    <row r="224" spans="1:15">
      <c r="A224" s="4" t="s">
        <v>418</v>
      </c>
      <c r="B224" s="4" t="s">
        <v>10</v>
      </c>
      <c r="C224" s="4" t="s">
        <v>11</v>
      </c>
      <c r="D224" s="4" t="s">
        <v>12</v>
      </c>
      <c r="E224" s="4" t="s">
        <v>11</v>
      </c>
      <c r="F224" s="5">
        <v>42</v>
      </c>
      <c r="G224" s="4" t="s">
        <v>97</v>
      </c>
      <c r="H224" s="4" t="str">
        <f>IF(F224="","",VLOOKUP(F224,Productos!$A$2:$F$182,3,FALSE))</f>
        <v>2</v>
      </c>
      <c r="I224" s="4" t="str">
        <f>IF(F224="","",VLOOKUP(F224,Productos!$A$2:$F$182,4,FALSE))</f>
        <v>Productos alimenticios, bebidas y tabaco; textiles, prendas de vestir y productos de cuero</v>
      </c>
      <c r="J224" s="4">
        <f>IF(F224="","",VLOOKUP(F224,Productos!$A$2:$F$182,5,FALSE))</f>
        <v>3</v>
      </c>
      <c r="K224" s="4" t="str">
        <f>IF(F224="","",VLOOKUP(F224,Productos!$A$2:$F$182,6,FALSE))</f>
        <v>Manufacturas</v>
      </c>
      <c r="L224" s="4">
        <v>1</v>
      </c>
      <c r="M224" s="4" t="s">
        <v>14</v>
      </c>
      <c r="N224" s="4">
        <f>VLOOKUP(F224,Productos!$A$2:$J$182,5)</f>
        <v>3</v>
      </c>
      <c r="O224" s="4" t="str">
        <f>VLOOKUP(F224,Productos!$A$2:$J$182,6)</f>
        <v>Manufacturas</v>
      </c>
    </row>
    <row r="225" spans="1:15">
      <c r="A225" s="4" t="s">
        <v>419</v>
      </c>
      <c r="B225" s="4" t="s">
        <v>10</v>
      </c>
      <c r="C225" s="4" t="s">
        <v>11</v>
      </c>
      <c r="D225" s="4" t="s">
        <v>12</v>
      </c>
      <c r="E225" s="4" t="s">
        <v>11</v>
      </c>
      <c r="F225" s="5">
        <v>43</v>
      </c>
      <c r="G225" s="4" t="s">
        <v>99</v>
      </c>
      <c r="H225" s="4" t="str">
        <f>IF(F225="","",VLOOKUP(F225,Productos!$A$2:$F$182,3,FALSE))</f>
        <v>2</v>
      </c>
      <c r="I225" s="4" t="str">
        <f>IF(F225="","",VLOOKUP(F225,Productos!$A$2:$F$182,4,FALSE))</f>
        <v>Productos alimenticios, bebidas y tabaco; textiles, prendas de vestir y productos de cuero</v>
      </c>
      <c r="J225" s="4">
        <f>IF(F225="","",VLOOKUP(F225,Productos!$A$2:$F$182,5,FALSE))</f>
        <v>3</v>
      </c>
      <c r="K225" s="4" t="str">
        <f>IF(F225="","",VLOOKUP(F225,Productos!$A$2:$F$182,6,FALSE))</f>
        <v>Manufacturas</v>
      </c>
      <c r="L225" s="4">
        <v>1</v>
      </c>
      <c r="M225" s="4" t="s">
        <v>14</v>
      </c>
      <c r="N225" s="4">
        <f>VLOOKUP(F225,Productos!$A$2:$J$182,5)</f>
        <v>3</v>
      </c>
      <c r="O225" s="4" t="str">
        <f>VLOOKUP(F225,Productos!$A$2:$J$182,6)</f>
        <v>Manufacturas</v>
      </c>
    </row>
    <row r="226" spans="1:15">
      <c r="A226" s="4" t="s">
        <v>420</v>
      </c>
      <c r="B226" s="4" t="s">
        <v>10</v>
      </c>
      <c r="C226" s="4" t="s">
        <v>11</v>
      </c>
      <c r="D226" s="4" t="s">
        <v>12</v>
      </c>
      <c r="E226" s="4" t="s">
        <v>11</v>
      </c>
      <c r="F226" s="5">
        <v>44</v>
      </c>
      <c r="G226" s="4" t="s">
        <v>101</v>
      </c>
      <c r="H226" s="4" t="str">
        <f>IF(F226="","",VLOOKUP(F226,Productos!$A$2:$F$182,3,FALSE))</f>
        <v>2</v>
      </c>
      <c r="I226" s="4" t="str">
        <f>IF(F226="","",VLOOKUP(F226,Productos!$A$2:$F$182,4,FALSE))</f>
        <v>Productos alimenticios, bebidas y tabaco; textiles, prendas de vestir y productos de cuero</v>
      </c>
      <c r="J226" s="4">
        <f>IF(F226="","",VLOOKUP(F226,Productos!$A$2:$F$182,5,FALSE))</f>
        <v>3</v>
      </c>
      <c r="K226" s="4" t="str">
        <f>IF(F226="","",VLOOKUP(F226,Productos!$A$2:$F$182,6,FALSE))</f>
        <v>Manufacturas</v>
      </c>
      <c r="L226" s="4">
        <v>1</v>
      </c>
      <c r="M226" s="4" t="s">
        <v>14</v>
      </c>
      <c r="N226" s="4">
        <f>VLOOKUP(F226,Productos!$A$2:$J$182,5)</f>
        <v>3</v>
      </c>
      <c r="O226" s="4" t="str">
        <f>VLOOKUP(F226,Productos!$A$2:$J$182,6)</f>
        <v>Manufacturas</v>
      </c>
    </row>
    <row r="227" spans="1:15">
      <c r="A227" s="4" t="s">
        <v>421</v>
      </c>
      <c r="B227" s="4" t="s">
        <v>10</v>
      </c>
      <c r="C227" s="4" t="s">
        <v>11</v>
      </c>
      <c r="D227" s="4" t="s">
        <v>12</v>
      </c>
      <c r="E227" s="4" t="s">
        <v>11</v>
      </c>
      <c r="F227" s="5">
        <v>45</v>
      </c>
      <c r="G227" s="4" t="s">
        <v>103</v>
      </c>
      <c r="H227" s="4" t="str">
        <f>IF(F227="","",VLOOKUP(F227,Productos!$A$2:$F$182,3,FALSE))</f>
        <v>2</v>
      </c>
      <c r="I227" s="4" t="str">
        <f>IF(F227="","",VLOOKUP(F227,Productos!$A$2:$F$182,4,FALSE))</f>
        <v>Productos alimenticios, bebidas y tabaco; textiles, prendas de vestir y productos de cuero</v>
      </c>
      <c r="J227" s="4">
        <f>IF(F227="","",VLOOKUP(F227,Productos!$A$2:$F$182,5,FALSE))</f>
        <v>3</v>
      </c>
      <c r="K227" s="4" t="str">
        <f>IF(F227="","",VLOOKUP(F227,Productos!$A$2:$F$182,6,FALSE))</f>
        <v>Manufacturas</v>
      </c>
      <c r="L227" s="4">
        <v>1</v>
      </c>
      <c r="M227" s="4" t="s">
        <v>14</v>
      </c>
      <c r="N227" s="4">
        <f>VLOOKUP(F227,Productos!$A$2:$J$182,5)</f>
        <v>3</v>
      </c>
      <c r="O227" s="4" t="str">
        <f>VLOOKUP(F227,Productos!$A$2:$J$182,6)</f>
        <v>Manufacturas</v>
      </c>
    </row>
    <row r="228" spans="1:15">
      <c r="A228" s="4" t="s">
        <v>422</v>
      </c>
      <c r="B228" s="4" t="s">
        <v>10</v>
      </c>
      <c r="C228" s="4" t="s">
        <v>11</v>
      </c>
      <c r="D228" s="4" t="s">
        <v>12</v>
      </c>
      <c r="E228" s="4" t="s">
        <v>11</v>
      </c>
      <c r="F228" s="5">
        <v>46</v>
      </c>
      <c r="G228" s="4" t="s">
        <v>105</v>
      </c>
      <c r="H228" s="4" t="str">
        <f>IF(F228="","",VLOOKUP(F228,Productos!$A$2:$F$182,3,FALSE))</f>
        <v>2</v>
      </c>
      <c r="I228" s="4" t="str">
        <f>IF(F228="","",VLOOKUP(F228,Productos!$A$2:$F$182,4,FALSE))</f>
        <v>Productos alimenticios, bebidas y tabaco; textiles, prendas de vestir y productos de cuero</v>
      </c>
      <c r="J228" s="4">
        <f>IF(F228="","",VLOOKUP(F228,Productos!$A$2:$F$182,5,FALSE))</f>
        <v>3</v>
      </c>
      <c r="K228" s="4" t="str">
        <f>IF(F228="","",VLOOKUP(F228,Productos!$A$2:$F$182,6,FALSE))</f>
        <v>Manufacturas</v>
      </c>
      <c r="L228" s="4">
        <v>1</v>
      </c>
      <c r="M228" s="4" t="s">
        <v>14</v>
      </c>
      <c r="N228" s="4">
        <f>VLOOKUP(F228,Productos!$A$2:$J$182,5)</f>
        <v>3</v>
      </c>
      <c r="O228" s="4" t="str">
        <f>VLOOKUP(F228,Productos!$A$2:$J$182,6)</f>
        <v>Manufacturas</v>
      </c>
    </row>
    <row r="229" spans="1:15">
      <c r="A229" s="4" t="s">
        <v>423</v>
      </c>
      <c r="B229" s="4" t="s">
        <v>10</v>
      </c>
      <c r="C229" s="4" t="s">
        <v>11</v>
      </c>
      <c r="D229" s="4" t="s">
        <v>12</v>
      </c>
      <c r="E229" s="4" t="s">
        <v>11</v>
      </c>
      <c r="F229" s="5">
        <v>47</v>
      </c>
      <c r="G229" s="4" t="s">
        <v>107</v>
      </c>
      <c r="H229" s="4" t="str">
        <f>IF(F229="","",VLOOKUP(F229,Productos!$A$2:$F$182,3,FALSE))</f>
        <v>2</v>
      </c>
      <c r="I229" s="4" t="str">
        <f>IF(F229="","",VLOOKUP(F229,Productos!$A$2:$F$182,4,FALSE))</f>
        <v>Productos alimenticios, bebidas y tabaco; textiles, prendas de vestir y productos de cuero</v>
      </c>
      <c r="J229" s="4">
        <f>IF(F229="","",VLOOKUP(F229,Productos!$A$2:$F$182,5,FALSE))</f>
        <v>3</v>
      </c>
      <c r="K229" s="4" t="str">
        <f>IF(F229="","",VLOOKUP(F229,Productos!$A$2:$F$182,6,FALSE))</f>
        <v>Manufacturas</v>
      </c>
      <c r="L229" s="4">
        <v>1</v>
      </c>
      <c r="M229" s="4" t="s">
        <v>14</v>
      </c>
      <c r="N229" s="4">
        <f>VLOOKUP(F229,Productos!$A$2:$J$182,5)</f>
        <v>3</v>
      </c>
      <c r="O229" s="4" t="str">
        <f>VLOOKUP(F229,Productos!$A$2:$J$182,6)</f>
        <v>Manufacturas</v>
      </c>
    </row>
    <row r="230" spans="1:15">
      <c r="A230" s="4" t="s">
        <v>424</v>
      </c>
      <c r="B230" s="4" t="s">
        <v>10</v>
      </c>
      <c r="C230" s="4" t="s">
        <v>11</v>
      </c>
      <c r="D230" s="4" t="s">
        <v>12</v>
      </c>
      <c r="E230" s="4" t="s">
        <v>11</v>
      </c>
      <c r="F230" s="5">
        <v>48</v>
      </c>
      <c r="G230" s="4" t="s">
        <v>109</v>
      </c>
      <c r="H230" s="4" t="str">
        <f>IF(F230="","",VLOOKUP(F230,Productos!$A$2:$F$182,3,FALSE))</f>
        <v>2</v>
      </c>
      <c r="I230" s="4" t="str">
        <f>IF(F230="","",VLOOKUP(F230,Productos!$A$2:$F$182,4,FALSE))</f>
        <v>Productos alimenticios, bebidas y tabaco; textiles, prendas de vestir y productos de cuero</v>
      </c>
      <c r="J230" s="4">
        <f>IF(F230="","",VLOOKUP(F230,Productos!$A$2:$F$182,5,FALSE))</f>
        <v>3</v>
      </c>
      <c r="K230" s="4" t="str">
        <f>IF(F230="","",VLOOKUP(F230,Productos!$A$2:$F$182,6,FALSE))</f>
        <v>Manufacturas</v>
      </c>
      <c r="L230" s="4">
        <v>1</v>
      </c>
      <c r="M230" s="4" t="s">
        <v>14</v>
      </c>
      <c r="N230" s="4">
        <f>VLOOKUP(F230,Productos!$A$2:$J$182,5)</f>
        <v>3</v>
      </c>
      <c r="O230" s="4" t="str">
        <f>VLOOKUP(F230,Productos!$A$2:$J$182,6)</f>
        <v>Manufacturas</v>
      </c>
    </row>
    <row r="231" spans="1:15">
      <c r="A231" s="4" t="s">
        <v>425</v>
      </c>
      <c r="B231" s="4" t="s">
        <v>10</v>
      </c>
      <c r="C231" s="4" t="s">
        <v>11</v>
      </c>
      <c r="D231" s="4" t="s">
        <v>12</v>
      </c>
      <c r="E231" s="4" t="s">
        <v>11</v>
      </c>
      <c r="F231" s="5">
        <v>49</v>
      </c>
      <c r="G231" s="4" t="s">
        <v>111</v>
      </c>
      <c r="H231" s="4" t="str">
        <f>IF(F231="","",VLOOKUP(F231,Productos!$A$2:$F$182,3,FALSE))</f>
        <v>2</v>
      </c>
      <c r="I231" s="4" t="str">
        <f>IF(F231="","",VLOOKUP(F231,Productos!$A$2:$F$182,4,FALSE))</f>
        <v>Productos alimenticios, bebidas y tabaco; textiles, prendas de vestir y productos de cuero</v>
      </c>
      <c r="J231" s="4">
        <f>IF(F231="","",VLOOKUP(F231,Productos!$A$2:$F$182,5,FALSE))</f>
        <v>3</v>
      </c>
      <c r="K231" s="4" t="str">
        <f>IF(F231="","",VLOOKUP(F231,Productos!$A$2:$F$182,6,FALSE))</f>
        <v>Manufacturas</v>
      </c>
      <c r="L231" s="4">
        <v>1</v>
      </c>
      <c r="M231" s="4" t="s">
        <v>14</v>
      </c>
      <c r="N231" s="4">
        <f>VLOOKUP(F231,Productos!$A$2:$J$182,5)</f>
        <v>3</v>
      </c>
      <c r="O231" s="4" t="str">
        <f>VLOOKUP(F231,Productos!$A$2:$J$182,6)</f>
        <v>Manufacturas</v>
      </c>
    </row>
    <row r="232" spans="1:15">
      <c r="A232" s="4" t="s">
        <v>426</v>
      </c>
      <c r="B232" s="4" t="s">
        <v>10</v>
      </c>
      <c r="C232" s="4" t="s">
        <v>11</v>
      </c>
      <c r="D232" s="4" t="s">
        <v>12</v>
      </c>
      <c r="E232" s="4" t="s">
        <v>11</v>
      </c>
      <c r="F232" s="5">
        <v>50</v>
      </c>
      <c r="G232" s="4" t="s">
        <v>113</v>
      </c>
      <c r="H232" s="4" t="str">
        <f>IF(F232="","",VLOOKUP(F232,Productos!$A$2:$F$182,3,FALSE))</f>
        <v>2</v>
      </c>
      <c r="I232" s="4" t="str">
        <f>IF(F232="","",VLOOKUP(F232,Productos!$A$2:$F$182,4,FALSE))</f>
        <v>Productos alimenticios, bebidas y tabaco; textiles, prendas de vestir y productos de cuero</v>
      </c>
      <c r="J232" s="4">
        <f>IF(F232="","",VLOOKUP(F232,Productos!$A$2:$F$182,5,FALSE))</f>
        <v>3</v>
      </c>
      <c r="K232" s="4" t="str">
        <f>IF(F232="","",VLOOKUP(F232,Productos!$A$2:$F$182,6,FALSE))</f>
        <v>Manufacturas</v>
      </c>
      <c r="L232" s="4">
        <v>1</v>
      </c>
      <c r="M232" s="4" t="s">
        <v>14</v>
      </c>
      <c r="N232" s="4">
        <f>VLOOKUP(F232,Productos!$A$2:$J$182,5)</f>
        <v>3</v>
      </c>
      <c r="O232" s="4" t="str">
        <f>VLOOKUP(F232,Productos!$A$2:$J$182,6)</f>
        <v>Manufacturas</v>
      </c>
    </row>
    <row r="233" spans="1:15">
      <c r="A233" s="4" t="s">
        <v>427</v>
      </c>
      <c r="B233" s="4" t="s">
        <v>10</v>
      </c>
      <c r="C233" s="4" t="s">
        <v>11</v>
      </c>
      <c r="D233" s="4" t="s">
        <v>12</v>
      </c>
      <c r="E233" s="4" t="s">
        <v>11</v>
      </c>
      <c r="F233" s="5">
        <v>51</v>
      </c>
      <c r="G233" s="4" t="s">
        <v>115</v>
      </c>
      <c r="H233" s="4" t="str">
        <f>IF(F233="","",VLOOKUP(F233,Productos!$A$2:$F$182,3,FALSE))</f>
        <v>2</v>
      </c>
      <c r="I233" s="4" t="str">
        <f>IF(F233="","",VLOOKUP(F233,Productos!$A$2:$F$182,4,FALSE))</f>
        <v>Productos alimenticios, bebidas y tabaco; textiles, prendas de vestir y productos de cuero</v>
      </c>
      <c r="J233" s="4">
        <f>IF(F233="","",VLOOKUP(F233,Productos!$A$2:$F$182,5,FALSE))</f>
        <v>3</v>
      </c>
      <c r="K233" s="4" t="str">
        <f>IF(F233="","",VLOOKUP(F233,Productos!$A$2:$F$182,6,FALSE))</f>
        <v>Manufacturas</v>
      </c>
      <c r="L233" s="4">
        <v>1</v>
      </c>
      <c r="M233" s="4" t="s">
        <v>14</v>
      </c>
      <c r="N233" s="4">
        <f>VLOOKUP(F233,Productos!$A$2:$J$182,5)</f>
        <v>3</v>
      </c>
      <c r="O233" s="4" t="str">
        <f>VLOOKUP(F233,Productos!$A$2:$J$182,6)</f>
        <v>Manufacturas</v>
      </c>
    </row>
    <row r="234" spans="1:15">
      <c r="A234" s="4" t="s">
        <v>428</v>
      </c>
      <c r="B234" s="4" t="s">
        <v>10</v>
      </c>
      <c r="C234" s="4" t="s">
        <v>11</v>
      </c>
      <c r="D234" s="4" t="s">
        <v>12</v>
      </c>
      <c r="E234" s="4" t="s">
        <v>11</v>
      </c>
      <c r="F234" s="5">
        <v>52</v>
      </c>
      <c r="G234" s="4" t="s">
        <v>117</v>
      </c>
      <c r="H234" s="4" t="str">
        <f>IF(F234="","",VLOOKUP(F234,Productos!$A$2:$F$182,3,FALSE))</f>
        <v>2</v>
      </c>
      <c r="I234" s="4" t="str">
        <f>IF(F234="","",VLOOKUP(F234,Productos!$A$2:$F$182,4,FALSE))</f>
        <v>Productos alimenticios, bebidas y tabaco; textiles, prendas de vestir y productos de cuero</v>
      </c>
      <c r="J234" s="4">
        <f>IF(F234="","",VLOOKUP(F234,Productos!$A$2:$F$182,5,FALSE))</f>
        <v>3</v>
      </c>
      <c r="K234" s="4" t="str">
        <f>IF(F234="","",VLOOKUP(F234,Productos!$A$2:$F$182,6,FALSE))</f>
        <v>Manufacturas</v>
      </c>
      <c r="L234" s="4">
        <v>1</v>
      </c>
      <c r="M234" s="4" t="s">
        <v>14</v>
      </c>
      <c r="N234" s="4">
        <f>VLOOKUP(F234,Productos!$A$2:$J$182,5)</f>
        <v>3</v>
      </c>
      <c r="O234" s="4" t="str">
        <f>VLOOKUP(F234,Productos!$A$2:$J$182,6)</f>
        <v>Manufacturas</v>
      </c>
    </row>
    <row r="235" spans="1:15">
      <c r="A235" s="4" t="s">
        <v>429</v>
      </c>
      <c r="B235" s="4" t="s">
        <v>10</v>
      </c>
      <c r="C235" s="4" t="s">
        <v>11</v>
      </c>
      <c r="D235" s="4" t="s">
        <v>12</v>
      </c>
      <c r="E235" s="4" t="s">
        <v>11</v>
      </c>
      <c r="F235" s="5">
        <v>53</v>
      </c>
      <c r="G235" s="4" t="s">
        <v>119</v>
      </c>
      <c r="H235" s="4" t="str">
        <f>IF(F235="","",VLOOKUP(F235,Productos!$A$2:$F$182,3,FALSE))</f>
        <v>2</v>
      </c>
      <c r="I235" s="4" t="str">
        <f>IF(F235="","",VLOOKUP(F235,Productos!$A$2:$F$182,4,FALSE))</f>
        <v>Productos alimenticios, bebidas y tabaco; textiles, prendas de vestir y productos de cuero</v>
      </c>
      <c r="J235" s="4">
        <f>IF(F235="","",VLOOKUP(F235,Productos!$A$2:$F$182,5,FALSE))</f>
        <v>3</v>
      </c>
      <c r="K235" s="4" t="str">
        <f>IF(F235="","",VLOOKUP(F235,Productos!$A$2:$F$182,6,FALSE))</f>
        <v>Manufacturas</v>
      </c>
      <c r="L235" s="4">
        <v>1</v>
      </c>
      <c r="M235" s="4" t="s">
        <v>14</v>
      </c>
      <c r="N235" s="4">
        <f>VLOOKUP(F235,Productos!$A$2:$J$182,5)</f>
        <v>3</v>
      </c>
      <c r="O235" s="4" t="str">
        <f>VLOOKUP(F235,Productos!$A$2:$J$182,6)</f>
        <v>Manufacturas</v>
      </c>
    </row>
    <row r="236" spans="1:15">
      <c r="A236" s="4" t="s">
        <v>430</v>
      </c>
      <c r="B236" s="4" t="s">
        <v>10</v>
      </c>
      <c r="C236" s="4" t="s">
        <v>11</v>
      </c>
      <c r="D236" s="4" t="s">
        <v>12</v>
      </c>
      <c r="E236" s="4" t="s">
        <v>11</v>
      </c>
      <c r="F236" s="5">
        <v>54</v>
      </c>
      <c r="G236" s="4" t="s">
        <v>121</v>
      </c>
      <c r="H236" s="4" t="str">
        <f>IF(F236="","",VLOOKUP(F236,Productos!$A$2:$F$182,3,FALSE))</f>
        <v>2</v>
      </c>
      <c r="I236" s="4" t="str">
        <f>IF(F236="","",VLOOKUP(F236,Productos!$A$2:$F$182,4,FALSE))</f>
        <v>Productos alimenticios, bebidas y tabaco; textiles, prendas de vestir y productos de cuero</v>
      </c>
      <c r="J236" s="4">
        <f>IF(F236="","",VLOOKUP(F236,Productos!$A$2:$F$182,5,FALSE))</f>
        <v>3</v>
      </c>
      <c r="K236" s="4" t="str">
        <f>IF(F236="","",VLOOKUP(F236,Productos!$A$2:$F$182,6,FALSE))</f>
        <v>Manufacturas</v>
      </c>
      <c r="L236" s="4">
        <v>1</v>
      </c>
      <c r="M236" s="4" t="s">
        <v>14</v>
      </c>
      <c r="N236" s="4">
        <f>VLOOKUP(F236,Productos!$A$2:$J$182,5)</f>
        <v>3</v>
      </c>
      <c r="O236" s="4" t="str">
        <f>VLOOKUP(F236,Productos!$A$2:$J$182,6)</f>
        <v>Manufacturas</v>
      </c>
    </row>
    <row r="237" spans="1:15">
      <c r="A237" s="4" t="s">
        <v>431</v>
      </c>
      <c r="B237" s="4" t="s">
        <v>10</v>
      </c>
      <c r="C237" s="4" t="s">
        <v>11</v>
      </c>
      <c r="D237" s="4" t="s">
        <v>12</v>
      </c>
      <c r="E237" s="4" t="s">
        <v>11</v>
      </c>
      <c r="F237" s="5">
        <v>55</v>
      </c>
      <c r="G237" s="4" t="s">
        <v>123</v>
      </c>
      <c r="H237" s="4" t="str">
        <f>IF(F237="","",VLOOKUP(F237,Productos!$A$2:$F$182,3,FALSE))</f>
        <v>2</v>
      </c>
      <c r="I237" s="4" t="str">
        <f>IF(F237="","",VLOOKUP(F237,Productos!$A$2:$F$182,4,FALSE))</f>
        <v>Productos alimenticios, bebidas y tabaco; textiles, prendas de vestir y productos de cuero</v>
      </c>
      <c r="J237" s="4">
        <f>IF(F237="","",VLOOKUP(F237,Productos!$A$2:$F$182,5,FALSE))</f>
        <v>3</v>
      </c>
      <c r="K237" s="4" t="str">
        <f>IF(F237="","",VLOOKUP(F237,Productos!$A$2:$F$182,6,FALSE))</f>
        <v>Manufacturas</v>
      </c>
      <c r="L237" s="4">
        <v>1</v>
      </c>
      <c r="M237" s="4" t="s">
        <v>14</v>
      </c>
      <c r="N237" s="4">
        <f>VLOOKUP(F237,Productos!$A$2:$J$182,5)</f>
        <v>3</v>
      </c>
      <c r="O237" s="4" t="str">
        <f>VLOOKUP(F237,Productos!$A$2:$J$182,6)</f>
        <v>Manufacturas</v>
      </c>
    </row>
    <row r="238" spans="1:15">
      <c r="A238" s="4" t="s">
        <v>432</v>
      </c>
      <c r="B238" s="4" t="s">
        <v>10</v>
      </c>
      <c r="C238" s="4" t="s">
        <v>11</v>
      </c>
      <c r="D238" s="4" t="s">
        <v>12</v>
      </c>
      <c r="E238" s="4" t="s">
        <v>11</v>
      </c>
      <c r="F238" s="5">
        <v>56</v>
      </c>
      <c r="G238" s="4" t="s">
        <v>125</v>
      </c>
      <c r="H238" s="4" t="str">
        <f>IF(F238="","",VLOOKUP(F238,Productos!$A$2:$F$182,3,FALSE))</f>
        <v>2</v>
      </c>
      <c r="I238" s="4" t="str">
        <f>IF(F238="","",VLOOKUP(F238,Productos!$A$2:$F$182,4,FALSE))</f>
        <v>Productos alimenticios, bebidas y tabaco; textiles, prendas de vestir y productos de cuero</v>
      </c>
      <c r="J238" s="4">
        <f>IF(F238="","",VLOOKUP(F238,Productos!$A$2:$F$182,5,FALSE))</f>
        <v>3</v>
      </c>
      <c r="K238" s="4" t="str">
        <f>IF(F238="","",VLOOKUP(F238,Productos!$A$2:$F$182,6,FALSE))</f>
        <v>Manufacturas</v>
      </c>
      <c r="L238" s="4">
        <v>1</v>
      </c>
      <c r="M238" s="4" t="s">
        <v>14</v>
      </c>
      <c r="N238" s="4">
        <f>VLOOKUP(F238,Productos!$A$2:$J$182,5)</f>
        <v>3</v>
      </c>
      <c r="O238" s="4" t="str">
        <f>VLOOKUP(F238,Productos!$A$2:$J$182,6)</f>
        <v>Manufacturas</v>
      </c>
    </row>
    <row r="239" spans="1:15">
      <c r="A239" s="4" t="s">
        <v>433</v>
      </c>
      <c r="B239" s="4" t="s">
        <v>10</v>
      </c>
      <c r="C239" s="4" t="s">
        <v>11</v>
      </c>
      <c r="D239" s="4" t="s">
        <v>12</v>
      </c>
      <c r="E239" s="4" t="s">
        <v>11</v>
      </c>
      <c r="F239" s="5">
        <v>57</v>
      </c>
      <c r="G239" s="4" t="s">
        <v>127</v>
      </c>
      <c r="H239" s="4" t="str">
        <f>IF(F239="","",VLOOKUP(F239,Productos!$A$2:$F$182,3,FALSE))</f>
        <v>2</v>
      </c>
      <c r="I239" s="4" t="str">
        <f>IF(F239="","",VLOOKUP(F239,Productos!$A$2:$F$182,4,FALSE))</f>
        <v>Productos alimenticios, bebidas y tabaco; textiles, prendas de vestir y productos de cuero</v>
      </c>
      <c r="J239" s="4">
        <f>IF(F239="","",VLOOKUP(F239,Productos!$A$2:$F$182,5,FALSE))</f>
        <v>3</v>
      </c>
      <c r="K239" s="4" t="str">
        <f>IF(F239="","",VLOOKUP(F239,Productos!$A$2:$F$182,6,FALSE))</f>
        <v>Manufacturas</v>
      </c>
      <c r="L239" s="4">
        <v>1</v>
      </c>
      <c r="M239" s="4" t="s">
        <v>14</v>
      </c>
      <c r="N239" s="4">
        <f>VLOOKUP(F239,Productos!$A$2:$J$182,5)</f>
        <v>3</v>
      </c>
      <c r="O239" s="4" t="str">
        <f>VLOOKUP(F239,Productos!$A$2:$J$182,6)</f>
        <v>Manufacturas</v>
      </c>
    </row>
    <row r="240" spans="1:15">
      <c r="A240" s="4" t="s">
        <v>434</v>
      </c>
      <c r="B240" s="4" t="s">
        <v>10</v>
      </c>
      <c r="C240" s="4" t="s">
        <v>11</v>
      </c>
      <c r="D240" s="4" t="s">
        <v>12</v>
      </c>
      <c r="E240" s="4" t="s">
        <v>11</v>
      </c>
      <c r="F240" s="5">
        <v>58</v>
      </c>
      <c r="G240" s="4" t="s">
        <v>129</v>
      </c>
      <c r="H240" s="4" t="str">
        <f>IF(F240="","",VLOOKUP(F240,Productos!$A$2:$F$182,3,FALSE))</f>
        <v>2</v>
      </c>
      <c r="I240" s="4" t="str">
        <f>IF(F240="","",VLOOKUP(F240,Productos!$A$2:$F$182,4,FALSE))</f>
        <v>Productos alimenticios, bebidas y tabaco; textiles, prendas de vestir y productos de cuero</v>
      </c>
      <c r="J240" s="4">
        <f>IF(F240="","",VLOOKUP(F240,Productos!$A$2:$F$182,5,FALSE))</f>
        <v>3</v>
      </c>
      <c r="K240" s="4" t="str">
        <f>IF(F240="","",VLOOKUP(F240,Productos!$A$2:$F$182,6,FALSE))</f>
        <v>Manufacturas</v>
      </c>
      <c r="L240" s="4">
        <v>1</v>
      </c>
      <c r="M240" s="4" t="s">
        <v>14</v>
      </c>
      <c r="N240" s="4">
        <f>VLOOKUP(F240,Productos!$A$2:$J$182,5)</f>
        <v>3</v>
      </c>
      <c r="O240" s="4" t="str">
        <f>VLOOKUP(F240,Productos!$A$2:$J$182,6)</f>
        <v>Manufacturas</v>
      </c>
    </row>
    <row r="241" spans="1:15">
      <c r="A241" s="4" t="s">
        <v>435</v>
      </c>
      <c r="B241" s="4" t="s">
        <v>10</v>
      </c>
      <c r="C241" s="4" t="s">
        <v>11</v>
      </c>
      <c r="D241" s="4" t="s">
        <v>12</v>
      </c>
      <c r="E241" s="4" t="s">
        <v>11</v>
      </c>
      <c r="F241" s="5">
        <v>59</v>
      </c>
      <c r="G241" s="4" t="s">
        <v>131</v>
      </c>
      <c r="H241" s="4" t="str">
        <f>IF(F241="","",VLOOKUP(F241,Productos!$A$2:$F$182,3,FALSE))</f>
        <v>2</v>
      </c>
      <c r="I241" s="4" t="str">
        <f>IF(F241="","",VLOOKUP(F241,Productos!$A$2:$F$182,4,FALSE))</f>
        <v>Productos alimenticios, bebidas y tabaco; textiles, prendas de vestir y productos de cuero</v>
      </c>
      <c r="J241" s="4">
        <f>IF(F241="","",VLOOKUP(F241,Productos!$A$2:$F$182,5,FALSE))</f>
        <v>3</v>
      </c>
      <c r="K241" s="4" t="str">
        <f>IF(F241="","",VLOOKUP(F241,Productos!$A$2:$F$182,6,FALSE))</f>
        <v>Manufacturas</v>
      </c>
      <c r="L241" s="4">
        <v>1</v>
      </c>
      <c r="M241" s="4" t="s">
        <v>14</v>
      </c>
      <c r="N241" s="4">
        <f>VLOOKUP(F241,Productos!$A$2:$J$182,5)</f>
        <v>3</v>
      </c>
      <c r="O241" s="4" t="str">
        <f>VLOOKUP(F241,Productos!$A$2:$J$182,6)</f>
        <v>Manufacturas</v>
      </c>
    </row>
    <row r="242" spans="1:15">
      <c r="A242" s="4" t="s">
        <v>436</v>
      </c>
      <c r="B242" s="4" t="s">
        <v>10</v>
      </c>
      <c r="C242" s="4" t="s">
        <v>11</v>
      </c>
      <c r="D242" s="4" t="s">
        <v>12</v>
      </c>
      <c r="E242" s="4" t="s">
        <v>11</v>
      </c>
      <c r="F242" s="5">
        <v>60</v>
      </c>
      <c r="G242" s="4" t="s">
        <v>133</v>
      </c>
      <c r="H242" s="4" t="str">
        <f>IF(F242="","",VLOOKUP(F242,Productos!$A$2:$F$182,3,FALSE))</f>
        <v>2</v>
      </c>
      <c r="I242" s="4" t="str">
        <f>IF(F242="","",VLOOKUP(F242,Productos!$A$2:$F$182,4,FALSE))</f>
        <v>Productos alimenticios, bebidas y tabaco; textiles, prendas de vestir y productos de cuero</v>
      </c>
      <c r="J242" s="4">
        <f>IF(F242="","",VLOOKUP(F242,Productos!$A$2:$F$182,5,FALSE))</f>
        <v>3</v>
      </c>
      <c r="K242" s="4" t="str">
        <f>IF(F242="","",VLOOKUP(F242,Productos!$A$2:$F$182,6,FALSE))</f>
        <v>Manufacturas</v>
      </c>
      <c r="L242" s="4">
        <v>1</v>
      </c>
      <c r="M242" s="4" t="s">
        <v>14</v>
      </c>
      <c r="N242" s="4">
        <f>VLOOKUP(F242,Productos!$A$2:$J$182,5)</f>
        <v>3</v>
      </c>
      <c r="O242" s="4" t="str">
        <f>VLOOKUP(F242,Productos!$A$2:$J$182,6)</f>
        <v>Manufacturas</v>
      </c>
    </row>
    <row r="243" spans="1:15">
      <c r="A243" s="4" t="s">
        <v>437</v>
      </c>
      <c r="B243" s="4" t="s">
        <v>10</v>
      </c>
      <c r="C243" s="4" t="s">
        <v>11</v>
      </c>
      <c r="D243" s="4" t="s">
        <v>12</v>
      </c>
      <c r="E243" s="4" t="s">
        <v>11</v>
      </c>
      <c r="F243" s="5">
        <v>61</v>
      </c>
      <c r="G243" s="4" t="s">
        <v>135</v>
      </c>
      <c r="H243" s="4" t="str">
        <f>IF(F243="","",VLOOKUP(F243,Productos!$A$2:$F$182,3,FALSE))</f>
        <v>2</v>
      </c>
      <c r="I243" s="4" t="str">
        <f>IF(F243="","",VLOOKUP(F243,Productos!$A$2:$F$182,4,FALSE))</f>
        <v>Productos alimenticios, bebidas y tabaco; textiles, prendas de vestir y productos de cuero</v>
      </c>
      <c r="J243" s="4">
        <f>IF(F243="","",VLOOKUP(F243,Productos!$A$2:$F$182,5,FALSE))</f>
        <v>3</v>
      </c>
      <c r="K243" s="4" t="str">
        <f>IF(F243="","",VLOOKUP(F243,Productos!$A$2:$F$182,6,FALSE))</f>
        <v>Manufacturas</v>
      </c>
      <c r="L243" s="4">
        <v>1</v>
      </c>
      <c r="M243" s="4" t="s">
        <v>14</v>
      </c>
      <c r="N243" s="4">
        <f>VLOOKUP(F243,Productos!$A$2:$J$182,5)</f>
        <v>3</v>
      </c>
      <c r="O243" s="4" t="str">
        <f>VLOOKUP(F243,Productos!$A$2:$J$182,6)</f>
        <v>Manufacturas</v>
      </c>
    </row>
    <row r="244" spans="1:15">
      <c r="A244" s="4" t="s">
        <v>438</v>
      </c>
      <c r="B244" s="4" t="s">
        <v>10</v>
      </c>
      <c r="C244" s="4" t="s">
        <v>11</v>
      </c>
      <c r="D244" s="4" t="s">
        <v>12</v>
      </c>
      <c r="E244" s="4" t="s">
        <v>11</v>
      </c>
      <c r="F244" s="5">
        <v>62</v>
      </c>
      <c r="G244" s="4" t="s">
        <v>137</v>
      </c>
      <c r="H244" s="4" t="str">
        <f>IF(F244="","",VLOOKUP(F244,Productos!$A$2:$F$182,3,FALSE))</f>
        <v>2</v>
      </c>
      <c r="I244" s="4" t="str">
        <f>IF(F244="","",VLOOKUP(F244,Productos!$A$2:$F$182,4,FALSE))</f>
        <v>Productos alimenticios, bebidas y tabaco; textiles, prendas de vestir y productos de cuero</v>
      </c>
      <c r="J244" s="4">
        <f>IF(F244="","",VLOOKUP(F244,Productos!$A$2:$F$182,5,FALSE))</f>
        <v>3</v>
      </c>
      <c r="K244" s="4" t="str">
        <f>IF(F244="","",VLOOKUP(F244,Productos!$A$2:$F$182,6,FALSE))</f>
        <v>Manufacturas</v>
      </c>
      <c r="L244" s="4">
        <v>1</v>
      </c>
      <c r="M244" s="4" t="s">
        <v>14</v>
      </c>
      <c r="N244" s="4">
        <f>VLOOKUP(F244,Productos!$A$2:$J$182,5)</f>
        <v>3</v>
      </c>
      <c r="O244" s="4" t="str">
        <f>VLOOKUP(F244,Productos!$A$2:$J$182,6)</f>
        <v>Manufacturas</v>
      </c>
    </row>
    <row r="245" spans="1:15">
      <c r="A245" s="4" t="s">
        <v>439</v>
      </c>
      <c r="B245" s="4" t="s">
        <v>10</v>
      </c>
      <c r="C245" s="4" t="s">
        <v>11</v>
      </c>
      <c r="D245" s="4" t="s">
        <v>12</v>
      </c>
      <c r="E245" s="4" t="s">
        <v>11</v>
      </c>
      <c r="F245" s="5">
        <v>63</v>
      </c>
      <c r="G245" s="4" t="s">
        <v>139</v>
      </c>
      <c r="H245" s="4" t="str">
        <f>IF(F245="","",VLOOKUP(F245,Productos!$A$2:$F$182,3,FALSE))</f>
        <v>2</v>
      </c>
      <c r="I245" s="4" t="str">
        <f>IF(F245="","",VLOOKUP(F245,Productos!$A$2:$F$182,4,FALSE))</f>
        <v>Productos alimenticios, bebidas y tabaco; textiles, prendas de vestir y productos de cuero</v>
      </c>
      <c r="J245" s="4">
        <f>IF(F245="","",VLOOKUP(F245,Productos!$A$2:$F$182,5,FALSE))</f>
        <v>3</v>
      </c>
      <c r="K245" s="4" t="str">
        <f>IF(F245="","",VLOOKUP(F245,Productos!$A$2:$F$182,6,FALSE))</f>
        <v>Manufacturas</v>
      </c>
      <c r="L245" s="4">
        <v>1</v>
      </c>
      <c r="M245" s="4" t="s">
        <v>14</v>
      </c>
      <c r="N245" s="4">
        <f>VLOOKUP(F245,Productos!$A$2:$J$182,5)</f>
        <v>3</v>
      </c>
      <c r="O245" s="4" t="str">
        <f>VLOOKUP(F245,Productos!$A$2:$J$182,6)</f>
        <v>Manufacturas</v>
      </c>
    </row>
    <row r="246" spans="1:15">
      <c r="A246" s="4" t="s">
        <v>440</v>
      </c>
      <c r="B246" s="4" t="s">
        <v>10</v>
      </c>
      <c r="C246" s="4" t="s">
        <v>11</v>
      </c>
      <c r="D246" s="4" t="s">
        <v>12</v>
      </c>
      <c r="E246" s="4" t="s">
        <v>11</v>
      </c>
      <c r="F246" s="5">
        <v>64</v>
      </c>
      <c r="G246" s="4" t="s">
        <v>141</v>
      </c>
      <c r="H246" s="4" t="str">
        <f>IF(F246="","",VLOOKUP(F246,Productos!$A$2:$F$182,3,FALSE))</f>
        <v>2</v>
      </c>
      <c r="I246" s="4" t="str">
        <f>IF(F246="","",VLOOKUP(F246,Productos!$A$2:$F$182,4,FALSE))</f>
        <v>Productos alimenticios, bebidas y tabaco; textiles, prendas de vestir y productos de cuero</v>
      </c>
      <c r="J246" s="4">
        <f>IF(F246="","",VLOOKUP(F246,Productos!$A$2:$F$182,5,FALSE))</f>
        <v>3</v>
      </c>
      <c r="K246" s="4" t="str">
        <f>IF(F246="","",VLOOKUP(F246,Productos!$A$2:$F$182,6,FALSE))</f>
        <v>Manufacturas</v>
      </c>
      <c r="L246" s="4">
        <v>2</v>
      </c>
      <c r="M246" s="4" t="s">
        <v>142</v>
      </c>
      <c r="N246" s="4">
        <f>VLOOKUP(F246,Productos!$A$2:$J$182,5)</f>
        <v>3</v>
      </c>
      <c r="O246" s="4" t="str">
        <f>VLOOKUP(F246,Productos!$A$2:$J$182,6)</f>
        <v>Manufacturas</v>
      </c>
    </row>
    <row r="247" spans="1:15">
      <c r="A247" s="4" t="s">
        <v>441</v>
      </c>
      <c r="B247" s="4" t="s">
        <v>10</v>
      </c>
      <c r="C247" s="4" t="s">
        <v>11</v>
      </c>
      <c r="D247" s="4" t="s">
        <v>12</v>
      </c>
      <c r="E247" s="4" t="s">
        <v>11</v>
      </c>
      <c r="F247" s="5">
        <v>65</v>
      </c>
      <c r="G247" s="4" t="s">
        <v>144</v>
      </c>
      <c r="H247" s="4" t="str">
        <f>IF(F247="","",VLOOKUP(F247,Productos!$A$2:$F$182,3,FALSE))</f>
        <v>2</v>
      </c>
      <c r="I247" s="4" t="str">
        <f>IF(F247="","",VLOOKUP(F247,Productos!$A$2:$F$182,4,FALSE))</f>
        <v>Productos alimenticios, bebidas y tabaco; textiles, prendas de vestir y productos de cuero</v>
      </c>
      <c r="J247" s="4">
        <f>IF(F247="","",VLOOKUP(F247,Productos!$A$2:$F$182,5,FALSE))</f>
        <v>3</v>
      </c>
      <c r="K247" s="4" t="str">
        <f>IF(F247="","",VLOOKUP(F247,Productos!$A$2:$F$182,6,FALSE))</f>
        <v>Manufacturas</v>
      </c>
      <c r="L247" s="4">
        <v>2</v>
      </c>
      <c r="M247" s="4" t="s">
        <v>142</v>
      </c>
      <c r="N247" s="4">
        <f>VLOOKUP(F247,Productos!$A$2:$J$182,5)</f>
        <v>3</v>
      </c>
      <c r="O247" s="4" t="str">
        <f>VLOOKUP(F247,Productos!$A$2:$J$182,6)</f>
        <v>Manufacturas</v>
      </c>
    </row>
    <row r="248" spans="1:15">
      <c r="A248" s="4" t="s">
        <v>442</v>
      </c>
      <c r="B248" s="4" t="s">
        <v>10</v>
      </c>
      <c r="C248" s="4" t="s">
        <v>11</v>
      </c>
      <c r="D248" s="4" t="s">
        <v>12</v>
      </c>
      <c r="E248" s="4" t="s">
        <v>11</v>
      </c>
      <c r="F248" s="5">
        <v>66</v>
      </c>
      <c r="G248" s="4" t="s">
        <v>146</v>
      </c>
      <c r="H248" s="4" t="str">
        <f>IF(F248="","",VLOOKUP(F248,Productos!$A$2:$F$182,3,FALSE))</f>
        <v>2</v>
      </c>
      <c r="I248" s="4" t="str">
        <f>IF(F248="","",VLOOKUP(F248,Productos!$A$2:$F$182,4,FALSE))</f>
        <v>Productos alimenticios, bebidas y tabaco; textiles, prendas de vestir y productos de cuero</v>
      </c>
      <c r="J248" s="4">
        <f>IF(F248="","",VLOOKUP(F248,Productos!$A$2:$F$182,5,FALSE))</f>
        <v>3</v>
      </c>
      <c r="K248" s="4" t="str">
        <f>IF(F248="","",VLOOKUP(F248,Productos!$A$2:$F$182,6,FALSE))</f>
        <v>Manufacturas</v>
      </c>
      <c r="L248" s="4">
        <v>1</v>
      </c>
      <c r="M248" s="4" t="s">
        <v>14</v>
      </c>
      <c r="N248" s="4">
        <f>VLOOKUP(F248,Productos!$A$2:$J$182,5)</f>
        <v>3</v>
      </c>
      <c r="O248" s="4" t="str">
        <f>VLOOKUP(F248,Productos!$A$2:$J$182,6)</f>
        <v>Manufacturas</v>
      </c>
    </row>
    <row r="249" spans="1:15">
      <c r="A249" s="4" t="s">
        <v>443</v>
      </c>
      <c r="B249" s="4" t="s">
        <v>10</v>
      </c>
      <c r="C249" s="4" t="s">
        <v>11</v>
      </c>
      <c r="D249" s="4" t="s">
        <v>12</v>
      </c>
      <c r="E249" s="4" t="s">
        <v>11</v>
      </c>
      <c r="F249" s="5">
        <v>67</v>
      </c>
      <c r="G249" s="4" t="s">
        <v>148</v>
      </c>
      <c r="H249" s="4" t="str">
        <f>IF(F249="","",VLOOKUP(F249,Productos!$A$2:$F$182,3,FALSE))</f>
        <v>2</v>
      </c>
      <c r="I249" s="4" t="str">
        <f>IF(F249="","",VLOOKUP(F249,Productos!$A$2:$F$182,4,FALSE))</f>
        <v>Productos alimenticios, bebidas y tabaco; textiles, prendas de vestir y productos de cuero</v>
      </c>
      <c r="J249" s="4">
        <f>IF(F249="","",VLOOKUP(F249,Productos!$A$2:$F$182,5,FALSE))</f>
        <v>3</v>
      </c>
      <c r="K249" s="4" t="str">
        <f>IF(F249="","",VLOOKUP(F249,Productos!$A$2:$F$182,6,FALSE))</f>
        <v>Manufacturas</v>
      </c>
      <c r="L249" s="4">
        <v>2</v>
      </c>
      <c r="M249" s="4" t="s">
        <v>142</v>
      </c>
      <c r="N249" s="4">
        <f>VLOOKUP(F249,Productos!$A$2:$J$182,5)</f>
        <v>3</v>
      </c>
      <c r="O249" s="4" t="str">
        <f>VLOOKUP(F249,Productos!$A$2:$J$182,6)</f>
        <v>Manufacturas</v>
      </c>
    </row>
    <row r="250" spans="1:15">
      <c r="A250" s="4" t="s">
        <v>444</v>
      </c>
      <c r="B250" s="4" t="s">
        <v>10</v>
      </c>
      <c r="C250" s="4" t="s">
        <v>11</v>
      </c>
      <c r="D250" s="4" t="s">
        <v>12</v>
      </c>
      <c r="E250" s="4" t="s">
        <v>11</v>
      </c>
      <c r="F250" s="5">
        <v>68</v>
      </c>
      <c r="G250" s="4" t="s">
        <v>150</v>
      </c>
      <c r="H250" s="4" t="str">
        <f>IF(F250="","",VLOOKUP(F250,Productos!$A$2:$F$182,3,FALSE))</f>
        <v>3</v>
      </c>
      <c r="I250" s="4" t="str">
        <f>IF(F250="","",VLOOKUP(F250,Productos!$A$2:$F$182,4,FALSE))</f>
        <v>Otros bienes transportables, excepto productos metálicos, maquinaria y equipo</v>
      </c>
      <c r="J250" s="4">
        <f>IF(F250="","",VLOOKUP(F250,Productos!$A$2:$F$182,5,FALSE))</f>
        <v>3</v>
      </c>
      <c r="K250" s="4" t="str">
        <f>IF(F250="","",VLOOKUP(F250,Productos!$A$2:$F$182,6,FALSE))</f>
        <v>Manufacturas</v>
      </c>
      <c r="L250" s="4">
        <v>2</v>
      </c>
      <c r="M250" s="4" t="s">
        <v>142</v>
      </c>
      <c r="N250" s="4">
        <f>VLOOKUP(F250,Productos!$A$2:$J$182,5)</f>
        <v>3</v>
      </c>
      <c r="O250" s="4" t="str">
        <f>VLOOKUP(F250,Productos!$A$2:$J$182,6)</f>
        <v>Manufacturas</v>
      </c>
    </row>
    <row r="251" spans="1:15">
      <c r="A251" s="4" t="s">
        <v>445</v>
      </c>
      <c r="B251" s="4" t="s">
        <v>10</v>
      </c>
      <c r="C251" s="4" t="s">
        <v>11</v>
      </c>
      <c r="D251" s="4" t="s">
        <v>12</v>
      </c>
      <c r="E251" s="4" t="s">
        <v>11</v>
      </c>
      <c r="F251" s="5">
        <v>69</v>
      </c>
      <c r="G251" s="4" t="s">
        <v>152</v>
      </c>
      <c r="H251" s="4" t="str">
        <f>IF(F251="","",VLOOKUP(F251,Productos!$A$2:$F$182,3,FALSE))</f>
        <v>3</v>
      </c>
      <c r="I251" s="4" t="str">
        <f>IF(F251="","",VLOOKUP(F251,Productos!$A$2:$F$182,4,FALSE))</f>
        <v>Otros bienes transportables, excepto productos metálicos, maquinaria y equipo</v>
      </c>
      <c r="J251" s="4">
        <f>IF(F251="","",VLOOKUP(F251,Productos!$A$2:$F$182,5,FALSE))</f>
        <v>3</v>
      </c>
      <c r="K251" s="4" t="str">
        <f>IF(F251="","",VLOOKUP(F251,Productos!$A$2:$F$182,6,FALSE))</f>
        <v>Manufacturas</v>
      </c>
      <c r="L251" s="4">
        <v>2</v>
      </c>
      <c r="M251" s="4" t="s">
        <v>142</v>
      </c>
      <c r="N251" s="4">
        <f>VLOOKUP(F251,Productos!$A$2:$J$182,5)</f>
        <v>3</v>
      </c>
      <c r="O251" s="4" t="str">
        <f>VLOOKUP(F251,Productos!$A$2:$J$182,6)</f>
        <v>Manufacturas</v>
      </c>
    </row>
    <row r="252" spans="1:15">
      <c r="A252" s="4" t="s">
        <v>446</v>
      </c>
      <c r="B252" s="4" t="s">
        <v>10</v>
      </c>
      <c r="C252" s="4" t="s">
        <v>11</v>
      </c>
      <c r="D252" s="4" t="s">
        <v>12</v>
      </c>
      <c r="E252" s="4" t="s">
        <v>11</v>
      </c>
      <c r="F252" s="5">
        <v>70</v>
      </c>
      <c r="G252" s="4" t="s">
        <v>154</v>
      </c>
      <c r="H252" s="4" t="str">
        <f>IF(F252="","",VLOOKUP(F252,Productos!$A$2:$F$182,3,FALSE))</f>
        <v>3</v>
      </c>
      <c r="I252" s="4" t="str">
        <f>IF(F252="","",VLOOKUP(F252,Productos!$A$2:$F$182,4,FALSE))</f>
        <v>Otros bienes transportables, excepto productos metálicos, maquinaria y equipo</v>
      </c>
      <c r="J252" s="4">
        <f>IF(F252="","",VLOOKUP(F252,Productos!$A$2:$F$182,5,FALSE))</f>
        <v>3</v>
      </c>
      <c r="K252" s="4" t="str">
        <f>IF(F252="","",VLOOKUP(F252,Productos!$A$2:$F$182,6,FALSE))</f>
        <v>Manufacturas</v>
      </c>
      <c r="L252" s="4">
        <v>2</v>
      </c>
      <c r="M252" s="4" t="s">
        <v>142</v>
      </c>
      <c r="N252" s="4">
        <f>VLOOKUP(F252,Productos!$A$2:$J$182,5)</f>
        <v>3</v>
      </c>
      <c r="O252" s="4" t="str">
        <f>VLOOKUP(F252,Productos!$A$2:$J$182,6)</f>
        <v>Manufacturas</v>
      </c>
    </row>
    <row r="253" spans="1:15">
      <c r="A253" s="4" t="s">
        <v>447</v>
      </c>
      <c r="B253" s="4" t="s">
        <v>10</v>
      </c>
      <c r="C253" s="4" t="s">
        <v>11</v>
      </c>
      <c r="D253" s="4" t="s">
        <v>12</v>
      </c>
      <c r="E253" s="4" t="s">
        <v>11</v>
      </c>
      <c r="F253" s="5">
        <v>71</v>
      </c>
      <c r="G253" s="4" t="s">
        <v>156</v>
      </c>
      <c r="H253" s="4" t="str">
        <f>IF(F253="","",VLOOKUP(F253,Productos!$A$2:$F$182,3,FALSE))</f>
        <v>3</v>
      </c>
      <c r="I253" s="4" t="str">
        <f>IF(F253="","",VLOOKUP(F253,Productos!$A$2:$F$182,4,FALSE))</f>
        <v>Otros bienes transportables, excepto productos metálicos, maquinaria y equipo</v>
      </c>
      <c r="J253" s="4">
        <f>IF(F253="","",VLOOKUP(F253,Productos!$A$2:$F$182,5,FALSE))</f>
        <v>3</v>
      </c>
      <c r="K253" s="4" t="str">
        <f>IF(F253="","",VLOOKUP(F253,Productos!$A$2:$F$182,6,FALSE))</f>
        <v>Manufacturas</v>
      </c>
      <c r="L253" s="4">
        <v>2</v>
      </c>
      <c r="M253" s="4" t="s">
        <v>142</v>
      </c>
      <c r="N253" s="4">
        <f>VLOOKUP(F253,Productos!$A$2:$J$182,5)</f>
        <v>3</v>
      </c>
      <c r="O253" s="4" t="str">
        <f>VLOOKUP(F253,Productos!$A$2:$J$182,6)</f>
        <v>Manufacturas</v>
      </c>
    </row>
    <row r="254" spans="1:15">
      <c r="A254" s="4" t="s">
        <v>448</v>
      </c>
      <c r="B254" s="4" t="s">
        <v>10</v>
      </c>
      <c r="C254" s="4" t="s">
        <v>11</v>
      </c>
      <c r="D254" s="4" t="s">
        <v>12</v>
      </c>
      <c r="E254" s="4" t="s">
        <v>11</v>
      </c>
      <c r="F254" s="5">
        <v>72</v>
      </c>
      <c r="G254" s="4" t="s">
        <v>158</v>
      </c>
      <c r="H254" s="4" t="str">
        <f>IF(F254="","",VLOOKUP(F254,Productos!$A$2:$F$182,3,FALSE))</f>
        <v>3</v>
      </c>
      <c r="I254" s="4" t="str">
        <f>IF(F254="","",VLOOKUP(F254,Productos!$A$2:$F$182,4,FALSE))</f>
        <v>Otros bienes transportables, excepto productos metálicos, maquinaria y equipo</v>
      </c>
      <c r="J254" s="4">
        <f>IF(F254="","",VLOOKUP(F254,Productos!$A$2:$F$182,5,FALSE))</f>
        <v>3</v>
      </c>
      <c r="K254" s="4" t="str">
        <f>IF(F254="","",VLOOKUP(F254,Productos!$A$2:$F$182,6,FALSE))</f>
        <v>Manufacturas</v>
      </c>
      <c r="L254" s="4">
        <v>2</v>
      </c>
      <c r="M254" s="4" t="s">
        <v>142</v>
      </c>
      <c r="N254" s="4">
        <f>VLOOKUP(F254,Productos!$A$2:$J$182,5)</f>
        <v>3</v>
      </c>
      <c r="O254" s="4" t="str">
        <f>VLOOKUP(F254,Productos!$A$2:$J$182,6)</f>
        <v>Manufacturas</v>
      </c>
    </row>
    <row r="255" spans="1:15">
      <c r="A255" s="4" t="s">
        <v>449</v>
      </c>
      <c r="B255" s="4" t="s">
        <v>10</v>
      </c>
      <c r="C255" s="4" t="s">
        <v>11</v>
      </c>
      <c r="D255" s="4" t="s">
        <v>12</v>
      </c>
      <c r="E255" s="4" t="s">
        <v>11</v>
      </c>
      <c r="F255" s="5">
        <v>73</v>
      </c>
      <c r="G255" s="4" t="s">
        <v>160</v>
      </c>
      <c r="H255" s="4" t="str">
        <f>IF(F255="","",VLOOKUP(F255,Productos!$A$2:$F$182,3,FALSE))</f>
        <v>3</v>
      </c>
      <c r="I255" s="4" t="str">
        <f>IF(F255="","",VLOOKUP(F255,Productos!$A$2:$F$182,4,FALSE))</f>
        <v>Otros bienes transportables, excepto productos metálicos, maquinaria y equipo</v>
      </c>
      <c r="J255" s="4">
        <f>IF(F255="","",VLOOKUP(F255,Productos!$A$2:$F$182,5,FALSE))</f>
        <v>3</v>
      </c>
      <c r="K255" s="4" t="str">
        <f>IF(F255="","",VLOOKUP(F255,Productos!$A$2:$F$182,6,FALSE))</f>
        <v>Manufacturas</v>
      </c>
      <c r="L255" s="4">
        <v>2</v>
      </c>
      <c r="M255" s="4" t="s">
        <v>142</v>
      </c>
      <c r="N255" s="4">
        <f>VLOOKUP(F255,Productos!$A$2:$J$182,5)</f>
        <v>3</v>
      </c>
      <c r="O255" s="4" t="str">
        <f>VLOOKUP(F255,Productos!$A$2:$J$182,6)</f>
        <v>Manufacturas</v>
      </c>
    </row>
    <row r="256" spans="1:15">
      <c r="A256" s="4" t="s">
        <v>450</v>
      </c>
      <c r="B256" s="4" t="s">
        <v>10</v>
      </c>
      <c r="C256" s="4" t="s">
        <v>11</v>
      </c>
      <c r="D256" s="4" t="s">
        <v>12</v>
      </c>
      <c r="E256" s="4" t="s">
        <v>11</v>
      </c>
      <c r="F256" s="5">
        <v>74</v>
      </c>
      <c r="G256" s="4" t="s">
        <v>162</v>
      </c>
      <c r="H256" s="4" t="str">
        <f>IF(F256="","",VLOOKUP(F256,Productos!$A$2:$F$182,3,FALSE))</f>
        <v>3</v>
      </c>
      <c r="I256" s="4" t="str">
        <f>IF(F256="","",VLOOKUP(F256,Productos!$A$2:$F$182,4,FALSE))</f>
        <v>Otros bienes transportables, excepto productos metálicos, maquinaria y equipo</v>
      </c>
      <c r="J256" s="4">
        <f>IF(F256="","",VLOOKUP(F256,Productos!$A$2:$F$182,5,FALSE))</f>
        <v>3</v>
      </c>
      <c r="K256" s="4" t="str">
        <f>IF(F256="","",VLOOKUP(F256,Productos!$A$2:$F$182,6,FALSE))</f>
        <v>Manufacturas</v>
      </c>
      <c r="L256" s="4">
        <v>2</v>
      </c>
      <c r="M256" s="4" t="s">
        <v>142</v>
      </c>
      <c r="N256" s="4">
        <f>VLOOKUP(F256,Productos!$A$2:$J$182,5)</f>
        <v>3</v>
      </c>
      <c r="O256" s="4" t="str">
        <f>VLOOKUP(F256,Productos!$A$2:$J$182,6)</f>
        <v>Manufacturas</v>
      </c>
    </row>
    <row r="257" spans="1:15">
      <c r="A257" s="4" t="s">
        <v>451</v>
      </c>
      <c r="B257" s="4" t="s">
        <v>10</v>
      </c>
      <c r="C257" s="4" t="s">
        <v>11</v>
      </c>
      <c r="D257" s="4" t="s">
        <v>12</v>
      </c>
      <c r="E257" s="4" t="s">
        <v>11</v>
      </c>
      <c r="F257" s="5">
        <v>75</v>
      </c>
      <c r="G257" s="4" t="s">
        <v>164</v>
      </c>
      <c r="H257" s="4" t="str">
        <f>IF(F257="","",VLOOKUP(F257,Productos!$A$2:$F$182,3,FALSE))</f>
        <v>3</v>
      </c>
      <c r="I257" s="4" t="str">
        <f>IF(F257="","",VLOOKUP(F257,Productos!$A$2:$F$182,4,FALSE))</f>
        <v>Otros bienes transportables, excepto productos metálicos, maquinaria y equipo</v>
      </c>
      <c r="J257" s="4">
        <f>IF(F257="","",VLOOKUP(F257,Productos!$A$2:$F$182,5,FALSE))</f>
        <v>3</v>
      </c>
      <c r="K257" s="4" t="str">
        <f>IF(F257="","",VLOOKUP(F257,Productos!$A$2:$F$182,6,FALSE))</f>
        <v>Manufacturas</v>
      </c>
      <c r="L257" s="4">
        <v>2</v>
      </c>
      <c r="M257" s="4" t="s">
        <v>142</v>
      </c>
      <c r="N257" s="4">
        <f>VLOOKUP(F257,Productos!$A$2:$J$182,5)</f>
        <v>3</v>
      </c>
      <c r="O257" s="4" t="str">
        <f>VLOOKUP(F257,Productos!$A$2:$J$182,6)</f>
        <v>Manufacturas</v>
      </c>
    </row>
    <row r="258" spans="1:15">
      <c r="A258" s="4" t="s">
        <v>452</v>
      </c>
      <c r="B258" s="4" t="s">
        <v>10</v>
      </c>
      <c r="C258" s="4" t="s">
        <v>11</v>
      </c>
      <c r="D258" s="4" t="s">
        <v>12</v>
      </c>
      <c r="E258" s="4" t="s">
        <v>11</v>
      </c>
      <c r="F258" s="5">
        <v>76</v>
      </c>
      <c r="G258" s="4" t="s">
        <v>166</v>
      </c>
      <c r="H258" s="4" t="str">
        <f>IF(F258="","",VLOOKUP(F258,Productos!$A$2:$F$182,3,FALSE))</f>
        <v>3</v>
      </c>
      <c r="I258" s="4" t="str">
        <f>IF(F258="","",VLOOKUP(F258,Productos!$A$2:$F$182,4,FALSE))</f>
        <v>Otros bienes transportables, excepto productos metálicos, maquinaria y equipo</v>
      </c>
      <c r="J258" s="4">
        <f>IF(F258="","",VLOOKUP(F258,Productos!$A$2:$F$182,5,FALSE))</f>
        <v>3</v>
      </c>
      <c r="K258" s="4" t="str">
        <f>IF(F258="","",VLOOKUP(F258,Productos!$A$2:$F$182,6,FALSE))</f>
        <v>Manufacturas</v>
      </c>
      <c r="L258" s="4">
        <v>3</v>
      </c>
      <c r="M258" s="4" t="s">
        <v>67</v>
      </c>
      <c r="N258" s="4">
        <f>VLOOKUP(F258,Productos!$A$2:$J$182,5)</f>
        <v>3</v>
      </c>
      <c r="O258" s="4" t="str">
        <f>VLOOKUP(F258,Productos!$A$2:$J$182,6)</f>
        <v>Manufacturas</v>
      </c>
    </row>
    <row r="259" spans="1:15">
      <c r="A259" s="4" t="s">
        <v>453</v>
      </c>
      <c r="B259" s="4" t="s">
        <v>10</v>
      </c>
      <c r="C259" s="4" t="s">
        <v>11</v>
      </c>
      <c r="D259" s="4" t="s">
        <v>12</v>
      </c>
      <c r="E259" s="4" t="s">
        <v>11</v>
      </c>
      <c r="F259" s="5">
        <v>77</v>
      </c>
      <c r="G259" s="4" t="s">
        <v>168</v>
      </c>
      <c r="H259" s="4" t="str">
        <f>IF(F259="","",VLOOKUP(F259,Productos!$A$2:$F$182,3,FALSE))</f>
        <v>3</v>
      </c>
      <c r="I259" s="4" t="str">
        <f>IF(F259="","",VLOOKUP(F259,Productos!$A$2:$F$182,4,FALSE))</f>
        <v>Otros bienes transportables, excepto productos metálicos, maquinaria y equipo</v>
      </c>
      <c r="J259" s="4">
        <f>IF(F259="","",VLOOKUP(F259,Productos!$A$2:$F$182,5,FALSE))</f>
        <v>3</v>
      </c>
      <c r="K259" s="4" t="str">
        <f>IF(F259="","",VLOOKUP(F259,Productos!$A$2:$F$182,6,FALSE))</f>
        <v>Manufacturas</v>
      </c>
      <c r="L259" s="4">
        <v>3</v>
      </c>
      <c r="M259" s="4" t="s">
        <v>67</v>
      </c>
      <c r="N259" s="4">
        <f>VLOOKUP(F259,Productos!$A$2:$J$182,5)</f>
        <v>3</v>
      </c>
      <c r="O259" s="4" t="str">
        <f>VLOOKUP(F259,Productos!$A$2:$J$182,6)</f>
        <v>Manufacturas</v>
      </c>
    </row>
    <row r="260" spans="1:15">
      <c r="A260" s="4" t="s">
        <v>454</v>
      </c>
      <c r="B260" s="4" t="s">
        <v>10</v>
      </c>
      <c r="C260" s="4" t="s">
        <v>11</v>
      </c>
      <c r="D260" s="4" t="s">
        <v>12</v>
      </c>
      <c r="E260" s="4" t="s">
        <v>11</v>
      </c>
      <c r="F260" s="5">
        <v>78</v>
      </c>
      <c r="G260" s="4" t="s">
        <v>170</v>
      </c>
      <c r="H260" s="4" t="str">
        <f>IF(F260="","",VLOOKUP(F260,Productos!$A$2:$F$182,3,FALSE))</f>
        <v>3</v>
      </c>
      <c r="I260" s="4" t="str">
        <f>IF(F260="","",VLOOKUP(F260,Productos!$A$2:$F$182,4,FALSE))</f>
        <v>Otros bienes transportables, excepto productos metálicos, maquinaria y equipo</v>
      </c>
      <c r="J260" s="4">
        <f>IF(F260="","",VLOOKUP(F260,Productos!$A$2:$F$182,5,FALSE))</f>
        <v>3</v>
      </c>
      <c r="K260" s="4" t="str">
        <f>IF(F260="","",VLOOKUP(F260,Productos!$A$2:$F$182,6,FALSE))</f>
        <v>Manufacturas</v>
      </c>
      <c r="L260" s="4">
        <v>3</v>
      </c>
      <c r="M260" s="4" t="s">
        <v>67</v>
      </c>
      <c r="N260" s="4">
        <f>VLOOKUP(F260,Productos!$A$2:$J$182,5)</f>
        <v>3</v>
      </c>
      <c r="O260" s="4" t="str">
        <f>VLOOKUP(F260,Productos!$A$2:$J$182,6)</f>
        <v>Manufacturas</v>
      </c>
    </row>
    <row r="261" spans="1:15">
      <c r="A261" s="4" t="s">
        <v>455</v>
      </c>
      <c r="B261" s="4" t="s">
        <v>10</v>
      </c>
      <c r="C261" s="4" t="s">
        <v>11</v>
      </c>
      <c r="D261" s="4" t="s">
        <v>12</v>
      </c>
      <c r="E261" s="4" t="s">
        <v>11</v>
      </c>
      <c r="F261" s="5">
        <v>79</v>
      </c>
      <c r="G261" s="4" t="s">
        <v>172</v>
      </c>
      <c r="H261" s="4" t="str">
        <f>IF(F261="","",VLOOKUP(F261,Productos!$A$2:$F$182,3,FALSE))</f>
        <v>3</v>
      </c>
      <c r="I261" s="4" t="str">
        <f>IF(F261="","",VLOOKUP(F261,Productos!$A$2:$F$182,4,FALSE))</f>
        <v>Otros bienes transportables, excepto productos metálicos, maquinaria y equipo</v>
      </c>
      <c r="J261" s="4">
        <f>IF(F261="","",VLOOKUP(F261,Productos!$A$2:$F$182,5,FALSE))</f>
        <v>3</v>
      </c>
      <c r="K261" s="4" t="str">
        <f>IF(F261="","",VLOOKUP(F261,Productos!$A$2:$F$182,6,FALSE))</f>
        <v>Manufacturas</v>
      </c>
      <c r="L261" s="4">
        <v>3</v>
      </c>
      <c r="M261" s="4" t="s">
        <v>67</v>
      </c>
      <c r="N261" s="4">
        <f>VLOOKUP(F261,Productos!$A$2:$J$182,5)</f>
        <v>3</v>
      </c>
      <c r="O261" s="4" t="str">
        <f>VLOOKUP(F261,Productos!$A$2:$J$182,6)</f>
        <v>Manufacturas</v>
      </c>
    </row>
    <row r="262" spans="1:15">
      <c r="A262" s="4" t="s">
        <v>456</v>
      </c>
      <c r="B262" s="4" t="s">
        <v>10</v>
      </c>
      <c r="C262" s="4" t="s">
        <v>11</v>
      </c>
      <c r="D262" s="4" t="s">
        <v>12</v>
      </c>
      <c r="E262" s="4" t="s">
        <v>11</v>
      </c>
      <c r="F262" s="5">
        <v>80</v>
      </c>
      <c r="G262" s="4" t="s">
        <v>174</v>
      </c>
      <c r="H262" s="4" t="str">
        <f>IF(F262="","",VLOOKUP(F262,Productos!$A$2:$F$182,3,FALSE))</f>
        <v>3</v>
      </c>
      <c r="I262" s="4" t="str">
        <f>IF(F262="","",VLOOKUP(F262,Productos!$A$2:$F$182,4,FALSE))</f>
        <v>Otros bienes transportables, excepto productos metálicos, maquinaria y equipo</v>
      </c>
      <c r="J262" s="4">
        <f>IF(F262="","",VLOOKUP(F262,Productos!$A$2:$F$182,5,FALSE))</f>
        <v>3</v>
      </c>
      <c r="K262" s="4" t="str">
        <f>IF(F262="","",VLOOKUP(F262,Productos!$A$2:$F$182,6,FALSE))</f>
        <v>Manufacturas</v>
      </c>
      <c r="L262" s="4">
        <v>3</v>
      </c>
      <c r="M262" s="4" t="s">
        <v>67</v>
      </c>
      <c r="N262" s="4">
        <f>VLOOKUP(F262,Productos!$A$2:$J$182,5)</f>
        <v>3</v>
      </c>
      <c r="O262" s="4" t="str">
        <f>VLOOKUP(F262,Productos!$A$2:$J$182,6)</f>
        <v>Manufacturas</v>
      </c>
    </row>
    <row r="263" spans="1:15">
      <c r="A263" s="4" t="s">
        <v>457</v>
      </c>
      <c r="B263" s="4" t="s">
        <v>10</v>
      </c>
      <c r="C263" s="4" t="s">
        <v>11</v>
      </c>
      <c r="D263" s="4" t="s">
        <v>12</v>
      </c>
      <c r="E263" s="4" t="s">
        <v>11</v>
      </c>
      <c r="F263" s="5">
        <v>81</v>
      </c>
      <c r="G263" s="4" t="s">
        <v>176</v>
      </c>
      <c r="H263" s="4" t="str">
        <f>IF(F263="","",VLOOKUP(F263,Productos!$A$2:$F$182,3,FALSE))</f>
        <v>3</v>
      </c>
      <c r="I263" s="4" t="str">
        <f>IF(F263="","",VLOOKUP(F263,Productos!$A$2:$F$182,4,FALSE))</f>
        <v>Otros bienes transportables, excepto productos metálicos, maquinaria y equipo</v>
      </c>
      <c r="J263" s="4">
        <f>IF(F263="","",VLOOKUP(F263,Productos!$A$2:$F$182,5,FALSE))</f>
        <v>3</v>
      </c>
      <c r="K263" s="4" t="str">
        <f>IF(F263="","",VLOOKUP(F263,Productos!$A$2:$F$182,6,FALSE))</f>
        <v>Manufacturas</v>
      </c>
      <c r="L263" s="4">
        <v>3</v>
      </c>
      <c r="M263" s="4" t="s">
        <v>67</v>
      </c>
      <c r="N263" s="4">
        <f>VLOOKUP(F263,Productos!$A$2:$J$182,5)</f>
        <v>3</v>
      </c>
      <c r="O263" s="4" t="str">
        <f>VLOOKUP(F263,Productos!$A$2:$J$182,6)</f>
        <v>Manufacturas</v>
      </c>
    </row>
    <row r="264" spans="1:15">
      <c r="A264" s="4" t="s">
        <v>458</v>
      </c>
      <c r="B264" s="4" t="s">
        <v>10</v>
      </c>
      <c r="C264" s="4" t="s">
        <v>11</v>
      </c>
      <c r="D264" s="4" t="s">
        <v>12</v>
      </c>
      <c r="E264" s="4" t="s">
        <v>11</v>
      </c>
      <c r="F264" s="5">
        <v>82</v>
      </c>
      <c r="G264" s="4" t="s">
        <v>178</v>
      </c>
      <c r="H264" s="4" t="str">
        <f>IF(F264="","",VLOOKUP(F264,Productos!$A$2:$F$182,3,FALSE))</f>
        <v>3</v>
      </c>
      <c r="I264" s="4" t="str">
        <f>IF(F264="","",VLOOKUP(F264,Productos!$A$2:$F$182,4,FALSE))</f>
        <v>Otros bienes transportables, excepto productos metálicos, maquinaria y equipo</v>
      </c>
      <c r="J264" s="4">
        <f>IF(F264="","",VLOOKUP(F264,Productos!$A$2:$F$182,5,FALSE))</f>
        <v>3</v>
      </c>
      <c r="K264" s="4" t="str">
        <f>IF(F264="","",VLOOKUP(F264,Productos!$A$2:$F$182,6,FALSE))</f>
        <v>Manufacturas</v>
      </c>
      <c r="L264" s="4">
        <v>2</v>
      </c>
      <c r="M264" s="4" t="s">
        <v>142</v>
      </c>
      <c r="N264" s="4">
        <f>VLOOKUP(F264,Productos!$A$2:$J$182,5)</f>
        <v>3</v>
      </c>
      <c r="O264" s="4" t="str">
        <f>VLOOKUP(F264,Productos!$A$2:$J$182,6)</f>
        <v>Manufacturas</v>
      </c>
    </row>
    <row r="265" spans="1:15">
      <c r="A265" s="4" t="s">
        <v>459</v>
      </c>
      <c r="B265" s="4" t="s">
        <v>10</v>
      </c>
      <c r="C265" s="4" t="s">
        <v>11</v>
      </c>
      <c r="D265" s="4" t="s">
        <v>12</v>
      </c>
      <c r="E265" s="4" t="s">
        <v>11</v>
      </c>
      <c r="F265" s="5">
        <v>83</v>
      </c>
      <c r="G265" s="4" t="s">
        <v>180</v>
      </c>
      <c r="H265" s="4" t="str">
        <f>IF(F265="","",VLOOKUP(F265,Productos!$A$2:$F$182,3,FALSE))</f>
        <v>3</v>
      </c>
      <c r="I265" s="4" t="str">
        <f>IF(F265="","",VLOOKUP(F265,Productos!$A$2:$F$182,4,FALSE))</f>
        <v>Otros bienes transportables, excepto productos metálicos, maquinaria y equipo</v>
      </c>
      <c r="J265" s="4">
        <f>IF(F265="","",VLOOKUP(F265,Productos!$A$2:$F$182,5,FALSE))</f>
        <v>3</v>
      </c>
      <c r="K265" s="4" t="str">
        <f>IF(F265="","",VLOOKUP(F265,Productos!$A$2:$F$182,6,FALSE))</f>
        <v>Manufacturas</v>
      </c>
      <c r="L265" s="4">
        <v>3</v>
      </c>
      <c r="M265" s="4" t="s">
        <v>67</v>
      </c>
      <c r="N265" s="4">
        <f>VLOOKUP(F265,Productos!$A$2:$J$182,5)</f>
        <v>3</v>
      </c>
      <c r="O265" s="4" t="str">
        <f>VLOOKUP(F265,Productos!$A$2:$J$182,6)</f>
        <v>Manufacturas</v>
      </c>
    </row>
    <row r="266" spans="1:15">
      <c r="A266" s="4" t="s">
        <v>460</v>
      </c>
      <c r="B266" s="4" t="s">
        <v>10</v>
      </c>
      <c r="C266" s="4" t="s">
        <v>11</v>
      </c>
      <c r="D266" s="4" t="s">
        <v>12</v>
      </c>
      <c r="E266" s="4" t="s">
        <v>11</v>
      </c>
      <c r="F266" s="5">
        <v>84</v>
      </c>
      <c r="G266" s="4" t="s">
        <v>182</v>
      </c>
      <c r="H266" s="4" t="str">
        <f>IF(F266="","",VLOOKUP(F266,Productos!$A$2:$F$182,3,FALSE))</f>
        <v>3</v>
      </c>
      <c r="I266" s="4" t="str">
        <f>IF(F266="","",VLOOKUP(F266,Productos!$A$2:$F$182,4,FALSE))</f>
        <v>Otros bienes transportables, excepto productos metálicos, maquinaria y equipo</v>
      </c>
      <c r="J266" s="4">
        <f>IF(F266="","",VLOOKUP(F266,Productos!$A$2:$F$182,5,FALSE))</f>
        <v>3</v>
      </c>
      <c r="K266" s="4" t="str">
        <f>IF(F266="","",VLOOKUP(F266,Productos!$A$2:$F$182,6,FALSE))</f>
        <v>Manufacturas</v>
      </c>
      <c r="L266" s="4">
        <v>3</v>
      </c>
      <c r="M266" s="4" t="s">
        <v>67</v>
      </c>
      <c r="N266" s="4">
        <f>VLOOKUP(F266,Productos!$A$2:$J$182,5)</f>
        <v>3</v>
      </c>
      <c r="O266" s="4" t="str">
        <f>VLOOKUP(F266,Productos!$A$2:$J$182,6)</f>
        <v>Manufacturas</v>
      </c>
    </row>
    <row r="267" spans="1:15">
      <c r="A267" s="4" t="s">
        <v>461</v>
      </c>
      <c r="B267" s="4" t="s">
        <v>10</v>
      </c>
      <c r="C267" s="4" t="s">
        <v>11</v>
      </c>
      <c r="D267" s="4" t="s">
        <v>12</v>
      </c>
      <c r="E267" s="4" t="s">
        <v>11</v>
      </c>
      <c r="F267" s="5">
        <v>85</v>
      </c>
      <c r="G267" s="4" t="s">
        <v>184</v>
      </c>
      <c r="H267" s="4" t="str">
        <f>IF(F267="","",VLOOKUP(F267,Productos!$A$2:$F$182,3,FALSE))</f>
        <v>3</v>
      </c>
      <c r="I267" s="4" t="str">
        <f>IF(F267="","",VLOOKUP(F267,Productos!$A$2:$F$182,4,FALSE))</f>
        <v>Otros bienes transportables, excepto productos metálicos, maquinaria y equipo</v>
      </c>
      <c r="J267" s="4">
        <f>IF(F267="","",VLOOKUP(F267,Productos!$A$2:$F$182,5,FALSE))</f>
        <v>3</v>
      </c>
      <c r="K267" s="4" t="str">
        <f>IF(F267="","",VLOOKUP(F267,Productos!$A$2:$F$182,6,FALSE))</f>
        <v>Manufacturas</v>
      </c>
      <c r="L267" s="4">
        <v>3</v>
      </c>
      <c r="M267" s="4" t="s">
        <v>67</v>
      </c>
      <c r="N267" s="4">
        <f>VLOOKUP(F267,Productos!$A$2:$J$182,5)</f>
        <v>3</v>
      </c>
      <c r="O267" s="4" t="str">
        <f>VLOOKUP(F267,Productos!$A$2:$J$182,6)</f>
        <v>Manufacturas</v>
      </c>
    </row>
    <row r="268" spans="1:15">
      <c r="A268" s="4" t="s">
        <v>462</v>
      </c>
      <c r="B268" s="4" t="s">
        <v>10</v>
      </c>
      <c r="C268" s="4" t="s">
        <v>11</v>
      </c>
      <c r="D268" s="4" t="s">
        <v>12</v>
      </c>
      <c r="E268" s="4" t="s">
        <v>11</v>
      </c>
      <c r="F268" s="5">
        <v>86</v>
      </c>
      <c r="G268" s="4" t="s">
        <v>186</v>
      </c>
      <c r="H268" s="4" t="str">
        <f>IF(F268="","",VLOOKUP(F268,Productos!$A$2:$F$182,3,FALSE))</f>
        <v>3</v>
      </c>
      <c r="I268" s="4" t="str">
        <f>IF(F268="","",VLOOKUP(F268,Productos!$A$2:$F$182,4,FALSE))</f>
        <v>Otros bienes transportables, excepto productos metálicos, maquinaria y equipo</v>
      </c>
      <c r="J268" s="4">
        <f>IF(F268="","",VLOOKUP(F268,Productos!$A$2:$F$182,5,FALSE))</f>
        <v>3</v>
      </c>
      <c r="K268" s="4" t="str">
        <f>IF(F268="","",VLOOKUP(F268,Productos!$A$2:$F$182,6,FALSE))</f>
        <v>Manufacturas</v>
      </c>
      <c r="L268" s="4">
        <v>2</v>
      </c>
      <c r="M268" s="4" t="s">
        <v>142</v>
      </c>
      <c r="N268" s="4">
        <f>VLOOKUP(F268,Productos!$A$2:$J$182,5)</f>
        <v>3</v>
      </c>
      <c r="O268" s="4" t="str">
        <f>VLOOKUP(F268,Productos!$A$2:$J$182,6)</f>
        <v>Manufacturas</v>
      </c>
    </row>
    <row r="269" spans="1:15">
      <c r="A269" s="4" t="s">
        <v>463</v>
      </c>
      <c r="B269" s="4" t="s">
        <v>10</v>
      </c>
      <c r="C269" s="4" t="s">
        <v>11</v>
      </c>
      <c r="D269" s="4" t="s">
        <v>12</v>
      </c>
      <c r="E269" s="4" t="s">
        <v>11</v>
      </c>
      <c r="F269" s="5">
        <v>87</v>
      </c>
      <c r="G269" s="4" t="s">
        <v>188</v>
      </c>
      <c r="H269" s="4" t="str">
        <f>IF(F269="","",VLOOKUP(F269,Productos!$A$2:$F$182,3,FALSE))</f>
        <v>3</v>
      </c>
      <c r="I269" s="4" t="str">
        <f>IF(F269="","",VLOOKUP(F269,Productos!$A$2:$F$182,4,FALSE))</f>
        <v>Otros bienes transportables, excepto productos metálicos, maquinaria y equipo</v>
      </c>
      <c r="J269" s="4">
        <f>IF(F269="","",VLOOKUP(F269,Productos!$A$2:$F$182,5,FALSE))</f>
        <v>3</v>
      </c>
      <c r="K269" s="4" t="str">
        <f>IF(F269="","",VLOOKUP(F269,Productos!$A$2:$F$182,6,FALSE))</f>
        <v>Manufacturas</v>
      </c>
      <c r="L269" s="4">
        <v>2</v>
      </c>
      <c r="M269" s="4" t="s">
        <v>142</v>
      </c>
      <c r="N269" s="4">
        <f>VLOOKUP(F269,Productos!$A$2:$J$182,5)</f>
        <v>3</v>
      </c>
      <c r="O269" s="4" t="str">
        <f>VLOOKUP(F269,Productos!$A$2:$J$182,6)</f>
        <v>Manufacturas</v>
      </c>
    </row>
    <row r="270" spans="1:15">
      <c r="A270" s="4" t="s">
        <v>464</v>
      </c>
      <c r="B270" s="4" t="s">
        <v>10</v>
      </c>
      <c r="C270" s="4" t="s">
        <v>11</v>
      </c>
      <c r="D270" s="4" t="s">
        <v>12</v>
      </c>
      <c r="E270" s="4" t="s">
        <v>11</v>
      </c>
      <c r="F270" s="5">
        <v>88</v>
      </c>
      <c r="G270" s="4" t="s">
        <v>190</v>
      </c>
      <c r="H270" s="4" t="str">
        <f>IF(F270="","",VLOOKUP(F270,Productos!$A$2:$F$182,3,FALSE))</f>
        <v>3</v>
      </c>
      <c r="I270" s="4" t="str">
        <f>IF(F270="","",VLOOKUP(F270,Productos!$A$2:$F$182,4,FALSE))</f>
        <v>Otros bienes transportables, excepto productos metálicos, maquinaria y equipo</v>
      </c>
      <c r="J270" s="4">
        <f>IF(F270="","",VLOOKUP(F270,Productos!$A$2:$F$182,5,FALSE))</f>
        <v>3</v>
      </c>
      <c r="K270" s="4" t="str">
        <f>IF(F270="","",VLOOKUP(F270,Productos!$A$2:$F$182,6,FALSE))</f>
        <v>Manufacturas</v>
      </c>
      <c r="L270" s="4">
        <v>3</v>
      </c>
      <c r="M270" s="4" t="s">
        <v>67</v>
      </c>
      <c r="N270" s="4">
        <f>VLOOKUP(F270,Productos!$A$2:$J$182,5)</f>
        <v>3</v>
      </c>
      <c r="O270" s="4" t="str">
        <f>VLOOKUP(F270,Productos!$A$2:$J$182,6)</f>
        <v>Manufacturas</v>
      </c>
    </row>
    <row r="271" spans="1:15">
      <c r="A271" s="4" t="s">
        <v>465</v>
      </c>
      <c r="B271" s="4" t="s">
        <v>10</v>
      </c>
      <c r="C271" s="4" t="s">
        <v>11</v>
      </c>
      <c r="D271" s="4" t="s">
        <v>12</v>
      </c>
      <c r="E271" s="4" t="s">
        <v>11</v>
      </c>
      <c r="F271" s="5">
        <v>89</v>
      </c>
      <c r="G271" s="4" t="s">
        <v>192</v>
      </c>
      <c r="H271" s="4" t="str">
        <f>IF(F271="","",VLOOKUP(F271,Productos!$A$2:$F$182,3,FALSE))</f>
        <v>3</v>
      </c>
      <c r="I271" s="4" t="str">
        <f>IF(F271="","",VLOOKUP(F271,Productos!$A$2:$F$182,4,FALSE))</f>
        <v>Otros bienes transportables, excepto productos metálicos, maquinaria y equipo</v>
      </c>
      <c r="J271" s="4">
        <f>IF(F271="","",VLOOKUP(F271,Productos!$A$2:$F$182,5,FALSE))</f>
        <v>3</v>
      </c>
      <c r="K271" s="4" t="str">
        <f>IF(F271="","",VLOOKUP(F271,Productos!$A$2:$F$182,6,FALSE))</f>
        <v>Manufacturas</v>
      </c>
      <c r="L271" s="4">
        <v>3</v>
      </c>
      <c r="M271" s="4" t="s">
        <v>67</v>
      </c>
      <c r="N271" s="4">
        <f>VLOOKUP(F271,Productos!$A$2:$J$182,5)</f>
        <v>3</v>
      </c>
      <c r="O271" s="4" t="str">
        <f>VLOOKUP(F271,Productos!$A$2:$J$182,6)</f>
        <v>Manufacturas</v>
      </c>
    </row>
    <row r="272" spans="1:15">
      <c r="A272" s="4" t="s">
        <v>466</v>
      </c>
      <c r="B272" s="4" t="s">
        <v>10</v>
      </c>
      <c r="C272" s="4" t="s">
        <v>11</v>
      </c>
      <c r="D272" s="4" t="s">
        <v>12</v>
      </c>
      <c r="E272" s="4" t="s">
        <v>11</v>
      </c>
      <c r="F272" s="5">
        <v>90</v>
      </c>
      <c r="G272" s="4" t="s">
        <v>194</v>
      </c>
      <c r="H272" s="4" t="str">
        <f>IF(F272="","",VLOOKUP(F272,Productos!$A$2:$F$182,3,FALSE))</f>
        <v>3</v>
      </c>
      <c r="I272" s="4" t="str">
        <f>IF(F272="","",VLOOKUP(F272,Productos!$A$2:$F$182,4,FALSE))</f>
        <v>Otros bienes transportables, excepto productos metálicos, maquinaria y equipo</v>
      </c>
      <c r="J272" s="4">
        <f>IF(F272="","",VLOOKUP(F272,Productos!$A$2:$F$182,5,FALSE))</f>
        <v>3</v>
      </c>
      <c r="K272" s="4" t="str">
        <f>IF(F272="","",VLOOKUP(F272,Productos!$A$2:$F$182,6,FALSE))</f>
        <v>Manufacturas</v>
      </c>
      <c r="L272" s="4">
        <v>3</v>
      </c>
      <c r="M272" s="4" t="s">
        <v>67</v>
      </c>
      <c r="N272" s="4">
        <f>VLOOKUP(F272,Productos!$A$2:$J$182,5)</f>
        <v>3</v>
      </c>
      <c r="O272" s="4" t="str">
        <f>VLOOKUP(F272,Productos!$A$2:$J$182,6)</f>
        <v>Manufacturas</v>
      </c>
    </row>
    <row r="273" spans="1:15">
      <c r="A273" s="4" t="s">
        <v>467</v>
      </c>
      <c r="B273" s="4" t="s">
        <v>10</v>
      </c>
      <c r="C273" s="4" t="s">
        <v>11</v>
      </c>
      <c r="D273" s="4" t="s">
        <v>12</v>
      </c>
      <c r="E273" s="4" t="s">
        <v>11</v>
      </c>
      <c r="F273" s="5">
        <v>91</v>
      </c>
      <c r="G273" s="4" t="s">
        <v>196</v>
      </c>
      <c r="H273" s="4" t="str">
        <f>IF(F273="","",VLOOKUP(F273,Productos!$A$2:$F$182,3,FALSE))</f>
        <v>3</v>
      </c>
      <c r="I273" s="4" t="str">
        <f>IF(F273="","",VLOOKUP(F273,Productos!$A$2:$F$182,4,FALSE))</f>
        <v>Otros bienes transportables, excepto productos metálicos, maquinaria y equipo</v>
      </c>
      <c r="J273" s="4">
        <f>IF(F273="","",VLOOKUP(F273,Productos!$A$2:$F$182,5,FALSE))</f>
        <v>3</v>
      </c>
      <c r="K273" s="4" t="str">
        <f>IF(F273="","",VLOOKUP(F273,Productos!$A$2:$F$182,6,FALSE))</f>
        <v>Manufacturas</v>
      </c>
      <c r="L273" s="4">
        <v>3</v>
      </c>
      <c r="M273" s="4" t="s">
        <v>67</v>
      </c>
      <c r="N273" s="4">
        <f>VLOOKUP(F273,Productos!$A$2:$J$182,5)</f>
        <v>3</v>
      </c>
      <c r="O273" s="4" t="str">
        <f>VLOOKUP(F273,Productos!$A$2:$J$182,6)</f>
        <v>Manufacturas</v>
      </c>
    </row>
    <row r="274" spans="1:15">
      <c r="A274" s="4" t="s">
        <v>468</v>
      </c>
      <c r="B274" s="4" t="s">
        <v>10</v>
      </c>
      <c r="C274" s="4" t="s">
        <v>11</v>
      </c>
      <c r="D274" s="4" t="s">
        <v>12</v>
      </c>
      <c r="E274" s="4" t="s">
        <v>11</v>
      </c>
      <c r="F274" s="5">
        <v>92</v>
      </c>
      <c r="G274" s="4" t="s">
        <v>198</v>
      </c>
      <c r="H274" s="4" t="str">
        <f>IF(F274="","",VLOOKUP(F274,Productos!$A$2:$F$182,3,FALSE))</f>
        <v>3</v>
      </c>
      <c r="I274" s="4" t="str">
        <f>IF(F274="","",VLOOKUP(F274,Productos!$A$2:$F$182,4,FALSE))</f>
        <v>Otros bienes transportables, excepto productos metálicos, maquinaria y equipo</v>
      </c>
      <c r="J274" s="4">
        <f>IF(F274="","",VLOOKUP(F274,Productos!$A$2:$F$182,5,FALSE))</f>
        <v>3</v>
      </c>
      <c r="K274" s="4" t="str">
        <f>IF(F274="","",VLOOKUP(F274,Productos!$A$2:$F$182,6,FALSE))</f>
        <v>Manufacturas</v>
      </c>
      <c r="L274" s="4">
        <v>3</v>
      </c>
      <c r="M274" s="4" t="s">
        <v>67</v>
      </c>
      <c r="N274" s="4">
        <f>VLOOKUP(F274,Productos!$A$2:$J$182,5)</f>
        <v>3</v>
      </c>
      <c r="O274" s="4" t="str">
        <f>VLOOKUP(F274,Productos!$A$2:$J$182,6)</f>
        <v>Manufacturas</v>
      </c>
    </row>
    <row r="275" spans="1:15">
      <c r="A275" s="4" t="s">
        <v>469</v>
      </c>
      <c r="B275" s="4" t="s">
        <v>10</v>
      </c>
      <c r="C275" s="4" t="s">
        <v>11</v>
      </c>
      <c r="D275" s="4" t="s">
        <v>12</v>
      </c>
      <c r="E275" s="4" t="s">
        <v>11</v>
      </c>
      <c r="F275" s="5">
        <v>93</v>
      </c>
      <c r="G275" s="4" t="s">
        <v>200</v>
      </c>
      <c r="H275" s="4" t="str">
        <f>IF(F275="","",VLOOKUP(F275,Productos!$A$2:$F$182,3,FALSE))</f>
        <v>3</v>
      </c>
      <c r="I275" s="4" t="str">
        <f>IF(F275="","",VLOOKUP(F275,Productos!$A$2:$F$182,4,FALSE))</f>
        <v>Otros bienes transportables, excepto productos metálicos, maquinaria y equipo</v>
      </c>
      <c r="J275" s="4">
        <f>IF(F275="","",VLOOKUP(F275,Productos!$A$2:$F$182,5,FALSE))</f>
        <v>3</v>
      </c>
      <c r="K275" s="4" t="str">
        <f>IF(F275="","",VLOOKUP(F275,Productos!$A$2:$F$182,6,FALSE))</f>
        <v>Manufacturas</v>
      </c>
      <c r="L275" s="4">
        <v>3</v>
      </c>
      <c r="M275" s="4" t="s">
        <v>67</v>
      </c>
      <c r="N275" s="4">
        <f>VLOOKUP(F275,Productos!$A$2:$J$182,5)</f>
        <v>3</v>
      </c>
      <c r="O275" s="4" t="str">
        <f>VLOOKUP(F275,Productos!$A$2:$J$182,6)</f>
        <v>Manufacturas</v>
      </c>
    </row>
    <row r="276" spans="1:15">
      <c r="A276" s="4" t="s">
        <v>470</v>
      </c>
      <c r="B276" s="4" t="s">
        <v>10</v>
      </c>
      <c r="C276" s="4" t="s">
        <v>11</v>
      </c>
      <c r="D276" s="4" t="s">
        <v>12</v>
      </c>
      <c r="E276" s="4" t="s">
        <v>11</v>
      </c>
      <c r="F276" s="5">
        <v>94</v>
      </c>
      <c r="G276" s="4" t="s">
        <v>202</v>
      </c>
      <c r="H276" s="4" t="str">
        <f>IF(F276="","",VLOOKUP(F276,Productos!$A$2:$F$182,3,FALSE))</f>
        <v>3</v>
      </c>
      <c r="I276" s="4" t="str">
        <f>IF(F276="","",VLOOKUP(F276,Productos!$A$2:$F$182,4,FALSE))</f>
        <v>Otros bienes transportables, excepto productos metálicos, maquinaria y equipo</v>
      </c>
      <c r="J276" s="4">
        <f>IF(F276="","",VLOOKUP(F276,Productos!$A$2:$F$182,5,FALSE))</f>
        <v>3</v>
      </c>
      <c r="K276" s="4" t="str">
        <f>IF(F276="","",VLOOKUP(F276,Productos!$A$2:$F$182,6,FALSE))</f>
        <v>Manufacturas</v>
      </c>
      <c r="L276" s="4">
        <v>3</v>
      </c>
      <c r="M276" s="4" t="s">
        <v>67</v>
      </c>
      <c r="N276" s="4">
        <f>VLOOKUP(F276,Productos!$A$2:$J$182,5)</f>
        <v>3</v>
      </c>
      <c r="O276" s="4" t="str">
        <f>VLOOKUP(F276,Productos!$A$2:$J$182,6)</f>
        <v>Manufacturas</v>
      </c>
    </row>
    <row r="277" spans="1:15">
      <c r="A277" s="4" t="s">
        <v>471</v>
      </c>
      <c r="B277" s="4" t="s">
        <v>10</v>
      </c>
      <c r="C277" s="4" t="s">
        <v>11</v>
      </c>
      <c r="D277" s="4" t="s">
        <v>12</v>
      </c>
      <c r="E277" s="4" t="s">
        <v>11</v>
      </c>
      <c r="F277" s="5">
        <v>95</v>
      </c>
      <c r="G277" s="4" t="s">
        <v>204</v>
      </c>
      <c r="H277" s="4" t="str">
        <f>IF(F277="","",VLOOKUP(F277,Productos!$A$2:$F$182,3,FALSE))</f>
        <v>3</v>
      </c>
      <c r="I277" s="4" t="str">
        <f>IF(F277="","",VLOOKUP(F277,Productos!$A$2:$F$182,4,FALSE))</f>
        <v>Otros bienes transportables, excepto productos metálicos, maquinaria y equipo</v>
      </c>
      <c r="J277" s="4">
        <f>IF(F277="","",VLOOKUP(F277,Productos!$A$2:$F$182,5,FALSE))</f>
        <v>3</v>
      </c>
      <c r="K277" s="4" t="str">
        <f>IF(F277="","",VLOOKUP(F277,Productos!$A$2:$F$182,6,FALSE))</f>
        <v>Manufacturas</v>
      </c>
      <c r="L277" s="4">
        <v>3</v>
      </c>
      <c r="M277" s="4" t="s">
        <v>67</v>
      </c>
      <c r="N277" s="4">
        <f>VLOOKUP(F277,Productos!$A$2:$J$182,5)</f>
        <v>3</v>
      </c>
      <c r="O277" s="4" t="str">
        <f>VLOOKUP(F277,Productos!$A$2:$J$182,6)</f>
        <v>Manufacturas</v>
      </c>
    </row>
    <row r="278" spans="1:15">
      <c r="A278" s="4" t="s">
        <v>472</v>
      </c>
      <c r="B278" s="4" t="s">
        <v>10</v>
      </c>
      <c r="C278" s="4" t="s">
        <v>11</v>
      </c>
      <c r="D278" s="4" t="s">
        <v>12</v>
      </c>
      <c r="E278" s="4" t="s">
        <v>11</v>
      </c>
      <c r="F278" s="5">
        <v>96</v>
      </c>
      <c r="G278" s="4" t="s">
        <v>206</v>
      </c>
      <c r="H278" s="4" t="str">
        <f>IF(F278="","",VLOOKUP(F278,Productos!$A$2:$F$182,3,FALSE))</f>
        <v>3</v>
      </c>
      <c r="I278" s="4" t="str">
        <f>IF(F278="","",VLOOKUP(F278,Productos!$A$2:$F$182,4,FALSE))</f>
        <v>Otros bienes transportables, excepto productos metálicos, maquinaria y equipo</v>
      </c>
      <c r="J278" s="4">
        <f>IF(F278="","",VLOOKUP(F278,Productos!$A$2:$F$182,5,FALSE))</f>
        <v>3</v>
      </c>
      <c r="K278" s="4" t="str">
        <f>IF(F278="","",VLOOKUP(F278,Productos!$A$2:$F$182,6,FALSE))</f>
        <v>Manufacturas</v>
      </c>
      <c r="L278" s="4">
        <v>3</v>
      </c>
      <c r="M278" s="4" t="s">
        <v>67</v>
      </c>
      <c r="N278" s="4">
        <f>VLOOKUP(F278,Productos!$A$2:$J$182,5)</f>
        <v>3</v>
      </c>
      <c r="O278" s="4" t="str">
        <f>VLOOKUP(F278,Productos!$A$2:$J$182,6)</f>
        <v>Manufacturas</v>
      </c>
    </row>
    <row r="279" spans="1:15">
      <c r="A279" s="4" t="s">
        <v>473</v>
      </c>
      <c r="B279" s="4" t="s">
        <v>10</v>
      </c>
      <c r="C279" s="4" t="s">
        <v>11</v>
      </c>
      <c r="D279" s="4" t="s">
        <v>12</v>
      </c>
      <c r="E279" s="4" t="s">
        <v>11</v>
      </c>
      <c r="F279" s="5">
        <v>97</v>
      </c>
      <c r="G279" s="4" t="s">
        <v>208</v>
      </c>
      <c r="H279" s="4" t="str">
        <f>IF(F279="","",VLOOKUP(F279,Productos!$A$2:$F$182,3,FALSE))</f>
        <v>3</v>
      </c>
      <c r="I279" s="4" t="str">
        <f>IF(F279="","",VLOOKUP(F279,Productos!$A$2:$F$182,4,FALSE))</f>
        <v>Otros bienes transportables, excepto productos metálicos, maquinaria y equipo</v>
      </c>
      <c r="J279" s="4">
        <f>IF(F279="","",VLOOKUP(F279,Productos!$A$2:$F$182,5,FALSE))</f>
        <v>3</v>
      </c>
      <c r="K279" s="4" t="str">
        <f>IF(F279="","",VLOOKUP(F279,Productos!$A$2:$F$182,6,FALSE))</f>
        <v>Manufacturas</v>
      </c>
      <c r="L279" s="4">
        <v>3</v>
      </c>
      <c r="M279" s="4" t="s">
        <v>67</v>
      </c>
      <c r="N279" s="4">
        <f>VLOOKUP(F279,Productos!$A$2:$J$182,5)</f>
        <v>3</v>
      </c>
      <c r="O279" s="4" t="str">
        <f>VLOOKUP(F279,Productos!$A$2:$J$182,6)</f>
        <v>Manufacturas</v>
      </c>
    </row>
    <row r="280" spans="1:15">
      <c r="A280" s="4" t="s">
        <v>474</v>
      </c>
      <c r="B280" s="4" t="s">
        <v>10</v>
      </c>
      <c r="C280" s="4" t="s">
        <v>11</v>
      </c>
      <c r="D280" s="4" t="s">
        <v>12</v>
      </c>
      <c r="E280" s="4" t="s">
        <v>11</v>
      </c>
      <c r="F280" s="5">
        <v>98</v>
      </c>
      <c r="G280" s="4" t="s">
        <v>210</v>
      </c>
      <c r="H280" s="4" t="str">
        <f>IF(F280="","",VLOOKUP(F280,Productos!$A$2:$F$182,3,FALSE))</f>
        <v>4</v>
      </c>
      <c r="I280" s="4" t="str">
        <f>IF(F280="","",VLOOKUP(F280,Productos!$A$2:$F$182,4,FALSE))</f>
        <v>Productos metálicos, maquinaria y equipo</v>
      </c>
      <c r="J280" s="4">
        <f>IF(F280="","",VLOOKUP(F280,Productos!$A$2:$F$182,5,FALSE))</f>
        <v>3</v>
      </c>
      <c r="K280" s="4" t="str">
        <f>IF(F280="","",VLOOKUP(F280,Productos!$A$2:$F$182,6,FALSE))</f>
        <v>Manufacturas</v>
      </c>
      <c r="L280" s="4">
        <v>3</v>
      </c>
      <c r="M280" s="4" t="s">
        <v>67</v>
      </c>
      <c r="N280" s="4">
        <f>VLOOKUP(F280,Productos!$A$2:$J$182,5)</f>
        <v>3</v>
      </c>
      <c r="O280" s="4" t="str">
        <f>VLOOKUP(F280,Productos!$A$2:$J$182,6)</f>
        <v>Manufacturas</v>
      </c>
    </row>
    <row r="281" spans="1:15">
      <c r="A281" s="4" t="s">
        <v>475</v>
      </c>
      <c r="B281" s="4" t="s">
        <v>10</v>
      </c>
      <c r="C281" s="4" t="s">
        <v>11</v>
      </c>
      <c r="D281" s="4" t="s">
        <v>12</v>
      </c>
      <c r="E281" s="4" t="s">
        <v>11</v>
      </c>
      <c r="F281" s="5">
        <v>99</v>
      </c>
      <c r="G281" s="4" t="s">
        <v>212</v>
      </c>
      <c r="H281" s="4" t="str">
        <f>IF(F281="","",VLOOKUP(F281,Productos!$A$2:$F$182,3,FALSE))</f>
        <v>4</v>
      </c>
      <c r="I281" s="4" t="str">
        <f>IF(F281="","",VLOOKUP(F281,Productos!$A$2:$F$182,4,FALSE))</f>
        <v>Productos metálicos, maquinaria y equipo</v>
      </c>
      <c r="J281" s="4">
        <f>IF(F281="","",VLOOKUP(F281,Productos!$A$2:$F$182,5,FALSE))</f>
        <v>3</v>
      </c>
      <c r="K281" s="4" t="str">
        <f>IF(F281="","",VLOOKUP(F281,Productos!$A$2:$F$182,6,FALSE))</f>
        <v>Manufacturas</v>
      </c>
      <c r="L281" s="4">
        <v>3</v>
      </c>
      <c r="M281" s="4" t="s">
        <v>67</v>
      </c>
      <c r="N281" s="4">
        <f>VLOOKUP(F281,Productos!$A$2:$J$182,5)</f>
        <v>3</v>
      </c>
      <c r="O281" s="4" t="str">
        <f>VLOOKUP(F281,Productos!$A$2:$J$182,6)</f>
        <v>Manufacturas</v>
      </c>
    </row>
    <row r="282" spans="1:15">
      <c r="A282" s="4" t="s">
        <v>476</v>
      </c>
      <c r="B282" s="4" t="s">
        <v>10</v>
      </c>
      <c r="C282" s="4" t="s">
        <v>11</v>
      </c>
      <c r="D282" s="4" t="s">
        <v>12</v>
      </c>
      <c r="E282" s="4" t="s">
        <v>11</v>
      </c>
      <c r="F282" s="5">
        <v>100</v>
      </c>
      <c r="G282" s="4" t="s">
        <v>214</v>
      </c>
      <c r="H282" s="4" t="str">
        <f>IF(F282="","",VLOOKUP(F282,Productos!$A$2:$F$182,3,FALSE))</f>
        <v>4</v>
      </c>
      <c r="I282" s="4" t="str">
        <f>IF(F282="","",VLOOKUP(F282,Productos!$A$2:$F$182,4,FALSE))</f>
        <v>Productos metálicos, maquinaria y equipo</v>
      </c>
      <c r="J282" s="4">
        <f>IF(F282="","",VLOOKUP(F282,Productos!$A$2:$F$182,5,FALSE))</f>
        <v>3</v>
      </c>
      <c r="K282" s="4" t="str">
        <f>IF(F282="","",VLOOKUP(F282,Productos!$A$2:$F$182,6,FALSE))</f>
        <v>Manufacturas</v>
      </c>
      <c r="L282" s="4">
        <v>3</v>
      </c>
      <c r="M282" s="4" t="s">
        <v>67</v>
      </c>
      <c r="N282" s="4">
        <f>VLOOKUP(F282,Productos!$A$2:$J$182,5)</f>
        <v>3</v>
      </c>
      <c r="O282" s="4" t="str">
        <f>VLOOKUP(F282,Productos!$A$2:$J$182,6)</f>
        <v>Manufacturas</v>
      </c>
    </row>
    <row r="283" spans="1:15">
      <c r="A283" s="4" t="s">
        <v>477</v>
      </c>
      <c r="B283" s="4" t="s">
        <v>10</v>
      </c>
      <c r="C283" s="4" t="s">
        <v>11</v>
      </c>
      <c r="D283" s="4" t="s">
        <v>12</v>
      </c>
      <c r="E283" s="4" t="s">
        <v>11</v>
      </c>
      <c r="F283" s="5">
        <v>101</v>
      </c>
      <c r="G283" s="4" t="s">
        <v>216</v>
      </c>
      <c r="H283" s="4" t="str">
        <f>IF(F283="","",VLOOKUP(F283,Productos!$A$2:$F$182,3,FALSE))</f>
        <v>4</v>
      </c>
      <c r="I283" s="4" t="str">
        <f>IF(F283="","",VLOOKUP(F283,Productos!$A$2:$F$182,4,FALSE))</f>
        <v>Productos metálicos, maquinaria y equipo</v>
      </c>
      <c r="J283" s="4">
        <f>IF(F283="","",VLOOKUP(F283,Productos!$A$2:$F$182,5,FALSE))</f>
        <v>3</v>
      </c>
      <c r="K283" s="4" t="str">
        <f>IF(F283="","",VLOOKUP(F283,Productos!$A$2:$F$182,6,FALSE))</f>
        <v>Manufacturas</v>
      </c>
      <c r="L283" s="4">
        <v>3</v>
      </c>
      <c r="M283" s="4" t="s">
        <v>67</v>
      </c>
      <c r="N283" s="4">
        <f>VLOOKUP(F283,Productos!$A$2:$J$182,5)</f>
        <v>3</v>
      </c>
      <c r="O283" s="4" t="str">
        <f>VLOOKUP(F283,Productos!$A$2:$J$182,6)</f>
        <v>Manufacturas</v>
      </c>
    </row>
    <row r="284" spans="1:15">
      <c r="A284" s="4" t="s">
        <v>478</v>
      </c>
      <c r="B284" s="4" t="s">
        <v>10</v>
      </c>
      <c r="C284" s="4" t="s">
        <v>11</v>
      </c>
      <c r="D284" s="4" t="s">
        <v>12</v>
      </c>
      <c r="E284" s="4" t="s">
        <v>11</v>
      </c>
      <c r="F284" s="5">
        <v>102</v>
      </c>
      <c r="G284" s="4" t="s">
        <v>218</v>
      </c>
      <c r="H284" s="4" t="str">
        <f>IF(F284="","",VLOOKUP(F284,Productos!$A$2:$F$182,3,FALSE))</f>
        <v>4</v>
      </c>
      <c r="I284" s="4" t="str">
        <f>IF(F284="","",VLOOKUP(F284,Productos!$A$2:$F$182,4,FALSE))</f>
        <v>Productos metálicos, maquinaria y equipo</v>
      </c>
      <c r="J284" s="4">
        <f>IF(F284="","",VLOOKUP(F284,Productos!$A$2:$F$182,5,FALSE))</f>
        <v>3</v>
      </c>
      <c r="K284" s="4" t="str">
        <f>IF(F284="","",VLOOKUP(F284,Productos!$A$2:$F$182,6,FALSE))</f>
        <v>Manufacturas</v>
      </c>
      <c r="L284" s="4">
        <v>3</v>
      </c>
      <c r="M284" s="4" t="s">
        <v>67</v>
      </c>
      <c r="N284" s="4">
        <f>VLOOKUP(F284,Productos!$A$2:$J$182,5)</f>
        <v>3</v>
      </c>
      <c r="O284" s="4" t="str">
        <f>VLOOKUP(F284,Productos!$A$2:$J$182,6)</f>
        <v>Manufacturas</v>
      </c>
    </row>
    <row r="285" spans="1:15">
      <c r="A285" s="4" t="s">
        <v>479</v>
      </c>
      <c r="B285" s="4" t="s">
        <v>10</v>
      </c>
      <c r="C285" s="4" t="s">
        <v>11</v>
      </c>
      <c r="D285" s="4" t="s">
        <v>12</v>
      </c>
      <c r="E285" s="4" t="s">
        <v>11</v>
      </c>
      <c r="F285" s="5">
        <v>103</v>
      </c>
      <c r="G285" s="4" t="s">
        <v>220</v>
      </c>
      <c r="H285" s="4" t="str">
        <f>IF(F285="","",VLOOKUP(F285,Productos!$A$2:$F$182,3,FALSE))</f>
        <v>4</v>
      </c>
      <c r="I285" s="4" t="str">
        <f>IF(F285="","",VLOOKUP(F285,Productos!$A$2:$F$182,4,FALSE))</f>
        <v>Productos metálicos, maquinaria y equipo</v>
      </c>
      <c r="J285" s="4">
        <f>IF(F285="","",VLOOKUP(F285,Productos!$A$2:$F$182,5,FALSE))</f>
        <v>3</v>
      </c>
      <c r="K285" s="4" t="str">
        <f>IF(F285="","",VLOOKUP(F285,Productos!$A$2:$F$182,6,FALSE))</f>
        <v>Manufacturas</v>
      </c>
      <c r="L285" s="4">
        <v>3</v>
      </c>
      <c r="M285" s="4" t="s">
        <v>67</v>
      </c>
      <c r="N285" s="4">
        <f>VLOOKUP(F285,Productos!$A$2:$J$182,5)</f>
        <v>3</v>
      </c>
      <c r="O285" s="4" t="str">
        <f>VLOOKUP(F285,Productos!$A$2:$J$182,6)</f>
        <v>Manufacturas</v>
      </c>
    </row>
    <row r="286" spans="1:15">
      <c r="A286" s="4" t="s">
        <v>480</v>
      </c>
      <c r="B286" s="4" t="s">
        <v>10</v>
      </c>
      <c r="C286" s="4" t="s">
        <v>11</v>
      </c>
      <c r="D286" s="4" t="s">
        <v>12</v>
      </c>
      <c r="E286" s="4" t="s">
        <v>11</v>
      </c>
      <c r="F286" s="5">
        <v>104</v>
      </c>
      <c r="G286" s="4" t="s">
        <v>222</v>
      </c>
      <c r="H286" s="4" t="str">
        <f>IF(F286="","",VLOOKUP(F286,Productos!$A$2:$F$182,3,FALSE))</f>
        <v>4</v>
      </c>
      <c r="I286" s="4" t="str">
        <f>IF(F286="","",VLOOKUP(F286,Productos!$A$2:$F$182,4,FALSE))</f>
        <v>Productos metálicos, maquinaria y equipo</v>
      </c>
      <c r="J286" s="4">
        <f>IF(F286="","",VLOOKUP(F286,Productos!$A$2:$F$182,5,FALSE))</f>
        <v>3</v>
      </c>
      <c r="K286" s="4" t="str">
        <f>IF(F286="","",VLOOKUP(F286,Productos!$A$2:$F$182,6,FALSE))</f>
        <v>Manufacturas</v>
      </c>
      <c r="L286" s="4">
        <v>3</v>
      </c>
      <c r="M286" s="4" t="s">
        <v>67</v>
      </c>
      <c r="N286" s="4">
        <f>VLOOKUP(F286,Productos!$A$2:$J$182,5)</f>
        <v>3</v>
      </c>
      <c r="O286" s="4" t="str">
        <f>VLOOKUP(F286,Productos!$A$2:$J$182,6)</f>
        <v>Manufacturas</v>
      </c>
    </row>
    <row r="287" spans="1:15">
      <c r="A287" s="4" t="s">
        <v>481</v>
      </c>
      <c r="B287" s="4" t="s">
        <v>10</v>
      </c>
      <c r="C287" s="4" t="s">
        <v>11</v>
      </c>
      <c r="D287" s="4" t="s">
        <v>12</v>
      </c>
      <c r="E287" s="4" t="s">
        <v>11</v>
      </c>
      <c r="F287" s="5">
        <v>105</v>
      </c>
      <c r="G287" s="4" t="s">
        <v>224</v>
      </c>
      <c r="H287" s="4" t="str">
        <f>IF(F287="","",VLOOKUP(F287,Productos!$A$2:$F$182,3,FALSE))</f>
        <v>4</v>
      </c>
      <c r="I287" s="4" t="str">
        <f>IF(F287="","",VLOOKUP(F287,Productos!$A$2:$F$182,4,FALSE))</f>
        <v>Productos metálicos, maquinaria y equipo</v>
      </c>
      <c r="J287" s="4">
        <f>IF(F287="","",VLOOKUP(F287,Productos!$A$2:$F$182,5,FALSE))</f>
        <v>3</v>
      </c>
      <c r="K287" s="4" t="str">
        <f>IF(F287="","",VLOOKUP(F287,Productos!$A$2:$F$182,6,FALSE))</f>
        <v>Manufacturas</v>
      </c>
      <c r="L287" s="4">
        <v>3</v>
      </c>
      <c r="M287" s="4" t="s">
        <v>67</v>
      </c>
      <c r="N287" s="4">
        <f>VLOOKUP(F287,Productos!$A$2:$J$182,5)</f>
        <v>3</v>
      </c>
      <c r="O287" s="4" t="str">
        <f>VLOOKUP(F287,Productos!$A$2:$J$182,6)</f>
        <v>Manufacturas</v>
      </c>
    </row>
    <row r="288" spans="1:15">
      <c r="A288" s="4" t="s">
        <v>482</v>
      </c>
      <c r="B288" s="4" t="s">
        <v>10</v>
      </c>
      <c r="C288" s="4" t="s">
        <v>11</v>
      </c>
      <c r="D288" s="4" t="s">
        <v>12</v>
      </c>
      <c r="E288" s="4" t="s">
        <v>11</v>
      </c>
      <c r="F288" s="5">
        <v>106</v>
      </c>
      <c r="G288" s="4" t="s">
        <v>226</v>
      </c>
      <c r="H288" s="4" t="str">
        <f>IF(F288="","",VLOOKUP(F288,Productos!$A$2:$F$182,3,FALSE))</f>
        <v>4</v>
      </c>
      <c r="I288" s="4" t="str">
        <f>IF(F288="","",VLOOKUP(F288,Productos!$A$2:$F$182,4,FALSE))</f>
        <v>Productos metálicos, maquinaria y equipo</v>
      </c>
      <c r="J288" s="4">
        <f>IF(F288="","",VLOOKUP(F288,Productos!$A$2:$F$182,5,FALSE))</f>
        <v>3</v>
      </c>
      <c r="K288" s="4" t="str">
        <f>IF(F288="","",VLOOKUP(F288,Productos!$A$2:$F$182,6,FALSE))</f>
        <v>Manufacturas</v>
      </c>
      <c r="L288" s="4">
        <v>3</v>
      </c>
      <c r="M288" s="4" t="s">
        <v>67</v>
      </c>
      <c r="N288" s="4">
        <f>VLOOKUP(F288,Productos!$A$2:$J$182,5)</f>
        <v>3</v>
      </c>
      <c r="O288" s="4" t="str">
        <f>VLOOKUP(F288,Productos!$A$2:$J$182,6)</f>
        <v>Manufacturas</v>
      </c>
    </row>
    <row r="289" spans="1:15">
      <c r="A289" s="4" t="s">
        <v>483</v>
      </c>
      <c r="B289" s="4" t="s">
        <v>10</v>
      </c>
      <c r="C289" s="4" t="s">
        <v>11</v>
      </c>
      <c r="D289" s="4" t="s">
        <v>12</v>
      </c>
      <c r="E289" s="4" t="s">
        <v>11</v>
      </c>
      <c r="F289" s="5">
        <v>107</v>
      </c>
      <c r="G289" s="4" t="s">
        <v>228</v>
      </c>
      <c r="H289" s="4" t="str">
        <f>IF(F289="","",VLOOKUP(F289,Productos!$A$2:$F$182,3,FALSE))</f>
        <v>4</v>
      </c>
      <c r="I289" s="4" t="str">
        <f>IF(F289="","",VLOOKUP(F289,Productos!$A$2:$F$182,4,FALSE))</f>
        <v>Productos metálicos, maquinaria y equipo</v>
      </c>
      <c r="J289" s="4">
        <f>IF(F289="","",VLOOKUP(F289,Productos!$A$2:$F$182,5,FALSE))</f>
        <v>3</v>
      </c>
      <c r="K289" s="4" t="str">
        <f>IF(F289="","",VLOOKUP(F289,Productos!$A$2:$F$182,6,FALSE))</f>
        <v>Manufacturas</v>
      </c>
      <c r="L289" s="4">
        <v>3</v>
      </c>
      <c r="M289" s="4" t="s">
        <v>67</v>
      </c>
      <c r="N289" s="4">
        <f>VLOOKUP(F289,Productos!$A$2:$J$182,5)</f>
        <v>3</v>
      </c>
      <c r="O289" s="4" t="str">
        <f>VLOOKUP(F289,Productos!$A$2:$J$182,6)</f>
        <v>Manufacturas</v>
      </c>
    </row>
    <row r="290" spans="1:15">
      <c r="A290" s="4" t="s">
        <v>484</v>
      </c>
      <c r="B290" s="4" t="s">
        <v>10</v>
      </c>
      <c r="C290" s="4" t="s">
        <v>11</v>
      </c>
      <c r="D290" s="4" t="s">
        <v>12</v>
      </c>
      <c r="E290" s="4" t="s">
        <v>11</v>
      </c>
      <c r="F290" s="5">
        <v>108</v>
      </c>
      <c r="G290" s="4" t="s">
        <v>230</v>
      </c>
      <c r="H290" s="4" t="str">
        <f>IF(F290="","",VLOOKUP(F290,Productos!$A$2:$F$182,3,FALSE))</f>
        <v>4</v>
      </c>
      <c r="I290" s="4" t="str">
        <f>IF(F290="","",VLOOKUP(F290,Productos!$A$2:$F$182,4,FALSE))</f>
        <v>Productos metálicos, maquinaria y equipo</v>
      </c>
      <c r="J290" s="4">
        <f>IF(F290="","",VLOOKUP(F290,Productos!$A$2:$F$182,5,FALSE))</f>
        <v>3</v>
      </c>
      <c r="K290" s="4" t="str">
        <f>IF(F290="","",VLOOKUP(F290,Productos!$A$2:$F$182,6,FALSE))</f>
        <v>Manufacturas</v>
      </c>
      <c r="L290" s="4">
        <v>3</v>
      </c>
      <c r="M290" s="4" t="s">
        <v>67</v>
      </c>
      <c r="N290" s="4">
        <f>VLOOKUP(F290,Productos!$A$2:$J$182,5)</f>
        <v>3</v>
      </c>
      <c r="O290" s="4" t="str">
        <f>VLOOKUP(F290,Productos!$A$2:$J$182,6)</f>
        <v>Manufacturas</v>
      </c>
    </row>
    <row r="291" spans="1:15">
      <c r="A291" s="4" t="s">
        <v>485</v>
      </c>
      <c r="B291" s="4" t="s">
        <v>10</v>
      </c>
      <c r="C291" s="4" t="s">
        <v>11</v>
      </c>
      <c r="D291" s="4" t="s">
        <v>12</v>
      </c>
      <c r="E291" s="4" t="s">
        <v>11</v>
      </c>
      <c r="F291" s="5">
        <v>109</v>
      </c>
      <c r="G291" s="4" t="s">
        <v>232</v>
      </c>
      <c r="H291" s="4" t="str">
        <f>IF(F291="","",VLOOKUP(F291,Productos!$A$2:$F$182,3,FALSE))</f>
        <v>4</v>
      </c>
      <c r="I291" s="4" t="str">
        <f>IF(F291="","",VLOOKUP(F291,Productos!$A$2:$F$182,4,FALSE))</f>
        <v>Productos metálicos, maquinaria y equipo</v>
      </c>
      <c r="J291" s="4">
        <f>IF(F291="","",VLOOKUP(F291,Productos!$A$2:$F$182,5,FALSE))</f>
        <v>3</v>
      </c>
      <c r="K291" s="4" t="str">
        <f>IF(F291="","",VLOOKUP(F291,Productos!$A$2:$F$182,6,FALSE))</f>
        <v>Manufacturas</v>
      </c>
      <c r="L291" s="4">
        <v>3</v>
      </c>
      <c r="M291" s="4" t="s">
        <v>67</v>
      </c>
      <c r="N291" s="4">
        <f>VLOOKUP(F291,Productos!$A$2:$J$182,5)</f>
        <v>3</v>
      </c>
      <c r="O291" s="4" t="str">
        <f>VLOOKUP(F291,Productos!$A$2:$J$182,6)</f>
        <v>Manufacturas</v>
      </c>
    </row>
    <row r="292" spans="1:15">
      <c r="A292" s="4" t="s">
        <v>486</v>
      </c>
      <c r="B292" s="4" t="s">
        <v>10</v>
      </c>
      <c r="C292" s="4" t="s">
        <v>11</v>
      </c>
      <c r="D292" s="4" t="s">
        <v>12</v>
      </c>
      <c r="E292" s="4" t="s">
        <v>11</v>
      </c>
      <c r="F292" s="5">
        <v>110</v>
      </c>
      <c r="G292" s="4" t="s">
        <v>234</v>
      </c>
      <c r="H292" s="4" t="str">
        <f>IF(F292="","",VLOOKUP(F292,Productos!$A$2:$F$182,3,FALSE))</f>
        <v>4</v>
      </c>
      <c r="I292" s="4" t="str">
        <f>IF(F292="","",VLOOKUP(F292,Productos!$A$2:$F$182,4,FALSE))</f>
        <v>Productos metálicos, maquinaria y equipo</v>
      </c>
      <c r="J292" s="4">
        <f>IF(F292="","",VLOOKUP(F292,Productos!$A$2:$F$182,5,FALSE))</f>
        <v>3</v>
      </c>
      <c r="K292" s="4" t="str">
        <f>IF(F292="","",VLOOKUP(F292,Productos!$A$2:$F$182,6,FALSE))</f>
        <v>Manufacturas</v>
      </c>
      <c r="L292" s="4">
        <v>3</v>
      </c>
      <c r="M292" s="4" t="s">
        <v>67</v>
      </c>
      <c r="N292" s="4">
        <f>VLOOKUP(F292,Productos!$A$2:$J$182,5)</f>
        <v>3</v>
      </c>
      <c r="O292" s="4" t="str">
        <f>VLOOKUP(F292,Productos!$A$2:$J$182,6)</f>
        <v>Manufacturas</v>
      </c>
    </row>
    <row r="293" spans="1:15">
      <c r="A293" s="4" t="s">
        <v>487</v>
      </c>
      <c r="B293" s="4" t="s">
        <v>10</v>
      </c>
      <c r="C293" s="4" t="s">
        <v>11</v>
      </c>
      <c r="D293" s="4" t="s">
        <v>12</v>
      </c>
      <c r="E293" s="4" t="s">
        <v>11</v>
      </c>
      <c r="F293" s="5">
        <v>111</v>
      </c>
      <c r="G293" s="4" t="s">
        <v>236</v>
      </c>
      <c r="H293" s="4" t="str">
        <f>IF(F293="","",VLOOKUP(F293,Productos!$A$2:$F$182,3,FALSE))</f>
        <v>4</v>
      </c>
      <c r="I293" s="4" t="str">
        <f>IF(F293="","",VLOOKUP(F293,Productos!$A$2:$F$182,4,FALSE))</f>
        <v>Productos metálicos, maquinaria y equipo</v>
      </c>
      <c r="J293" s="4">
        <f>IF(F293="","",VLOOKUP(F293,Productos!$A$2:$F$182,5,FALSE))</f>
        <v>3</v>
      </c>
      <c r="K293" s="4" t="str">
        <f>IF(F293="","",VLOOKUP(F293,Productos!$A$2:$F$182,6,FALSE))</f>
        <v>Manufacturas</v>
      </c>
      <c r="L293" s="4">
        <v>3</v>
      </c>
      <c r="M293" s="4" t="s">
        <v>67</v>
      </c>
      <c r="N293" s="4">
        <f>VLOOKUP(F293,Productos!$A$2:$J$182,5)</f>
        <v>3</v>
      </c>
      <c r="O293" s="4" t="str">
        <f>VLOOKUP(F293,Productos!$A$2:$J$182,6)</f>
        <v>Manufacturas</v>
      </c>
    </row>
    <row r="294" spans="1:15">
      <c r="A294" s="4" t="s">
        <v>488</v>
      </c>
      <c r="B294" s="4" t="s">
        <v>10</v>
      </c>
      <c r="C294" s="4" t="s">
        <v>11</v>
      </c>
      <c r="D294" s="4" t="s">
        <v>12</v>
      </c>
      <c r="E294" s="4" t="s">
        <v>11</v>
      </c>
      <c r="F294" s="5">
        <v>112</v>
      </c>
      <c r="G294" s="4" t="s">
        <v>238</v>
      </c>
      <c r="H294" s="4" t="str">
        <f>IF(F294="","",VLOOKUP(F294,Productos!$A$2:$F$182,3,FALSE))</f>
        <v>4</v>
      </c>
      <c r="I294" s="4" t="str">
        <f>IF(F294="","",VLOOKUP(F294,Productos!$A$2:$F$182,4,FALSE))</f>
        <v>Productos metálicos, maquinaria y equipo</v>
      </c>
      <c r="J294" s="4">
        <f>IF(F294="","",VLOOKUP(F294,Productos!$A$2:$F$182,5,FALSE))</f>
        <v>3</v>
      </c>
      <c r="K294" s="4" t="str">
        <f>IF(F294="","",VLOOKUP(F294,Productos!$A$2:$F$182,6,FALSE))</f>
        <v>Manufacturas</v>
      </c>
      <c r="L294" s="4">
        <v>3</v>
      </c>
      <c r="M294" s="4" t="s">
        <v>67</v>
      </c>
      <c r="N294" s="4">
        <f>VLOOKUP(F294,Productos!$A$2:$J$182,5)</f>
        <v>3</v>
      </c>
      <c r="O294" s="4" t="str">
        <f>VLOOKUP(F294,Productos!$A$2:$J$182,6)</f>
        <v>Manufacturas</v>
      </c>
    </row>
    <row r="295" spans="1:15">
      <c r="A295" s="4" t="s">
        <v>489</v>
      </c>
      <c r="B295" s="4" t="s">
        <v>10</v>
      </c>
      <c r="C295" s="4" t="s">
        <v>11</v>
      </c>
      <c r="D295" s="4" t="s">
        <v>12</v>
      </c>
      <c r="E295" s="4" t="s">
        <v>11</v>
      </c>
      <c r="F295" s="5">
        <v>113</v>
      </c>
      <c r="G295" s="4" t="s">
        <v>240</v>
      </c>
      <c r="H295" s="4" t="str">
        <f>IF(F295="","",VLOOKUP(F295,Productos!$A$2:$F$182,3,FALSE))</f>
        <v>4</v>
      </c>
      <c r="I295" s="4" t="str">
        <f>IF(F295="","",VLOOKUP(F295,Productos!$A$2:$F$182,4,FALSE))</f>
        <v>Productos metálicos, maquinaria y equipo</v>
      </c>
      <c r="J295" s="4">
        <f>IF(F295="","",VLOOKUP(F295,Productos!$A$2:$F$182,5,FALSE))</f>
        <v>3</v>
      </c>
      <c r="K295" s="4" t="str">
        <f>IF(F295="","",VLOOKUP(F295,Productos!$A$2:$F$182,6,FALSE))</f>
        <v>Manufacturas</v>
      </c>
      <c r="L295" s="4">
        <v>3</v>
      </c>
      <c r="M295" s="4" t="s">
        <v>67</v>
      </c>
      <c r="N295" s="4">
        <f>VLOOKUP(F295,Productos!$A$2:$J$182,5)</f>
        <v>3</v>
      </c>
      <c r="O295" s="4" t="str">
        <f>VLOOKUP(F295,Productos!$A$2:$J$182,6)</f>
        <v>Manufacturas</v>
      </c>
    </row>
    <row r="296" spans="1:15">
      <c r="A296" s="4" t="s">
        <v>490</v>
      </c>
      <c r="B296" s="4" t="s">
        <v>10</v>
      </c>
      <c r="C296" s="4" t="s">
        <v>11</v>
      </c>
      <c r="D296" s="4" t="s">
        <v>12</v>
      </c>
      <c r="E296" s="4" t="s">
        <v>11</v>
      </c>
      <c r="F296" s="5">
        <v>114</v>
      </c>
      <c r="G296" s="4" t="s">
        <v>242</v>
      </c>
      <c r="H296" s="4" t="str">
        <f>IF(F296="","",VLOOKUP(F296,Productos!$A$2:$F$182,3,FALSE))</f>
        <v>4</v>
      </c>
      <c r="I296" s="4" t="str">
        <f>IF(F296="","",VLOOKUP(F296,Productos!$A$2:$F$182,4,FALSE))</f>
        <v>Productos metálicos, maquinaria y equipo</v>
      </c>
      <c r="J296" s="4">
        <f>IF(F296="","",VLOOKUP(F296,Productos!$A$2:$F$182,5,FALSE))</f>
        <v>3</v>
      </c>
      <c r="K296" s="4" t="str">
        <f>IF(F296="","",VLOOKUP(F296,Productos!$A$2:$F$182,6,FALSE))</f>
        <v>Manufacturas</v>
      </c>
      <c r="L296" s="4">
        <v>3</v>
      </c>
      <c r="M296" s="4" t="s">
        <v>67</v>
      </c>
      <c r="N296" s="4">
        <f>VLOOKUP(F296,Productos!$A$2:$J$182,5)</f>
        <v>3</v>
      </c>
      <c r="O296" s="4" t="str">
        <f>VLOOKUP(F296,Productos!$A$2:$J$182,6)</f>
        <v>Manufacturas</v>
      </c>
    </row>
    <row r="297" spans="1:15">
      <c r="A297" s="4" t="s">
        <v>491</v>
      </c>
      <c r="B297" s="4" t="s">
        <v>10</v>
      </c>
      <c r="C297" s="4" t="s">
        <v>11</v>
      </c>
      <c r="D297" s="4" t="s">
        <v>12</v>
      </c>
      <c r="E297" s="4" t="s">
        <v>11</v>
      </c>
      <c r="F297" s="5">
        <v>115</v>
      </c>
      <c r="G297" s="4" t="s">
        <v>244</v>
      </c>
      <c r="H297" s="4" t="str">
        <f>IF(F297="","",VLOOKUP(F297,Productos!$A$2:$F$182,3,FALSE))</f>
        <v>4</v>
      </c>
      <c r="I297" s="4" t="str">
        <f>IF(F297="","",VLOOKUP(F297,Productos!$A$2:$F$182,4,FALSE))</f>
        <v>Productos metálicos, maquinaria y equipo</v>
      </c>
      <c r="J297" s="4">
        <f>IF(F297="","",VLOOKUP(F297,Productos!$A$2:$F$182,5,FALSE))</f>
        <v>3</v>
      </c>
      <c r="K297" s="4" t="str">
        <f>IF(F297="","",VLOOKUP(F297,Productos!$A$2:$F$182,6,FALSE))</f>
        <v>Manufacturas</v>
      </c>
      <c r="L297" s="4">
        <v>3</v>
      </c>
      <c r="M297" s="4" t="s">
        <v>67</v>
      </c>
      <c r="N297" s="4">
        <f>VLOOKUP(F297,Productos!$A$2:$J$182,5)</f>
        <v>3</v>
      </c>
      <c r="O297" s="4" t="str">
        <f>VLOOKUP(F297,Productos!$A$2:$J$182,6)</f>
        <v>Manufacturas</v>
      </c>
    </row>
    <row r="298" spans="1:15">
      <c r="A298" s="4" t="s">
        <v>492</v>
      </c>
      <c r="B298" s="4" t="s">
        <v>10</v>
      </c>
      <c r="C298" s="4" t="s">
        <v>11</v>
      </c>
      <c r="D298" s="4" t="s">
        <v>12</v>
      </c>
      <c r="E298" s="4" t="s">
        <v>11</v>
      </c>
      <c r="F298" s="5">
        <v>116</v>
      </c>
      <c r="G298" s="4" t="s">
        <v>246</v>
      </c>
      <c r="H298" s="4" t="str">
        <f>IF(F298="","",VLOOKUP(F298,Productos!$A$2:$F$182,3,FALSE))</f>
        <v>4</v>
      </c>
      <c r="I298" s="4" t="str">
        <f>IF(F298="","",VLOOKUP(F298,Productos!$A$2:$F$182,4,FALSE))</f>
        <v>Productos metálicos, maquinaria y equipo</v>
      </c>
      <c r="J298" s="4">
        <f>IF(F298="","",VLOOKUP(F298,Productos!$A$2:$F$182,5,FALSE))</f>
        <v>3</v>
      </c>
      <c r="K298" s="4" t="str">
        <f>IF(F298="","",VLOOKUP(F298,Productos!$A$2:$F$182,6,FALSE))</f>
        <v>Manufacturas</v>
      </c>
      <c r="L298" s="4">
        <v>3</v>
      </c>
      <c r="M298" s="4" t="s">
        <v>67</v>
      </c>
      <c r="N298" s="4">
        <f>VLOOKUP(F298,Productos!$A$2:$J$182,5)</f>
        <v>3</v>
      </c>
      <c r="O298" s="4" t="str">
        <f>VLOOKUP(F298,Productos!$A$2:$J$182,6)</f>
        <v>Manufacturas</v>
      </c>
    </row>
    <row r="299" spans="1:15">
      <c r="A299" s="4" t="s">
        <v>493</v>
      </c>
      <c r="B299" s="4" t="s">
        <v>10</v>
      </c>
      <c r="C299" s="4" t="s">
        <v>11</v>
      </c>
      <c r="D299" s="4" t="s">
        <v>12</v>
      </c>
      <c r="E299" s="4" t="s">
        <v>11</v>
      </c>
      <c r="F299" s="5">
        <v>117</v>
      </c>
      <c r="G299" s="4" t="s">
        <v>248</v>
      </c>
      <c r="H299" s="4" t="str">
        <f>IF(F299="","",VLOOKUP(F299,Productos!$A$2:$F$182,3,FALSE))</f>
        <v>4</v>
      </c>
      <c r="I299" s="4" t="str">
        <f>IF(F299="","",VLOOKUP(F299,Productos!$A$2:$F$182,4,FALSE))</f>
        <v>Productos metálicos, maquinaria y equipo</v>
      </c>
      <c r="J299" s="4">
        <f>IF(F299="","",VLOOKUP(F299,Productos!$A$2:$F$182,5,FALSE))</f>
        <v>3</v>
      </c>
      <c r="K299" s="4" t="str">
        <f>IF(F299="","",VLOOKUP(F299,Productos!$A$2:$F$182,6,FALSE))</f>
        <v>Manufacturas</v>
      </c>
      <c r="L299" s="4">
        <v>3</v>
      </c>
      <c r="M299" s="4" t="s">
        <v>67</v>
      </c>
      <c r="N299" s="4">
        <f>VLOOKUP(F299,Productos!$A$2:$J$182,5)</f>
        <v>3</v>
      </c>
      <c r="O299" s="4" t="str">
        <f>VLOOKUP(F299,Productos!$A$2:$J$182,6)</f>
        <v>Manufacturas</v>
      </c>
    </row>
    <row r="300" spans="1:15">
      <c r="A300" s="4" t="s">
        <v>494</v>
      </c>
      <c r="B300" s="4" t="s">
        <v>10</v>
      </c>
      <c r="C300" s="4" t="s">
        <v>11</v>
      </c>
      <c r="D300" s="4" t="s">
        <v>12</v>
      </c>
      <c r="E300" s="4" t="s">
        <v>11</v>
      </c>
      <c r="F300" s="5">
        <v>118</v>
      </c>
      <c r="G300" s="4" t="s">
        <v>250</v>
      </c>
      <c r="H300" s="4" t="str">
        <f>IF(F300="","",VLOOKUP(F300,Productos!$A$2:$F$182,3,FALSE))</f>
        <v>4</v>
      </c>
      <c r="I300" s="4" t="str">
        <f>IF(F300="","",VLOOKUP(F300,Productos!$A$2:$F$182,4,FALSE))</f>
        <v>Productos metálicos, maquinaria y equipo</v>
      </c>
      <c r="J300" s="4">
        <f>IF(F300="","",VLOOKUP(F300,Productos!$A$2:$F$182,5,FALSE))</f>
        <v>3</v>
      </c>
      <c r="K300" s="4" t="str">
        <f>IF(F300="","",VLOOKUP(F300,Productos!$A$2:$F$182,6,FALSE))</f>
        <v>Manufacturas</v>
      </c>
      <c r="L300" s="4">
        <v>3</v>
      </c>
      <c r="M300" s="4" t="s">
        <v>67</v>
      </c>
      <c r="N300" s="4">
        <f>VLOOKUP(F300,Productos!$A$2:$J$182,5)</f>
        <v>3</v>
      </c>
      <c r="O300" s="4" t="str">
        <f>VLOOKUP(F300,Productos!$A$2:$J$182,6)</f>
        <v>Manufacturas</v>
      </c>
    </row>
    <row r="301" spans="1:15">
      <c r="A301" s="4" t="s">
        <v>495</v>
      </c>
      <c r="B301" s="4" t="s">
        <v>10</v>
      </c>
      <c r="C301" s="4" t="s">
        <v>11</v>
      </c>
      <c r="D301" s="4" t="s">
        <v>12</v>
      </c>
      <c r="E301" s="4" t="s">
        <v>11</v>
      </c>
      <c r="F301" s="5">
        <v>119</v>
      </c>
      <c r="G301" s="4" t="s">
        <v>252</v>
      </c>
      <c r="H301" s="4" t="str">
        <f>IF(F301="","",VLOOKUP(F301,Productos!$A$2:$F$182,3,FALSE))</f>
        <v>1</v>
      </c>
      <c r="I301" s="4" t="str">
        <f>IF(F301="","",VLOOKUP(F301,Productos!$A$2:$F$182,4,FALSE))</f>
        <v>Minerales; electricidad, gas y agua</v>
      </c>
      <c r="J301" s="4">
        <f>IF(F301="","",VLOOKUP(F301,Productos!$A$2:$F$182,5,FALSE))</f>
        <v>4</v>
      </c>
      <c r="K301" s="4" t="str">
        <f>IF(F301="","",VLOOKUP(F301,Productos!$A$2:$F$182,6,FALSE))</f>
        <v>Servicios básicos</v>
      </c>
      <c r="L301" s="4">
        <v>3</v>
      </c>
      <c r="M301" s="4" t="s">
        <v>67</v>
      </c>
      <c r="N301" s="4">
        <f>VLOOKUP(F301,Productos!$A$2:$J$182,5)</f>
        <v>4</v>
      </c>
      <c r="O301" s="4" t="str">
        <f>VLOOKUP(F301,Productos!$A$2:$J$182,6)</f>
        <v>Servicios básicos</v>
      </c>
    </row>
    <row r="302" spans="1:15">
      <c r="A302" s="4" t="s">
        <v>496</v>
      </c>
      <c r="B302" s="4" t="s">
        <v>10</v>
      </c>
      <c r="C302" s="4" t="s">
        <v>11</v>
      </c>
      <c r="D302" s="4" t="s">
        <v>12</v>
      </c>
      <c r="E302" s="4" t="s">
        <v>11</v>
      </c>
      <c r="F302" s="5">
        <v>120</v>
      </c>
      <c r="G302" s="4" t="s">
        <v>254</v>
      </c>
      <c r="H302" s="4" t="str">
        <f>IF(F302="","",VLOOKUP(F302,Productos!$A$2:$F$182,3,FALSE))</f>
        <v>1</v>
      </c>
      <c r="I302" s="4" t="str">
        <f>IF(F302="","",VLOOKUP(F302,Productos!$A$2:$F$182,4,FALSE))</f>
        <v>Minerales; electricidad, gas y agua</v>
      </c>
      <c r="J302" s="4">
        <f>IF(F302="","",VLOOKUP(F302,Productos!$A$2:$F$182,5,FALSE))</f>
        <v>4</v>
      </c>
      <c r="K302" s="4" t="str">
        <f>IF(F302="","",VLOOKUP(F302,Productos!$A$2:$F$182,6,FALSE))</f>
        <v>Servicios básicos</v>
      </c>
      <c r="L302" s="4">
        <v>3</v>
      </c>
      <c r="M302" s="4" t="s">
        <v>67</v>
      </c>
      <c r="N302" s="4">
        <f>VLOOKUP(F302,Productos!$A$2:$J$182,5)</f>
        <v>4</v>
      </c>
      <c r="O302" s="4" t="str">
        <f>VLOOKUP(F302,Productos!$A$2:$J$182,6)</f>
        <v>Servicios básicos</v>
      </c>
    </row>
    <row r="303" spans="1:15">
      <c r="A303" s="4" t="s">
        <v>497</v>
      </c>
      <c r="B303" s="4" t="s">
        <v>10</v>
      </c>
      <c r="C303" s="4" t="s">
        <v>11</v>
      </c>
      <c r="D303" s="4" t="s">
        <v>12</v>
      </c>
      <c r="E303" s="4" t="s">
        <v>11</v>
      </c>
      <c r="F303" s="5">
        <v>121</v>
      </c>
      <c r="G303" s="4" t="s">
        <v>256</v>
      </c>
      <c r="H303" s="4" t="str">
        <f>IF(F303="","",VLOOKUP(F303,Productos!$A$2:$F$182,3,FALSE))</f>
        <v>1</v>
      </c>
      <c r="I303" s="4" t="str">
        <f>IF(F303="","",VLOOKUP(F303,Productos!$A$2:$F$182,4,FALSE))</f>
        <v>Minerales; electricidad, gas y agua</v>
      </c>
      <c r="J303" s="4">
        <f>IF(F303="","",VLOOKUP(F303,Productos!$A$2:$F$182,5,FALSE))</f>
        <v>4</v>
      </c>
      <c r="K303" s="4" t="str">
        <f>IF(F303="","",VLOOKUP(F303,Productos!$A$2:$F$182,6,FALSE))</f>
        <v>Servicios básicos</v>
      </c>
      <c r="L303" s="4">
        <v>3</v>
      </c>
      <c r="M303" s="4" t="s">
        <v>67</v>
      </c>
      <c r="N303" s="4">
        <f>VLOOKUP(F303,Productos!$A$2:$J$182,5)</f>
        <v>4</v>
      </c>
      <c r="O303" s="4" t="str">
        <f>VLOOKUP(F303,Productos!$A$2:$J$182,6)</f>
        <v>Servicios básicos</v>
      </c>
    </row>
    <row r="304" spans="1:15">
      <c r="A304" s="4" t="s">
        <v>498</v>
      </c>
      <c r="B304" s="4" t="s">
        <v>10</v>
      </c>
      <c r="C304" s="4" t="s">
        <v>11</v>
      </c>
      <c r="D304" s="4" t="s">
        <v>12</v>
      </c>
      <c r="E304" s="4" t="s">
        <v>11</v>
      </c>
      <c r="F304" s="5">
        <v>122</v>
      </c>
      <c r="G304" s="4" t="s">
        <v>258</v>
      </c>
      <c r="H304" s="4" t="str">
        <f>IF(F304="","",VLOOKUP(F304,Productos!$A$2:$F$182,3,FALSE))</f>
        <v>1</v>
      </c>
      <c r="I304" s="4" t="str">
        <f>IF(F304="","",VLOOKUP(F304,Productos!$A$2:$F$182,4,FALSE))</f>
        <v>Minerales; electricidad, gas y agua</v>
      </c>
      <c r="J304" s="4">
        <f>IF(F304="","",VLOOKUP(F304,Productos!$A$2:$F$182,5,FALSE))</f>
        <v>4</v>
      </c>
      <c r="K304" s="4" t="str">
        <f>IF(F304="","",VLOOKUP(F304,Productos!$A$2:$F$182,6,FALSE))</f>
        <v>Servicios básicos</v>
      </c>
      <c r="L304" s="4">
        <v>3</v>
      </c>
      <c r="M304" s="4" t="s">
        <v>67</v>
      </c>
      <c r="N304" s="4">
        <f>VLOOKUP(F304,Productos!$A$2:$J$182,5)</f>
        <v>4</v>
      </c>
      <c r="O304" s="4" t="str">
        <f>VLOOKUP(F304,Productos!$A$2:$J$182,6)</f>
        <v>Servicios básicos</v>
      </c>
    </row>
    <row r="305" spans="1:15">
      <c r="A305" s="4" t="s">
        <v>499</v>
      </c>
      <c r="B305" s="4" t="s">
        <v>10</v>
      </c>
      <c r="C305" s="4" t="s">
        <v>11</v>
      </c>
      <c r="D305" s="4" t="s">
        <v>12</v>
      </c>
      <c r="E305" s="4" t="s">
        <v>11</v>
      </c>
      <c r="F305" s="5">
        <v>123</v>
      </c>
      <c r="G305" s="4" t="s">
        <v>260</v>
      </c>
      <c r="H305" s="4" t="str">
        <f>IF(F305="","",VLOOKUP(F305,Productos!$A$2:$F$182,3,FALSE))</f>
        <v>1</v>
      </c>
      <c r="I305" s="4" t="str">
        <f>IF(F305="","",VLOOKUP(F305,Productos!$A$2:$F$182,4,FALSE))</f>
        <v>Minerales; electricidad, gas y agua</v>
      </c>
      <c r="J305" s="4">
        <f>IF(F305="","",VLOOKUP(F305,Productos!$A$2:$F$182,5,FALSE))</f>
        <v>4</v>
      </c>
      <c r="K305" s="4" t="str">
        <f>IF(F305="","",VLOOKUP(F305,Productos!$A$2:$F$182,6,FALSE))</f>
        <v>Servicios básicos</v>
      </c>
      <c r="L305" s="4">
        <v>2</v>
      </c>
      <c r="M305" s="4" t="s">
        <v>142</v>
      </c>
      <c r="N305" s="4">
        <f>VLOOKUP(F305,Productos!$A$2:$J$182,5)</f>
        <v>4</v>
      </c>
      <c r="O305" s="4" t="str">
        <f>VLOOKUP(F305,Productos!$A$2:$J$182,6)</f>
        <v>Servicios básicos</v>
      </c>
    </row>
    <row r="306" spans="1:15">
      <c r="A306" s="4" t="s">
        <v>500</v>
      </c>
      <c r="B306" s="4" t="s">
        <v>10</v>
      </c>
      <c r="C306" s="4" t="s">
        <v>11</v>
      </c>
      <c r="D306" s="4" t="s">
        <v>12</v>
      </c>
      <c r="E306" s="4" t="s">
        <v>11</v>
      </c>
      <c r="F306" s="5">
        <v>124</v>
      </c>
      <c r="G306" s="4" t="s">
        <v>262</v>
      </c>
      <c r="H306" s="4" t="str">
        <f>IF(F306="","",VLOOKUP(F306,Productos!$A$2:$F$182,3,FALSE))</f>
        <v>1</v>
      </c>
      <c r="I306" s="4" t="str">
        <f>IF(F306="","",VLOOKUP(F306,Productos!$A$2:$F$182,4,FALSE))</f>
        <v>Minerales; electricidad, gas y agua</v>
      </c>
      <c r="J306" s="4">
        <f>IF(F306="","",VLOOKUP(F306,Productos!$A$2:$F$182,5,FALSE))</f>
        <v>4</v>
      </c>
      <c r="K306" s="4" t="str">
        <f>IF(F306="","",VLOOKUP(F306,Productos!$A$2:$F$182,6,FALSE))</f>
        <v>Servicios básicos</v>
      </c>
      <c r="L306" s="4">
        <v>2</v>
      </c>
      <c r="M306" s="4" t="s">
        <v>142</v>
      </c>
      <c r="N306" s="4">
        <f>VLOOKUP(F306,Productos!$A$2:$J$182,5)</f>
        <v>4</v>
      </c>
      <c r="O306" s="4" t="str">
        <f>VLOOKUP(F306,Productos!$A$2:$J$182,6)</f>
        <v>Servicios básicos</v>
      </c>
    </row>
    <row r="307" spans="1:15">
      <c r="A307" s="4" t="s">
        <v>501</v>
      </c>
      <c r="B307" s="4" t="s">
        <v>10</v>
      </c>
      <c r="C307" s="4" t="s">
        <v>11</v>
      </c>
      <c r="D307" s="4" t="s">
        <v>12</v>
      </c>
      <c r="E307" s="4" t="s">
        <v>11</v>
      </c>
      <c r="F307" s="5">
        <v>125</v>
      </c>
      <c r="G307" s="4" t="s">
        <v>264</v>
      </c>
      <c r="H307" s="4" t="str">
        <f>IF(F307="","",VLOOKUP(F307,Productos!$A$2:$F$182,3,FALSE))</f>
        <v>5</v>
      </c>
      <c r="I307" s="4" t="str">
        <f>IF(F307="","",VLOOKUP(F307,Productos!$A$2:$F$182,4,FALSE))</f>
        <v>Construcciones y servicios de construcción</v>
      </c>
      <c r="J307" s="4">
        <f>IF(F307="","",VLOOKUP(F307,Productos!$A$2:$F$182,5,FALSE))</f>
        <v>5</v>
      </c>
      <c r="K307" s="4" t="str">
        <f>IF(F307="","",VLOOKUP(F307,Productos!$A$2:$F$182,6,FALSE))</f>
        <v>Construcción</v>
      </c>
      <c r="L307" s="4">
        <v>3</v>
      </c>
      <c r="M307" s="4" t="s">
        <v>67</v>
      </c>
      <c r="N307" s="4">
        <f>VLOOKUP(F307,Productos!$A$2:$J$182,5)</f>
        <v>5</v>
      </c>
      <c r="O307" s="4" t="str">
        <f>VLOOKUP(F307,Productos!$A$2:$J$182,6)</f>
        <v>Construcción</v>
      </c>
    </row>
    <row r="308" spans="1:15">
      <c r="A308" s="4" t="s">
        <v>502</v>
      </c>
      <c r="B308" s="4" t="s">
        <v>10</v>
      </c>
      <c r="C308" s="4" t="s">
        <v>11</v>
      </c>
      <c r="D308" s="4" t="s">
        <v>12</v>
      </c>
      <c r="E308" s="4" t="s">
        <v>11</v>
      </c>
      <c r="F308" s="5">
        <v>126</v>
      </c>
      <c r="G308" s="4" t="s">
        <v>266</v>
      </c>
      <c r="H308" s="4" t="str">
        <f>IF(F308="","",VLOOKUP(F308,Productos!$A$2:$F$182,3,FALSE))</f>
        <v>5</v>
      </c>
      <c r="I308" s="4" t="str">
        <f>IF(F308="","",VLOOKUP(F308,Productos!$A$2:$F$182,4,FALSE))</f>
        <v>Construcciones y servicios de construcción</v>
      </c>
      <c r="J308" s="4">
        <f>IF(F308="","",VLOOKUP(F308,Productos!$A$2:$F$182,5,FALSE))</f>
        <v>5</v>
      </c>
      <c r="K308" s="4" t="str">
        <f>IF(F308="","",VLOOKUP(F308,Productos!$A$2:$F$182,6,FALSE))</f>
        <v>Construcción</v>
      </c>
      <c r="L308" s="4">
        <v>3</v>
      </c>
      <c r="M308" s="4" t="s">
        <v>67</v>
      </c>
      <c r="N308" s="4">
        <f>VLOOKUP(F308,Productos!$A$2:$J$182,5)</f>
        <v>5</v>
      </c>
      <c r="O308" s="4" t="str">
        <f>VLOOKUP(F308,Productos!$A$2:$J$182,6)</f>
        <v>Construcción</v>
      </c>
    </row>
    <row r="309" spans="1:15">
      <c r="A309" s="4" t="s">
        <v>503</v>
      </c>
      <c r="B309" s="4" t="s">
        <v>10</v>
      </c>
      <c r="C309" s="4" t="s">
        <v>11</v>
      </c>
      <c r="D309" s="4" t="s">
        <v>12</v>
      </c>
      <c r="E309" s="4" t="s">
        <v>11</v>
      </c>
      <c r="F309" s="5">
        <v>127</v>
      </c>
      <c r="G309" s="4" t="s">
        <v>268</v>
      </c>
      <c r="H309" s="4" t="str">
        <f>IF(F309="","",VLOOKUP(F309,Productos!$A$2:$F$182,3,FALSE))</f>
        <v>5</v>
      </c>
      <c r="I309" s="4" t="str">
        <f>IF(F309="","",VLOOKUP(F309,Productos!$A$2:$F$182,4,FALSE))</f>
        <v>Construcciones y servicios de construcción</v>
      </c>
      <c r="J309" s="4">
        <f>IF(F309="","",VLOOKUP(F309,Productos!$A$2:$F$182,5,FALSE))</f>
        <v>5</v>
      </c>
      <c r="K309" s="4" t="str">
        <f>IF(F309="","",VLOOKUP(F309,Productos!$A$2:$F$182,6,FALSE))</f>
        <v>Construcción</v>
      </c>
      <c r="L309" s="4">
        <v>3</v>
      </c>
      <c r="M309" s="4" t="s">
        <v>67</v>
      </c>
      <c r="N309" s="4">
        <f>VLOOKUP(F309,Productos!$A$2:$J$182,5)</f>
        <v>5</v>
      </c>
      <c r="O309" s="4" t="str">
        <f>VLOOKUP(F309,Productos!$A$2:$J$182,6)</f>
        <v>Construcción</v>
      </c>
    </row>
    <row r="310" spans="1:15">
      <c r="A310" s="4" t="s">
        <v>504</v>
      </c>
      <c r="B310" s="4" t="s">
        <v>10</v>
      </c>
      <c r="C310" s="4" t="s">
        <v>11</v>
      </c>
      <c r="D310" s="4" t="s">
        <v>12</v>
      </c>
      <c r="E310" s="4" t="s">
        <v>11</v>
      </c>
      <c r="F310" s="5">
        <v>128</v>
      </c>
      <c r="G310" s="4" t="s">
        <v>270</v>
      </c>
      <c r="H310" s="4" t="str">
        <f>IF(F310="","",VLOOKUP(F310,Productos!$A$2:$F$182,3,FALSE))</f>
        <v>5</v>
      </c>
      <c r="I310" s="4" t="str">
        <f>IF(F310="","",VLOOKUP(F310,Productos!$A$2:$F$182,4,FALSE))</f>
        <v>Construcciones y servicios de construcción</v>
      </c>
      <c r="J310" s="4">
        <f>IF(F310="","",VLOOKUP(F310,Productos!$A$2:$F$182,5,FALSE))</f>
        <v>5</v>
      </c>
      <c r="K310" s="4" t="str">
        <f>IF(F310="","",VLOOKUP(F310,Productos!$A$2:$F$182,6,FALSE))</f>
        <v>Construcción</v>
      </c>
      <c r="L310" s="4">
        <v>3</v>
      </c>
      <c r="M310" s="4" t="s">
        <v>67</v>
      </c>
      <c r="N310" s="4">
        <f>VLOOKUP(F310,Productos!$A$2:$J$182,5)</f>
        <v>5</v>
      </c>
      <c r="O310" s="4" t="str">
        <f>VLOOKUP(F310,Productos!$A$2:$J$182,6)</f>
        <v>Construcción</v>
      </c>
    </row>
    <row r="311" spans="1:15">
      <c r="A311" s="4" t="s">
        <v>505</v>
      </c>
      <c r="B311" s="4" t="s">
        <v>10</v>
      </c>
      <c r="C311" s="4" t="s">
        <v>11</v>
      </c>
      <c r="D311" s="4" t="s">
        <v>12</v>
      </c>
      <c r="E311" s="4" t="s">
        <v>11</v>
      </c>
      <c r="F311" s="5">
        <v>129</v>
      </c>
      <c r="G311" s="4" t="s">
        <v>272</v>
      </c>
      <c r="H311" s="4" t="str">
        <f>IF(F311="","",VLOOKUP(F311,Productos!$A$2:$F$182,3,FALSE))</f>
        <v>5</v>
      </c>
      <c r="I311" s="4" t="str">
        <f>IF(F311="","",VLOOKUP(F311,Productos!$A$2:$F$182,4,FALSE))</f>
        <v>Construcciones y servicios de construcción</v>
      </c>
      <c r="J311" s="4">
        <f>IF(F311="","",VLOOKUP(F311,Productos!$A$2:$F$182,5,FALSE))</f>
        <v>5</v>
      </c>
      <c r="K311" s="4" t="str">
        <f>IF(F311="","",VLOOKUP(F311,Productos!$A$2:$F$182,6,FALSE))</f>
        <v>Construcción</v>
      </c>
      <c r="L311" s="4">
        <v>3</v>
      </c>
      <c r="M311" s="4" t="s">
        <v>67</v>
      </c>
      <c r="N311" s="4">
        <f>VLOOKUP(F311,Productos!$A$2:$J$182,5)</f>
        <v>5</v>
      </c>
      <c r="O311" s="4" t="str">
        <f>VLOOKUP(F311,Productos!$A$2:$J$182,6)</f>
        <v>Construcción</v>
      </c>
    </row>
    <row r="312" spans="1:15">
      <c r="A312" s="4" t="s">
        <v>506</v>
      </c>
      <c r="B312" s="4" t="s">
        <v>10</v>
      </c>
      <c r="C312" s="4" t="s">
        <v>11</v>
      </c>
      <c r="D312" s="4" t="s">
        <v>12</v>
      </c>
      <c r="E312" s="4" t="s">
        <v>11</v>
      </c>
      <c r="F312" s="5">
        <v>130</v>
      </c>
      <c r="G312" s="4" t="s">
        <v>274</v>
      </c>
      <c r="H312" s="4" t="str">
        <f>IF(F312="","",VLOOKUP(F312,Productos!$A$2:$F$182,3,FALSE))</f>
        <v>5</v>
      </c>
      <c r="I312" s="4" t="str">
        <f>IF(F312="","",VLOOKUP(F312,Productos!$A$2:$F$182,4,FALSE))</f>
        <v>Construcciones y servicios de construcción</v>
      </c>
      <c r="J312" s="4">
        <f>IF(F312="","",VLOOKUP(F312,Productos!$A$2:$F$182,5,FALSE))</f>
        <v>5</v>
      </c>
      <c r="K312" s="4" t="str">
        <f>IF(F312="","",VLOOKUP(F312,Productos!$A$2:$F$182,6,FALSE))</f>
        <v>Construcción</v>
      </c>
      <c r="L312" s="4">
        <v>3</v>
      </c>
      <c r="M312" s="4" t="s">
        <v>67</v>
      </c>
      <c r="N312" s="4">
        <f>VLOOKUP(F312,Productos!$A$2:$J$182,5)</f>
        <v>5</v>
      </c>
      <c r="O312" s="4" t="str">
        <f>VLOOKUP(F312,Productos!$A$2:$J$182,6)</f>
        <v>Construcción</v>
      </c>
    </row>
    <row r="313" spans="1:15">
      <c r="A313" s="4" t="s">
        <v>507</v>
      </c>
      <c r="B313" s="4" t="s">
        <v>10</v>
      </c>
      <c r="C313" s="4" t="s">
        <v>11</v>
      </c>
      <c r="D313" s="4" t="s">
        <v>12</v>
      </c>
      <c r="E313" s="4" t="s">
        <v>11</v>
      </c>
      <c r="F313" s="5">
        <v>131</v>
      </c>
      <c r="G313" s="4" t="s">
        <v>276</v>
      </c>
      <c r="H313" s="4" t="str">
        <f>IF(F313="","",VLOOKUP(F313,Productos!$A$2:$F$182,3,FALSE))</f>
        <v>5</v>
      </c>
      <c r="I313" s="4" t="str">
        <f>IF(F313="","",VLOOKUP(F313,Productos!$A$2:$F$182,4,FALSE))</f>
        <v>Construcciones y servicios de construcción</v>
      </c>
      <c r="J313" s="4">
        <f>IF(F313="","",VLOOKUP(F313,Productos!$A$2:$F$182,5,FALSE))</f>
        <v>5</v>
      </c>
      <c r="K313" s="4" t="str">
        <f>IF(F313="","",VLOOKUP(F313,Productos!$A$2:$F$182,6,FALSE))</f>
        <v>Construcción</v>
      </c>
      <c r="L313" s="4">
        <v>3</v>
      </c>
      <c r="M313" s="4" t="s">
        <v>67</v>
      </c>
      <c r="N313" s="4">
        <f>VLOOKUP(F313,Productos!$A$2:$J$182,5)</f>
        <v>5</v>
      </c>
      <c r="O313" s="4" t="str">
        <f>VLOOKUP(F313,Productos!$A$2:$J$182,6)</f>
        <v>Construcción</v>
      </c>
    </row>
    <row r="314" spans="1:15">
      <c r="A314" s="4" t="s">
        <v>508</v>
      </c>
      <c r="B314" s="4" t="s">
        <v>10</v>
      </c>
      <c r="C314" s="4" t="s">
        <v>11</v>
      </c>
      <c r="D314" s="4" t="s">
        <v>12</v>
      </c>
      <c r="E314" s="4" t="s">
        <v>11</v>
      </c>
      <c r="F314" s="5">
        <v>132</v>
      </c>
      <c r="G314" s="4" t="s">
        <v>278</v>
      </c>
      <c r="H314" s="4" t="str">
        <f>IF(F314="","",VLOOKUP(F314,Productos!$A$2:$F$182,3,FALSE))</f>
        <v>6</v>
      </c>
      <c r="I314" s="4" t="str">
        <f>IF(F314="","",VLOOKUP(F314,Productos!$A$2:$F$182,4,FALSE))</f>
        <v>Servicios comerciales de distribución; alojamiento, servicios de suministro de comidas y bebidas; servicios de transporte; y servicios de distribución de electricidad, gas y agua</v>
      </c>
      <c r="J314" s="4">
        <f>IF(F314="","",VLOOKUP(F314,Productos!$A$2:$F$182,5,FALSE))</f>
        <v>6</v>
      </c>
      <c r="K314" s="4" t="str">
        <f>IF(F314="","",VLOOKUP(F314,Productos!$A$2:$F$182,6,FALSE))</f>
        <v>Comercio</v>
      </c>
      <c r="L314" s="4">
        <v>3</v>
      </c>
      <c r="M314" s="4" t="s">
        <v>67</v>
      </c>
      <c r="N314" s="4">
        <f>VLOOKUP(F314,Productos!$A$2:$J$182,5)</f>
        <v>6</v>
      </c>
      <c r="O314" s="4" t="str">
        <f>VLOOKUP(F314,Productos!$A$2:$J$182,6)</f>
        <v>Comercio</v>
      </c>
    </row>
    <row r="315" spans="1:15">
      <c r="A315" s="4" t="s">
        <v>509</v>
      </c>
      <c r="B315" s="4" t="s">
        <v>10</v>
      </c>
      <c r="C315" s="4" t="s">
        <v>11</v>
      </c>
      <c r="D315" s="4" t="s">
        <v>12</v>
      </c>
      <c r="E315" s="4" t="s">
        <v>11</v>
      </c>
      <c r="F315" s="5">
        <v>133</v>
      </c>
      <c r="G315" s="4" t="s">
        <v>280</v>
      </c>
      <c r="H315" s="4" t="str">
        <f>IF(F315="","",VLOOKUP(F315,Productos!$A$2:$F$182,3,FALSE))</f>
        <v>6</v>
      </c>
      <c r="I315" s="4" t="str">
        <f>IF(F315="","",VLOOKUP(F315,Productos!$A$2:$F$182,4,FALSE))</f>
        <v>Servicios comerciales de distribución; alojamiento, servicios de suministro de comidas y bebidas; servicios de transporte; y servicios de distribución de electricidad, gas y agua</v>
      </c>
      <c r="J315" s="4">
        <f>IF(F315="","",VLOOKUP(F315,Productos!$A$2:$F$182,5,FALSE))</f>
        <v>6</v>
      </c>
      <c r="K315" s="4" t="str">
        <f>IF(F315="","",VLOOKUP(F315,Productos!$A$2:$F$182,6,FALSE))</f>
        <v>Comercio</v>
      </c>
      <c r="L315" s="4">
        <v>3</v>
      </c>
      <c r="M315" s="4" t="s">
        <v>67</v>
      </c>
      <c r="N315" s="4">
        <f>VLOOKUP(F315,Productos!$A$2:$J$182,5)</f>
        <v>6</v>
      </c>
      <c r="O315" s="4" t="str">
        <f>VLOOKUP(F315,Productos!$A$2:$J$182,6)</f>
        <v>Comercio</v>
      </c>
    </row>
    <row r="316" spans="1:15">
      <c r="A316" s="4" t="s">
        <v>510</v>
      </c>
      <c r="B316" s="4" t="s">
        <v>10</v>
      </c>
      <c r="C316" s="4" t="s">
        <v>11</v>
      </c>
      <c r="D316" s="4" t="s">
        <v>12</v>
      </c>
      <c r="E316" s="4" t="s">
        <v>11</v>
      </c>
      <c r="F316" s="5">
        <v>134</v>
      </c>
      <c r="G316" s="4" t="s">
        <v>282</v>
      </c>
      <c r="H316" s="4" t="str">
        <f>IF(F316="","",VLOOKUP(F316,Productos!$A$2:$F$182,3,FALSE))</f>
        <v>6</v>
      </c>
      <c r="I316" s="4" t="str">
        <f>IF(F316="","",VLOOKUP(F316,Productos!$A$2:$F$182,4,FALSE))</f>
        <v>Servicios comerciales de distribución; alojamiento, servicios de suministro de comidas y bebidas; servicios de transporte; y servicios de distribución de electricidad, gas y agua</v>
      </c>
      <c r="J316" s="4">
        <f>IF(F316="","",VLOOKUP(F316,Productos!$A$2:$F$182,5,FALSE))</f>
        <v>6</v>
      </c>
      <c r="K316" s="4" t="str">
        <f>IF(F316="","",VLOOKUP(F316,Productos!$A$2:$F$182,6,FALSE))</f>
        <v>Comercio</v>
      </c>
      <c r="L316" s="4">
        <v>3</v>
      </c>
      <c r="M316" s="4" t="s">
        <v>67</v>
      </c>
      <c r="N316" s="4">
        <f>VLOOKUP(F316,Productos!$A$2:$J$182,5)</f>
        <v>6</v>
      </c>
      <c r="O316" s="4" t="str">
        <f>VLOOKUP(F316,Productos!$A$2:$J$182,6)</f>
        <v>Comercio</v>
      </c>
    </row>
    <row r="317" spans="1:15">
      <c r="A317" s="4" t="s">
        <v>511</v>
      </c>
      <c r="B317" s="4" t="s">
        <v>10</v>
      </c>
      <c r="C317" s="4" t="s">
        <v>11</v>
      </c>
      <c r="D317" s="4" t="s">
        <v>12</v>
      </c>
      <c r="E317" s="4" t="s">
        <v>11</v>
      </c>
      <c r="F317" s="5">
        <v>135</v>
      </c>
      <c r="G317" s="4" t="s">
        <v>284</v>
      </c>
      <c r="H317" s="4" t="str">
        <f>IF(F317="","",VLOOKUP(F317,Productos!$A$2:$F$182,3,FALSE))</f>
        <v>6</v>
      </c>
      <c r="I317" s="4" t="str">
        <f>IF(F317="","",VLOOKUP(F317,Productos!$A$2:$F$182,4,FALSE))</f>
        <v>Servicios comerciales de distribución; alojamiento, servicios de suministro de comidas y bebidas; servicios de transporte; y servicios de distribución de electricidad, gas y agua</v>
      </c>
      <c r="J317" s="4">
        <f>IF(F317="","",VLOOKUP(F317,Productos!$A$2:$F$182,5,FALSE))</f>
        <v>6</v>
      </c>
      <c r="K317" s="4" t="str">
        <f>IF(F317="","",VLOOKUP(F317,Productos!$A$2:$F$182,6,FALSE))</f>
        <v>Comercio</v>
      </c>
      <c r="L317" s="4">
        <v>3</v>
      </c>
      <c r="M317" s="4" t="s">
        <v>67</v>
      </c>
      <c r="N317" s="4">
        <f>VLOOKUP(F317,Productos!$A$2:$J$182,5)</f>
        <v>6</v>
      </c>
      <c r="O317" s="4" t="str">
        <f>VLOOKUP(F317,Productos!$A$2:$J$182,6)</f>
        <v>Comercio</v>
      </c>
    </row>
    <row r="318" spans="1:15">
      <c r="A318" s="4" t="s">
        <v>512</v>
      </c>
      <c r="B318" s="4" t="s">
        <v>10</v>
      </c>
      <c r="C318" s="4" t="s">
        <v>11</v>
      </c>
      <c r="D318" s="4" t="s">
        <v>12</v>
      </c>
      <c r="E318" s="4" t="s">
        <v>11</v>
      </c>
      <c r="F318" s="5">
        <v>136</v>
      </c>
      <c r="G318" s="4" t="s">
        <v>286</v>
      </c>
      <c r="H318" s="4" t="str">
        <f>IF(F318="","",VLOOKUP(F318,Productos!$A$2:$F$182,3,FALSE))</f>
        <v>6</v>
      </c>
      <c r="I318" s="4" t="str">
        <f>IF(F318="","",VLOOKUP(F318,Productos!$A$2:$F$182,4,FALSE))</f>
        <v>Servicios comerciales de distribución; alojamiento, servicios de suministro de comidas y bebidas; servicios de transporte; y servicios de distribución de electricidad, gas y agua</v>
      </c>
      <c r="J318" s="4">
        <f>IF(F318="","",VLOOKUP(F318,Productos!$A$2:$F$182,5,FALSE))</f>
        <v>7</v>
      </c>
      <c r="K318" s="4" t="str">
        <f>IF(F318="","",VLOOKUP(F318,Productos!$A$2:$F$182,6,FALSE))</f>
        <v>Otros servicios</v>
      </c>
      <c r="L318" s="4">
        <v>3</v>
      </c>
      <c r="M318" s="4" t="s">
        <v>67</v>
      </c>
      <c r="N318" s="4">
        <f>VLOOKUP(F318,Productos!$A$2:$J$182,5)</f>
        <v>7</v>
      </c>
      <c r="O318" s="4" t="str">
        <f>VLOOKUP(F318,Productos!$A$2:$J$182,6)</f>
        <v>Otros servicios</v>
      </c>
    </row>
    <row r="319" spans="1:15">
      <c r="A319" s="4" t="s">
        <v>513</v>
      </c>
      <c r="B319" s="4" t="s">
        <v>10</v>
      </c>
      <c r="C319" s="4" t="s">
        <v>11</v>
      </c>
      <c r="D319" s="4" t="s">
        <v>12</v>
      </c>
      <c r="E319" s="4" t="s">
        <v>11</v>
      </c>
      <c r="F319" s="5">
        <v>137</v>
      </c>
      <c r="G319" s="4" t="s">
        <v>288</v>
      </c>
      <c r="H319" s="4" t="str">
        <f>IF(F319="","",VLOOKUP(F319,Productos!$A$2:$F$182,3,FALSE))</f>
        <v>6</v>
      </c>
      <c r="I319" s="4" t="str">
        <f>IF(F319="","",VLOOKUP(F319,Productos!$A$2:$F$182,4,FALSE))</f>
        <v>Servicios comerciales de distribución; alojamiento, servicios de suministro de comidas y bebidas; servicios de transporte; y servicios de distribución de electricidad, gas y agua</v>
      </c>
      <c r="J319" s="4">
        <f>IF(F319="","",VLOOKUP(F319,Productos!$A$2:$F$182,5,FALSE))</f>
        <v>7</v>
      </c>
      <c r="K319" s="4" t="str">
        <f>IF(F319="","",VLOOKUP(F319,Productos!$A$2:$F$182,6,FALSE))</f>
        <v>Otros servicios</v>
      </c>
      <c r="L319" s="4">
        <v>3</v>
      </c>
      <c r="M319" s="4" t="s">
        <v>67</v>
      </c>
      <c r="N319" s="4">
        <f>VLOOKUP(F319,Productos!$A$2:$J$182,5)</f>
        <v>7</v>
      </c>
      <c r="O319" s="4" t="str">
        <f>VLOOKUP(F319,Productos!$A$2:$J$182,6)</f>
        <v>Otros servicios</v>
      </c>
    </row>
    <row r="320" spans="1:15">
      <c r="A320" s="4" t="s">
        <v>514</v>
      </c>
      <c r="B320" s="4" t="s">
        <v>10</v>
      </c>
      <c r="C320" s="4" t="s">
        <v>11</v>
      </c>
      <c r="D320" s="4" t="s">
        <v>12</v>
      </c>
      <c r="E320" s="4" t="s">
        <v>11</v>
      </c>
      <c r="F320" s="5">
        <v>138</v>
      </c>
      <c r="G320" s="4" t="s">
        <v>290</v>
      </c>
      <c r="H320" s="4" t="str">
        <f>IF(F320="","",VLOOKUP(F320,Productos!$A$2:$F$182,3,FALSE))</f>
        <v>6</v>
      </c>
      <c r="I320" s="4" t="str">
        <f>IF(F320="","",VLOOKUP(F320,Productos!$A$2:$F$182,4,FALSE))</f>
        <v>Servicios comerciales de distribución; alojamiento, servicios de suministro de comidas y bebidas; servicios de transporte; y servicios de distribución de electricidad, gas y agua</v>
      </c>
      <c r="J320" s="4">
        <f>IF(F320="","",VLOOKUP(F320,Productos!$A$2:$F$182,5,FALSE))</f>
        <v>7</v>
      </c>
      <c r="K320" s="4" t="str">
        <f>IF(F320="","",VLOOKUP(F320,Productos!$A$2:$F$182,6,FALSE))</f>
        <v>Otros servicios</v>
      </c>
      <c r="L320" s="4">
        <v>2</v>
      </c>
      <c r="M320" s="4" t="s">
        <v>142</v>
      </c>
      <c r="N320" s="4">
        <f>VLOOKUP(F320,Productos!$A$2:$J$182,5)</f>
        <v>7</v>
      </c>
      <c r="O320" s="4" t="str">
        <f>VLOOKUP(F320,Productos!$A$2:$J$182,6)</f>
        <v>Otros servicios</v>
      </c>
    </row>
    <row r="321" spans="1:15">
      <c r="A321" s="4" t="s">
        <v>515</v>
      </c>
      <c r="B321" s="4" t="s">
        <v>10</v>
      </c>
      <c r="C321" s="4" t="s">
        <v>11</v>
      </c>
      <c r="D321" s="4" t="s">
        <v>12</v>
      </c>
      <c r="E321" s="4" t="s">
        <v>11</v>
      </c>
      <c r="F321" s="5">
        <v>139</v>
      </c>
      <c r="G321" s="4" t="s">
        <v>292</v>
      </c>
      <c r="H321" s="4" t="str">
        <f>IF(F321="","",VLOOKUP(F321,Productos!$A$2:$F$182,3,FALSE))</f>
        <v>6</v>
      </c>
      <c r="I321" s="4" t="str">
        <f>IF(F321="","",VLOOKUP(F321,Productos!$A$2:$F$182,4,FALSE))</f>
        <v>Servicios comerciales de distribución; alojamiento, servicios de suministro de comidas y bebidas; servicios de transporte; y servicios de distribución de electricidad, gas y agua</v>
      </c>
      <c r="J321" s="4">
        <f>IF(F321="","",VLOOKUP(F321,Productos!$A$2:$F$182,5,FALSE))</f>
        <v>7</v>
      </c>
      <c r="K321" s="4" t="str">
        <f>IF(F321="","",VLOOKUP(F321,Productos!$A$2:$F$182,6,FALSE))</f>
        <v>Otros servicios</v>
      </c>
      <c r="L321" s="4">
        <v>3</v>
      </c>
      <c r="M321" s="4" t="s">
        <v>67</v>
      </c>
      <c r="N321" s="4">
        <f>VLOOKUP(F321,Productos!$A$2:$J$182,5)</f>
        <v>7</v>
      </c>
      <c r="O321" s="4" t="str">
        <f>VLOOKUP(F321,Productos!$A$2:$J$182,6)</f>
        <v>Otros servicios</v>
      </c>
    </row>
    <row r="322" spans="1:15">
      <c r="A322" s="4" t="s">
        <v>516</v>
      </c>
      <c r="B322" s="4" t="s">
        <v>10</v>
      </c>
      <c r="C322" s="4" t="s">
        <v>11</v>
      </c>
      <c r="D322" s="4" t="s">
        <v>12</v>
      </c>
      <c r="E322" s="4" t="s">
        <v>11</v>
      </c>
      <c r="F322" s="5">
        <v>140</v>
      </c>
      <c r="G322" s="4" t="s">
        <v>294</v>
      </c>
      <c r="H322" s="4" t="str">
        <f>IF(F322="","",VLOOKUP(F322,Productos!$A$2:$F$182,3,FALSE))</f>
        <v>6</v>
      </c>
      <c r="I322" s="4" t="str">
        <f>IF(F322="","",VLOOKUP(F322,Productos!$A$2:$F$182,4,FALSE))</f>
        <v>Servicios comerciales de distribución; alojamiento, servicios de suministro de comidas y bebidas; servicios de transporte; y servicios de distribución de electricidad, gas y agua</v>
      </c>
      <c r="J322" s="4">
        <f>IF(F322="","",VLOOKUP(F322,Productos!$A$2:$F$182,5,FALSE))</f>
        <v>7</v>
      </c>
      <c r="K322" s="4" t="str">
        <f>IF(F322="","",VLOOKUP(F322,Productos!$A$2:$F$182,6,FALSE))</f>
        <v>Otros servicios</v>
      </c>
      <c r="L322" s="4">
        <v>3</v>
      </c>
      <c r="M322" s="4" t="s">
        <v>67</v>
      </c>
      <c r="N322" s="4">
        <f>VLOOKUP(F322,Productos!$A$2:$J$182,5)</f>
        <v>7</v>
      </c>
      <c r="O322" s="4" t="str">
        <f>VLOOKUP(F322,Productos!$A$2:$J$182,6)</f>
        <v>Otros servicios</v>
      </c>
    </row>
    <row r="323" spans="1:15">
      <c r="A323" s="4" t="s">
        <v>517</v>
      </c>
      <c r="B323" s="4" t="s">
        <v>10</v>
      </c>
      <c r="C323" s="4" t="s">
        <v>11</v>
      </c>
      <c r="D323" s="4" t="s">
        <v>12</v>
      </c>
      <c r="E323" s="4" t="s">
        <v>11</v>
      </c>
      <c r="F323" s="5">
        <v>141</v>
      </c>
      <c r="G323" s="4" t="s">
        <v>296</v>
      </c>
      <c r="H323" s="4" t="str">
        <f>IF(F323="","",VLOOKUP(F323,Productos!$A$2:$F$182,3,FALSE))</f>
        <v>6</v>
      </c>
      <c r="I323" s="4" t="str">
        <f>IF(F323="","",VLOOKUP(F323,Productos!$A$2:$F$182,4,FALSE))</f>
        <v>Servicios comerciales de distribución; alojamiento, servicios de suministro de comidas y bebidas; servicios de transporte; y servicios de distribución de electricidad, gas y agua</v>
      </c>
      <c r="J323" s="4">
        <f>IF(F323="","",VLOOKUP(F323,Productos!$A$2:$F$182,5,FALSE))</f>
        <v>7</v>
      </c>
      <c r="K323" s="4" t="str">
        <f>IF(F323="","",VLOOKUP(F323,Productos!$A$2:$F$182,6,FALSE))</f>
        <v>Otros servicios</v>
      </c>
      <c r="L323" s="4">
        <v>3</v>
      </c>
      <c r="M323" s="4" t="s">
        <v>67</v>
      </c>
      <c r="N323" s="4">
        <f>VLOOKUP(F323,Productos!$A$2:$J$182,5)</f>
        <v>7</v>
      </c>
      <c r="O323" s="4" t="str">
        <f>VLOOKUP(F323,Productos!$A$2:$J$182,6)</f>
        <v>Otros servicios</v>
      </c>
    </row>
    <row r="324" spans="1:15">
      <c r="A324" s="4" t="s">
        <v>518</v>
      </c>
      <c r="B324" s="4" t="s">
        <v>10</v>
      </c>
      <c r="C324" s="4" t="s">
        <v>11</v>
      </c>
      <c r="D324" s="4" t="s">
        <v>12</v>
      </c>
      <c r="E324" s="4" t="s">
        <v>11</v>
      </c>
      <c r="F324" s="5">
        <v>142</v>
      </c>
      <c r="G324" s="4" t="s">
        <v>298</v>
      </c>
      <c r="H324" s="4" t="str">
        <f>IF(F324="","",VLOOKUP(F324,Productos!$A$2:$F$182,3,FALSE))</f>
        <v>6</v>
      </c>
      <c r="I324" s="4" t="str">
        <f>IF(F324="","",VLOOKUP(F324,Productos!$A$2:$F$182,4,FALSE))</f>
        <v>Servicios comerciales de distribución; alojamiento, servicios de suministro de comidas y bebidas; servicios de transporte; y servicios de distribución de electricidad, gas y agua</v>
      </c>
      <c r="J324" s="4">
        <f>IF(F324="","",VLOOKUP(F324,Productos!$A$2:$F$182,5,FALSE))</f>
        <v>7</v>
      </c>
      <c r="K324" s="4" t="str">
        <f>IF(F324="","",VLOOKUP(F324,Productos!$A$2:$F$182,6,FALSE))</f>
        <v>Otros servicios</v>
      </c>
      <c r="L324" s="4">
        <v>3</v>
      </c>
      <c r="M324" s="4" t="s">
        <v>67</v>
      </c>
      <c r="N324" s="4">
        <f>VLOOKUP(F324,Productos!$A$2:$J$182,5)</f>
        <v>7</v>
      </c>
      <c r="O324" s="4" t="str">
        <f>VLOOKUP(F324,Productos!$A$2:$J$182,6)</f>
        <v>Otros servicios</v>
      </c>
    </row>
    <row r="325" spans="1:15">
      <c r="A325" s="4" t="s">
        <v>519</v>
      </c>
      <c r="B325" s="4" t="s">
        <v>10</v>
      </c>
      <c r="C325" s="4" t="s">
        <v>11</v>
      </c>
      <c r="D325" s="4" t="s">
        <v>12</v>
      </c>
      <c r="E325" s="4" t="s">
        <v>11</v>
      </c>
      <c r="F325" s="5">
        <v>143</v>
      </c>
      <c r="G325" s="4" t="s">
        <v>300</v>
      </c>
      <c r="H325" s="4" t="str">
        <f>IF(F325="","",VLOOKUP(F325,Productos!$A$2:$F$182,3,FALSE))</f>
        <v>6</v>
      </c>
      <c r="I325" s="4" t="str">
        <f>IF(F325="","",VLOOKUP(F325,Productos!$A$2:$F$182,4,FALSE))</f>
        <v>Servicios comerciales de distribución; alojamiento, servicios de suministro de comidas y bebidas; servicios de transporte; y servicios de distribución de electricidad, gas y agua</v>
      </c>
      <c r="J325" s="4">
        <f>IF(F325="","",VLOOKUP(F325,Productos!$A$2:$F$182,5,FALSE))</f>
        <v>7</v>
      </c>
      <c r="K325" s="4" t="str">
        <f>IF(F325="","",VLOOKUP(F325,Productos!$A$2:$F$182,6,FALSE))</f>
        <v>Otros servicios</v>
      </c>
      <c r="L325" s="4">
        <v>3</v>
      </c>
      <c r="M325" s="4" t="s">
        <v>67</v>
      </c>
      <c r="N325" s="4">
        <f>VLOOKUP(F325,Productos!$A$2:$J$182,5)</f>
        <v>7</v>
      </c>
      <c r="O325" s="4" t="str">
        <f>VLOOKUP(F325,Productos!$A$2:$J$182,6)</f>
        <v>Otros servicios</v>
      </c>
    </row>
    <row r="326" spans="1:15">
      <c r="A326" s="4" t="s">
        <v>520</v>
      </c>
      <c r="B326" s="4" t="s">
        <v>10</v>
      </c>
      <c r="C326" s="4" t="s">
        <v>11</v>
      </c>
      <c r="D326" s="4" t="s">
        <v>12</v>
      </c>
      <c r="E326" s="4" t="s">
        <v>11</v>
      </c>
      <c r="F326" s="5">
        <v>144</v>
      </c>
      <c r="G326" s="4" t="s">
        <v>302</v>
      </c>
      <c r="H326" s="4" t="str">
        <f>IF(F326="","",VLOOKUP(F326,Productos!$A$2:$F$182,3,FALSE))</f>
        <v>6</v>
      </c>
      <c r="I326" s="4" t="str">
        <f>IF(F326="","",VLOOKUP(F326,Productos!$A$2:$F$182,4,FALSE))</f>
        <v>Servicios comerciales de distribución; alojamiento, servicios de suministro de comidas y bebidas; servicios de transporte; y servicios de distribución de electricidad, gas y agua</v>
      </c>
      <c r="J326" s="4">
        <f>IF(F326="","",VLOOKUP(F326,Productos!$A$2:$F$182,5,FALSE))</f>
        <v>7</v>
      </c>
      <c r="K326" s="4" t="str">
        <f>IF(F326="","",VLOOKUP(F326,Productos!$A$2:$F$182,6,FALSE))</f>
        <v>Otros servicios</v>
      </c>
      <c r="L326" s="4">
        <v>3</v>
      </c>
      <c r="M326" s="4" t="s">
        <v>67</v>
      </c>
      <c r="N326" s="4">
        <f>VLOOKUP(F326,Productos!$A$2:$J$182,5)</f>
        <v>7</v>
      </c>
      <c r="O326" s="4" t="str">
        <f>VLOOKUP(F326,Productos!$A$2:$J$182,6)</f>
        <v>Otros servicios</v>
      </c>
    </row>
    <row r="327" spans="1:15">
      <c r="A327" s="4" t="s">
        <v>521</v>
      </c>
      <c r="B327" s="4" t="s">
        <v>10</v>
      </c>
      <c r="C327" s="4" t="s">
        <v>11</v>
      </c>
      <c r="D327" s="4" t="s">
        <v>12</v>
      </c>
      <c r="E327" s="4" t="s">
        <v>11</v>
      </c>
      <c r="F327" s="5">
        <v>145</v>
      </c>
      <c r="G327" s="4" t="s">
        <v>304</v>
      </c>
      <c r="H327" s="4" t="str">
        <f>IF(F327="","",VLOOKUP(F327,Productos!$A$2:$F$182,3,FALSE))</f>
        <v>6</v>
      </c>
      <c r="I327" s="4" t="str">
        <f>IF(F327="","",VLOOKUP(F327,Productos!$A$2:$F$182,4,FALSE))</f>
        <v>Servicios comerciales de distribución; alojamiento, servicios de suministro de comidas y bebidas; servicios de transporte; y servicios de distribución de electricidad, gas y agua</v>
      </c>
      <c r="J327" s="4">
        <f>IF(F327="","",VLOOKUP(F327,Productos!$A$2:$F$182,5,FALSE))</f>
        <v>7</v>
      </c>
      <c r="K327" s="4" t="str">
        <f>IF(F327="","",VLOOKUP(F327,Productos!$A$2:$F$182,6,FALSE))</f>
        <v>Otros servicios</v>
      </c>
      <c r="L327" s="4">
        <v>3</v>
      </c>
      <c r="M327" s="4" t="s">
        <v>67</v>
      </c>
      <c r="N327" s="4">
        <f>VLOOKUP(F327,Productos!$A$2:$J$182,5)</f>
        <v>7</v>
      </c>
      <c r="O327" s="4" t="str">
        <f>VLOOKUP(F327,Productos!$A$2:$J$182,6)</f>
        <v>Otros servicios</v>
      </c>
    </row>
    <row r="328" spans="1:15">
      <c r="A328" s="4" t="s">
        <v>522</v>
      </c>
      <c r="B328" s="4" t="s">
        <v>10</v>
      </c>
      <c r="C328" s="4" t="s">
        <v>11</v>
      </c>
      <c r="D328" s="4" t="s">
        <v>12</v>
      </c>
      <c r="E328" s="4" t="s">
        <v>11</v>
      </c>
      <c r="F328" s="5">
        <v>146</v>
      </c>
      <c r="G328" s="4" t="s">
        <v>306</v>
      </c>
      <c r="H328" s="4" t="str">
        <f>IF(F328="","",VLOOKUP(F328,Productos!$A$2:$F$182,3,FALSE))</f>
        <v>6</v>
      </c>
      <c r="I328" s="4" t="str">
        <f>IF(F328="","",VLOOKUP(F328,Productos!$A$2:$F$182,4,FALSE))</f>
        <v>Servicios comerciales de distribución; alojamiento, servicios de suministro de comidas y bebidas; servicios de transporte; y servicios de distribución de electricidad, gas y agua</v>
      </c>
      <c r="J328" s="4">
        <f>IF(F328="","",VLOOKUP(F328,Productos!$A$2:$F$182,5,FALSE))</f>
        <v>7</v>
      </c>
      <c r="K328" s="4" t="str">
        <f>IF(F328="","",VLOOKUP(F328,Productos!$A$2:$F$182,6,FALSE))</f>
        <v>Otros servicios</v>
      </c>
      <c r="L328" s="4">
        <v>3</v>
      </c>
      <c r="M328" s="4" t="s">
        <v>67</v>
      </c>
      <c r="N328" s="4">
        <f>VLOOKUP(F328,Productos!$A$2:$J$182,5)</f>
        <v>7</v>
      </c>
      <c r="O328" s="4" t="str">
        <f>VLOOKUP(F328,Productos!$A$2:$J$182,6)</f>
        <v>Otros servicios</v>
      </c>
    </row>
    <row r="329" spans="1:15">
      <c r="A329" s="4" t="s">
        <v>523</v>
      </c>
      <c r="B329" s="4" t="s">
        <v>10</v>
      </c>
      <c r="C329" s="4" t="s">
        <v>11</v>
      </c>
      <c r="D329" s="4" t="s">
        <v>12</v>
      </c>
      <c r="E329" s="4" t="s">
        <v>11</v>
      </c>
      <c r="F329" s="5">
        <v>147</v>
      </c>
      <c r="G329" s="4" t="s">
        <v>308</v>
      </c>
      <c r="H329" s="4" t="str">
        <f>IF(F329="","",VLOOKUP(F329,Productos!$A$2:$F$182,3,FALSE))</f>
        <v>6</v>
      </c>
      <c r="I329" s="4" t="str">
        <f>IF(F329="","",VLOOKUP(F329,Productos!$A$2:$F$182,4,FALSE))</f>
        <v>Servicios comerciales de distribución; alojamiento, servicios de suministro de comidas y bebidas; servicios de transporte; y servicios de distribución de electricidad, gas y agua</v>
      </c>
      <c r="J329" s="4">
        <f>IF(F329="","",VLOOKUP(F329,Productos!$A$2:$F$182,5,FALSE))</f>
        <v>7</v>
      </c>
      <c r="K329" s="4" t="str">
        <f>IF(F329="","",VLOOKUP(F329,Productos!$A$2:$F$182,6,FALSE))</f>
        <v>Otros servicios</v>
      </c>
      <c r="L329" s="4">
        <v>3</v>
      </c>
      <c r="M329" s="4" t="s">
        <v>67</v>
      </c>
      <c r="N329" s="4">
        <f>VLOOKUP(F329,Productos!$A$2:$J$182,5)</f>
        <v>7</v>
      </c>
      <c r="O329" s="4" t="str">
        <f>VLOOKUP(F329,Productos!$A$2:$J$182,6)</f>
        <v>Otros servicios</v>
      </c>
    </row>
    <row r="330" spans="1:15">
      <c r="A330" s="4" t="s">
        <v>524</v>
      </c>
      <c r="B330" s="4" t="s">
        <v>10</v>
      </c>
      <c r="C330" s="4" t="s">
        <v>11</v>
      </c>
      <c r="D330" s="4" t="s">
        <v>12</v>
      </c>
      <c r="E330" s="4" t="s">
        <v>11</v>
      </c>
      <c r="F330" s="5">
        <v>148</v>
      </c>
      <c r="G330" s="4" t="s">
        <v>310</v>
      </c>
      <c r="H330" s="4" t="str">
        <f>IF(F330="","",VLOOKUP(F330,Productos!$A$2:$F$182,3,FALSE))</f>
        <v>6</v>
      </c>
      <c r="I330" s="4" t="str">
        <f>IF(F330="","",VLOOKUP(F330,Productos!$A$2:$F$182,4,FALSE))</f>
        <v>Servicios comerciales de distribución; alojamiento, servicios de suministro de comidas y bebidas; servicios de transporte; y servicios de distribución de electricidad, gas y agua</v>
      </c>
      <c r="J330" s="4">
        <f>IF(F330="","",VLOOKUP(F330,Productos!$A$2:$F$182,5,FALSE))</f>
        <v>7</v>
      </c>
      <c r="K330" s="4" t="str">
        <f>IF(F330="","",VLOOKUP(F330,Productos!$A$2:$F$182,6,FALSE))</f>
        <v>Otros servicios</v>
      </c>
      <c r="L330" s="4">
        <v>3</v>
      </c>
      <c r="M330" s="4" t="s">
        <v>67</v>
      </c>
      <c r="N330" s="4">
        <f>VLOOKUP(F330,Productos!$A$2:$J$182,5)</f>
        <v>7</v>
      </c>
      <c r="O330" s="4" t="str">
        <f>VLOOKUP(F330,Productos!$A$2:$J$182,6)</f>
        <v>Otros servicios</v>
      </c>
    </row>
    <row r="331" spans="1:15">
      <c r="A331" s="4" t="s">
        <v>525</v>
      </c>
      <c r="B331" s="4" t="s">
        <v>10</v>
      </c>
      <c r="C331" s="4" t="s">
        <v>11</v>
      </c>
      <c r="D331" s="4" t="s">
        <v>12</v>
      </c>
      <c r="E331" s="4" t="s">
        <v>11</v>
      </c>
      <c r="F331" s="5">
        <v>149</v>
      </c>
      <c r="G331" s="4" t="s">
        <v>312</v>
      </c>
      <c r="H331" s="4" t="str">
        <f>IF(F331="","",VLOOKUP(F331,Productos!$A$2:$F$182,3,FALSE))</f>
        <v>6</v>
      </c>
      <c r="I331" s="4" t="str">
        <f>IF(F331="","",VLOOKUP(F331,Productos!$A$2:$F$182,4,FALSE))</f>
        <v>Servicios comerciales de distribución; alojamiento, servicios de suministro de comidas y bebidas; servicios de transporte; y servicios de distribución de electricidad, gas y agua</v>
      </c>
      <c r="J331" s="4">
        <f>IF(F331="","",VLOOKUP(F331,Productos!$A$2:$F$182,5,FALSE))</f>
        <v>7</v>
      </c>
      <c r="K331" s="4" t="str">
        <f>IF(F331="","",VLOOKUP(F331,Productos!$A$2:$F$182,6,FALSE))</f>
        <v>Otros servicios</v>
      </c>
      <c r="L331" s="4">
        <v>3</v>
      </c>
      <c r="M331" s="4" t="s">
        <v>67</v>
      </c>
      <c r="N331" s="4">
        <f>VLOOKUP(F331,Productos!$A$2:$J$182,5)</f>
        <v>7</v>
      </c>
      <c r="O331" s="4" t="str">
        <f>VLOOKUP(F331,Productos!$A$2:$J$182,6)</f>
        <v>Otros servicios</v>
      </c>
    </row>
    <row r="332" spans="1:15">
      <c r="A332" s="4" t="s">
        <v>526</v>
      </c>
      <c r="B332" s="4" t="s">
        <v>10</v>
      </c>
      <c r="C332" s="4" t="s">
        <v>11</v>
      </c>
      <c r="D332" s="4" t="s">
        <v>12</v>
      </c>
      <c r="E332" s="4" t="s">
        <v>11</v>
      </c>
      <c r="F332" s="5">
        <v>150</v>
      </c>
      <c r="G332" s="4" t="s">
        <v>314</v>
      </c>
      <c r="H332" s="4" t="str">
        <f>IF(F332="","",VLOOKUP(F332,Productos!$A$2:$F$182,3,FALSE))</f>
        <v>6</v>
      </c>
      <c r="I332" s="4" t="str">
        <f>IF(F332="","",VLOOKUP(F332,Productos!$A$2:$F$182,4,FALSE))</f>
        <v>Servicios comerciales de distribución; alojamiento, servicios de suministro de comidas y bebidas; servicios de transporte; y servicios de distribución de electricidad, gas y agua</v>
      </c>
      <c r="J332" s="4">
        <f>IF(F332="","",VLOOKUP(F332,Productos!$A$2:$F$182,5,FALSE))</f>
        <v>7</v>
      </c>
      <c r="K332" s="4" t="str">
        <f>IF(F332="","",VLOOKUP(F332,Productos!$A$2:$F$182,6,FALSE))</f>
        <v>Otros servicios</v>
      </c>
      <c r="L332" s="4">
        <v>3</v>
      </c>
      <c r="M332" s="4" t="s">
        <v>67</v>
      </c>
      <c r="N332" s="4">
        <f>VLOOKUP(F332,Productos!$A$2:$J$182,5)</f>
        <v>7</v>
      </c>
      <c r="O332" s="4" t="str">
        <f>VLOOKUP(F332,Productos!$A$2:$J$182,6)</f>
        <v>Otros servicios</v>
      </c>
    </row>
    <row r="333" spans="1:15">
      <c r="A333" s="4" t="s">
        <v>527</v>
      </c>
      <c r="B333" s="4" t="s">
        <v>10</v>
      </c>
      <c r="C333" s="4" t="s">
        <v>11</v>
      </c>
      <c r="D333" s="4" t="s">
        <v>12</v>
      </c>
      <c r="E333" s="4" t="s">
        <v>11</v>
      </c>
      <c r="F333" s="5">
        <v>151</v>
      </c>
      <c r="G333" s="4" t="s">
        <v>316</v>
      </c>
      <c r="H333" s="4" t="str">
        <f>IF(F333="","",VLOOKUP(F333,Productos!$A$2:$F$182,3,FALSE))</f>
        <v>6</v>
      </c>
      <c r="I333" s="4" t="str">
        <f>IF(F333="","",VLOOKUP(F333,Productos!$A$2:$F$182,4,FALSE))</f>
        <v>Servicios comerciales de distribución; alojamiento, servicios de suministro de comidas y bebidas; servicios de transporte; y servicios de distribución de electricidad, gas y agua</v>
      </c>
      <c r="J333" s="4">
        <f>IF(F333="","",VLOOKUP(F333,Productos!$A$2:$F$182,5,FALSE))</f>
        <v>7</v>
      </c>
      <c r="K333" s="4" t="str">
        <f>IF(F333="","",VLOOKUP(F333,Productos!$A$2:$F$182,6,FALSE))</f>
        <v>Otros servicios</v>
      </c>
      <c r="L333" s="4">
        <v>3</v>
      </c>
      <c r="M333" s="4" t="s">
        <v>67</v>
      </c>
      <c r="N333" s="4">
        <f>VLOOKUP(F333,Productos!$A$2:$J$182,5)</f>
        <v>7</v>
      </c>
      <c r="O333" s="4" t="str">
        <f>VLOOKUP(F333,Productos!$A$2:$J$182,6)</f>
        <v>Otros servicios</v>
      </c>
    </row>
    <row r="334" spans="1:15">
      <c r="A334" s="4" t="s">
        <v>528</v>
      </c>
      <c r="B334" s="4" t="s">
        <v>10</v>
      </c>
      <c r="C334" s="4" t="s">
        <v>11</v>
      </c>
      <c r="D334" s="4" t="s">
        <v>12</v>
      </c>
      <c r="E334" s="4" t="s">
        <v>11</v>
      </c>
      <c r="F334" s="5">
        <v>152</v>
      </c>
      <c r="G334" s="4" t="s">
        <v>318</v>
      </c>
      <c r="H334" s="4" t="str">
        <f>IF(F334="","",VLOOKUP(F334,Productos!$A$2:$F$182,3,FALSE))</f>
        <v>6</v>
      </c>
      <c r="I334" s="4" t="str">
        <f>IF(F334="","",VLOOKUP(F334,Productos!$A$2:$F$182,4,FALSE))</f>
        <v>Servicios comerciales de distribución; alojamiento, servicios de suministro de comidas y bebidas; servicios de transporte; y servicios de distribución de electricidad, gas y agua</v>
      </c>
      <c r="J334" s="4">
        <f>IF(F334="","",VLOOKUP(F334,Productos!$A$2:$F$182,5,FALSE))</f>
        <v>7</v>
      </c>
      <c r="K334" s="4" t="str">
        <f>IF(F334="","",VLOOKUP(F334,Productos!$A$2:$F$182,6,FALSE))</f>
        <v>Otros servicios</v>
      </c>
      <c r="L334" s="4">
        <v>3</v>
      </c>
      <c r="M334" s="4" t="s">
        <v>67</v>
      </c>
      <c r="N334" s="4">
        <f>VLOOKUP(F334,Productos!$A$2:$J$182,5)</f>
        <v>7</v>
      </c>
      <c r="O334" s="4" t="str">
        <f>VLOOKUP(F334,Productos!$A$2:$J$182,6)</f>
        <v>Otros servicios</v>
      </c>
    </row>
    <row r="335" spans="1:15">
      <c r="A335" s="4" t="s">
        <v>529</v>
      </c>
      <c r="B335" s="4" t="s">
        <v>10</v>
      </c>
      <c r="C335" s="4" t="s">
        <v>11</v>
      </c>
      <c r="D335" s="4" t="s">
        <v>12</v>
      </c>
      <c r="E335" s="4" t="s">
        <v>11</v>
      </c>
      <c r="F335" s="5">
        <v>153</v>
      </c>
      <c r="G335" s="4" t="s">
        <v>320</v>
      </c>
      <c r="H335" s="4" t="str">
        <f>IF(F335="","",VLOOKUP(F335,Productos!$A$2:$F$182,3,FALSE))</f>
        <v>6</v>
      </c>
      <c r="I335" s="4" t="str">
        <f>IF(F335="","",VLOOKUP(F335,Productos!$A$2:$F$182,4,FALSE))</f>
        <v>Servicios comerciales de distribución; alojamiento, servicios de suministro de comidas y bebidas; servicios de transporte; y servicios de distribución de electricidad, gas y agua</v>
      </c>
      <c r="J335" s="4">
        <f>IF(F335="","",VLOOKUP(F335,Productos!$A$2:$F$182,5,FALSE))</f>
        <v>7</v>
      </c>
      <c r="K335" s="4" t="str">
        <f>IF(F335="","",VLOOKUP(F335,Productos!$A$2:$F$182,6,FALSE))</f>
        <v>Otros servicios</v>
      </c>
      <c r="L335" s="4">
        <v>3</v>
      </c>
      <c r="M335" s="4" t="s">
        <v>67</v>
      </c>
      <c r="N335" s="4">
        <f>VLOOKUP(F335,Productos!$A$2:$J$182,5)</f>
        <v>7</v>
      </c>
      <c r="O335" s="4" t="str">
        <f>VLOOKUP(F335,Productos!$A$2:$J$182,6)</f>
        <v>Otros servicios</v>
      </c>
    </row>
    <row r="336" spans="1:15">
      <c r="A336" s="4" t="s">
        <v>530</v>
      </c>
      <c r="B336" s="4" t="s">
        <v>10</v>
      </c>
      <c r="C336" s="4" t="s">
        <v>11</v>
      </c>
      <c r="D336" s="4" t="s">
        <v>12</v>
      </c>
      <c r="E336" s="4" t="s">
        <v>11</v>
      </c>
      <c r="F336" s="5">
        <v>154</v>
      </c>
      <c r="G336" s="4" t="s">
        <v>322</v>
      </c>
      <c r="H336" s="4" t="str">
        <f>IF(F336="","",VLOOKUP(F336,Productos!$A$2:$F$182,3,FALSE))</f>
        <v>6</v>
      </c>
      <c r="I336" s="4" t="str">
        <f>IF(F336="","",VLOOKUP(F336,Productos!$A$2:$F$182,4,FALSE))</f>
        <v>Servicios comerciales de distribución; alojamiento, servicios de suministro de comidas y bebidas; servicios de transporte; y servicios de distribución de electricidad, gas y agua</v>
      </c>
      <c r="J336" s="4">
        <f>IF(F336="","",VLOOKUP(F336,Productos!$A$2:$F$182,5,FALSE))</f>
        <v>7</v>
      </c>
      <c r="K336" s="4" t="str">
        <f>IF(F336="","",VLOOKUP(F336,Productos!$A$2:$F$182,6,FALSE))</f>
        <v>Otros servicios</v>
      </c>
      <c r="L336" s="4">
        <v>3</v>
      </c>
      <c r="M336" s="4" t="s">
        <v>67</v>
      </c>
      <c r="N336" s="4">
        <f>VLOOKUP(F336,Productos!$A$2:$J$182,5)</f>
        <v>7</v>
      </c>
      <c r="O336" s="4" t="str">
        <f>VLOOKUP(F336,Productos!$A$2:$J$182,6)</f>
        <v>Otros servicios</v>
      </c>
    </row>
    <row r="337" spans="1:15">
      <c r="A337" s="4" t="s">
        <v>531</v>
      </c>
      <c r="B337" s="4" t="s">
        <v>10</v>
      </c>
      <c r="C337" s="4" t="s">
        <v>11</v>
      </c>
      <c r="D337" s="4" t="s">
        <v>12</v>
      </c>
      <c r="E337" s="4" t="s">
        <v>11</v>
      </c>
      <c r="F337" s="5">
        <v>155</v>
      </c>
      <c r="G337" s="4" t="s">
        <v>324</v>
      </c>
      <c r="H337" s="4" t="str">
        <f>IF(F337="","",VLOOKUP(F337,Productos!$A$2:$F$182,3,FALSE))</f>
        <v>6</v>
      </c>
      <c r="I337" s="4" t="str">
        <f>IF(F337="","",VLOOKUP(F337,Productos!$A$2:$F$182,4,FALSE))</f>
        <v>Servicios comerciales de distribución; alojamiento, servicios de suministro de comidas y bebidas; servicios de transporte; y servicios de distribución de electricidad, gas y agua</v>
      </c>
      <c r="J337" s="4">
        <f>IF(F337="","",VLOOKUP(F337,Productos!$A$2:$F$182,5,FALSE))</f>
        <v>7</v>
      </c>
      <c r="K337" s="4" t="str">
        <f>IF(F337="","",VLOOKUP(F337,Productos!$A$2:$F$182,6,FALSE))</f>
        <v>Otros servicios</v>
      </c>
      <c r="L337" s="4">
        <v>3</v>
      </c>
      <c r="M337" s="4" t="s">
        <v>67</v>
      </c>
      <c r="N337" s="4">
        <f>VLOOKUP(F337,Productos!$A$2:$J$182,5)</f>
        <v>7</v>
      </c>
      <c r="O337" s="4" t="str">
        <f>VLOOKUP(F337,Productos!$A$2:$J$182,6)</f>
        <v>Otros servicios</v>
      </c>
    </row>
    <row r="338" spans="1:15">
      <c r="A338" s="4" t="s">
        <v>532</v>
      </c>
      <c r="B338" s="4" t="s">
        <v>10</v>
      </c>
      <c r="C338" s="4" t="s">
        <v>11</v>
      </c>
      <c r="D338" s="4" t="s">
        <v>12</v>
      </c>
      <c r="E338" s="4" t="s">
        <v>11</v>
      </c>
      <c r="F338" s="5">
        <v>156</v>
      </c>
      <c r="G338" s="4" t="s">
        <v>326</v>
      </c>
      <c r="H338" s="4" t="str">
        <f>IF(F338="","",VLOOKUP(F338,Productos!$A$2:$F$182,3,FALSE))</f>
        <v>6</v>
      </c>
      <c r="I338" s="4" t="str">
        <f>IF(F338="","",VLOOKUP(F338,Productos!$A$2:$F$182,4,FALSE))</f>
        <v>Servicios comerciales de distribución; alojamiento, servicios de suministro de comidas y bebidas; servicios de transporte; y servicios de distribución de electricidad, gas y agua</v>
      </c>
      <c r="J338" s="4">
        <f>IF(F338="","",VLOOKUP(F338,Productos!$A$2:$F$182,5,FALSE))</f>
        <v>7</v>
      </c>
      <c r="K338" s="4" t="str">
        <f>IF(F338="","",VLOOKUP(F338,Productos!$A$2:$F$182,6,FALSE))</f>
        <v>Otros servicios</v>
      </c>
      <c r="L338" s="4">
        <v>3</v>
      </c>
      <c r="M338" s="4" t="s">
        <v>67</v>
      </c>
      <c r="N338" s="4">
        <f>VLOOKUP(F338,Productos!$A$2:$J$182,5)</f>
        <v>7</v>
      </c>
      <c r="O338" s="4" t="str">
        <f>VLOOKUP(F338,Productos!$A$2:$J$182,6)</f>
        <v>Otros servicios</v>
      </c>
    </row>
    <row r="339" spans="1:15">
      <c r="A339" s="4" t="s">
        <v>533</v>
      </c>
      <c r="B339" s="4" t="s">
        <v>10</v>
      </c>
      <c r="C339" s="4" t="s">
        <v>11</v>
      </c>
      <c r="D339" s="4" t="s">
        <v>12</v>
      </c>
      <c r="E339" s="4" t="s">
        <v>11</v>
      </c>
      <c r="F339" s="5">
        <v>157</v>
      </c>
      <c r="G339" s="4" t="s">
        <v>328</v>
      </c>
      <c r="H339" s="4" t="str">
        <f>IF(F339="","",VLOOKUP(F339,Productos!$A$2:$F$182,3,FALSE))</f>
        <v>7</v>
      </c>
      <c r="I339" s="4" t="str">
        <f>IF(F339="","",VLOOKUP(F339,Productos!$A$2:$F$182,4,FALSE))</f>
        <v>Servicios financieros y servicios conexos; servicios inmobiliarios; y servicios de alquiler y arrendamiento</v>
      </c>
      <c r="J339" s="4">
        <f>IF(F339="","",VLOOKUP(F339,Productos!$A$2:$F$182,5,FALSE))</f>
        <v>7</v>
      </c>
      <c r="K339" s="4" t="str">
        <f>IF(F339="","",VLOOKUP(F339,Productos!$A$2:$F$182,6,FALSE))</f>
        <v>Otros servicios</v>
      </c>
      <c r="L339" s="4">
        <v>3</v>
      </c>
      <c r="M339" s="4" t="s">
        <v>67</v>
      </c>
      <c r="N339" s="4">
        <f>VLOOKUP(F339,Productos!$A$2:$J$182,5)</f>
        <v>7</v>
      </c>
      <c r="O339" s="4" t="str">
        <f>VLOOKUP(F339,Productos!$A$2:$J$182,6)</f>
        <v>Otros servicios</v>
      </c>
    </row>
    <row r="340" spans="1:15">
      <c r="A340" s="4" t="s">
        <v>534</v>
      </c>
      <c r="B340" s="4" t="s">
        <v>10</v>
      </c>
      <c r="C340" s="4" t="s">
        <v>11</v>
      </c>
      <c r="D340" s="4" t="s">
        <v>12</v>
      </c>
      <c r="E340" s="4" t="s">
        <v>11</v>
      </c>
      <c r="F340" s="5">
        <v>158</v>
      </c>
      <c r="G340" s="4" t="s">
        <v>330</v>
      </c>
      <c r="H340" s="4" t="str">
        <f>IF(F340="","",VLOOKUP(F340,Productos!$A$2:$F$182,3,FALSE))</f>
        <v>7</v>
      </c>
      <c r="I340" s="4" t="str">
        <f>IF(F340="","",VLOOKUP(F340,Productos!$A$2:$F$182,4,FALSE))</f>
        <v>Servicios financieros y servicios conexos; servicios inmobiliarios; y servicios de alquiler y arrendamiento</v>
      </c>
      <c r="J340" s="4">
        <f>IF(F340="","",VLOOKUP(F340,Productos!$A$2:$F$182,5,FALSE))</f>
        <v>7</v>
      </c>
      <c r="K340" s="4" t="str">
        <f>IF(F340="","",VLOOKUP(F340,Productos!$A$2:$F$182,6,FALSE))</f>
        <v>Otros servicios</v>
      </c>
      <c r="L340" s="4">
        <v>3</v>
      </c>
      <c r="M340" s="4" t="s">
        <v>67</v>
      </c>
      <c r="N340" s="4">
        <f>VLOOKUP(F340,Productos!$A$2:$J$182,5)</f>
        <v>7</v>
      </c>
      <c r="O340" s="4" t="str">
        <f>VLOOKUP(F340,Productos!$A$2:$J$182,6)</f>
        <v>Otros servicios</v>
      </c>
    </row>
    <row r="341" spans="1:15">
      <c r="A341" s="4" t="s">
        <v>535</v>
      </c>
      <c r="B341" s="4" t="s">
        <v>10</v>
      </c>
      <c r="C341" s="4" t="s">
        <v>11</v>
      </c>
      <c r="D341" s="4" t="s">
        <v>12</v>
      </c>
      <c r="E341" s="4" t="s">
        <v>11</v>
      </c>
      <c r="F341" s="5">
        <v>159</v>
      </c>
      <c r="G341" s="4" t="s">
        <v>332</v>
      </c>
      <c r="H341" s="4" t="str">
        <f>IF(F341="","",VLOOKUP(F341,Productos!$A$2:$F$182,3,FALSE))</f>
        <v>7</v>
      </c>
      <c r="I341" s="4" t="str">
        <f>IF(F341="","",VLOOKUP(F341,Productos!$A$2:$F$182,4,FALSE))</f>
        <v>Servicios financieros y servicios conexos; servicios inmobiliarios; y servicios de alquiler y arrendamiento</v>
      </c>
      <c r="J341" s="4">
        <f>IF(F341="","",VLOOKUP(F341,Productos!$A$2:$F$182,5,FALSE))</f>
        <v>7</v>
      </c>
      <c r="K341" s="4" t="str">
        <f>IF(F341="","",VLOOKUP(F341,Productos!$A$2:$F$182,6,FALSE))</f>
        <v>Otros servicios</v>
      </c>
      <c r="L341" s="4">
        <v>3</v>
      </c>
      <c r="M341" s="4" t="s">
        <v>67</v>
      </c>
      <c r="N341" s="4">
        <f>VLOOKUP(F341,Productos!$A$2:$J$182,5)</f>
        <v>7</v>
      </c>
      <c r="O341" s="4" t="str">
        <f>VLOOKUP(F341,Productos!$A$2:$J$182,6)</f>
        <v>Otros servicios</v>
      </c>
    </row>
    <row r="342" spans="1:15">
      <c r="A342" s="4" t="s">
        <v>536</v>
      </c>
      <c r="B342" s="4" t="s">
        <v>10</v>
      </c>
      <c r="C342" s="4" t="s">
        <v>11</v>
      </c>
      <c r="D342" s="4" t="s">
        <v>12</v>
      </c>
      <c r="E342" s="4" t="s">
        <v>11</v>
      </c>
      <c r="F342" s="5">
        <v>160</v>
      </c>
      <c r="G342" s="4" t="s">
        <v>334</v>
      </c>
      <c r="H342" s="4" t="str">
        <f>IF(F342="","",VLOOKUP(F342,Productos!$A$2:$F$182,3,FALSE))</f>
        <v>7</v>
      </c>
      <c r="I342" s="4" t="str">
        <f>IF(F342="","",VLOOKUP(F342,Productos!$A$2:$F$182,4,FALSE))</f>
        <v>Servicios financieros y servicios conexos; servicios inmobiliarios; y servicios de alquiler y arrendamiento</v>
      </c>
      <c r="J342" s="4">
        <f>IF(F342="","",VLOOKUP(F342,Productos!$A$2:$F$182,5,FALSE))</f>
        <v>7</v>
      </c>
      <c r="K342" s="4" t="str">
        <f>IF(F342="","",VLOOKUP(F342,Productos!$A$2:$F$182,6,FALSE))</f>
        <v>Otros servicios</v>
      </c>
      <c r="L342" s="4">
        <v>3</v>
      </c>
      <c r="M342" s="4" t="s">
        <v>67</v>
      </c>
      <c r="N342" s="4">
        <f>VLOOKUP(F342,Productos!$A$2:$J$182,5)</f>
        <v>7</v>
      </c>
      <c r="O342" s="4" t="str">
        <f>VLOOKUP(F342,Productos!$A$2:$J$182,6)</f>
        <v>Otros servicios</v>
      </c>
    </row>
    <row r="343" spans="1:15">
      <c r="A343" s="4" t="s">
        <v>537</v>
      </c>
      <c r="B343" s="4" t="s">
        <v>10</v>
      </c>
      <c r="C343" s="4" t="s">
        <v>11</v>
      </c>
      <c r="D343" s="4" t="s">
        <v>12</v>
      </c>
      <c r="E343" s="4" t="s">
        <v>11</v>
      </c>
      <c r="F343" s="5">
        <v>161</v>
      </c>
      <c r="G343" s="4" t="s">
        <v>336</v>
      </c>
      <c r="H343" s="4" t="str">
        <f>IF(F343="","",VLOOKUP(F343,Productos!$A$2:$F$182,3,FALSE))</f>
        <v>7</v>
      </c>
      <c r="I343" s="4" t="str">
        <f>IF(F343="","",VLOOKUP(F343,Productos!$A$2:$F$182,4,FALSE))</f>
        <v>Servicios financieros y servicios conexos; servicios inmobiliarios; y servicios de alquiler y arrendamiento</v>
      </c>
      <c r="J343" s="4">
        <f>IF(F343="","",VLOOKUP(F343,Productos!$A$2:$F$182,5,FALSE))</f>
        <v>7</v>
      </c>
      <c r="K343" s="4" t="str">
        <f>IF(F343="","",VLOOKUP(F343,Productos!$A$2:$F$182,6,FALSE))</f>
        <v>Otros servicios</v>
      </c>
      <c r="L343" s="4">
        <v>3</v>
      </c>
      <c r="M343" s="4" t="s">
        <v>67</v>
      </c>
      <c r="N343" s="4">
        <f>VLOOKUP(F343,Productos!$A$2:$J$182,5)</f>
        <v>7</v>
      </c>
      <c r="O343" s="4" t="str">
        <f>VLOOKUP(F343,Productos!$A$2:$J$182,6)</f>
        <v>Otros servicios</v>
      </c>
    </row>
    <row r="344" spans="1:15">
      <c r="A344" s="4" t="s">
        <v>538</v>
      </c>
      <c r="B344" s="4" t="s">
        <v>10</v>
      </c>
      <c r="C344" s="4" t="s">
        <v>11</v>
      </c>
      <c r="D344" s="4" t="s">
        <v>12</v>
      </c>
      <c r="E344" s="4" t="s">
        <v>11</v>
      </c>
      <c r="F344" s="5">
        <v>162</v>
      </c>
      <c r="G344" s="4" t="s">
        <v>338</v>
      </c>
      <c r="H344" s="4" t="str">
        <f>IF(F344="","",VLOOKUP(F344,Productos!$A$2:$F$182,3,FALSE))</f>
        <v>7</v>
      </c>
      <c r="I344" s="4" t="str">
        <f>IF(F344="","",VLOOKUP(F344,Productos!$A$2:$F$182,4,FALSE))</f>
        <v>Servicios financieros y servicios conexos; servicios inmobiliarios; y servicios de alquiler y arrendamiento</v>
      </c>
      <c r="J344" s="4">
        <f>IF(F344="","",VLOOKUP(F344,Productos!$A$2:$F$182,5,FALSE))</f>
        <v>7</v>
      </c>
      <c r="K344" s="4" t="str">
        <f>IF(F344="","",VLOOKUP(F344,Productos!$A$2:$F$182,6,FALSE))</f>
        <v>Otros servicios</v>
      </c>
      <c r="L344" s="4">
        <v>3</v>
      </c>
      <c r="M344" s="4" t="s">
        <v>67</v>
      </c>
      <c r="N344" s="4">
        <f>VLOOKUP(F344,Productos!$A$2:$J$182,5)</f>
        <v>7</v>
      </c>
      <c r="O344" s="4" t="str">
        <f>VLOOKUP(F344,Productos!$A$2:$J$182,6)</f>
        <v>Otros servicios</v>
      </c>
    </row>
    <row r="345" spans="1:15">
      <c r="A345" s="4" t="s">
        <v>539</v>
      </c>
      <c r="B345" s="4" t="s">
        <v>10</v>
      </c>
      <c r="C345" s="4" t="s">
        <v>11</v>
      </c>
      <c r="D345" s="4" t="s">
        <v>12</v>
      </c>
      <c r="E345" s="4" t="s">
        <v>11</v>
      </c>
      <c r="F345" s="5">
        <v>163</v>
      </c>
      <c r="G345" s="4" t="s">
        <v>340</v>
      </c>
      <c r="H345" s="4" t="str">
        <f>IF(F345="","",VLOOKUP(F345,Productos!$A$2:$F$182,3,FALSE))</f>
        <v>7</v>
      </c>
      <c r="I345" s="4" t="str">
        <f>IF(F345="","",VLOOKUP(F345,Productos!$A$2:$F$182,4,FALSE))</f>
        <v>Servicios financieros y servicios conexos; servicios inmobiliarios; y servicios de alquiler y arrendamiento</v>
      </c>
      <c r="J345" s="4">
        <f>IF(F345="","",VLOOKUP(F345,Productos!$A$2:$F$182,5,FALSE))</f>
        <v>7</v>
      </c>
      <c r="K345" s="4" t="str">
        <f>IF(F345="","",VLOOKUP(F345,Productos!$A$2:$F$182,6,FALSE))</f>
        <v>Otros servicios</v>
      </c>
      <c r="L345" s="4">
        <v>3</v>
      </c>
      <c r="M345" s="4" t="s">
        <v>67</v>
      </c>
      <c r="N345" s="4">
        <f>VLOOKUP(F345,Productos!$A$2:$J$182,5)</f>
        <v>7</v>
      </c>
      <c r="O345" s="4" t="str">
        <f>VLOOKUP(F345,Productos!$A$2:$J$182,6)</f>
        <v>Otros servicios</v>
      </c>
    </row>
    <row r="346" spans="1:15">
      <c r="A346" s="4" t="s">
        <v>540</v>
      </c>
      <c r="B346" s="4" t="s">
        <v>10</v>
      </c>
      <c r="C346" s="4" t="s">
        <v>11</v>
      </c>
      <c r="D346" s="4" t="s">
        <v>12</v>
      </c>
      <c r="E346" s="4" t="s">
        <v>11</v>
      </c>
      <c r="F346" s="5">
        <v>164</v>
      </c>
      <c r="G346" s="4" t="s">
        <v>342</v>
      </c>
      <c r="H346" s="4" t="str">
        <f>IF(F346="","",VLOOKUP(F346,Productos!$A$2:$F$182,3,FALSE))</f>
        <v>8</v>
      </c>
      <c r="I346" s="4" t="str">
        <f>IF(F346="","",VLOOKUP(F346,Productos!$A$2:$F$182,4,FALSE))</f>
        <v>Servicios prestados a las empresas y servicios de producción</v>
      </c>
      <c r="J346" s="4">
        <f>IF(F346="","",VLOOKUP(F346,Productos!$A$2:$F$182,5,FALSE))</f>
        <v>7</v>
      </c>
      <c r="K346" s="4" t="str">
        <f>IF(F346="","",VLOOKUP(F346,Productos!$A$2:$F$182,6,FALSE))</f>
        <v>Otros servicios</v>
      </c>
      <c r="L346" s="4">
        <v>3</v>
      </c>
      <c r="M346" s="4" t="s">
        <v>67</v>
      </c>
      <c r="N346" s="4">
        <f>VLOOKUP(F346,Productos!$A$2:$J$182,5)</f>
        <v>7</v>
      </c>
      <c r="O346" s="4" t="str">
        <f>VLOOKUP(F346,Productos!$A$2:$J$182,6)</f>
        <v>Otros servicios</v>
      </c>
    </row>
    <row r="347" spans="1:15">
      <c r="A347" s="4" t="s">
        <v>541</v>
      </c>
      <c r="B347" s="4" t="s">
        <v>10</v>
      </c>
      <c r="C347" s="4" t="s">
        <v>11</v>
      </c>
      <c r="D347" s="4" t="s">
        <v>12</v>
      </c>
      <c r="E347" s="4" t="s">
        <v>11</v>
      </c>
      <c r="F347" s="5">
        <v>165</v>
      </c>
      <c r="G347" s="4" t="s">
        <v>344</v>
      </c>
      <c r="H347" s="4" t="str">
        <f>IF(F347="","",VLOOKUP(F347,Productos!$A$2:$F$182,3,FALSE))</f>
        <v>8</v>
      </c>
      <c r="I347" s="4" t="str">
        <f>IF(F347="","",VLOOKUP(F347,Productos!$A$2:$F$182,4,FALSE))</f>
        <v>Servicios prestados a las empresas y servicios de producción</v>
      </c>
      <c r="J347" s="4">
        <f>IF(F347="","",VLOOKUP(F347,Productos!$A$2:$F$182,5,FALSE))</f>
        <v>7</v>
      </c>
      <c r="K347" s="4" t="str">
        <f>IF(F347="","",VLOOKUP(F347,Productos!$A$2:$F$182,6,FALSE))</f>
        <v>Otros servicios</v>
      </c>
      <c r="L347" s="4">
        <v>3</v>
      </c>
      <c r="M347" s="4" t="s">
        <v>67</v>
      </c>
      <c r="N347" s="4">
        <f>VLOOKUP(F347,Productos!$A$2:$J$182,5)</f>
        <v>7</v>
      </c>
      <c r="O347" s="4" t="str">
        <f>VLOOKUP(F347,Productos!$A$2:$J$182,6)</f>
        <v>Otros servicios</v>
      </c>
    </row>
    <row r="348" spans="1:15">
      <c r="A348" s="4" t="s">
        <v>542</v>
      </c>
      <c r="B348" s="4" t="s">
        <v>10</v>
      </c>
      <c r="C348" s="4" t="s">
        <v>11</v>
      </c>
      <c r="D348" s="4" t="s">
        <v>12</v>
      </c>
      <c r="E348" s="4" t="s">
        <v>11</v>
      </c>
      <c r="F348" s="5">
        <v>166</v>
      </c>
      <c r="G348" s="4" t="s">
        <v>346</v>
      </c>
      <c r="H348" s="4" t="str">
        <f>IF(F348="","",VLOOKUP(F348,Productos!$A$2:$F$182,3,FALSE))</f>
        <v>8</v>
      </c>
      <c r="I348" s="4" t="str">
        <f>IF(F348="","",VLOOKUP(F348,Productos!$A$2:$F$182,4,FALSE))</f>
        <v>Servicios prestados a las empresas y servicios de producción</v>
      </c>
      <c r="J348" s="4">
        <f>IF(F348="","",VLOOKUP(F348,Productos!$A$2:$F$182,5,FALSE))</f>
        <v>7</v>
      </c>
      <c r="K348" s="4" t="str">
        <f>IF(F348="","",VLOOKUP(F348,Productos!$A$2:$F$182,6,FALSE))</f>
        <v>Otros servicios</v>
      </c>
      <c r="L348" s="4">
        <v>3</v>
      </c>
      <c r="M348" s="4" t="s">
        <v>67</v>
      </c>
      <c r="N348" s="4">
        <f>VLOOKUP(F348,Productos!$A$2:$J$182,5)</f>
        <v>7</v>
      </c>
      <c r="O348" s="4" t="str">
        <f>VLOOKUP(F348,Productos!$A$2:$J$182,6)</f>
        <v>Otros servicios</v>
      </c>
    </row>
    <row r="349" spans="1:15">
      <c r="A349" s="4" t="s">
        <v>543</v>
      </c>
      <c r="B349" s="4" t="s">
        <v>10</v>
      </c>
      <c r="C349" s="4" t="s">
        <v>11</v>
      </c>
      <c r="D349" s="4" t="s">
        <v>12</v>
      </c>
      <c r="E349" s="4" t="s">
        <v>11</v>
      </c>
      <c r="F349" s="5">
        <v>167</v>
      </c>
      <c r="G349" s="4" t="s">
        <v>348</v>
      </c>
      <c r="H349" s="4" t="str">
        <f>IF(F349="","",VLOOKUP(F349,Productos!$A$2:$F$182,3,FALSE))</f>
        <v>8</v>
      </c>
      <c r="I349" s="4" t="str">
        <f>IF(F349="","",VLOOKUP(F349,Productos!$A$2:$F$182,4,FALSE))</f>
        <v>Servicios prestados a las empresas y servicios de producción</v>
      </c>
      <c r="J349" s="4">
        <f>IF(F349="","",VLOOKUP(F349,Productos!$A$2:$F$182,5,FALSE))</f>
        <v>7</v>
      </c>
      <c r="K349" s="4" t="str">
        <f>IF(F349="","",VLOOKUP(F349,Productos!$A$2:$F$182,6,FALSE))</f>
        <v>Otros servicios</v>
      </c>
      <c r="L349" s="4">
        <v>2</v>
      </c>
      <c r="M349" s="4" t="s">
        <v>142</v>
      </c>
      <c r="N349" s="4">
        <f>VLOOKUP(F349,Productos!$A$2:$J$182,5)</f>
        <v>7</v>
      </c>
      <c r="O349" s="4" t="str">
        <f>VLOOKUP(F349,Productos!$A$2:$J$182,6)</f>
        <v>Otros servicios</v>
      </c>
    </row>
    <row r="350" spans="1:15">
      <c r="A350" s="4" t="s">
        <v>544</v>
      </c>
      <c r="B350" s="4" t="s">
        <v>10</v>
      </c>
      <c r="C350" s="4" t="s">
        <v>11</v>
      </c>
      <c r="D350" s="4" t="s">
        <v>12</v>
      </c>
      <c r="E350" s="4" t="s">
        <v>11</v>
      </c>
      <c r="F350" s="5">
        <v>168</v>
      </c>
      <c r="G350" s="4" t="s">
        <v>350</v>
      </c>
      <c r="H350" s="4" t="str">
        <f>IF(F350="","",VLOOKUP(F350,Productos!$A$2:$F$182,3,FALSE))</f>
        <v>8</v>
      </c>
      <c r="I350" s="4" t="str">
        <f>IF(F350="","",VLOOKUP(F350,Productos!$A$2:$F$182,4,FALSE))</f>
        <v>Servicios prestados a las empresas y servicios de producción</v>
      </c>
      <c r="J350" s="4">
        <f>IF(F350="","",VLOOKUP(F350,Productos!$A$2:$F$182,5,FALSE))</f>
        <v>7</v>
      </c>
      <c r="K350" s="4" t="str">
        <f>IF(F350="","",VLOOKUP(F350,Productos!$A$2:$F$182,6,FALSE))</f>
        <v>Otros servicios</v>
      </c>
      <c r="L350" s="4">
        <v>3</v>
      </c>
      <c r="M350" s="4" t="s">
        <v>67</v>
      </c>
      <c r="N350" s="4">
        <f>VLOOKUP(F350,Productos!$A$2:$J$182,5)</f>
        <v>7</v>
      </c>
      <c r="O350" s="4" t="str">
        <f>VLOOKUP(F350,Productos!$A$2:$J$182,6)</f>
        <v>Otros servicios</v>
      </c>
    </row>
    <row r="351" spans="1:15">
      <c r="A351" s="4" t="s">
        <v>545</v>
      </c>
      <c r="B351" s="4" t="s">
        <v>10</v>
      </c>
      <c r="C351" s="4" t="s">
        <v>11</v>
      </c>
      <c r="D351" s="4" t="s">
        <v>12</v>
      </c>
      <c r="E351" s="4" t="s">
        <v>11</v>
      </c>
      <c r="F351" s="5">
        <v>169</v>
      </c>
      <c r="G351" s="4" t="s">
        <v>352</v>
      </c>
      <c r="H351" s="4" t="str">
        <f>IF(F351="","",VLOOKUP(F351,Productos!$A$2:$F$182,3,FALSE))</f>
        <v>8</v>
      </c>
      <c r="I351" s="4" t="str">
        <f>IF(F351="","",VLOOKUP(F351,Productos!$A$2:$F$182,4,FALSE))</f>
        <v>Servicios prestados a las empresas y servicios de producción</v>
      </c>
      <c r="J351" s="4">
        <f>IF(F351="","",VLOOKUP(F351,Productos!$A$2:$F$182,5,FALSE))</f>
        <v>7</v>
      </c>
      <c r="K351" s="4" t="str">
        <f>IF(F351="","",VLOOKUP(F351,Productos!$A$2:$F$182,6,FALSE))</f>
        <v>Otros servicios</v>
      </c>
      <c r="L351" s="4">
        <v>3</v>
      </c>
      <c r="M351" s="4" t="s">
        <v>67</v>
      </c>
      <c r="N351" s="4">
        <f>VLOOKUP(F351,Productos!$A$2:$J$182,5)</f>
        <v>7</v>
      </c>
      <c r="O351" s="4" t="str">
        <f>VLOOKUP(F351,Productos!$A$2:$J$182,6)</f>
        <v>Otros servicios</v>
      </c>
    </row>
    <row r="352" spans="1:15">
      <c r="A352" s="4" t="s">
        <v>546</v>
      </c>
      <c r="B352" s="4" t="s">
        <v>10</v>
      </c>
      <c r="C352" s="4" t="s">
        <v>11</v>
      </c>
      <c r="D352" s="4" t="s">
        <v>12</v>
      </c>
      <c r="E352" s="4" t="s">
        <v>11</v>
      </c>
      <c r="F352" s="5">
        <v>170</v>
      </c>
      <c r="G352" s="4" t="s">
        <v>354</v>
      </c>
      <c r="H352" s="4" t="str">
        <f>IF(F352="","",VLOOKUP(F352,Productos!$A$2:$F$182,3,FALSE))</f>
        <v>8</v>
      </c>
      <c r="I352" s="4" t="str">
        <f>IF(F352="","",VLOOKUP(F352,Productos!$A$2:$F$182,4,FALSE))</f>
        <v>Servicios prestados a las empresas y servicios de producción</v>
      </c>
      <c r="J352" s="4">
        <f>IF(F352="","",VLOOKUP(F352,Productos!$A$2:$F$182,5,FALSE))</f>
        <v>7</v>
      </c>
      <c r="K352" s="4" t="str">
        <f>IF(F352="","",VLOOKUP(F352,Productos!$A$2:$F$182,6,FALSE))</f>
        <v>Otros servicios</v>
      </c>
      <c r="L352" s="4">
        <v>3</v>
      </c>
      <c r="M352" s="4" t="s">
        <v>67</v>
      </c>
      <c r="N352" s="4">
        <f>VLOOKUP(F352,Productos!$A$2:$J$182,5)</f>
        <v>7</v>
      </c>
      <c r="O352" s="4" t="str">
        <f>VLOOKUP(F352,Productos!$A$2:$J$182,6)</f>
        <v>Otros servicios</v>
      </c>
    </row>
    <row r="353" spans="1:15">
      <c r="A353" s="4" t="s">
        <v>547</v>
      </c>
      <c r="B353" s="4" t="s">
        <v>10</v>
      </c>
      <c r="C353" s="4" t="s">
        <v>11</v>
      </c>
      <c r="D353" s="4" t="s">
        <v>12</v>
      </c>
      <c r="E353" s="4" t="s">
        <v>11</v>
      </c>
      <c r="F353" s="5">
        <v>171</v>
      </c>
      <c r="G353" s="4" t="s">
        <v>356</v>
      </c>
      <c r="H353" s="4" t="str">
        <f>IF(F353="","",VLOOKUP(F353,Productos!$A$2:$F$182,3,FALSE))</f>
        <v>9</v>
      </c>
      <c r="I353" s="4" t="str">
        <f>IF(F353="","",VLOOKUP(F353,Productos!$A$2:$F$182,4,FALSE))</f>
        <v>Servicios para la comunidad, sociales y personales</v>
      </c>
      <c r="J353" s="4">
        <f>IF(F353="","",VLOOKUP(F353,Productos!$A$2:$F$182,5,FALSE))</f>
        <v>7</v>
      </c>
      <c r="K353" s="4" t="str">
        <f>IF(F353="","",VLOOKUP(F353,Productos!$A$2:$F$182,6,FALSE))</f>
        <v>Otros servicios</v>
      </c>
      <c r="L353" s="4">
        <v>3</v>
      </c>
      <c r="M353" s="4" t="s">
        <v>67</v>
      </c>
      <c r="N353" s="4">
        <f>VLOOKUP(F353,Productos!$A$2:$J$182,5)</f>
        <v>7</v>
      </c>
      <c r="O353" s="4" t="str">
        <f>VLOOKUP(F353,Productos!$A$2:$J$182,6)</f>
        <v>Otros servicios</v>
      </c>
    </row>
    <row r="354" spans="1:15">
      <c r="A354" s="4" t="s">
        <v>548</v>
      </c>
      <c r="B354" s="4" t="s">
        <v>10</v>
      </c>
      <c r="C354" s="4" t="s">
        <v>11</v>
      </c>
      <c r="D354" s="4" t="s">
        <v>12</v>
      </c>
      <c r="E354" s="4" t="s">
        <v>11</v>
      </c>
      <c r="F354" s="5">
        <v>172</v>
      </c>
      <c r="G354" s="4" t="s">
        <v>358</v>
      </c>
      <c r="H354" s="4" t="str">
        <f>IF(F354="","",VLOOKUP(F354,Productos!$A$2:$F$182,3,FALSE))</f>
        <v>9</v>
      </c>
      <c r="I354" s="4" t="str">
        <f>IF(F354="","",VLOOKUP(F354,Productos!$A$2:$F$182,4,FALSE))</f>
        <v>Servicios para la comunidad, sociales y personales</v>
      </c>
      <c r="J354" s="4">
        <f>IF(F354="","",VLOOKUP(F354,Productos!$A$2:$F$182,5,FALSE))</f>
        <v>7</v>
      </c>
      <c r="K354" s="4" t="str">
        <f>IF(F354="","",VLOOKUP(F354,Productos!$A$2:$F$182,6,FALSE))</f>
        <v>Otros servicios</v>
      </c>
      <c r="L354" s="4">
        <v>3</v>
      </c>
      <c r="M354" s="4" t="s">
        <v>67</v>
      </c>
      <c r="N354" s="4">
        <f>VLOOKUP(F354,Productos!$A$2:$J$182,5)</f>
        <v>7</v>
      </c>
      <c r="O354" s="4" t="str">
        <f>VLOOKUP(F354,Productos!$A$2:$J$182,6)</f>
        <v>Otros servicios</v>
      </c>
    </row>
    <row r="355" spans="1:15">
      <c r="A355" s="4" t="s">
        <v>549</v>
      </c>
      <c r="B355" s="4" t="s">
        <v>10</v>
      </c>
      <c r="C355" s="4" t="s">
        <v>11</v>
      </c>
      <c r="D355" s="4" t="s">
        <v>12</v>
      </c>
      <c r="E355" s="4" t="s">
        <v>11</v>
      </c>
      <c r="F355" s="5">
        <v>173</v>
      </c>
      <c r="G355" s="4" t="s">
        <v>360</v>
      </c>
      <c r="H355" s="4" t="str">
        <f>IF(F355="","",VLOOKUP(F355,Productos!$A$2:$F$182,3,FALSE))</f>
        <v>9</v>
      </c>
      <c r="I355" s="4" t="str">
        <f>IF(F355="","",VLOOKUP(F355,Productos!$A$2:$F$182,4,FALSE))</f>
        <v>Servicios para la comunidad, sociales y personales</v>
      </c>
      <c r="J355" s="4">
        <f>IF(F355="","",VLOOKUP(F355,Productos!$A$2:$F$182,5,FALSE))</f>
        <v>7</v>
      </c>
      <c r="K355" s="4" t="str">
        <f>IF(F355="","",VLOOKUP(F355,Productos!$A$2:$F$182,6,FALSE))</f>
        <v>Otros servicios</v>
      </c>
      <c r="L355" s="4">
        <v>3</v>
      </c>
      <c r="M355" s="4" t="s">
        <v>67</v>
      </c>
      <c r="N355" s="4">
        <f>VLOOKUP(F355,Productos!$A$2:$J$182,5)</f>
        <v>7</v>
      </c>
      <c r="O355" s="4" t="str">
        <f>VLOOKUP(F355,Productos!$A$2:$J$182,6)</f>
        <v>Otros servicios</v>
      </c>
    </row>
    <row r="356" spans="1:15">
      <c r="A356" s="4" t="s">
        <v>550</v>
      </c>
      <c r="B356" s="4" t="s">
        <v>10</v>
      </c>
      <c r="C356" s="4" t="s">
        <v>11</v>
      </c>
      <c r="D356" s="4" t="s">
        <v>12</v>
      </c>
      <c r="E356" s="4" t="s">
        <v>11</v>
      </c>
      <c r="F356" s="5">
        <v>174</v>
      </c>
      <c r="G356" s="4" t="s">
        <v>362</v>
      </c>
      <c r="H356" s="4" t="str">
        <f>IF(F356="","",VLOOKUP(F356,Productos!$A$2:$F$182,3,FALSE))</f>
        <v>9</v>
      </c>
      <c r="I356" s="4" t="str">
        <f>IF(F356="","",VLOOKUP(F356,Productos!$A$2:$F$182,4,FALSE))</f>
        <v>Servicios para la comunidad, sociales y personales</v>
      </c>
      <c r="J356" s="4">
        <f>IF(F356="","",VLOOKUP(F356,Productos!$A$2:$F$182,5,FALSE))</f>
        <v>7</v>
      </c>
      <c r="K356" s="4" t="str">
        <f>IF(F356="","",VLOOKUP(F356,Productos!$A$2:$F$182,6,FALSE))</f>
        <v>Otros servicios</v>
      </c>
      <c r="L356" s="4">
        <v>3</v>
      </c>
      <c r="M356" s="4" t="s">
        <v>67</v>
      </c>
      <c r="N356" s="4">
        <f>VLOOKUP(F356,Productos!$A$2:$J$182,5)</f>
        <v>7</v>
      </c>
      <c r="O356" s="4" t="str">
        <f>VLOOKUP(F356,Productos!$A$2:$J$182,6)</f>
        <v>Otros servicios</v>
      </c>
    </row>
    <row r="357" spans="1:15">
      <c r="A357" s="4" t="s">
        <v>551</v>
      </c>
      <c r="B357" s="4" t="s">
        <v>10</v>
      </c>
      <c r="C357" s="4" t="s">
        <v>11</v>
      </c>
      <c r="D357" s="4" t="s">
        <v>12</v>
      </c>
      <c r="E357" s="4" t="s">
        <v>11</v>
      </c>
      <c r="F357" s="5">
        <v>175</v>
      </c>
      <c r="G357" s="4" t="s">
        <v>364</v>
      </c>
      <c r="H357" s="4" t="str">
        <f>IF(F357="","",VLOOKUP(F357,Productos!$A$2:$F$182,3,FALSE))</f>
        <v>9</v>
      </c>
      <c r="I357" s="4" t="str">
        <f>IF(F357="","",VLOOKUP(F357,Productos!$A$2:$F$182,4,FALSE))</f>
        <v>Servicios para la comunidad, sociales y personales</v>
      </c>
      <c r="J357" s="4">
        <f>IF(F357="","",VLOOKUP(F357,Productos!$A$2:$F$182,5,FALSE))</f>
        <v>7</v>
      </c>
      <c r="K357" s="4" t="str">
        <f>IF(F357="","",VLOOKUP(F357,Productos!$A$2:$F$182,6,FALSE))</f>
        <v>Otros servicios</v>
      </c>
      <c r="L357" s="4">
        <v>3</v>
      </c>
      <c r="M357" s="4" t="s">
        <v>67</v>
      </c>
      <c r="N357" s="4">
        <f>VLOOKUP(F357,Productos!$A$2:$J$182,5)</f>
        <v>7</v>
      </c>
      <c r="O357" s="4" t="str">
        <f>VLOOKUP(F357,Productos!$A$2:$J$182,6)</f>
        <v>Otros servicios</v>
      </c>
    </row>
    <row r="358" spans="1:15">
      <c r="A358" s="4" t="s">
        <v>552</v>
      </c>
      <c r="B358" s="4" t="s">
        <v>10</v>
      </c>
      <c r="C358" s="4" t="s">
        <v>11</v>
      </c>
      <c r="D358" s="4" t="s">
        <v>12</v>
      </c>
      <c r="E358" s="4" t="s">
        <v>11</v>
      </c>
      <c r="F358" s="5">
        <v>176</v>
      </c>
      <c r="G358" s="4" t="s">
        <v>366</v>
      </c>
      <c r="H358" s="4" t="str">
        <f>IF(F358="","",VLOOKUP(F358,Productos!$A$2:$F$182,3,FALSE))</f>
        <v>9</v>
      </c>
      <c r="I358" s="4" t="str">
        <f>IF(F358="","",VLOOKUP(F358,Productos!$A$2:$F$182,4,FALSE))</f>
        <v>Servicios para la comunidad, sociales y personales</v>
      </c>
      <c r="J358" s="4">
        <f>IF(F358="","",VLOOKUP(F358,Productos!$A$2:$F$182,5,FALSE))</f>
        <v>7</v>
      </c>
      <c r="K358" s="4" t="str">
        <f>IF(F358="","",VLOOKUP(F358,Productos!$A$2:$F$182,6,FALSE))</f>
        <v>Otros servicios</v>
      </c>
      <c r="L358" s="4">
        <v>3</v>
      </c>
      <c r="M358" s="4" t="s">
        <v>67</v>
      </c>
      <c r="N358" s="4">
        <f>VLOOKUP(F358,Productos!$A$2:$J$182,5)</f>
        <v>7</v>
      </c>
      <c r="O358" s="4" t="str">
        <f>VLOOKUP(F358,Productos!$A$2:$J$182,6)</f>
        <v>Otros servicios</v>
      </c>
    </row>
    <row r="359" spans="1:15">
      <c r="A359" s="4" t="s">
        <v>553</v>
      </c>
      <c r="B359" s="4" t="s">
        <v>10</v>
      </c>
      <c r="C359" s="4" t="s">
        <v>11</v>
      </c>
      <c r="D359" s="4" t="s">
        <v>12</v>
      </c>
      <c r="E359" s="4" t="s">
        <v>11</v>
      </c>
      <c r="F359" s="5">
        <v>177</v>
      </c>
      <c r="G359" s="4" t="s">
        <v>368</v>
      </c>
      <c r="H359" s="4" t="str">
        <f>IF(F359="","",VLOOKUP(F359,Productos!$A$2:$F$182,3,FALSE))</f>
        <v>9</v>
      </c>
      <c r="I359" s="4" t="str">
        <f>IF(F359="","",VLOOKUP(F359,Productos!$A$2:$F$182,4,FALSE))</f>
        <v>Servicios para la comunidad, sociales y personales</v>
      </c>
      <c r="J359" s="4">
        <f>IF(F359="","",VLOOKUP(F359,Productos!$A$2:$F$182,5,FALSE))</f>
        <v>7</v>
      </c>
      <c r="K359" s="4" t="str">
        <f>IF(F359="","",VLOOKUP(F359,Productos!$A$2:$F$182,6,FALSE))</f>
        <v>Otros servicios</v>
      </c>
      <c r="L359" s="4">
        <v>3</v>
      </c>
      <c r="M359" s="4" t="s">
        <v>67</v>
      </c>
      <c r="N359" s="4">
        <f>VLOOKUP(F359,Productos!$A$2:$J$182,5)</f>
        <v>7</v>
      </c>
      <c r="O359" s="4" t="str">
        <f>VLOOKUP(F359,Productos!$A$2:$J$182,6)</f>
        <v>Otros servicios</v>
      </c>
    </row>
    <row r="360" spans="1:15">
      <c r="A360" s="4" t="s">
        <v>554</v>
      </c>
      <c r="B360" s="4" t="s">
        <v>10</v>
      </c>
      <c r="C360" s="4" t="s">
        <v>11</v>
      </c>
      <c r="D360" s="4" t="s">
        <v>12</v>
      </c>
      <c r="E360" s="4" t="s">
        <v>11</v>
      </c>
      <c r="F360" s="5">
        <v>178</v>
      </c>
      <c r="G360" s="4" t="s">
        <v>370</v>
      </c>
      <c r="H360" s="4" t="str">
        <f>IF(F360="","",VLOOKUP(F360,Productos!$A$2:$F$182,3,FALSE))</f>
        <v>9</v>
      </c>
      <c r="I360" s="4" t="str">
        <f>IF(F360="","",VLOOKUP(F360,Productos!$A$2:$F$182,4,FALSE))</f>
        <v>Servicios para la comunidad, sociales y personales</v>
      </c>
      <c r="J360" s="4">
        <f>IF(F360="","",VLOOKUP(F360,Productos!$A$2:$F$182,5,FALSE))</f>
        <v>7</v>
      </c>
      <c r="K360" s="4" t="str">
        <f>IF(F360="","",VLOOKUP(F360,Productos!$A$2:$F$182,6,FALSE))</f>
        <v>Otros servicios</v>
      </c>
      <c r="L360" s="4">
        <v>3</v>
      </c>
      <c r="M360" s="4" t="s">
        <v>67</v>
      </c>
      <c r="N360" s="4">
        <f>VLOOKUP(F360,Productos!$A$2:$J$182,5)</f>
        <v>7</v>
      </c>
      <c r="O360" s="4" t="str">
        <f>VLOOKUP(F360,Productos!$A$2:$J$182,6)</f>
        <v>Otros servicios</v>
      </c>
    </row>
    <row r="361" spans="1:15">
      <c r="A361" s="4" t="s">
        <v>555</v>
      </c>
      <c r="B361" s="4" t="s">
        <v>10</v>
      </c>
      <c r="C361" s="4" t="s">
        <v>11</v>
      </c>
      <c r="D361" s="4" t="s">
        <v>12</v>
      </c>
      <c r="E361" s="4" t="s">
        <v>11</v>
      </c>
      <c r="F361" s="5">
        <v>179</v>
      </c>
      <c r="G361" s="4" t="s">
        <v>372</v>
      </c>
      <c r="H361" s="4" t="str">
        <f>IF(F361="","",VLOOKUP(F361,Productos!$A$2:$F$182,3,FALSE))</f>
        <v>9</v>
      </c>
      <c r="I361" s="4" t="str">
        <f>IF(F361="","",VLOOKUP(F361,Productos!$A$2:$F$182,4,FALSE))</f>
        <v>Servicios para la comunidad, sociales y personales</v>
      </c>
      <c r="J361" s="4">
        <f>IF(F361="","",VLOOKUP(F361,Productos!$A$2:$F$182,5,FALSE))</f>
        <v>7</v>
      </c>
      <c r="K361" s="4" t="str">
        <f>IF(F361="","",VLOOKUP(F361,Productos!$A$2:$F$182,6,FALSE))</f>
        <v>Otros servicios</v>
      </c>
      <c r="L361" s="4">
        <v>3</v>
      </c>
      <c r="M361" s="4" t="s">
        <v>67</v>
      </c>
      <c r="N361" s="4">
        <f>VLOOKUP(F361,Productos!$A$2:$J$182,5)</f>
        <v>7</v>
      </c>
      <c r="O361" s="4" t="str">
        <f>VLOOKUP(F361,Productos!$A$2:$J$182,6)</f>
        <v>Otros servicios</v>
      </c>
    </row>
    <row r="362" spans="1:15">
      <c r="A362" s="4" t="s">
        <v>556</v>
      </c>
      <c r="B362" s="4" t="s">
        <v>10</v>
      </c>
      <c r="C362" s="4" t="s">
        <v>11</v>
      </c>
      <c r="D362" s="4" t="s">
        <v>12</v>
      </c>
      <c r="E362" s="4" t="s">
        <v>11</v>
      </c>
      <c r="F362" s="5">
        <v>180</v>
      </c>
      <c r="G362" s="4" t="s">
        <v>374</v>
      </c>
      <c r="H362" s="4" t="str">
        <f>IF(F362="","",VLOOKUP(F362,Productos!$A$2:$F$182,3,FALSE))</f>
        <v>9</v>
      </c>
      <c r="I362" s="4" t="str">
        <f>IF(F362="","",VLOOKUP(F362,Productos!$A$2:$F$182,4,FALSE))</f>
        <v>Servicios para la comunidad, sociales y personales</v>
      </c>
      <c r="J362" s="4">
        <f>IF(F362="","",VLOOKUP(F362,Productos!$A$2:$F$182,5,FALSE))</f>
        <v>7</v>
      </c>
      <c r="K362" s="4" t="str">
        <f>IF(F362="","",VLOOKUP(F362,Productos!$A$2:$F$182,6,FALSE))</f>
        <v>Otros servicios</v>
      </c>
      <c r="L362" s="4">
        <v>3</v>
      </c>
      <c r="M362" s="4" t="s">
        <v>67</v>
      </c>
      <c r="N362" s="4">
        <f>VLOOKUP(F362,Productos!$A$2:$J$182,5)</f>
        <v>7</v>
      </c>
      <c r="O362" s="4" t="str">
        <f>VLOOKUP(F362,Productos!$A$2:$J$182,6)</f>
        <v>Otros servicios</v>
      </c>
    </row>
    <row r="363" spans="1:15">
      <c r="A363" s="4" t="s">
        <v>557</v>
      </c>
      <c r="B363" s="4" t="s">
        <v>10</v>
      </c>
      <c r="C363" s="4" t="s">
        <v>11</v>
      </c>
      <c r="D363" s="4" t="s">
        <v>12</v>
      </c>
      <c r="E363" s="4" t="s">
        <v>11</v>
      </c>
      <c r="F363" s="5">
        <v>181</v>
      </c>
      <c r="G363" s="4" t="s">
        <v>376</v>
      </c>
      <c r="H363" s="4" t="str">
        <f>IF(F363="","",VLOOKUP(F363,Productos!$A$2:$F$182,3,FALSE))</f>
        <v>9</v>
      </c>
      <c r="I363" s="4" t="str">
        <f>IF(F363="","",VLOOKUP(F363,Productos!$A$2:$F$182,4,FALSE))</f>
        <v>Servicios para la comunidad, sociales y personales</v>
      </c>
      <c r="J363" s="4">
        <f>IF(F363="","",VLOOKUP(F363,Productos!$A$2:$F$182,5,FALSE))</f>
        <v>7</v>
      </c>
      <c r="K363" s="4" t="str">
        <f>IF(F363="","",VLOOKUP(F363,Productos!$A$2:$F$182,6,FALSE))</f>
        <v>Otros servicios</v>
      </c>
      <c r="L363" s="4">
        <v>3</v>
      </c>
      <c r="M363" s="4" t="s">
        <v>67</v>
      </c>
      <c r="N363" s="4">
        <f>VLOOKUP(F363,Productos!$A$2:$J$182,5)</f>
        <v>7</v>
      </c>
      <c r="O363" s="4" t="str">
        <f>VLOOKUP(F363,Productos!$A$2:$J$182,6)</f>
        <v>Otros servicios</v>
      </c>
    </row>
    <row r="364" spans="1:15">
      <c r="A364" s="2" t="s">
        <v>558</v>
      </c>
      <c r="B364" s="2" t="s">
        <v>559</v>
      </c>
      <c r="C364" s="2" t="s">
        <v>560</v>
      </c>
      <c r="D364" s="2" t="s">
        <v>561</v>
      </c>
      <c r="E364" s="2" t="s">
        <v>560</v>
      </c>
      <c r="F364" s="3">
        <v>1</v>
      </c>
      <c r="G364" s="2" t="s">
        <v>13</v>
      </c>
      <c r="H364" s="2" t="str">
        <f>IF(F364="","",VLOOKUP(F364,Productos!$A$2:$F$182,3,FALSE))</f>
        <v>0</v>
      </c>
      <c r="I364" s="2" t="str">
        <f>IF(F364="","",VLOOKUP(F364,Productos!$A$2:$F$182,4,FALSE))</f>
        <v>Productos de la agricultura, la silvicultura y la pesca</v>
      </c>
      <c r="J364" s="2">
        <f>IF(F364="","",VLOOKUP(F364,Productos!$A$2:$F$182,5,FALSE))</f>
        <v>1</v>
      </c>
      <c r="K364" s="2" t="str">
        <f>IF(F364="","",VLOOKUP(F364,Productos!$A$2:$F$182,6,FALSE))</f>
        <v>Agropecuarios</v>
      </c>
      <c r="L364" s="2">
        <v>1</v>
      </c>
      <c r="M364" s="2" t="s">
        <v>14</v>
      </c>
      <c r="N364" s="2">
        <f>VLOOKUP(F364,Productos!$A$2:$J$182,5)</f>
        <v>1</v>
      </c>
      <c r="O364" s="2" t="str">
        <f>VLOOKUP(F364,Productos!$A$2:$J$182,6)</f>
        <v>Agropecuarios</v>
      </c>
    </row>
    <row r="365" spans="1:15">
      <c r="A365" s="2" t="s">
        <v>562</v>
      </c>
      <c r="B365" s="2" t="s">
        <v>559</v>
      </c>
      <c r="C365" s="2" t="s">
        <v>560</v>
      </c>
      <c r="D365" s="2" t="s">
        <v>561</v>
      </c>
      <c r="E365" s="2" t="s">
        <v>560</v>
      </c>
      <c r="F365" s="3">
        <v>2</v>
      </c>
      <c r="G365" s="2" t="s">
        <v>16</v>
      </c>
      <c r="H365" s="2" t="str">
        <f>IF(F365="","",VLOOKUP(F365,Productos!$A$2:$F$182,3,FALSE))</f>
        <v>0</v>
      </c>
      <c r="I365" s="2" t="str">
        <f>IF(F365="","",VLOOKUP(F365,Productos!$A$2:$F$182,4,FALSE))</f>
        <v>Productos de la agricultura, la silvicultura y la pesca</v>
      </c>
      <c r="J365" s="2">
        <f>IF(F365="","",VLOOKUP(F365,Productos!$A$2:$F$182,5,FALSE))</f>
        <v>1</v>
      </c>
      <c r="K365" s="2" t="str">
        <f>IF(F365="","",VLOOKUP(F365,Productos!$A$2:$F$182,6,FALSE))</f>
        <v>Agropecuarios</v>
      </c>
      <c r="L365" s="2">
        <v>1</v>
      </c>
      <c r="M365" s="2" t="s">
        <v>14</v>
      </c>
      <c r="N365" s="2">
        <f>VLOOKUP(F365,Productos!$A$2:$J$182,5)</f>
        <v>1</v>
      </c>
      <c r="O365" s="2" t="str">
        <f>VLOOKUP(F365,Productos!$A$2:$J$182,6)</f>
        <v>Agropecuarios</v>
      </c>
    </row>
    <row r="366" spans="1:15">
      <c r="A366" s="2" t="s">
        <v>563</v>
      </c>
      <c r="B366" s="2" t="s">
        <v>559</v>
      </c>
      <c r="C366" s="2" t="s">
        <v>560</v>
      </c>
      <c r="D366" s="2" t="s">
        <v>561</v>
      </c>
      <c r="E366" s="2" t="s">
        <v>560</v>
      </c>
      <c r="F366" s="3">
        <v>3</v>
      </c>
      <c r="G366" s="2" t="s">
        <v>18</v>
      </c>
      <c r="H366" s="2" t="str">
        <f>IF(F366="","",VLOOKUP(F366,Productos!$A$2:$F$182,3,FALSE))</f>
        <v>0</v>
      </c>
      <c r="I366" s="2" t="str">
        <f>IF(F366="","",VLOOKUP(F366,Productos!$A$2:$F$182,4,FALSE))</f>
        <v>Productos de la agricultura, la silvicultura y la pesca</v>
      </c>
      <c r="J366" s="2">
        <f>IF(F366="","",VLOOKUP(F366,Productos!$A$2:$F$182,5,FALSE))</f>
        <v>1</v>
      </c>
      <c r="K366" s="2" t="str">
        <f>IF(F366="","",VLOOKUP(F366,Productos!$A$2:$F$182,6,FALSE))</f>
        <v>Agropecuarios</v>
      </c>
      <c r="L366" s="2">
        <v>1</v>
      </c>
      <c r="M366" s="2" t="s">
        <v>14</v>
      </c>
      <c r="N366" s="2">
        <f>VLOOKUP(F366,Productos!$A$2:$J$182,5)</f>
        <v>1</v>
      </c>
      <c r="O366" s="2" t="str">
        <f>VLOOKUP(F366,Productos!$A$2:$J$182,6)</f>
        <v>Agropecuarios</v>
      </c>
    </row>
    <row r="367" spans="1:15">
      <c r="A367" s="2" t="s">
        <v>564</v>
      </c>
      <c r="B367" s="2" t="s">
        <v>559</v>
      </c>
      <c r="C367" s="2" t="s">
        <v>560</v>
      </c>
      <c r="D367" s="2" t="s">
        <v>561</v>
      </c>
      <c r="E367" s="2" t="s">
        <v>560</v>
      </c>
      <c r="F367" s="3">
        <v>4</v>
      </c>
      <c r="G367" s="2" t="s">
        <v>20</v>
      </c>
      <c r="H367" s="2" t="str">
        <f>IF(F367="","",VLOOKUP(F367,Productos!$A$2:$F$182,3,FALSE))</f>
        <v>0</v>
      </c>
      <c r="I367" s="2" t="str">
        <f>IF(F367="","",VLOOKUP(F367,Productos!$A$2:$F$182,4,FALSE))</f>
        <v>Productos de la agricultura, la silvicultura y la pesca</v>
      </c>
      <c r="J367" s="2">
        <f>IF(F367="","",VLOOKUP(F367,Productos!$A$2:$F$182,5,FALSE))</f>
        <v>1</v>
      </c>
      <c r="K367" s="2" t="str">
        <f>IF(F367="","",VLOOKUP(F367,Productos!$A$2:$F$182,6,FALSE))</f>
        <v>Agropecuarios</v>
      </c>
      <c r="L367" s="2">
        <v>1</v>
      </c>
      <c r="M367" s="2" t="s">
        <v>14</v>
      </c>
      <c r="N367" s="2">
        <f>VLOOKUP(F367,Productos!$A$2:$J$182,5)</f>
        <v>1</v>
      </c>
      <c r="O367" s="2" t="str">
        <f>VLOOKUP(F367,Productos!$A$2:$J$182,6)</f>
        <v>Agropecuarios</v>
      </c>
    </row>
    <row r="368" spans="1:15">
      <c r="A368" s="2" t="s">
        <v>565</v>
      </c>
      <c r="B368" s="2" t="s">
        <v>559</v>
      </c>
      <c r="C368" s="2" t="s">
        <v>560</v>
      </c>
      <c r="D368" s="2" t="s">
        <v>561</v>
      </c>
      <c r="E368" s="2" t="s">
        <v>560</v>
      </c>
      <c r="F368" s="3">
        <v>5</v>
      </c>
      <c r="G368" s="2" t="s">
        <v>22</v>
      </c>
      <c r="H368" s="2" t="str">
        <f>IF(F368="","",VLOOKUP(F368,Productos!$A$2:$F$182,3,FALSE))</f>
        <v>0</v>
      </c>
      <c r="I368" s="2" t="str">
        <f>IF(F368="","",VLOOKUP(F368,Productos!$A$2:$F$182,4,FALSE))</f>
        <v>Productos de la agricultura, la silvicultura y la pesca</v>
      </c>
      <c r="J368" s="2">
        <f>IF(F368="","",VLOOKUP(F368,Productos!$A$2:$F$182,5,FALSE))</f>
        <v>1</v>
      </c>
      <c r="K368" s="2" t="str">
        <f>IF(F368="","",VLOOKUP(F368,Productos!$A$2:$F$182,6,FALSE))</f>
        <v>Agropecuarios</v>
      </c>
      <c r="L368" s="2">
        <v>1</v>
      </c>
      <c r="M368" s="2" t="s">
        <v>14</v>
      </c>
      <c r="N368" s="2">
        <f>VLOOKUP(F368,Productos!$A$2:$J$182,5)</f>
        <v>1</v>
      </c>
      <c r="O368" s="2" t="str">
        <f>VLOOKUP(F368,Productos!$A$2:$J$182,6)</f>
        <v>Agropecuarios</v>
      </c>
    </row>
    <row r="369" spans="1:15">
      <c r="A369" s="2" t="s">
        <v>566</v>
      </c>
      <c r="B369" s="2" t="s">
        <v>559</v>
      </c>
      <c r="C369" s="2" t="s">
        <v>560</v>
      </c>
      <c r="D369" s="2" t="s">
        <v>561</v>
      </c>
      <c r="E369" s="2" t="s">
        <v>560</v>
      </c>
      <c r="F369" s="3">
        <v>6</v>
      </c>
      <c r="G369" s="2" t="s">
        <v>24</v>
      </c>
      <c r="H369" s="2" t="str">
        <f>IF(F369="","",VLOOKUP(F369,Productos!$A$2:$F$182,3,FALSE))</f>
        <v>0</v>
      </c>
      <c r="I369" s="2" t="str">
        <f>IF(F369="","",VLOOKUP(F369,Productos!$A$2:$F$182,4,FALSE))</f>
        <v>Productos de la agricultura, la silvicultura y la pesca</v>
      </c>
      <c r="J369" s="2">
        <f>IF(F369="","",VLOOKUP(F369,Productos!$A$2:$F$182,5,FALSE))</f>
        <v>1</v>
      </c>
      <c r="K369" s="2" t="str">
        <f>IF(F369="","",VLOOKUP(F369,Productos!$A$2:$F$182,6,FALSE))</f>
        <v>Agropecuarios</v>
      </c>
      <c r="L369" s="2">
        <v>1</v>
      </c>
      <c r="M369" s="2" t="s">
        <v>14</v>
      </c>
      <c r="N369" s="2">
        <f>VLOOKUP(F369,Productos!$A$2:$J$182,5)</f>
        <v>1</v>
      </c>
      <c r="O369" s="15" t="str">
        <f>VLOOKUP(F369,Productos!$A$2:$J$182,6)</f>
        <v>Agropecuarios</v>
      </c>
    </row>
    <row r="370" spans="1:15">
      <c r="A370" s="2" t="s">
        <v>567</v>
      </c>
      <c r="B370" s="2" t="s">
        <v>559</v>
      </c>
      <c r="C370" s="2" t="s">
        <v>560</v>
      </c>
      <c r="D370" s="2" t="s">
        <v>561</v>
      </c>
      <c r="E370" s="2" t="s">
        <v>560</v>
      </c>
      <c r="F370" s="3">
        <v>7</v>
      </c>
      <c r="G370" s="2" t="s">
        <v>26</v>
      </c>
      <c r="H370" s="2" t="str">
        <f>IF(F370="","",VLOOKUP(F370,Productos!$A$2:$F$182,3,FALSE))</f>
        <v>0</v>
      </c>
      <c r="I370" s="2" t="str">
        <f>IF(F370="","",VLOOKUP(F370,Productos!$A$2:$F$182,4,FALSE))</f>
        <v>Productos de la agricultura, la silvicultura y la pesca</v>
      </c>
      <c r="J370" s="2">
        <f>IF(F370="","",VLOOKUP(F370,Productos!$A$2:$F$182,5,FALSE))</f>
        <v>1</v>
      </c>
      <c r="K370" s="2" t="str">
        <f>IF(F370="","",VLOOKUP(F370,Productos!$A$2:$F$182,6,FALSE))</f>
        <v>Agropecuarios</v>
      </c>
      <c r="L370" s="2">
        <v>1</v>
      </c>
      <c r="M370" s="2" t="s">
        <v>14</v>
      </c>
      <c r="N370" s="2">
        <f>VLOOKUP(F370,Productos!$A$2:$J$182,5)</f>
        <v>1</v>
      </c>
      <c r="O370" s="2" t="str">
        <f>VLOOKUP(F370,Productos!$A$2:$J$182,6)</f>
        <v>Agropecuarios</v>
      </c>
    </row>
    <row r="371" spans="1:15">
      <c r="A371" s="2" t="s">
        <v>568</v>
      </c>
      <c r="B371" s="2" t="s">
        <v>559</v>
      </c>
      <c r="C371" s="2" t="s">
        <v>560</v>
      </c>
      <c r="D371" s="2" t="s">
        <v>561</v>
      </c>
      <c r="E371" s="2" t="s">
        <v>560</v>
      </c>
      <c r="F371" s="3">
        <v>8</v>
      </c>
      <c r="G371" s="2" t="s">
        <v>28</v>
      </c>
      <c r="H371" s="2" t="str">
        <f>IF(F371="","",VLOOKUP(F371,Productos!$A$2:$F$182,3,FALSE))</f>
        <v>0</v>
      </c>
      <c r="I371" s="2" t="str">
        <f>IF(F371="","",VLOOKUP(F371,Productos!$A$2:$F$182,4,FALSE))</f>
        <v>Productos de la agricultura, la silvicultura y la pesca</v>
      </c>
      <c r="J371" s="2">
        <f>IF(F371="","",VLOOKUP(F371,Productos!$A$2:$F$182,5,FALSE))</f>
        <v>1</v>
      </c>
      <c r="K371" s="2" t="str">
        <f>IF(F371="","",VLOOKUP(F371,Productos!$A$2:$F$182,6,FALSE))</f>
        <v>Agropecuarios</v>
      </c>
      <c r="L371" s="2">
        <v>1</v>
      </c>
      <c r="M371" s="2" t="s">
        <v>14</v>
      </c>
      <c r="N371" s="2">
        <f>VLOOKUP(F371,Productos!$A$2:$J$182,5)</f>
        <v>1</v>
      </c>
      <c r="O371" s="2" t="str">
        <f>VLOOKUP(F371,Productos!$A$2:$J$182,6)</f>
        <v>Agropecuarios</v>
      </c>
    </row>
    <row r="372" spans="1:15">
      <c r="A372" s="2" t="s">
        <v>569</v>
      </c>
      <c r="B372" s="2" t="s">
        <v>559</v>
      </c>
      <c r="C372" s="2" t="s">
        <v>560</v>
      </c>
      <c r="D372" s="2" t="s">
        <v>561</v>
      </c>
      <c r="E372" s="2" t="s">
        <v>560</v>
      </c>
      <c r="F372" s="3">
        <v>9</v>
      </c>
      <c r="G372" s="2" t="s">
        <v>30</v>
      </c>
      <c r="H372" s="2" t="str">
        <f>IF(F372="","",VLOOKUP(F372,Productos!$A$2:$F$182,3,FALSE))</f>
        <v>0</v>
      </c>
      <c r="I372" s="2" t="str">
        <f>IF(F372="","",VLOOKUP(F372,Productos!$A$2:$F$182,4,FALSE))</f>
        <v>Productos de la agricultura, la silvicultura y la pesca</v>
      </c>
      <c r="J372" s="2">
        <f>IF(F372="","",VLOOKUP(F372,Productos!$A$2:$F$182,5,FALSE))</f>
        <v>1</v>
      </c>
      <c r="K372" s="2" t="str">
        <f>IF(F372="","",VLOOKUP(F372,Productos!$A$2:$F$182,6,FALSE))</f>
        <v>Agropecuarios</v>
      </c>
      <c r="L372" s="2">
        <v>1</v>
      </c>
      <c r="M372" s="2" t="s">
        <v>14</v>
      </c>
      <c r="N372" s="2">
        <f>VLOOKUP(F372,Productos!$A$2:$J$182,5)</f>
        <v>1</v>
      </c>
      <c r="O372" s="2" t="str">
        <f>VLOOKUP(F372,Productos!$A$2:$J$182,6)</f>
        <v>Agropecuarios</v>
      </c>
    </row>
    <row r="373" spans="1:15">
      <c r="A373" s="2" t="s">
        <v>570</v>
      </c>
      <c r="B373" s="2" t="s">
        <v>559</v>
      </c>
      <c r="C373" s="2" t="s">
        <v>560</v>
      </c>
      <c r="D373" s="2" t="s">
        <v>561</v>
      </c>
      <c r="E373" s="2" t="s">
        <v>560</v>
      </c>
      <c r="F373" s="3">
        <v>10</v>
      </c>
      <c r="G373" s="2" t="s">
        <v>32</v>
      </c>
      <c r="H373" s="2" t="str">
        <f>IF(F373="","",VLOOKUP(F373,Productos!$A$2:$F$182,3,FALSE))</f>
        <v>0</v>
      </c>
      <c r="I373" s="2" t="str">
        <f>IF(F373="","",VLOOKUP(F373,Productos!$A$2:$F$182,4,FALSE))</f>
        <v>Productos de la agricultura, la silvicultura y la pesca</v>
      </c>
      <c r="J373" s="2">
        <f>IF(F373="","",VLOOKUP(F373,Productos!$A$2:$F$182,5,FALSE))</f>
        <v>1</v>
      </c>
      <c r="K373" s="2" t="str">
        <f>IF(F373="","",VLOOKUP(F373,Productos!$A$2:$F$182,6,FALSE))</f>
        <v>Agropecuarios</v>
      </c>
      <c r="L373" s="2">
        <v>1</v>
      </c>
      <c r="M373" s="2" t="s">
        <v>14</v>
      </c>
      <c r="N373" s="2">
        <f>VLOOKUP(F373,Productos!$A$2:$J$182,5)</f>
        <v>1</v>
      </c>
      <c r="O373" s="2" t="str">
        <f>VLOOKUP(F373,Productos!$A$2:$J$182,6)</f>
        <v>Agropecuarios</v>
      </c>
    </row>
    <row r="374" spans="1:15">
      <c r="A374" s="2" t="s">
        <v>571</v>
      </c>
      <c r="B374" s="2" t="s">
        <v>559</v>
      </c>
      <c r="C374" s="2" t="s">
        <v>560</v>
      </c>
      <c r="D374" s="2" t="s">
        <v>561</v>
      </c>
      <c r="E374" s="2" t="s">
        <v>560</v>
      </c>
      <c r="F374" s="3">
        <v>11</v>
      </c>
      <c r="G374" s="2" t="s">
        <v>34</v>
      </c>
      <c r="H374" s="2" t="str">
        <f>IF(F374="","",VLOOKUP(F374,Productos!$A$2:$F$182,3,FALSE))</f>
        <v>0</v>
      </c>
      <c r="I374" s="2" t="str">
        <f>IF(F374="","",VLOOKUP(F374,Productos!$A$2:$F$182,4,FALSE))</f>
        <v>Productos de la agricultura, la silvicultura y la pesca</v>
      </c>
      <c r="J374" s="2">
        <f>IF(F374="","",VLOOKUP(F374,Productos!$A$2:$F$182,5,FALSE))</f>
        <v>1</v>
      </c>
      <c r="K374" s="2" t="str">
        <f>IF(F374="","",VLOOKUP(F374,Productos!$A$2:$F$182,6,FALSE))</f>
        <v>Agropecuarios</v>
      </c>
      <c r="L374" s="2">
        <v>1</v>
      </c>
      <c r="M374" s="2" t="s">
        <v>14</v>
      </c>
      <c r="N374" s="2">
        <f>VLOOKUP(F374,Productos!$A$2:$J$182,5)</f>
        <v>1</v>
      </c>
      <c r="O374" s="2" t="str">
        <f>VLOOKUP(F374,Productos!$A$2:$J$182,6)</f>
        <v>Agropecuarios</v>
      </c>
    </row>
    <row r="375" spans="1:15">
      <c r="A375" s="2" t="s">
        <v>572</v>
      </c>
      <c r="B375" s="2" t="s">
        <v>559</v>
      </c>
      <c r="C375" s="2" t="s">
        <v>560</v>
      </c>
      <c r="D375" s="2" t="s">
        <v>561</v>
      </c>
      <c r="E375" s="2" t="s">
        <v>560</v>
      </c>
      <c r="F375" s="3">
        <v>12</v>
      </c>
      <c r="G375" s="2" t="s">
        <v>36</v>
      </c>
      <c r="H375" s="2" t="str">
        <f>IF(F375="","",VLOOKUP(F375,Productos!$A$2:$F$182,3,FALSE))</f>
        <v>0</v>
      </c>
      <c r="I375" s="2" t="str">
        <f>IF(F375="","",VLOOKUP(F375,Productos!$A$2:$F$182,4,FALSE))</f>
        <v>Productos de la agricultura, la silvicultura y la pesca</v>
      </c>
      <c r="J375" s="2">
        <f>IF(F375="","",VLOOKUP(F375,Productos!$A$2:$F$182,5,FALSE))</f>
        <v>1</v>
      </c>
      <c r="K375" s="2" t="str">
        <f>IF(F375="","",VLOOKUP(F375,Productos!$A$2:$F$182,6,FALSE))</f>
        <v>Agropecuarios</v>
      </c>
      <c r="L375" s="2">
        <v>1</v>
      </c>
      <c r="M375" s="2" t="s">
        <v>14</v>
      </c>
      <c r="N375" s="2">
        <f>VLOOKUP(F375,Productos!$A$2:$J$182,5)</f>
        <v>1</v>
      </c>
      <c r="O375" s="2" t="str">
        <f>VLOOKUP(F375,Productos!$A$2:$J$182,6)</f>
        <v>Agropecuarios</v>
      </c>
    </row>
    <row r="376" spans="1:15">
      <c r="A376" s="2" t="s">
        <v>573</v>
      </c>
      <c r="B376" s="2" t="s">
        <v>559</v>
      </c>
      <c r="C376" s="2" t="s">
        <v>560</v>
      </c>
      <c r="D376" s="2" t="s">
        <v>561</v>
      </c>
      <c r="E376" s="2" t="s">
        <v>560</v>
      </c>
      <c r="F376" s="3">
        <v>13</v>
      </c>
      <c r="G376" s="2" t="s">
        <v>38</v>
      </c>
      <c r="H376" s="2" t="str">
        <f>IF(F376="","",VLOOKUP(F376,Productos!$A$2:$F$182,3,FALSE))</f>
        <v>0</v>
      </c>
      <c r="I376" s="2" t="str">
        <f>IF(F376="","",VLOOKUP(F376,Productos!$A$2:$F$182,4,FALSE))</f>
        <v>Productos de la agricultura, la silvicultura y la pesca</v>
      </c>
      <c r="J376" s="2">
        <f>IF(F376="","",VLOOKUP(F376,Productos!$A$2:$F$182,5,FALSE))</f>
        <v>1</v>
      </c>
      <c r="K376" s="2" t="str">
        <f>IF(F376="","",VLOOKUP(F376,Productos!$A$2:$F$182,6,FALSE))</f>
        <v>Agropecuarios</v>
      </c>
      <c r="L376" s="2">
        <v>1</v>
      </c>
      <c r="M376" s="2" t="s">
        <v>14</v>
      </c>
      <c r="N376" s="2">
        <f>VLOOKUP(F376,Productos!$A$2:$J$182,5)</f>
        <v>1</v>
      </c>
      <c r="O376" s="2" t="str">
        <f>VLOOKUP(F376,Productos!$A$2:$J$182,6)</f>
        <v>Agropecuarios</v>
      </c>
    </row>
    <row r="377" spans="1:15">
      <c r="A377" s="2" t="s">
        <v>574</v>
      </c>
      <c r="B377" s="2" t="s">
        <v>559</v>
      </c>
      <c r="C377" s="2" t="s">
        <v>560</v>
      </c>
      <c r="D377" s="2" t="s">
        <v>561</v>
      </c>
      <c r="E377" s="2" t="s">
        <v>560</v>
      </c>
      <c r="F377" s="3">
        <v>14</v>
      </c>
      <c r="G377" s="2" t="s">
        <v>40</v>
      </c>
      <c r="H377" s="2" t="str">
        <f>IF(F377="","",VLOOKUP(F377,Productos!$A$2:$F$182,3,FALSE))</f>
        <v>0</v>
      </c>
      <c r="I377" s="2" t="str">
        <f>IF(F377="","",VLOOKUP(F377,Productos!$A$2:$F$182,4,FALSE))</f>
        <v>Productos de la agricultura, la silvicultura y la pesca</v>
      </c>
      <c r="J377" s="2">
        <f>IF(F377="","",VLOOKUP(F377,Productos!$A$2:$F$182,5,FALSE))</f>
        <v>1</v>
      </c>
      <c r="K377" s="2" t="str">
        <f>IF(F377="","",VLOOKUP(F377,Productos!$A$2:$F$182,6,FALSE))</f>
        <v>Agropecuarios</v>
      </c>
      <c r="L377" s="2">
        <v>1</v>
      </c>
      <c r="M377" s="2" t="s">
        <v>14</v>
      </c>
      <c r="N377" s="2">
        <f>VLOOKUP(F377,Productos!$A$2:$J$182,5)</f>
        <v>1</v>
      </c>
      <c r="O377" s="2" t="str">
        <f>VLOOKUP(F377,Productos!$A$2:$J$182,6)</f>
        <v>Agropecuarios</v>
      </c>
    </row>
    <row r="378" spans="1:15">
      <c r="A378" s="2" t="s">
        <v>575</v>
      </c>
      <c r="B378" s="2" t="s">
        <v>559</v>
      </c>
      <c r="C378" s="2" t="s">
        <v>560</v>
      </c>
      <c r="D378" s="2" t="s">
        <v>561</v>
      </c>
      <c r="E378" s="2" t="s">
        <v>560</v>
      </c>
      <c r="F378" s="3">
        <v>15</v>
      </c>
      <c r="G378" s="2" t="s">
        <v>42</v>
      </c>
      <c r="H378" s="2" t="str">
        <f>IF(F378="","",VLOOKUP(F378,Productos!$A$2:$F$182,3,FALSE))</f>
        <v>0</v>
      </c>
      <c r="I378" s="2" t="str">
        <f>IF(F378="","",VLOOKUP(F378,Productos!$A$2:$F$182,4,FALSE))</f>
        <v>Productos de la agricultura, la silvicultura y la pesca</v>
      </c>
      <c r="J378" s="2">
        <f>IF(F378="","",VLOOKUP(F378,Productos!$A$2:$F$182,5,FALSE))</f>
        <v>1</v>
      </c>
      <c r="K378" s="2" t="str">
        <f>IF(F378="","",VLOOKUP(F378,Productos!$A$2:$F$182,6,FALSE))</f>
        <v>Agropecuarios</v>
      </c>
      <c r="L378" s="2">
        <v>1</v>
      </c>
      <c r="M378" s="2" t="s">
        <v>14</v>
      </c>
      <c r="N378" s="2">
        <f>VLOOKUP(F378,Productos!$A$2:$J$182,5)</f>
        <v>1</v>
      </c>
      <c r="O378" s="2" t="str">
        <f>VLOOKUP(F378,Productos!$A$2:$J$182,6)</f>
        <v>Agropecuarios</v>
      </c>
    </row>
    <row r="379" spans="1:15">
      <c r="A379" s="2" t="s">
        <v>576</v>
      </c>
      <c r="B379" s="2" t="s">
        <v>559</v>
      </c>
      <c r="C379" s="2" t="s">
        <v>560</v>
      </c>
      <c r="D379" s="2" t="s">
        <v>561</v>
      </c>
      <c r="E379" s="2" t="s">
        <v>560</v>
      </c>
      <c r="F379" s="3">
        <v>16</v>
      </c>
      <c r="G379" s="2" t="s">
        <v>44</v>
      </c>
      <c r="H379" s="2" t="str">
        <f>IF(F379="","",VLOOKUP(F379,Productos!$A$2:$F$182,3,FALSE))</f>
        <v>0</v>
      </c>
      <c r="I379" s="2" t="str">
        <f>IF(F379="","",VLOOKUP(F379,Productos!$A$2:$F$182,4,FALSE))</f>
        <v>Productos de la agricultura, la silvicultura y la pesca</v>
      </c>
      <c r="J379" s="2">
        <f>IF(F379="","",VLOOKUP(F379,Productos!$A$2:$F$182,5,FALSE))</f>
        <v>1</v>
      </c>
      <c r="K379" s="2" t="str">
        <f>IF(F379="","",VLOOKUP(F379,Productos!$A$2:$F$182,6,FALSE))</f>
        <v>Agropecuarios</v>
      </c>
      <c r="L379" s="2">
        <v>1</v>
      </c>
      <c r="M379" s="2" t="s">
        <v>14</v>
      </c>
      <c r="N379" s="2">
        <f>VLOOKUP(F379,Productos!$A$2:$J$182,5)</f>
        <v>1</v>
      </c>
      <c r="O379" s="2" t="str">
        <f>VLOOKUP(F379,Productos!$A$2:$J$182,6)</f>
        <v>Agropecuarios</v>
      </c>
    </row>
    <row r="380" spans="1:15">
      <c r="A380" s="2" t="s">
        <v>577</v>
      </c>
      <c r="B380" s="2" t="s">
        <v>559</v>
      </c>
      <c r="C380" s="2" t="s">
        <v>560</v>
      </c>
      <c r="D380" s="2" t="s">
        <v>561</v>
      </c>
      <c r="E380" s="2" t="s">
        <v>560</v>
      </c>
      <c r="F380" s="3">
        <v>17</v>
      </c>
      <c r="G380" s="2" t="s">
        <v>46</v>
      </c>
      <c r="H380" s="2" t="str">
        <f>IF(F380="","",VLOOKUP(F380,Productos!$A$2:$F$182,3,FALSE))</f>
        <v>0</v>
      </c>
      <c r="I380" s="2" t="str">
        <f>IF(F380="","",VLOOKUP(F380,Productos!$A$2:$F$182,4,FALSE))</f>
        <v>Productos de la agricultura, la silvicultura y la pesca</v>
      </c>
      <c r="J380" s="2">
        <f>IF(F380="","",VLOOKUP(F380,Productos!$A$2:$F$182,5,FALSE))</f>
        <v>1</v>
      </c>
      <c r="K380" s="2" t="str">
        <f>IF(F380="","",VLOOKUP(F380,Productos!$A$2:$F$182,6,FALSE))</f>
        <v>Agropecuarios</v>
      </c>
      <c r="L380" s="2">
        <v>1</v>
      </c>
      <c r="M380" s="2" t="s">
        <v>14</v>
      </c>
      <c r="N380" s="2">
        <f>VLOOKUP(F380,Productos!$A$2:$J$182,5)</f>
        <v>1</v>
      </c>
      <c r="O380" s="2" t="str">
        <f>VLOOKUP(F380,Productos!$A$2:$J$182,6)</f>
        <v>Agropecuarios</v>
      </c>
    </row>
    <row r="381" spans="1:15">
      <c r="A381" s="2" t="s">
        <v>578</v>
      </c>
      <c r="B381" s="2" t="s">
        <v>559</v>
      </c>
      <c r="C381" s="2" t="s">
        <v>560</v>
      </c>
      <c r="D381" s="2" t="s">
        <v>561</v>
      </c>
      <c r="E381" s="2" t="s">
        <v>560</v>
      </c>
      <c r="F381" s="3">
        <v>18</v>
      </c>
      <c r="G381" s="2" t="s">
        <v>48</v>
      </c>
      <c r="H381" s="2" t="str">
        <f>IF(F381="","",VLOOKUP(F381,Productos!$A$2:$F$182,3,FALSE))</f>
        <v>0</v>
      </c>
      <c r="I381" s="2" t="str">
        <f>IF(F381="","",VLOOKUP(F381,Productos!$A$2:$F$182,4,FALSE))</f>
        <v>Productos de la agricultura, la silvicultura y la pesca</v>
      </c>
      <c r="J381" s="2">
        <f>IF(F381="","",VLOOKUP(F381,Productos!$A$2:$F$182,5,FALSE))</f>
        <v>1</v>
      </c>
      <c r="K381" s="2" t="str">
        <f>IF(F381="","",VLOOKUP(F381,Productos!$A$2:$F$182,6,FALSE))</f>
        <v>Agropecuarios</v>
      </c>
      <c r="L381" s="2">
        <v>1</v>
      </c>
      <c r="M381" s="2" t="s">
        <v>14</v>
      </c>
      <c r="N381" s="2">
        <f>VLOOKUP(F381,Productos!$A$2:$J$182,5)</f>
        <v>1</v>
      </c>
      <c r="O381" s="2" t="str">
        <f>VLOOKUP(F381,Productos!$A$2:$J$182,6)</f>
        <v>Agropecuarios</v>
      </c>
    </row>
    <row r="382" spans="1:15">
      <c r="A382" s="2" t="s">
        <v>579</v>
      </c>
      <c r="B382" s="2" t="s">
        <v>559</v>
      </c>
      <c r="C382" s="2" t="s">
        <v>560</v>
      </c>
      <c r="D382" s="2" t="s">
        <v>561</v>
      </c>
      <c r="E382" s="2" t="s">
        <v>560</v>
      </c>
      <c r="F382" s="3">
        <v>19</v>
      </c>
      <c r="G382" s="2" t="s">
        <v>50</v>
      </c>
      <c r="H382" s="2" t="str">
        <f>IF(F382="","",VLOOKUP(F382,Productos!$A$2:$F$182,3,FALSE))</f>
        <v>0</v>
      </c>
      <c r="I382" s="2" t="str">
        <f>IF(F382="","",VLOOKUP(F382,Productos!$A$2:$F$182,4,FALSE))</f>
        <v>Productos de la agricultura, la silvicultura y la pesca</v>
      </c>
      <c r="J382" s="2">
        <f>IF(F382="","",VLOOKUP(F382,Productos!$A$2:$F$182,5,FALSE))</f>
        <v>1</v>
      </c>
      <c r="K382" s="2" t="str">
        <f>IF(F382="","",VLOOKUP(F382,Productos!$A$2:$F$182,6,FALSE))</f>
        <v>Agropecuarios</v>
      </c>
      <c r="L382" s="2">
        <v>1</v>
      </c>
      <c r="M382" s="2" t="s">
        <v>14</v>
      </c>
      <c r="N382" s="2">
        <f>VLOOKUP(F382,Productos!$A$2:$J$182,5)</f>
        <v>1</v>
      </c>
      <c r="O382" s="2" t="str">
        <f>VLOOKUP(F382,Productos!$A$2:$J$182,6)</f>
        <v>Agropecuarios</v>
      </c>
    </row>
    <row r="383" spans="1:15">
      <c r="A383" s="2" t="s">
        <v>580</v>
      </c>
      <c r="B383" s="2" t="s">
        <v>559</v>
      </c>
      <c r="C383" s="2" t="s">
        <v>560</v>
      </c>
      <c r="D383" s="2" t="s">
        <v>561</v>
      </c>
      <c r="E383" s="2" t="s">
        <v>560</v>
      </c>
      <c r="F383" s="3">
        <v>20</v>
      </c>
      <c r="G383" s="2" t="s">
        <v>52</v>
      </c>
      <c r="H383" s="2" t="str">
        <f>IF(F383="","",VLOOKUP(F383,Productos!$A$2:$F$182,3,FALSE))</f>
        <v>0</v>
      </c>
      <c r="I383" s="2" t="str">
        <f>IF(F383="","",VLOOKUP(F383,Productos!$A$2:$F$182,4,FALSE))</f>
        <v>Productos de la agricultura, la silvicultura y la pesca</v>
      </c>
      <c r="J383" s="2">
        <f>IF(F383="","",VLOOKUP(F383,Productos!$A$2:$F$182,5,FALSE))</f>
        <v>1</v>
      </c>
      <c r="K383" s="2" t="str">
        <f>IF(F383="","",VLOOKUP(F383,Productos!$A$2:$F$182,6,FALSE))</f>
        <v>Agropecuarios</v>
      </c>
      <c r="L383" s="2">
        <v>1</v>
      </c>
      <c r="M383" s="2" t="s">
        <v>14</v>
      </c>
      <c r="N383" s="2">
        <f>VLOOKUP(F383,Productos!$A$2:$J$182,5)</f>
        <v>1</v>
      </c>
      <c r="O383" s="2" t="str">
        <f>VLOOKUP(F383,Productos!$A$2:$J$182,6)</f>
        <v>Agropecuarios</v>
      </c>
    </row>
    <row r="384" spans="1:15">
      <c r="A384" s="2" t="s">
        <v>581</v>
      </c>
      <c r="B384" s="2" t="s">
        <v>559</v>
      </c>
      <c r="C384" s="2" t="s">
        <v>560</v>
      </c>
      <c r="D384" s="2" t="s">
        <v>561</v>
      </c>
      <c r="E384" s="2" t="s">
        <v>560</v>
      </c>
      <c r="F384" s="3">
        <v>21</v>
      </c>
      <c r="G384" s="2" t="s">
        <v>54</v>
      </c>
      <c r="H384" s="2" t="str">
        <f>IF(F384="","",VLOOKUP(F384,Productos!$A$2:$F$182,3,FALSE))</f>
        <v>0</v>
      </c>
      <c r="I384" s="2" t="str">
        <f>IF(F384="","",VLOOKUP(F384,Productos!$A$2:$F$182,4,FALSE))</f>
        <v>Productos de la agricultura, la silvicultura y la pesca</v>
      </c>
      <c r="J384" s="2">
        <f>IF(F384="","",VLOOKUP(F384,Productos!$A$2:$F$182,5,FALSE))</f>
        <v>1</v>
      </c>
      <c r="K384" s="2" t="str">
        <f>IF(F384="","",VLOOKUP(F384,Productos!$A$2:$F$182,6,FALSE))</f>
        <v>Agropecuarios</v>
      </c>
      <c r="L384" s="2">
        <v>1</v>
      </c>
      <c r="M384" s="2" t="s">
        <v>14</v>
      </c>
      <c r="N384" s="2">
        <f>VLOOKUP(F384,Productos!$A$2:$J$182,5)</f>
        <v>1</v>
      </c>
      <c r="O384" s="2" t="str">
        <f>VLOOKUP(F384,Productos!$A$2:$J$182,6)</f>
        <v>Agropecuarios</v>
      </c>
    </row>
    <row r="385" spans="1:15">
      <c r="A385" s="2" t="s">
        <v>582</v>
      </c>
      <c r="B385" s="2" t="s">
        <v>559</v>
      </c>
      <c r="C385" s="2" t="s">
        <v>560</v>
      </c>
      <c r="D385" s="2" t="s">
        <v>561</v>
      </c>
      <c r="E385" s="2" t="s">
        <v>560</v>
      </c>
      <c r="F385" s="3">
        <v>22</v>
      </c>
      <c r="G385" s="2" t="s">
        <v>56</v>
      </c>
      <c r="H385" s="2" t="str">
        <f>IF(F385="","",VLOOKUP(F385,Productos!$A$2:$F$182,3,FALSE))</f>
        <v>0</v>
      </c>
      <c r="I385" s="2" t="str">
        <f>IF(F385="","",VLOOKUP(F385,Productos!$A$2:$F$182,4,FALSE))</f>
        <v>Productos de la agricultura, la silvicultura y la pesca</v>
      </c>
      <c r="J385" s="2">
        <f>IF(F385="","",VLOOKUP(F385,Productos!$A$2:$F$182,5,FALSE))</f>
        <v>1</v>
      </c>
      <c r="K385" s="2" t="str">
        <f>IF(F385="","",VLOOKUP(F385,Productos!$A$2:$F$182,6,FALSE))</f>
        <v>Agropecuarios</v>
      </c>
      <c r="L385" s="2">
        <v>1</v>
      </c>
      <c r="M385" s="2" t="s">
        <v>14</v>
      </c>
      <c r="N385" s="2">
        <f>VLOOKUP(F385,Productos!$A$2:$J$182,5)</f>
        <v>1</v>
      </c>
      <c r="O385" s="2" t="str">
        <f>VLOOKUP(F385,Productos!$A$2:$J$182,6)</f>
        <v>Agropecuarios</v>
      </c>
    </row>
    <row r="386" spans="1:15">
      <c r="A386" s="2" t="s">
        <v>583</v>
      </c>
      <c r="B386" s="2" t="s">
        <v>559</v>
      </c>
      <c r="C386" s="2" t="s">
        <v>560</v>
      </c>
      <c r="D386" s="2" t="s">
        <v>561</v>
      </c>
      <c r="E386" s="2" t="s">
        <v>560</v>
      </c>
      <c r="F386" s="3">
        <v>23</v>
      </c>
      <c r="G386" s="2" t="s">
        <v>58</v>
      </c>
      <c r="H386" s="2" t="str">
        <f>IF(F386="","",VLOOKUP(F386,Productos!$A$2:$F$182,3,FALSE))</f>
        <v>0</v>
      </c>
      <c r="I386" s="2" t="str">
        <f>IF(F386="","",VLOOKUP(F386,Productos!$A$2:$F$182,4,FALSE))</f>
        <v>Productos de la agricultura, la silvicultura y la pesca</v>
      </c>
      <c r="J386" s="2">
        <f>IF(F386="","",VLOOKUP(F386,Productos!$A$2:$F$182,5,FALSE))</f>
        <v>1</v>
      </c>
      <c r="K386" s="2" t="str">
        <f>IF(F386="","",VLOOKUP(F386,Productos!$A$2:$F$182,6,FALSE))</f>
        <v>Agropecuarios</v>
      </c>
      <c r="L386" s="2">
        <v>1</v>
      </c>
      <c r="M386" s="2" t="s">
        <v>14</v>
      </c>
      <c r="N386" s="2">
        <f>VLOOKUP(F386,Productos!$A$2:$J$182,5)</f>
        <v>1</v>
      </c>
      <c r="O386" s="2" t="str">
        <f>VLOOKUP(F386,Productos!$A$2:$J$182,6)</f>
        <v>Agropecuarios</v>
      </c>
    </row>
    <row r="387" spans="1:15">
      <c r="A387" s="2" t="s">
        <v>584</v>
      </c>
      <c r="B387" s="2" t="s">
        <v>559</v>
      </c>
      <c r="C387" s="2" t="s">
        <v>560</v>
      </c>
      <c r="D387" s="2" t="s">
        <v>561</v>
      </c>
      <c r="E387" s="2" t="s">
        <v>560</v>
      </c>
      <c r="F387" s="3">
        <v>24</v>
      </c>
      <c r="G387" s="2" t="s">
        <v>60</v>
      </c>
      <c r="H387" s="2" t="str">
        <f>IF(F387="","",VLOOKUP(F387,Productos!$A$2:$F$182,3,FALSE))</f>
        <v>0</v>
      </c>
      <c r="I387" s="2" t="str">
        <f>IF(F387="","",VLOOKUP(F387,Productos!$A$2:$F$182,4,FALSE))</f>
        <v>Productos de la agricultura, la silvicultura y la pesca</v>
      </c>
      <c r="J387" s="2">
        <f>IF(F387="","",VLOOKUP(F387,Productos!$A$2:$F$182,5,FALSE))</f>
        <v>1</v>
      </c>
      <c r="K387" s="2" t="str">
        <f>IF(F387="","",VLOOKUP(F387,Productos!$A$2:$F$182,6,FALSE))</f>
        <v>Agropecuarios</v>
      </c>
      <c r="L387" s="2">
        <v>1</v>
      </c>
      <c r="M387" s="2" t="s">
        <v>14</v>
      </c>
      <c r="N387" s="2">
        <f>VLOOKUP(F387,Productos!$A$2:$J$182,5)</f>
        <v>1</v>
      </c>
      <c r="O387" s="2" t="str">
        <f>VLOOKUP(F387,Productos!$A$2:$J$182,6)</f>
        <v>Agropecuarios</v>
      </c>
    </row>
    <row r="388" spans="1:15">
      <c r="A388" s="2" t="s">
        <v>585</v>
      </c>
      <c r="B388" s="2" t="s">
        <v>559</v>
      </c>
      <c r="C388" s="2" t="s">
        <v>560</v>
      </c>
      <c r="D388" s="2" t="s">
        <v>561</v>
      </c>
      <c r="E388" s="2" t="s">
        <v>560</v>
      </c>
      <c r="F388" s="3">
        <v>25</v>
      </c>
      <c r="G388" s="2" t="s">
        <v>62</v>
      </c>
      <c r="H388" s="2" t="str">
        <f>IF(F388="","",VLOOKUP(F388,Productos!$A$2:$F$182,3,FALSE))</f>
        <v>0</v>
      </c>
      <c r="I388" s="2" t="str">
        <f>IF(F388="","",VLOOKUP(F388,Productos!$A$2:$F$182,4,FALSE))</f>
        <v>Productos de la agricultura, la silvicultura y la pesca</v>
      </c>
      <c r="J388" s="2">
        <f>IF(F388="","",VLOOKUP(F388,Productos!$A$2:$F$182,5,FALSE))</f>
        <v>1</v>
      </c>
      <c r="K388" s="2" t="str">
        <f>IF(F388="","",VLOOKUP(F388,Productos!$A$2:$F$182,6,FALSE))</f>
        <v>Agropecuarios</v>
      </c>
      <c r="L388" s="2">
        <v>1</v>
      </c>
      <c r="M388" s="2" t="s">
        <v>14</v>
      </c>
      <c r="N388" s="2">
        <f>VLOOKUP(F388,Productos!$A$2:$J$182,5)</f>
        <v>1</v>
      </c>
      <c r="O388" s="2" t="str">
        <f>VLOOKUP(F388,Productos!$A$2:$J$182,6)</f>
        <v>Agropecuarios</v>
      </c>
    </row>
    <row r="389" spans="1:15">
      <c r="A389" s="2" t="s">
        <v>586</v>
      </c>
      <c r="B389" s="2" t="s">
        <v>559</v>
      </c>
      <c r="C389" s="2" t="s">
        <v>560</v>
      </c>
      <c r="D389" s="2" t="s">
        <v>561</v>
      </c>
      <c r="E389" s="2" t="s">
        <v>560</v>
      </c>
      <c r="F389" s="3">
        <v>26</v>
      </c>
      <c r="G389" s="2" t="s">
        <v>64</v>
      </c>
      <c r="H389" s="2" t="str">
        <f>IF(F389="","",VLOOKUP(F389,Productos!$A$2:$F$182,3,FALSE))</f>
        <v>0</v>
      </c>
      <c r="I389" s="2" t="str">
        <f>IF(F389="","",VLOOKUP(F389,Productos!$A$2:$F$182,4,FALSE))</f>
        <v>Productos de la agricultura, la silvicultura y la pesca</v>
      </c>
      <c r="J389" s="2">
        <f>IF(F389="","",VLOOKUP(F389,Productos!$A$2:$F$182,5,FALSE))</f>
        <v>1</v>
      </c>
      <c r="K389" s="2" t="str">
        <f>IF(F389="","",VLOOKUP(F389,Productos!$A$2:$F$182,6,FALSE))</f>
        <v>Agropecuarios</v>
      </c>
      <c r="L389" s="2">
        <v>1</v>
      </c>
      <c r="M389" s="2" t="s">
        <v>14</v>
      </c>
      <c r="N389" s="2">
        <f>VLOOKUP(F389,Productos!$A$2:$J$182,5)</f>
        <v>1</v>
      </c>
      <c r="O389" s="2" t="str">
        <f>VLOOKUP(F389,Productos!$A$2:$J$182,6)</f>
        <v>Agropecuarios</v>
      </c>
    </row>
    <row r="390" spans="1:15">
      <c r="A390" s="2" t="s">
        <v>587</v>
      </c>
      <c r="B390" s="2" t="s">
        <v>559</v>
      </c>
      <c r="C390" s="2" t="s">
        <v>560</v>
      </c>
      <c r="D390" s="2" t="s">
        <v>561</v>
      </c>
      <c r="E390" s="2" t="s">
        <v>560</v>
      </c>
      <c r="F390" s="3">
        <v>27</v>
      </c>
      <c r="G390" s="2" t="s">
        <v>66</v>
      </c>
      <c r="H390" s="2" t="str">
        <f>IF(F390="","",VLOOKUP(F390,Productos!$A$2:$F$182,3,FALSE))</f>
        <v>1</v>
      </c>
      <c r="I390" s="2" t="str">
        <f>IF(F390="","",VLOOKUP(F390,Productos!$A$2:$F$182,4,FALSE))</f>
        <v>Minerales; electricidad, gas y agua</v>
      </c>
      <c r="J390" s="2">
        <f>IF(F390="","",VLOOKUP(F390,Productos!$A$2:$F$182,5,FALSE))</f>
        <v>2</v>
      </c>
      <c r="K390" s="2" t="str">
        <f>IF(F390="","",VLOOKUP(F390,Productos!$A$2:$F$182,6,FALSE))</f>
        <v>Minería</v>
      </c>
      <c r="L390" s="2">
        <v>3</v>
      </c>
      <c r="M390" s="2" t="s">
        <v>67</v>
      </c>
      <c r="N390" s="2">
        <f>VLOOKUP(F390,Productos!$A$2:$J$182,5)</f>
        <v>2</v>
      </c>
      <c r="O390" s="2" t="str">
        <f>VLOOKUP(F390,Productos!$A$2:$J$182,6)</f>
        <v>Minería</v>
      </c>
    </row>
    <row r="391" spans="1:15">
      <c r="A391" s="2" t="s">
        <v>588</v>
      </c>
      <c r="B391" s="2" t="s">
        <v>559</v>
      </c>
      <c r="C391" s="2" t="s">
        <v>560</v>
      </c>
      <c r="D391" s="2" t="s">
        <v>561</v>
      </c>
      <c r="E391" s="2" t="s">
        <v>560</v>
      </c>
      <c r="F391" s="3">
        <v>28</v>
      </c>
      <c r="G391" s="2" t="s">
        <v>69</v>
      </c>
      <c r="H391" s="2" t="str">
        <f>IF(F391="","",VLOOKUP(F391,Productos!$A$2:$F$182,3,FALSE))</f>
        <v>1</v>
      </c>
      <c r="I391" s="2" t="str">
        <f>IF(F391="","",VLOOKUP(F391,Productos!$A$2:$F$182,4,FALSE))</f>
        <v>Minerales; electricidad, gas y agua</v>
      </c>
      <c r="J391" s="2">
        <f>IF(F391="","",VLOOKUP(F391,Productos!$A$2:$F$182,5,FALSE))</f>
        <v>2</v>
      </c>
      <c r="K391" s="2" t="str">
        <f>IF(F391="","",VLOOKUP(F391,Productos!$A$2:$F$182,6,FALSE))</f>
        <v>Minería</v>
      </c>
      <c r="L391" s="2">
        <v>3</v>
      </c>
      <c r="M391" s="2" t="s">
        <v>67</v>
      </c>
      <c r="N391" s="2">
        <f>VLOOKUP(F391,Productos!$A$2:$J$182,5)</f>
        <v>2</v>
      </c>
      <c r="O391" s="2" t="str">
        <f>VLOOKUP(F391,Productos!$A$2:$J$182,6)</f>
        <v>Minería</v>
      </c>
    </row>
    <row r="392" spans="1:15">
      <c r="A392" s="2" t="s">
        <v>589</v>
      </c>
      <c r="B392" s="2" t="s">
        <v>559</v>
      </c>
      <c r="C392" s="2" t="s">
        <v>560</v>
      </c>
      <c r="D392" s="2" t="s">
        <v>561</v>
      </c>
      <c r="E392" s="2" t="s">
        <v>560</v>
      </c>
      <c r="F392" s="3">
        <v>29</v>
      </c>
      <c r="G392" s="2" t="s">
        <v>71</v>
      </c>
      <c r="H392" s="2" t="str">
        <f>IF(F392="","",VLOOKUP(F392,Productos!$A$2:$F$182,3,FALSE))</f>
        <v>1</v>
      </c>
      <c r="I392" s="2" t="str">
        <f>IF(F392="","",VLOOKUP(F392,Productos!$A$2:$F$182,4,FALSE))</f>
        <v>Minerales; electricidad, gas y agua</v>
      </c>
      <c r="J392" s="2">
        <f>IF(F392="","",VLOOKUP(F392,Productos!$A$2:$F$182,5,FALSE))</f>
        <v>2</v>
      </c>
      <c r="K392" s="2" t="str">
        <f>IF(F392="","",VLOOKUP(F392,Productos!$A$2:$F$182,6,FALSE))</f>
        <v>Minería</v>
      </c>
      <c r="L392" s="2">
        <v>3</v>
      </c>
      <c r="M392" s="2" t="s">
        <v>67</v>
      </c>
      <c r="N392" s="2">
        <f>VLOOKUP(F392,Productos!$A$2:$J$182,5)</f>
        <v>2</v>
      </c>
      <c r="O392" s="2" t="str">
        <f>VLOOKUP(F392,Productos!$A$2:$J$182,6)</f>
        <v>Minería</v>
      </c>
    </row>
    <row r="393" spans="1:15">
      <c r="A393" s="2" t="s">
        <v>590</v>
      </c>
      <c r="B393" s="2" t="s">
        <v>559</v>
      </c>
      <c r="C393" s="2" t="s">
        <v>560</v>
      </c>
      <c r="D393" s="2" t="s">
        <v>561</v>
      </c>
      <c r="E393" s="2" t="s">
        <v>560</v>
      </c>
      <c r="F393" s="3">
        <v>30</v>
      </c>
      <c r="G393" s="2" t="s">
        <v>73</v>
      </c>
      <c r="H393" s="2" t="str">
        <f>IF(F393="","",VLOOKUP(F393,Productos!$A$2:$F$182,3,FALSE))</f>
        <v>1</v>
      </c>
      <c r="I393" s="2" t="str">
        <f>IF(F393="","",VLOOKUP(F393,Productos!$A$2:$F$182,4,FALSE))</f>
        <v>Minerales; electricidad, gas y agua</v>
      </c>
      <c r="J393" s="2">
        <f>IF(F393="","",VLOOKUP(F393,Productos!$A$2:$F$182,5,FALSE))</f>
        <v>2</v>
      </c>
      <c r="K393" s="2" t="str">
        <f>IF(F393="","",VLOOKUP(F393,Productos!$A$2:$F$182,6,FALSE))</f>
        <v>Minería</v>
      </c>
      <c r="L393" s="2">
        <v>3</v>
      </c>
      <c r="M393" s="2" t="s">
        <v>67</v>
      </c>
      <c r="N393" s="2">
        <f>VLOOKUP(F393,Productos!$A$2:$J$182,5)</f>
        <v>2</v>
      </c>
      <c r="O393" s="2" t="str">
        <f>VLOOKUP(F393,Productos!$A$2:$J$182,6)</f>
        <v>Minería</v>
      </c>
    </row>
    <row r="394" spans="1:15">
      <c r="A394" s="2" t="s">
        <v>591</v>
      </c>
      <c r="B394" s="2" t="s">
        <v>559</v>
      </c>
      <c r="C394" s="2" t="s">
        <v>560</v>
      </c>
      <c r="D394" s="2" t="s">
        <v>561</v>
      </c>
      <c r="E394" s="2" t="s">
        <v>560</v>
      </c>
      <c r="F394" s="3">
        <v>31</v>
      </c>
      <c r="G394" s="2" t="s">
        <v>75</v>
      </c>
      <c r="H394" s="2" t="str">
        <f>IF(F394="","",VLOOKUP(F394,Productos!$A$2:$F$182,3,FALSE))</f>
        <v>1</v>
      </c>
      <c r="I394" s="2" t="str">
        <f>IF(F394="","",VLOOKUP(F394,Productos!$A$2:$F$182,4,FALSE))</f>
        <v>Minerales; electricidad, gas y agua</v>
      </c>
      <c r="J394" s="2">
        <f>IF(F394="","",VLOOKUP(F394,Productos!$A$2:$F$182,5,FALSE))</f>
        <v>2</v>
      </c>
      <c r="K394" s="2" t="str">
        <f>IF(F394="","",VLOOKUP(F394,Productos!$A$2:$F$182,6,FALSE))</f>
        <v>Minería</v>
      </c>
      <c r="L394" s="2">
        <v>3</v>
      </c>
      <c r="M394" s="2" t="s">
        <v>67</v>
      </c>
      <c r="N394" s="2">
        <f>VLOOKUP(F394,Productos!$A$2:$J$182,5)</f>
        <v>2</v>
      </c>
      <c r="O394" s="2" t="str">
        <f>VLOOKUP(F394,Productos!$A$2:$J$182,6)</f>
        <v>Minería</v>
      </c>
    </row>
    <row r="395" spans="1:15">
      <c r="A395" s="2" t="s">
        <v>592</v>
      </c>
      <c r="B395" s="2" t="s">
        <v>559</v>
      </c>
      <c r="C395" s="2" t="s">
        <v>560</v>
      </c>
      <c r="D395" s="2" t="s">
        <v>561</v>
      </c>
      <c r="E395" s="2" t="s">
        <v>560</v>
      </c>
      <c r="F395" s="3">
        <v>32</v>
      </c>
      <c r="G395" s="2" t="s">
        <v>77</v>
      </c>
      <c r="H395" s="2" t="str">
        <f>IF(F395="","",VLOOKUP(F395,Productos!$A$2:$F$182,3,FALSE))</f>
        <v>1</v>
      </c>
      <c r="I395" s="2" t="str">
        <f>IF(F395="","",VLOOKUP(F395,Productos!$A$2:$F$182,4,FALSE))</f>
        <v>Minerales; electricidad, gas y agua</v>
      </c>
      <c r="J395" s="2">
        <f>IF(F395="","",VLOOKUP(F395,Productos!$A$2:$F$182,5,FALSE))</f>
        <v>2</v>
      </c>
      <c r="K395" s="2" t="str">
        <f>IF(F395="","",VLOOKUP(F395,Productos!$A$2:$F$182,6,FALSE))</f>
        <v>Minería</v>
      </c>
      <c r="L395" s="2">
        <v>3</v>
      </c>
      <c r="M395" s="2" t="s">
        <v>67</v>
      </c>
      <c r="N395" s="2">
        <f>VLOOKUP(F395,Productos!$A$2:$J$182,5)</f>
        <v>2</v>
      </c>
      <c r="O395" s="2" t="str">
        <f>VLOOKUP(F395,Productos!$A$2:$J$182,6)</f>
        <v>Minería</v>
      </c>
    </row>
    <row r="396" spans="1:15">
      <c r="A396" s="2" t="s">
        <v>593</v>
      </c>
      <c r="B396" s="2" t="s">
        <v>559</v>
      </c>
      <c r="C396" s="2" t="s">
        <v>560</v>
      </c>
      <c r="D396" s="2" t="s">
        <v>561</v>
      </c>
      <c r="E396" s="2" t="s">
        <v>560</v>
      </c>
      <c r="F396" s="3">
        <v>33</v>
      </c>
      <c r="G396" s="2" t="s">
        <v>79</v>
      </c>
      <c r="H396" s="2" t="str">
        <f>IF(F396="","",VLOOKUP(F396,Productos!$A$2:$F$182,3,FALSE))</f>
        <v>1</v>
      </c>
      <c r="I396" s="2" t="str">
        <f>IF(F396="","",VLOOKUP(F396,Productos!$A$2:$F$182,4,FALSE))</f>
        <v>Minerales; electricidad, gas y agua</v>
      </c>
      <c r="J396" s="2">
        <f>IF(F396="","",VLOOKUP(F396,Productos!$A$2:$F$182,5,FALSE))</f>
        <v>2</v>
      </c>
      <c r="K396" s="2" t="str">
        <f>IF(F396="","",VLOOKUP(F396,Productos!$A$2:$F$182,6,FALSE))</f>
        <v>Minería</v>
      </c>
      <c r="L396" s="2">
        <v>3</v>
      </c>
      <c r="M396" s="2" t="s">
        <v>67</v>
      </c>
      <c r="N396" s="2">
        <f>VLOOKUP(F396,Productos!$A$2:$J$182,5)</f>
        <v>2</v>
      </c>
      <c r="O396" s="2" t="str">
        <f>VLOOKUP(F396,Productos!$A$2:$J$182,6)</f>
        <v>Minería</v>
      </c>
    </row>
    <row r="397" spans="1:15">
      <c r="A397" s="2" t="s">
        <v>594</v>
      </c>
      <c r="B397" s="2" t="s">
        <v>559</v>
      </c>
      <c r="C397" s="2" t="s">
        <v>560</v>
      </c>
      <c r="D397" s="2" t="s">
        <v>561</v>
      </c>
      <c r="E397" s="2" t="s">
        <v>560</v>
      </c>
      <c r="F397" s="3">
        <v>34</v>
      </c>
      <c r="G397" s="2" t="s">
        <v>81</v>
      </c>
      <c r="H397" s="2" t="str">
        <f>IF(F397="","",VLOOKUP(F397,Productos!$A$2:$F$182,3,FALSE))</f>
        <v>1</v>
      </c>
      <c r="I397" s="2" t="str">
        <f>IF(F397="","",VLOOKUP(F397,Productos!$A$2:$F$182,4,FALSE))</f>
        <v>Minerales; electricidad, gas y agua</v>
      </c>
      <c r="J397" s="2">
        <f>IF(F397="","",VLOOKUP(F397,Productos!$A$2:$F$182,5,FALSE))</f>
        <v>2</v>
      </c>
      <c r="K397" s="2" t="str">
        <f>IF(F397="","",VLOOKUP(F397,Productos!$A$2:$F$182,6,FALSE))</f>
        <v>Minería</v>
      </c>
      <c r="L397" s="2">
        <v>3</v>
      </c>
      <c r="M397" s="2" t="s">
        <v>67</v>
      </c>
      <c r="N397" s="2">
        <f>VLOOKUP(F397,Productos!$A$2:$J$182,5)</f>
        <v>2</v>
      </c>
      <c r="O397" s="2" t="str">
        <f>VLOOKUP(F397,Productos!$A$2:$J$182,6)</f>
        <v>Minería</v>
      </c>
    </row>
    <row r="398" spans="1:15">
      <c r="A398" s="2" t="s">
        <v>595</v>
      </c>
      <c r="B398" s="2" t="s">
        <v>559</v>
      </c>
      <c r="C398" s="2" t="s">
        <v>560</v>
      </c>
      <c r="D398" s="2" t="s">
        <v>561</v>
      </c>
      <c r="E398" s="2" t="s">
        <v>560</v>
      </c>
      <c r="F398" s="3">
        <v>35</v>
      </c>
      <c r="G398" s="2" t="s">
        <v>83</v>
      </c>
      <c r="H398" s="2" t="str">
        <f>IF(F398="","",VLOOKUP(F398,Productos!$A$2:$F$182,3,FALSE))</f>
        <v>1</v>
      </c>
      <c r="I398" s="2" t="str">
        <f>IF(F398="","",VLOOKUP(F398,Productos!$A$2:$F$182,4,FALSE))</f>
        <v>Minerales; electricidad, gas y agua</v>
      </c>
      <c r="J398" s="2">
        <f>IF(F398="","",VLOOKUP(F398,Productos!$A$2:$F$182,5,FALSE))</f>
        <v>2</v>
      </c>
      <c r="K398" s="2" t="str">
        <f>IF(F398="","",VLOOKUP(F398,Productos!$A$2:$F$182,6,FALSE))</f>
        <v>Minería</v>
      </c>
      <c r="L398" s="2">
        <v>3</v>
      </c>
      <c r="M398" s="2" t="s">
        <v>67</v>
      </c>
      <c r="N398" s="2">
        <f>VLOOKUP(F398,Productos!$A$2:$J$182,5)</f>
        <v>2</v>
      </c>
      <c r="O398" s="2" t="str">
        <f>VLOOKUP(F398,Productos!$A$2:$J$182,6)</f>
        <v>Minería</v>
      </c>
    </row>
    <row r="399" spans="1:15">
      <c r="A399" s="2" t="s">
        <v>596</v>
      </c>
      <c r="B399" s="2" t="s">
        <v>559</v>
      </c>
      <c r="C399" s="2" t="s">
        <v>560</v>
      </c>
      <c r="D399" s="2" t="s">
        <v>561</v>
      </c>
      <c r="E399" s="2" t="s">
        <v>560</v>
      </c>
      <c r="F399" s="3">
        <v>36</v>
      </c>
      <c r="G399" s="2" t="s">
        <v>85</v>
      </c>
      <c r="H399" s="2" t="str">
        <f>IF(F399="","",VLOOKUP(F399,Productos!$A$2:$F$182,3,FALSE))</f>
        <v>1</v>
      </c>
      <c r="I399" s="2" t="str">
        <f>IF(F399="","",VLOOKUP(F399,Productos!$A$2:$F$182,4,FALSE))</f>
        <v>Minerales; electricidad, gas y agua</v>
      </c>
      <c r="J399" s="2">
        <f>IF(F399="","",VLOOKUP(F399,Productos!$A$2:$F$182,5,FALSE))</f>
        <v>2</v>
      </c>
      <c r="K399" s="2" t="str">
        <f>IF(F399="","",VLOOKUP(F399,Productos!$A$2:$F$182,6,FALSE))</f>
        <v>Minería</v>
      </c>
      <c r="L399" s="2">
        <v>3</v>
      </c>
      <c r="M399" s="2" t="s">
        <v>67</v>
      </c>
      <c r="N399" s="2">
        <f>VLOOKUP(F399,Productos!$A$2:$J$182,5)</f>
        <v>2</v>
      </c>
      <c r="O399" s="2" t="str">
        <f>VLOOKUP(F399,Productos!$A$2:$J$182,6)</f>
        <v>Minería</v>
      </c>
    </row>
    <row r="400" spans="1:15">
      <c r="A400" s="2" t="s">
        <v>597</v>
      </c>
      <c r="B400" s="2" t="s">
        <v>559</v>
      </c>
      <c r="C400" s="2" t="s">
        <v>560</v>
      </c>
      <c r="D400" s="2" t="s">
        <v>561</v>
      </c>
      <c r="E400" s="2" t="s">
        <v>560</v>
      </c>
      <c r="F400" s="3">
        <v>37</v>
      </c>
      <c r="G400" s="2" t="s">
        <v>87</v>
      </c>
      <c r="H400" s="2" t="str">
        <f>IF(F400="","",VLOOKUP(F400,Productos!$A$2:$F$182,3,FALSE))</f>
        <v>2</v>
      </c>
      <c r="I400" s="2" t="str">
        <f>IF(F400="","",VLOOKUP(F400,Productos!$A$2:$F$182,4,FALSE))</f>
        <v>Productos alimenticios, bebidas y tabaco; textiles, prendas de vestir y productos de cuero</v>
      </c>
      <c r="J400" s="2">
        <f>IF(F400="","",VLOOKUP(F400,Productos!$A$2:$F$182,5,FALSE))</f>
        <v>3</v>
      </c>
      <c r="K400" s="2" t="str">
        <f>IF(F400="","",VLOOKUP(F400,Productos!$A$2:$F$182,6,FALSE))</f>
        <v>Manufacturas</v>
      </c>
      <c r="L400" s="2">
        <v>1</v>
      </c>
      <c r="M400" s="2" t="s">
        <v>14</v>
      </c>
      <c r="N400" s="2">
        <f>VLOOKUP(F400,Productos!$A$2:$J$182,5)</f>
        <v>3</v>
      </c>
      <c r="O400" s="2" t="str">
        <f>VLOOKUP(F400,Productos!$A$2:$J$182,6)</f>
        <v>Manufacturas</v>
      </c>
    </row>
    <row r="401" spans="1:15">
      <c r="A401" s="2" t="s">
        <v>598</v>
      </c>
      <c r="B401" s="2" t="s">
        <v>559</v>
      </c>
      <c r="C401" s="2" t="s">
        <v>560</v>
      </c>
      <c r="D401" s="2" t="s">
        <v>561</v>
      </c>
      <c r="E401" s="2" t="s">
        <v>560</v>
      </c>
      <c r="F401" s="3">
        <v>38</v>
      </c>
      <c r="G401" s="2" t="s">
        <v>89</v>
      </c>
      <c r="H401" s="2" t="str">
        <f>IF(F401="","",VLOOKUP(F401,Productos!$A$2:$F$182,3,FALSE))</f>
        <v>2</v>
      </c>
      <c r="I401" s="2" t="str">
        <f>IF(F401="","",VLOOKUP(F401,Productos!$A$2:$F$182,4,FALSE))</f>
        <v>Productos alimenticios, bebidas y tabaco; textiles, prendas de vestir y productos de cuero</v>
      </c>
      <c r="J401" s="2">
        <f>IF(F401="","",VLOOKUP(F401,Productos!$A$2:$F$182,5,FALSE))</f>
        <v>3</v>
      </c>
      <c r="K401" s="2" t="str">
        <f>IF(F401="","",VLOOKUP(F401,Productos!$A$2:$F$182,6,FALSE))</f>
        <v>Manufacturas</v>
      </c>
      <c r="L401" s="2">
        <v>1</v>
      </c>
      <c r="M401" s="2" t="s">
        <v>14</v>
      </c>
      <c r="N401" s="2">
        <f>VLOOKUP(F401,Productos!$A$2:$J$182,5)</f>
        <v>3</v>
      </c>
      <c r="O401" s="2" t="str">
        <f>VLOOKUP(F401,Productos!$A$2:$J$182,6)</f>
        <v>Manufacturas</v>
      </c>
    </row>
    <row r="402" spans="1:15">
      <c r="A402" s="2" t="s">
        <v>599</v>
      </c>
      <c r="B402" s="2" t="s">
        <v>559</v>
      </c>
      <c r="C402" s="2" t="s">
        <v>560</v>
      </c>
      <c r="D402" s="2" t="s">
        <v>561</v>
      </c>
      <c r="E402" s="2" t="s">
        <v>560</v>
      </c>
      <c r="F402" s="3">
        <v>39</v>
      </c>
      <c r="G402" s="2" t="s">
        <v>91</v>
      </c>
      <c r="H402" s="2" t="str">
        <f>IF(F402="","",VLOOKUP(F402,Productos!$A$2:$F$182,3,FALSE))</f>
        <v>2</v>
      </c>
      <c r="I402" s="2" t="str">
        <f>IF(F402="","",VLOOKUP(F402,Productos!$A$2:$F$182,4,FALSE))</f>
        <v>Productos alimenticios, bebidas y tabaco; textiles, prendas de vestir y productos de cuero</v>
      </c>
      <c r="J402" s="2">
        <f>IF(F402="","",VLOOKUP(F402,Productos!$A$2:$F$182,5,FALSE))</f>
        <v>3</v>
      </c>
      <c r="K402" s="2" t="str">
        <f>IF(F402="","",VLOOKUP(F402,Productos!$A$2:$F$182,6,FALSE))</f>
        <v>Manufacturas</v>
      </c>
      <c r="L402" s="2">
        <v>1</v>
      </c>
      <c r="M402" s="2" t="s">
        <v>14</v>
      </c>
      <c r="N402" s="2">
        <f>VLOOKUP(F402,Productos!$A$2:$J$182,5)</f>
        <v>3</v>
      </c>
      <c r="O402" s="2" t="str">
        <f>VLOOKUP(F402,Productos!$A$2:$J$182,6)</f>
        <v>Manufacturas</v>
      </c>
    </row>
    <row r="403" spans="1:15">
      <c r="A403" s="2" t="s">
        <v>600</v>
      </c>
      <c r="B403" s="2" t="s">
        <v>559</v>
      </c>
      <c r="C403" s="2" t="s">
        <v>560</v>
      </c>
      <c r="D403" s="2" t="s">
        <v>561</v>
      </c>
      <c r="E403" s="2" t="s">
        <v>560</v>
      </c>
      <c r="F403" s="3">
        <v>40</v>
      </c>
      <c r="G403" s="2" t="s">
        <v>93</v>
      </c>
      <c r="H403" s="2" t="str">
        <f>IF(F403="","",VLOOKUP(F403,Productos!$A$2:$F$182,3,FALSE))</f>
        <v>2</v>
      </c>
      <c r="I403" s="2" t="str">
        <f>IF(F403="","",VLOOKUP(F403,Productos!$A$2:$F$182,4,FALSE))</f>
        <v>Productos alimenticios, bebidas y tabaco; textiles, prendas de vestir y productos de cuero</v>
      </c>
      <c r="J403" s="2">
        <f>IF(F403="","",VLOOKUP(F403,Productos!$A$2:$F$182,5,FALSE))</f>
        <v>3</v>
      </c>
      <c r="K403" s="2" t="str">
        <f>IF(F403="","",VLOOKUP(F403,Productos!$A$2:$F$182,6,FALSE))</f>
        <v>Manufacturas</v>
      </c>
      <c r="L403" s="2">
        <v>1</v>
      </c>
      <c r="M403" s="2" t="s">
        <v>14</v>
      </c>
      <c r="N403" s="2">
        <f>VLOOKUP(F403,Productos!$A$2:$J$182,5)</f>
        <v>3</v>
      </c>
      <c r="O403" s="2" t="str">
        <f>VLOOKUP(F403,Productos!$A$2:$J$182,6)</f>
        <v>Manufacturas</v>
      </c>
    </row>
    <row r="404" spans="1:15">
      <c r="A404" s="2" t="s">
        <v>601</v>
      </c>
      <c r="B404" s="2" t="s">
        <v>559</v>
      </c>
      <c r="C404" s="2" t="s">
        <v>560</v>
      </c>
      <c r="D404" s="2" t="s">
        <v>561</v>
      </c>
      <c r="E404" s="2" t="s">
        <v>560</v>
      </c>
      <c r="F404" s="3">
        <v>41</v>
      </c>
      <c r="G404" s="2" t="s">
        <v>95</v>
      </c>
      <c r="H404" s="2" t="str">
        <f>IF(F404="","",VLOOKUP(F404,Productos!$A$2:$F$182,3,FALSE))</f>
        <v>2</v>
      </c>
      <c r="I404" s="2" t="str">
        <f>IF(F404="","",VLOOKUP(F404,Productos!$A$2:$F$182,4,FALSE))</f>
        <v>Productos alimenticios, bebidas y tabaco; textiles, prendas de vestir y productos de cuero</v>
      </c>
      <c r="J404" s="2">
        <f>IF(F404="","",VLOOKUP(F404,Productos!$A$2:$F$182,5,FALSE))</f>
        <v>3</v>
      </c>
      <c r="K404" s="2" t="str">
        <f>IF(F404="","",VLOOKUP(F404,Productos!$A$2:$F$182,6,FALSE))</f>
        <v>Manufacturas</v>
      </c>
      <c r="L404" s="2">
        <v>1</v>
      </c>
      <c r="M404" s="2" t="s">
        <v>14</v>
      </c>
      <c r="N404" s="2">
        <f>VLOOKUP(F404,Productos!$A$2:$J$182,5)</f>
        <v>3</v>
      </c>
      <c r="O404" s="2" t="str">
        <f>VLOOKUP(F404,Productos!$A$2:$J$182,6)</f>
        <v>Manufacturas</v>
      </c>
    </row>
    <row r="405" spans="1:15">
      <c r="A405" s="2" t="s">
        <v>602</v>
      </c>
      <c r="B405" s="2" t="s">
        <v>559</v>
      </c>
      <c r="C405" s="2" t="s">
        <v>560</v>
      </c>
      <c r="D405" s="2" t="s">
        <v>561</v>
      </c>
      <c r="E405" s="2" t="s">
        <v>560</v>
      </c>
      <c r="F405" s="3">
        <v>42</v>
      </c>
      <c r="G405" s="2" t="s">
        <v>97</v>
      </c>
      <c r="H405" s="2" t="str">
        <f>IF(F405="","",VLOOKUP(F405,Productos!$A$2:$F$182,3,FALSE))</f>
        <v>2</v>
      </c>
      <c r="I405" s="2" t="str">
        <f>IF(F405="","",VLOOKUP(F405,Productos!$A$2:$F$182,4,FALSE))</f>
        <v>Productos alimenticios, bebidas y tabaco; textiles, prendas de vestir y productos de cuero</v>
      </c>
      <c r="J405" s="2">
        <f>IF(F405="","",VLOOKUP(F405,Productos!$A$2:$F$182,5,FALSE))</f>
        <v>3</v>
      </c>
      <c r="K405" s="2" t="str">
        <f>IF(F405="","",VLOOKUP(F405,Productos!$A$2:$F$182,6,FALSE))</f>
        <v>Manufacturas</v>
      </c>
      <c r="L405" s="2">
        <v>1</v>
      </c>
      <c r="M405" s="2" t="s">
        <v>14</v>
      </c>
      <c r="N405" s="2">
        <f>VLOOKUP(F405,Productos!$A$2:$J$182,5)</f>
        <v>3</v>
      </c>
      <c r="O405" s="2" t="str">
        <f>VLOOKUP(F405,Productos!$A$2:$J$182,6)</f>
        <v>Manufacturas</v>
      </c>
    </row>
    <row r="406" spans="1:15">
      <c r="A406" s="2" t="s">
        <v>603</v>
      </c>
      <c r="B406" s="2" t="s">
        <v>559</v>
      </c>
      <c r="C406" s="2" t="s">
        <v>560</v>
      </c>
      <c r="D406" s="2" t="s">
        <v>561</v>
      </c>
      <c r="E406" s="2" t="s">
        <v>560</v>
      </c>
      <c r="F406" s="3">
        <v>43</v>
      </c>
      <c r="G406" s="2" t="s">
        <v>99</v>
      </c>
      <c r="H406" s="2" t="str">
        <f>IF(F406="","",VLOOKUP(F406,Productos!$A$2:$F$182,3,FALSE))</f>
        <v>2</v>
      </c>
      <c r="I406" s="2" t="str">
        <f>IF(F406="","",VLOOKUP(F406,Productos!$A$2:$F$182,4,FALSE))</f>
        <v>Productos alimenticios, bebidas y tabaco; textiles, prendas de vestir y productos de cuero</v>
      </c>
      <c r="J406" s="2">
        <f>IF(F406="","",VLOOKUP(F406,Productos!$A$2:$F$182,5,FALSE))</f>
        <v>3</v>
      </c>
      <c r="K406" s="2" t="str">
        <f>IF(F406="","",VLOOKUP(F406,Productos!$A$2:$F$182,6,FALSE))</f>
        <v>Manufacturas</v>
      </c>
      <c r="L406" s="2">
        <v>1</v>
      </c>
      <c r="M406" s="2" t="s">
        <v>14</v>
      </c>
      <c r="N406" s="2">
        <f>VLOOKUP(F406,Productos!$A$2:$J$182,5)</f>
        <v>3</v>
      </c>
      <c r="O406" s="2" t="str">
        <f>VLOOKUP(F406,Productos!$A$2:$J$182,6)</f>
        <v>Manufacturas</v>
      </c>
    </row>
    <row r="407" spans="1:15">
      <c r="A407" s="2" t="s">
        <v>604</v>
      </c>
      <c r="B407" s="2" t="s">
        <v>559</v>
      </c>
      <c r="C407" s="2" t="s">
        <v>560</v>
      </c>
      <c r="D407" s="2" t="s">
        <v>561</v>
      </c>
      <c r="E407" s="2" t="s">
        <v>560</v>
      </c>
      <c r="F407" s="3">
        <v>44</v>
      </c>
      <c r="G407" s="2" t="s">
        <v>101</v>
      </c>
      <c r="H407" s="2" t="str">
        <f>IF(F407="","",VLOOKUP(F407,Productos!$A$2:$F$182,3,FALSE))</f>
        <v>2</v>
      </c>
      <c r="I407" s="2" t="str">
        <f>IF(F407="","",VLOOKUP(F407,Productos!$A$2:$F$182,4,FALSE))</f>
        <v>Productos alimenticios, bebidas y tabaco; textiles, prendas de vestir y productos de cuero</v>
      </c>
      <c r="J407" s="2">
        <f>IF(F407="","",VLOOKUP(F407,Productos!$A$2:$F$182,5,FALSE))</f>
        <v>3</v>
      </c>
      <c r="K407" s="2" t="str">
        <f>IF(F407="","",VLOOKUP(F407,Productos!$A$2:$F$182,6,FALSE))</f>
        <v>Manufacturas</v>
      </c>
      <c r="L407" s="2">
        <v>1</v>
      </c>
      <c r="M407" s="2" t="s">
        <v>14</v>
      </c>
      <c r="N407" s="2">
        <f>VLOOKUP(F407,Productos!$A$2:$J$182,5)</f>
        <v>3</v>
      </c>
      <c r="O407" s="2" t="str">
        <f>VLOOKUP(F407,Productos!$A$2:$J$182,6)</f>
        <v>Manufacturas</v>
      </c>
    </row>
    <row r="408" spans="1:15">
      <c r="A408" s="2" t="s">
        <v>605</v>
      </c>
      <c r="B408" s="2" t="s">
        <v>559</v>
      </c>
      <c r="C408" s="2" t="s">
        <v>560</v>
      </c>
      <c r="D408" s="2" t="s">
        <v>561</v>
      </c>
      <c r="E408" s="2" t="s">
        <v>560</v>
      </c>
      <c r="F408" s="3">
        <v>45</v>
      </c>
      <c r="G408" s="2" t="s">
        <v>103</v>
      </c>
      <c r="H408" s="2" t="str">
        <f>IF(F408="","",VLOOKUP(F408,Productos!$A$2:$F$182,3,FALSE))</f>
        <v>2</v>
      </c>
      <c r="I408" s="2" t="str">
        <f>IF(F408="","",VLOOKUP(F408,Productos!$A$2:$F$182,4,FALSE))</f>
        <v>Productos alimenticios, bebidas y tabaco; textiles, prendas de vestir y productos de cuero</v>
      </c>
      <c r="J408" s="2">
        <f>IF(F408="","",VLOOKUP(F408,Productos!$A$2:$F$182,5,FALSE))</f>
        <v>3</v>
      </c>
      <c r="K408" s="2" t="str">
        <f>IF(F408="","",VLOOKUP(F408,Productos!$A$2:$F$182,6,FALSE))</f>
        <v>Manufacturas</v>
      </c>
      <c r="L408" s="2">
        <v>1</v>
      </c>
      <c r="M408" s="2" t="s">
        <v>14</v>
      </c>
      <c r="N408" s="2">
        <f>VLOOKUP(F408,Productos!$A$2:$J$182,5)</f>
        <v>3</v>
      </c>
      <c r="O408" s="2" t="str">
        <f>VLOOKUP(F408,Productos!$A$2:$J$182,6)</f>
        <v>Manufacturas</v>
      </c>
    </row>
    <row r="409" spans="1:15">
      <c r="A409" s="2" t="s">
        <v>606</v>
      </c>
      <c r="B409" s="2" t="s">
        <v>559</v>
      </c>
      <c r="C409" s="2" t="s">
        <v>560</v>
      </c>
      <c r="D409" s="2" t="s">
        <v>561</v>
      </c>
      <c r="E409" s="2" t="s">
        <v>560</v>
      </c>
      <c r="F409" s="3">
        <v>46</v>
      </c>
      <c r="G409" s="2" t="s">
        <v>105</v>
      </c>
      <c r="H409" s="2" t="str">
        <f>IF(F409="","",VLOOKUP(F409,Productos!$A$2:$F$182,3,FALSE))</f>
        <v>2</v>
      </c>
      <c r="I409" s="2" t="str">
        <f>IF(F409="","",VLOOKUP(F409,Productos!$A$2:$F$182,4,FALSE))</f>
        <v>Productos alimenticios, bebidas y tabaco; textiles, prendas de vestir y productos de cuero</v>
      </c>
      <c r="J409" s="2">
        <f>IF(F409="","",VLOOKUP(F409,Productos!$A$2:$F$182,5,FALSE))</f>
        <v>3</v>
      </c>
      <c r="K409" s="2" t="str">
        <f>IF(F409="","",VLOOKUP(F409,Productos!$A$2:$F$182,6,FALSE))</f>
        <v>Manufacturas</v>
      </c>
      <c r="L409" s="2">
        <v>1</v>
      </c>
      <c r="M409" s="2" t="s">
        <v>14</v>
      </c>
      <c r="N409" s="2">
        <f>VLOOKUP(F409,Productos!$A$2:$J$182,5)</f>
        <v>3</v>
      </c>
      <c r="O409" s="2" t="str">
        <f>VLOOKUP(F409,Productos!$A$2:$J$182,6)</f>
        <v>Manufacturas</v>
      </c>
    </row>
    <row r="410" spans="1:15">
      <c r="A410" s="2" t="s">
        <v>607</v>
      </c>
      <c r="B410" s="2" t="s">
        <v>559</v>
      </c>
      <c r="C410" s="2" t="s">
        <v>560</v>
      </c>
      <c r="D410" s="2" t="s">
        <v>561</v>
      </c>
      <c r="E410" s="2" t="s">
        <v>560</v>
      </c>
      <c r="F410" s="3">
        <v>47</v>
      </c>
      <c r="G410" s="2" t="s">
        <v>107</v>
      </c>
      <c r="H410" s="2" t="str">
        <f>IF(F410="","",VLOOKUP(F410,Productos!$A$2:$F$182,3,FALSE))</f>
        <v>2</v>
      </c>
      <c r="I410" s="2" t="str">
        <f>IF(F410="","",VLOOKUP(F410,Productos!$A$2:$F$182,4,FALSE))</f>
        <v>Productos alimenticios, bebidas y tabaco; textiles, prendas de vestir y productos de cuero</v>
      </c>
      <c r="J410" s="2">
        <f>IF(F410="","",VLOOKUP(F410,Productos!$A$2:$F$182,5,FALSE))</f>
        <v>3</v>
      </c>
      <c r="K410" s="2" t="str">
        <f>IF(F410="","",VLOOKUP(F410,Productos!$A$2:$F$182,6,FALSE))</f>
        <v>Manufacturas</v>
      </c>
      <c r="L410" s="2">
        <v>1</v>
      </c>
      <c r="M410" s="2" t="s">
        <v>14</v>
      </c>
      <c r="N410" s="2">
        <f>VLOOKUP(F410,Productos!$A$2:$J$182,5)</f>
        <v>3</v>
      </c>
      <c r="O410" s="2" t="str">
        <f>VLOOKUP(F410,Productos!$A$2:$J$182,6)</f>
        <v>Manufacturas</v>
      </c>
    </row>
    <row r="411" spans="1:15">
      <c r="A411" s="2" t="s">
        <v>608</v>
      </c>
      <c r="B411" s="2" t="s">
        <v>559</v>
      </c>
      <c r="C411" s="2" t="s">
        <v>560</v>
      </c>
      <c r="D411" s="2" t="s">
        <v>561</v>
      </c>
      <c r="E411" s="2" t="s">
        <v>560</v>
      </c>
      <c r="F411" s="3">
        <v>48</v>
      </c>
      <c r="G411" s="2" t="s">
        <v>109</v>
      </c>
      <c r="H411" s="2" t="str">
        <f>IF(F411="","",VLOOKUP(F411,Productos!$A$2:$F$182,3,FALSE))</f>
        <v>2</v>
      </c>
      <c r="I411" s="2" t="str">
        <f>IF(F411="","",VLOOKUP(F411,Productos!$A$2:$F$182,4,FALSE))</f>
        <v>Productos alimenticios, bebidas y tabaco; textiles, prendas de vestir y productos de cuero</v>
      </c>
      <c r="J411" s="2">
        <f>IF(F411="","",VLOOKUP(F411,Productos!$A$2:$F$182,5,FALSE))</f>
        <v>3</v>
      </c>
      <c r="K411" s="2" t="str">
        <f>IF(F411="","",VLOOKUP(F411,Productos!$A$2:$F$182,6,FALSE))</f>
        <v>Manufacturas</v>
      </c>
      <c r="L411" s="2">
        <v>1</v>
      </c>
      <c r="M411" s="2" t="s">
        <v>14</v>
      </c>
      <c r="N411" s="2">
        <f>VLOOKUP(F411,Productos!$A$2:$J$182,5)</f>
        <v>3</v>
      </c>
      <c r="O411" s="2" t="str">
        <f>VLOOKUP(F411,Productos!$A$2:$J$182,6)</f>
        <v>Manufacturas</v>
      </c>
    </row>
    <row r="412" spans="1:15">
      <c r="A412" s="2" t="s">
        <v>609</v>
      </c>
      <c r="B412" s="2" t="s">
        <v>559</v>
      </c>
      <c r="C412" s="2" t="s">
        <v>560</v>
      </c>
      <c r="D412" s="2" t="s">
        <v>561</v>
      </c>
      <c r="E412" s="2" t="s">
        <v>560</v>
      </c>
      <c r="F412" s="3">
        <v>49</v>
      </c>
      <c r="G412" s="2" t="s">
        <v>111</v>
      </c>
      <c r="H412" s="2" t="str">
        <f>IF(F412="","",VLOOKUP(F412,Productos!$A$2:$F$182,3,FALSE))</f>
        <v>2</v>
      </c>
      <c r="I412" s="2" t="str">
        <f>IF(F412="","",VLOOKUP(F412,Productos!$A$2:$F$182,4,FALSE))</f>
        <v>Productos alimenticios, bebidas y tabaco; textiles, prendas de vestir y productos de cuero</v>
      </c>
      <c r="J412" s="2">
        <f>IF(F412="","",VLOOKUP(F412,Productos!$A$2:$F$182,5,FALSE))</f>
        <v>3</v>
      </c>
      <c r="K412" s="2" t="str">
        <f>IF(F412="","",VLOOKUP(F412,Productos!$A$2:$F$182,6,FALSE))</f>
        <v>Manufacturas</v>
      </c>
      <c r="L412" s="2">
        <v>1</v>
      </c>
      <c r="M412" s="2" t="s">
        <v>14</v>
      </c>
      <c r="N412" s="2">
        <f>VLOOKUP(F412,Productos!$A$2:$J$182,5)</f>
        <v>3</v>
      </c>
      <c r="O412" s="2" t="str">
        <f>VLOOKUP(F412,Productos!$A$2:$J$182,6)</f>
        <v>Manufacturas</v>
      </c>
    </row>
    <row r="413" spans="1:15">
      <c r="A413" s="2" t="s">
        <v>610</v>
      </c>
      <c r="B413" s="2" t="s">
        <v>559</v>
      </c>
      <c r="C413" s="2" t="s">
        <v>560</v>
      </c>
      <c r="D413" s="2" t="s">
        <v>561</v>
      </c>
      <c r="E413" s="2" t="s">
        <v>560</v>
      </c>
      <c r="F413" s="3">
        <v>50</v>
      </c>
      <c r="G413" s="2" t="s">
        <v>113</v>
      </c>
      <c r="H413" s="2" t="str">
        <f>IF(F413="","",VLOOKUP(F413,Productos!$A$2:$F$182,3,FALSE))</f>
        <v>2</v>
      </c>
      <c r="I413" s="2" t="str">
        <f>IF(F413="","",VLOOKUP(F413,Productos!$A$2:$F$182,4,FALSE))</f>
        <v>Productos alimenticios, bebidas y tabaco; textiles, prendas de vestir y productos de cuero</v>
      </c>
      <c r="J413" s="2">
        <f>IF(F413="","",VLOOKUP(F413,Productos!$A$2:$F$182,5,FALSE))</f>
        <v>3</v>
      </c>
      <c r="K413" s="2" t="str">
        <f>IF(F413="","",VLOOKUP(F413,Productos!$A$2:$F$182,6,FALSE))</f>
        <v>Manufacturas</v>
      </c>
      <c r="L413" s="2">
        <v>1</v>
      </c>
      <c r="M413" s="2" t="s">
        <v>14</v>
      </c>
      <c r="N413" s="2">
        <f>VLOOKUP(F413,Productos!$A$2:$J$182,5)</f>
        <v>3</v>
      </c>
      <c r="O413" s="2" t="str">
        <f>VLOOKUP(F413,Productos!$A$2:$J$182,6)</f>
        <v>Manufacturas</v>
      </c>
    </row>
    <row r="414" spans="1:15">
      <c r="A414" s="2" t="s">
        <v>611</v>
      </c>
      <c r="B414" s="2" t="s">
        <v>559</v>
      </c>
      <c r="C414" s="2" t="s">
        <v>560</v>
      </c>
      <c r="D414" s="2" t="s">
        <v>561</v>
      </c>
      <c r="E414" s="2" t="s">
        <v>560</v>
      </c>
      <c r="F414" s="3">
        <v>51</v>
      </c>
      <c r="G414" s="2" t="s">
        <v>115</v>
      </c>
      <c r="H414" s="2" t="str">
        <f>IF(F414="","",VLOOKUP(F414,Productos!$A$2:$F$182,3,FALSE))</f>
        <v>2</v>
      </c>
      <c r="I414" s="2" t="str">
        <f>IF(F414="","",VLOOKUP(F414,Productos!$A$2:$F$182,4,FALSE))</f>
        <v>Productos alimenticios, bebidas y tabaco; textiles, prendas de vestir y productos de cuero</v>
      </c>
      <c r="J414" s="2">
        <f>IF(F414="","",VLOOKUP(F414,Productos!$A$2:$F$182,5,FALSE))</f>
        <v>3</v>
      </c>
      <c r="K414" s="2" t="str">
        <f>IF(F414="","",VLOOKUP(F414,Productos!$A$2:$F$182,6,FALSE))</f>
        <v>Manufacturas</v>
      </c>
      <c r="L414" s="2">
        <v>1</v>
      </c>
      <c r="M414" s="2" t="s">
        <v>14</v>
      </c>
      <c r="N414" s="2">
        <f>VLOOKUP(F414,Productos!$A$2:$J$182,5)</f>
        <v>3</v>
      </c>
      <c r="O414" s="2" t="str">
        <f>VLOOKUP(F414,Productos!$A$2:$J$182,6)</f>
        <v>Manufacturas</v>
      </c>
    </row>
    <row r="415" spans="1:15">
      <c r="A415" s="2" t="s">
        <v>612</v>
      </c>
      <c r="B415" s="2" t="s">
        <v>559</v>
      </c>
      <c r="C415" s="2" t="s">
        <v>560</v>
      </c>
      <c r="D415" s="2" t="s">
        <v>561</v>
      </c>
      <c r="E415" s="2" t="s">
        <v>560</v>
      </c>
      <c r="F415" s="3">
        <v>52</v>
      </c>
      <c r="G415" s="2" t="s">
        <v>117</v>
      </c>
      <c r="H415" s="2" t="str">
        <f>IF(F415="","",VLOOKUP(F415,Productos!$A$2:$F$182,3,FALSE))</f>
        <v>2</v>
      </c>
      <c r="I415" s="2" t="str">
        <f>IF(F415="","",VLOOKUP(F415,Productos!$A$2:$F$182,4,FALSE))</f>
        <v>Productos alimenticios, bebidas y tabaco; textiles, prendas de vestir y productos de cuero</v>
      </c>
      <c r="J415" s="2">
        <f>IF(F415="","",VLOOKUP(F415,Productos!$A$2:$F$182,5,FALSE))</f>
        <v>3</v>
      </c>
      <c r="K415" s="2" t="str">
        <f>IF(F415="","",VLOOKUP(F415,Productos!$A$2:$F$182,6,FALSE))</f>
        <v>Manufacturas</v>
      </c>
      <c r="L415" s="2">
        <v>1</v>
      </c>
      <c r="M415" s="2" t="s">
        <v>14</v>
      </c>
      <c r="N415" s="2">
        <f>VLOOKUP(F415,Productos!$A$2:$J$182,5)</f>
        <v>3</v>
      </c>
      <c r="O415" s="2" t="str">
        <f>VLOOKUP(F415,Productos!$A$2:$J$182,6)</f>
        <v>Manufacturas</v>
      </c>
    </row>
    <row r="416" spans="1:15">
      <c r="A416" s="2" t="s">
        <v>613</v>
      </c>
      <c r="B416" s="2" t="s">
        <v>559</v>
      </c>
      <c r="C416" s="2" t="s">
        <v>560</v>
      </c>
      <c r="D416" s="2" t="s">
        <v>561</v>
      </c>
      <c r="E416" s="2" t="s">
        <v>560</v>
      </c>
      <c r="F416" s="3">
        <v>53</v>
      </c>
      <c r="G416" s="2" t="s">
        <v>119</v>
      </c>
      <c r="H416" s="2" t="str">
        <f>IF(F416="","",VLOOKUP(F416,Productos!$A$2:$F$182,3,FALSE))</f>
        <v>2</v>
      </c>
      <c r="I416" s="2" t="str">
        <f>IF(F416="","",VLOOKUP(F416,Productos!$A$2:$F$182,4,FALSE))</f>
        <v>Productos alimenticios, bebidas y tabaco; textiles, prendas de vestir y productos de cuero</v>
      </c>
      <c r="J416" s="2">
        <f>IF(F416="","",VLOOKUP(F416,Productos!$A$2:$F$182,5,FALSE))</f>
        <v>3</v>
      </c>
      <c r="K416" s="2" t="str">
        <f>IF(F416="","",VLOOKUP(F416,Productos!$A$2:$F$182,6,FALSE))</f>
        <v>Manufacturas</v>
      </c>
      <c r="L416" s="2">
        <v>1</v>
      </c>
      <c r="M416" s="2" t="s">
        <v>14</v>
      </c>
      <c r="N416" s="2">
        <f>VLOOKUP(F416,Productos!$A$2:$J$182,5)</f>
        <v>3</v>
      </c>
      <c r="O416" s="2" t="str">
        <f>VLOOKUP(F416,Productos!$A$2:$J$182,6)</f>
        <v>Manufacturas</v>
      </c>
    </row>
    <row r="417" spans="1:15">
      <c r="A417" s="2" t="s">
        <v>614</v>
      </c>
      <c r="B417" s="2" t="s">
        <v>559</v>
      </c>
      <c r="C417" s="2" t="s">
        <v>560</v>
      </c>
      <c r="D417" s="2" t="s">
        <v>561</v>
      </c>
      <c r="E417" s="2" t="s">
        <v>560</v>
      </c>
      <c r="F417" s="3">
        <v>54</v>
      </c>
      <c r="G417" s="2" t="s">
        <v>121</v>
      </c>
      <c r="H417" s="2" t="str">
        <f>IF(F417="","",VLOOKUP(F417,Productos!$A$2:$F$182,3,FALSE))</f>
        <v>2</v>
      </c>
      <c r="I417" s="2" t="str">
        <f>IF(F417="","",VLOOKUP(F417,Productos!$A$2:$F$182,4,FALSE))</f>
        <v>Productos alimenticios, bebidas y tabaco; textiles, prendas de vestir y productos de cuero</v>
      </c>
      <c r="J417" s="2">
        <f>IF(F417="","",VLOOKUP(F417,Productos!$A$2:$F$182,5,FALSE))</f>
        <v>3</v>
      </c>
      <c r="K417" s="2" t="str">
        <f>IF(F417="","",VLOOKUP(F417,Productos!$A$2:$F$182,6,FALSE))</f>
        <v>Manufacturas</v>
      </c>
      <c r="L417" s="2">
        <v>1</v>
      </c>
      <c r="M417" s="2" t="s">
        <v>14</v>
      </c>
      <c r="N417" s="2">
        <f>VLOOKUP(F417,Productos!$A$2:$J$182,5)</f>
        <v>3</v>
      </c>
      <c r="O417" s="2" t="str">
        <f>VLOOKUP(F417,Productos!$A$2:$J$182,6)</f>
        <v>Manufacturas</v>
      </c>
    </row>
    <row r="418" spans="1:15">
      <c r="A418" s="2" t="s">
        <v>615</v>
      </c>
      <c r="B418" s="2" t="s">
        <v>559</v>
      </c>
      <c r="C418" s="2" t="s">
        <v>560</v>
      </c>
      <c r="D418" s="2" t="s">
        <v>561</v>
      </c>
      <c r="E418" s="2" t="s">
        <v>560</v>
      </c>
      <c r="F418" s="3">
        <v>55</v>
      </c>
      <c r="G418" s="2" t="s">
        <v>123</v>
      </c>
      <c r="H418" s="2" t="str">
        <f>IF(F418="","",VLOOKUP(F418,Productos!$A$2:$F$182,3,FALSE))</f>
        <v>2</v>
      </c>
      <c r="I418" s="2" t="str">
        <f>IF(F418="","",VLOOKUP(F418,Productos!$A$2:$F$182,4,FALSE))</f>
        <v>Productos alimenticios, bebidas y tabaco; textiles, prendas de vestir y productos de cuero</v>
      </c>
      <c r="J418" s="2">
        <f>IF(F418="","",VLOOKUP(F418,Productos!$A$2:$F$182,5,FALSE))</f>
        <v>3</v>
      </c>
      <c r="K418" s="2" t="str">
        <f>IF(F418="","",VLOOKUP(F418,Productos!$A$2:$F$182,6,FALSE))</f>
        <v>Manufacturas</v>
      </c>
      <c r="L418" s="2">
        <v>1</v>
      </c>
      <c r="M418" s="2" t="s">
        <v>14</v>
      </c>
      <c r="N418" s="2">
        <f>VLOOKUP(F418,Productos!$A$2:$J$182,5)</f>
        <v>3</v>
      </c>
      <c r="O418" s="2" t="str">
        <f>VLOOKUP(F418,Productos!$A$2:$J$182,6)</f>
        <v>Manufacturas</v>
      </c>
    </row>
    <row r="419" spans="1:15">
      <c r="A419" s="2" t="s">
        <v>616</v>
      </c>
      <c r="B419" s="2" t="s">
        <v>559</v>
      </c>
      <c r="C419" s="2" t="s">
        <v>560</v>
      </c>
      <c r="D419" s="2" t="s">
        <v>561</v>
      </c>
      <c r="E419" s="2" t="s">
        <v>560</v>
      </c>
      <c r="F419" s="3">
        <v>56</v>
      </c>
      <c r="G419" s="2" t="s">
        <v>125</v>
      </c>
      <c r="H419" s="2" t="str">
        <f>IF(F419="","",VLOOKUP(F419,Productos!$A$2:$F$182,3,FALSE))</f>
        <v>2</v>
      </c>
      <c r="I419" s="2" t="str">
        <f>IF(F419="","",VLOOKUP(F419,Productos!$A$2:$F$182,4,FALSE))</f>
        <v>Productos alimenticios, bebidas y tabaco; textiles, prendas de vestir y productos de cuero</v>
      </c>
      <c r="J419" s="2">
        <f>IF(F419="","",VLOOKUP(F419,Productos!$A$2:$F$182,5,FALSE))</f>
        <v>3</v>
      </c>
      <c r="K419" s="2" t="str">
        <f>IF(F419="","",VLOOKUP(F419,Productos!$A$2:$F$182,6,FALSE))</f>
        <v>Manufacturas</v>
      </c>
      <c r="L419" s="2">
        <v>1</v>
      </c>
      <c r="M419" s="2" t="s">
        <v>14</v>
      </c>
      <c r="N419" s="2">
        <f>VLOOKUP(F419,Productos!$A$2:$J$182,5)</f>
        <v>3</v>
      </c>
      <c r="O419" s="2" t="str">
        <f>VLOOKUP(F419,Productos!$A$2:$J$182,6)</f>
        <v>Manufacturas</v>
      </c>
    </row>
    <row r="420" spans="1:15">
      <c r="A420" s="2" t="s">
        <v>617</v>
      </c>
      <c r="B420" s="2" t="s">
        <v>559</v>
      </c>
      <c r="C420" s="2" t="s">
        <v>560</v>
      </c>
      <c r="D420" s="2" t="s">
        <v>561</v>
      </c>
      <c r="E420" s="2" t="s">
        <v>560</v>
      </c>
      <c r="F420" s="3">
        <v>57</v>
      </c>
      <c r="G420" s="2" t="s">
        <v>127</v>
      </c>
      <c r="H420" s="2" t="str">
        <f>IF(F420="","",VLOOKUP(F420,Productos!$A$2:$F$182,3,FALSE))</f>
        <v>2</v>
      </c>
      <c r="I420" s="2" t="str">
        <f>IF(F420="","",VLOOKUP(F420,Productos!$A$2:$F$182,4,FALSE))</f>
        <v>Productos alimenticios, bebidas y tabaco; textiles, prendas de vestir y productos de cuero</v>
      </c>
      <c r="J420" s="2">
        <f>IF(F420="","",VLOOKUP(F420,Productos!$A$2:$F$182,5,FALSE))</f>
        <v>3</v>
      </c>
      <c r="K420" s="2" t="str">
        <f>IF(F420="","",VLOOKUP(F420,Productos!$A$2:$F$182,6,FALSE))</f>
        <v>Manufacturas</v>
      </c>
      <c r="L420" s="2">
        <v>1</v>
      </c>
      <c r="M420" s="2" t="s">
        <v>14</v>
      </c>
      <c r="N420" s="2">
        <f>VLOOKUP(F420,Productos!$A$2:$J$182,5)</f>
        <v>3</v>
      </c>
      <c r="O420" s="2" t="str">
        <f>VLOOKUP(F420,Productos!$A$2:$J$182,6)</f>
        <v>Manufacturas</v>
      </c>
    </row>
    <row r="421" spans="1:15">
      <c r="A421" s="2" t="s">
        <v>618</v>
      </c>
      <c r="B421" s="2" t="s">
        <v>559</v>
      </c>
      <c r="C421" s="2" t="s">
        <v>560</v>
      </c>
      <c r="D421" s="2" t="s">
        <v>561</v>
      </c>
      <c r="E421" s="2" t="s">
        <v>560</v>
      </c>
      <c r="F421" s="3">
        <v>58</v>
      </c>
      <c r="G421" s="2" t="s">
        <v>129</v>
      </c>
      <c r="H421" s="2" t="str">
        <f>IF(F421="","",VLOOKUP(F421,Productos!$A$2:$F$182,3,FALSE))</f>
        <v>2</v>
      </c>
      <c r="I421" s="2" t="str">
        <f>IF(F421="","",VLOOKUP(F421,Productos!$A$2:$F$182,4,FALSE))</f>
        <v>Productos alimenticios, bebidas y tabaco; textiles, prendas de vestir y productos de cuero</v>
      </c>
      <c r="J421" s="2">
        <f>IF(F421="","",VLOOKUP(F421,Productos!$A$2:$F$182,5,FALSE))</f>
        <v>3</v>
      </c>
      <c r="K421" s="2" t="str">
        <f>IF(F421="","",VLOOKUP(F421,Productos!$A$2:$F$182,6,FALSE))</f>
        <v>Manufacturas</v>
      </c>
      <c r="L421" s="2">
        <v>1</v>
      </c>
      <c r="M421" s="2" t="s">
        <v>14</v>
      </c>
      <c r="N421" s="2">
        <f>VLOOKUP(F421,Productos!$A$2:$J$182,5)</f>
        <v>3</v>
      </c>
      <c r="O421" s="2" t="str">
        <f>VLOOKUP(F421,Productos!$A$2:$J$182,6)</f>
        <v>Manufacturas</v>
      </c>
    </row>
    <row r="422" spans="1:15">
      <c r="A422" s="2" t="s">
        <v>619</v>
      </c>
      <c r="B422" s="2" t="s">
        <v>559</v>
      </c>
      <c r="C422" s="2" t="s">
        <v>560</v>
      </c>
      <c r="D422" s="2" t="s">
        <v>561</v>
      </c>
      <c r="E422" s="2" t="s">
        <v>560</v>
      </c>
      <c r="F422" s="3">
        <v>59</v>
      </c>
      <c r="G422" s="2" t="s">
        <v>131</v>
      </c>
      <c r="H422" s="2" t="str">
        <f>IF(F422="","",VLOOKUP(F422,Productos!$A$2:$F$182,3,FALSE))</f>
        <v>2</v>
      </c>
      <c r="I422" s="2" t="str">
        <f>IF(F422="","",VLOOKUP(F422,Productos!$A$2:$F$182,4,FALSE))</f>
        <v>Productos alimenticios, bebidas y tabaco; textiles, prendas de vestir y productos de cuero</v>
      </c>
      <c r="J422" s="2">
        <f>IF(F422="","",VLOOKUP(F422,Productos!$A$2:$F$182,5,FALSE))</f>
        <v>3</v>
      </c>
      <c r="K422" s="2" t="str">
        <f>IF(F422="","",VLOOKUP(F422,Productos!$A$2:$F$182,6,FALSE))</f>
        <v>Manufacturas</v>
      </c>
      <c r="L422" s="2">
        <v>1</v>
      </c>
      <c r="M422" s="2" t="s">
        <v>14</v>
      </c>
      <c r="N422" s="2">
        <f>VLOOKUP(F422,Productos!$A$2:$J$182,5)</f>
        <v>3</v>
      </c>
      <c r="O422" s="2" t="str">
        <f>VLOOKUP(F422,Productos!$A$2:$J$182,6)</f>
        <v>Manufacturas</v>
      </c>
    </row>
    <row r="423" spans="1:15">
      <c r="A423" s="2" t="s">
        <v>620</v>
      </c>
      <c r="B423" s="2" t="s">
        <v>559</v>
      </c>
      <c r="C423" s="2" t="s">
        <v>560</v>
      </c>
      <c r="D423" s="2" t="s">
        <v>561</v>
      </c>
      <c r="E423" s="2" t="s">
        <v>560</v>
      </c>
      <c r="F423" s="3">
        <v>60</v>
      </c>
      <c r="G423" s="2" t="s">
        <v>133</v>
      </c>
      <c r="H423" s="2" t="str">
        <f>IF(F423="","",VLOOKUP(F423,Productos!$A$2:$F$182,3,FALSE))</f>
        <v>2</v>
      </c>
      <c r="I423" s="2" t="str">
        <f>IF(F423="","",VLOOKUP(F423,Productos!$A$2:$F$182,4,FALSE))</f>
        <v>Productos alimenticios, bebidas y tabaco; textiles, prendas de vestir y productos de cuero</v>
      </c>
      <c r="J423" s="2">
        <f>IF(F423="","",VLOOKUP(F423,Productos!$A$2:$F$182,5,FALSE))</f>
        <v>3</v>
      </c>
      <c r="K423" s="2" t="str">
        <f>IF(F423="","",VLOOKUP(F423,Productos!$A$2:$F$182,6,FALSE))</f>
        <v>Manufacturas</v>
      </c>
      <c r="L423" s="2">
        <v>1</v>
      </c>
      <c r="M423" s="2" t="s">
        <v>14</v>
      </c>
      <c r="N423" s="2">
        <f>VLOOKUP(F423,Productos!$A$2:$J$182,5)</f>
        <v>3</v>
      </c>
      <c r="O423" s="2" t="str">
        <f>VLOOKUP(F423,Productos!$A$2:$J$182,6)</f>
        <v>Manufacturas</v>
      </c>
    </row>
    <row r="424" spans="1:15">
      <c r="A424" s="2" t="s">
        <v>621</v>
      </c>
      <c r="B424" s="2" t="s">
        <v>559</v>
      </c>
      <c r="C424" s="2" t="s">
        <v>560</v>
      </c>
      <c r="D424" s="2" t="s">
        <v>561</v>
      </c>
      <c r="E424" s="2" t="s">
        <v>560</v>
      </c>
      <c r="F424" s="3">
        <v>61</v>
      </c>
      <c r="G424" s="2" t="s">
        <v>135</v>
      </c>
      <c r="H424" s="2" t="str">
        <f>IF(F424="","",VLOOKUP(F424,Productos!$A$2:$F$182,3,FALSE))</f>
        <v>2</v>
      </c>
      <c r="I424" s="2" t="str">
        <f>IF(F424="","",VLOOKUP(F424,Productos!$A$2:$F$182,4,FALSE))</f>
        <v>Productos alimenticios, bebidas y tabaco; textiles, prendas de vestir y productos de cuero</v>
      </c>
      <c r="J424" s="2">
        <f>IF(F424="","",VLOOKUP(F424,Productos!$A$2:$F$182,5,FALSE))</f>
        <v>3</v>
      </c>
      <c r="K424" s="2" t="str">
        <f>IF(F424="","",VLOOKUP(F424,Productos!$A$2:$F$182,6,FALSE))</f>
        <v>Manufacturas</v>
      </c>
      <c r="L424" s="2">
        <v>1</v>
      </c>
      <c r="M424" s="2" t="s">
        <v>14</v>
      </c>
      <c r="N424" s="2">
        <f>VLOOKUP(F424,Productos!$A$2:$J$182,5)</f>
        <v>3</v>
      </c>
      <c r="O424" s="2" t="str">
        <f>VLOOKUP(F424,Productos!$A$2:$J$182,6)</f>
        <v>Manufacturas</v>
      </c>
    </row>
    <row r="425" spans="1:15">
      <c r="A425" s="2" t="s">
        <v>622</v>
      </c>
      <c r="B425" s="2" t="s">
        <v>559</v>
      </c>
      <c r="C425" s="2" t="s">
        <v>560</v>
      </c>
      <c r="D425" s="2" t="s">
        <v>561</v>
      </c>
      <c r="E425" s="2" t="s">
        <v>560</v>
      </c>
      <c r="F425" s="3">
        <v>62</v>
      </c>
      <c r="G425" s="2" t="s">
        <v>137</v>
      </c>
      <c r="H425" s="2" t="str">
        <f>IF(F425="","",VLOOKUP(F425,Productos!$A$2:$F$182,3,FALSE))</f>
        <v>2</v>
      </c>
      <c r="I425" s="2" t="str">
        <f>IF(F425="","",VLOOKUP(F425,Productos!$A$2:$F$182,4,FALSE))</f>
        <v>Productos alimenticios, bebidas y tabaco; textiles, prendas de vestir y productos de cuero</v>
      </c>
      <c r="J425" s="2">
        <f>IF(F425="","",VLOOKUP(F425,Productos!$A$2:$F$182,5,FALSE))</f>
        <v>3</v>
      </c>
      <c r="K425" s="2" t="str">
        <f>IF(F425="","",VLOOKUP(F425,Productos!$A$2:$F$182,6,FALSE))</f>
        <v>Manufacturas</v>
      </c>
      <c r="L425" s="2">
        <v>1</v>
      </c>
      <c r="M425" s="2" t="s">
        <v>14</v>
      </c>
      <c r="N425" s="2">
        <f>VLOOKUP(F425,Productos!$A$2:$J$182,5)</f>
        <v>3</v>
      </c>
      <c r="O425" s="2" t="str">
        <f>VLOOKUP(F425,Productos!$A$2:$J$182,6)</f>
        <v>Manufacturas</v>
      </c>
    </row>
    <row r="426" spans="1:15">
      <c r="A426" s="2" t="s">
        <v>623</v>
      </c>
      <c r="B426" s="2" t="s">
        <v>559</v>
      </c>
      <c r="C426" s="2" t="s">
        <v>560</v>
      </c>
      <c r="D426" s="2" t="s">
        <v>561</v>
      </c>
      <c r="E426" s="2" t="s">
        <v>560</v>
      </c>
      <c r="F426" s="3">
        <v>63</v>
      </c>
      <c r="G426" s="2" t="s">
        <v>139</v>
      </c>
      <c r="H426" s="2" t="str">
        <f>IF(F426="","",VLOOKUP(F426,Productos!$A$2:$F$182,3,FALSE))</f>
        <v>2</v>
      </c>
      <c r="I426" s="2" t="str">
        <f>IF(F426="","",VLOOKUP(F426,Productos!$A$2:$F$182,4,FALSE))</f>
        <v>Productos alimenticios, bebidas y tabaco; textiles, prendas de vestir y productos de cuero</v>
      </c>
      <c r="J426" s="2">
        <f>IF(F426="","",VLOOKUP(F426,Productos!$A$2:$F$182,5,FALSE))</f>
        <v>3</v>
      </c>
      <c r="K426" s="2" t="str">
        <f>IF(F426="","",VLOOKUP(F426,Productos!$A$2:$F$182,6,FALSE))</f>
        <v>Manufacturas</v>
      </c>
      <c r="L426" s="2">
        <v>1</v>
      </c>
      <c r="M426" s="2" t="s">
        <v>14</v>
      </c>
      <c r="N426" s="2">
        <f>VLOOKUP(F426,Productos!$A$2:$J$182,5)</f>
        <v>3</v>
      </c>
      <c r="O426" s="2" t="str">
        <f>VLOOKUP(F426,Productos!$A$2:$J$182,6)</f>
        <v>Manufacturas</v>
      </c>
    </row>
    <row r="427" spans="1:15">
      <c r="A427" s="2" t="s">
        <v>624</v>
      </c>
      <c r="B427" s="2" t="s">
        <v>559</v>
      </c>
      <c r="C427" s="2" t="s">
        <v>560</v>
      </c>
      <c r="D427" s="2" t="s">
        <v>561</v>
      </c>
      <c r="E427" s="2" t="s">
        <v>560</v>
      </c>
      <c r="F427" s="3">
        <v>64</v>
      </c>
      <c r="G427" s="2" t="s">
        <v>141</v>
      </c>
      <c r="H427" s="2" t="str">
        <f>IF(F427="","",VLOOKUP(F427,Productos!$A$2:$F$182,3,FALSE))</f>
        <v>2</v>
      </c>
      <c r="I427" s="2" t="str">
        <f>IF(F427="","",VLOOKUP(F427,Productos!$A$2:$F$182,4,FALSE))</f>
        <v>Productos alimenticios, bebidas y tabaco; textiles, prendas de vestir y productos de cuero</v>
      </c>
      <c r="J427" s="2">
        <f>IF(F427="","",VLOOKUP(F427,Productos!$A$2:$F$182,5,FALSE))</f>
        <v>3</v>
      </c>
      <c r="K427" s="2" t="str">
        <f>IF(F427="","",VLOOKUP(F427,Productos!$A$2:$F$182,6,FALSE))</f>
        <v>Manufacturas</v>
      </c>
      <c r="L427" s="2">
        <v>2</v>
      </c>
      <c r="M427" s="2" t="s">
        <v>142</v>
      </c>
      <c r="N427" s="2">
        <f>VLOOKUP(F427,Productos!$A$2:$J$182,5)</f>
        <v>3</v>
      </c>
      <c r="O427" s="2" t="str">
        <f>VLOOKUP(F427,Productos!$A$2:$J$182,6)</f>
        <v>Manufacturas</v>
      </c>
    </row>
    <row r="428" spans="1:15">
      <c r="A428" s="2" t="s">
        <v>625</v>
      </c>
      <c r="B428" s="2" t="s">
        <v>559</v>
      </c>
      <c r="C428" s="2" t="s">
        <v>560</v>
      </c>
      <c r="D428" s="2" t="s">
        <v>561</v>
      </c>
      <c r="E428" s="2" t="s">
        <v>560</v>
      </c>
      <c r="F428" s="3">
        <v>65</v>
      </c>
      <c r="G428" s="2" t="s">
        <v>144</v>
      </c>
      <c r="H428" s="2" t="str">
        <f>IF(F428="","",VLOOKUP(F428,Productos!$A$2:$F$182,3,FALSE))</f>
        <v>2</v>
      </c>
      <c r="I428" s="2" t="str">
        <f>IF(F428="","",VLOOKUP(F428,Productos!$A$2:$F$182,4,FALSE))</f>
        <v>Productos alimenticios, bebidas y tabaco; textiles, prendas de vestir y productos de cuero</v>
      </c>
      <c r="J428" s="2">
        <f>IF(F428="","",VLOOKUP(F428,Productos!$A$2:$F$182,5,FALSE))</f>
        <v>3</v>
      </c>
      <c r="K428" s="2" t="str">
        <f>IF(F428="","",VLOOKUP(F428,Productos!$A$2:$F$182,6,FALSE))</f>
        <v>Manufacturas</v>
      </c>
      <c r="L428" s="2">
        <v>2</v>
      </c>
      <c r="M428" s="2" t="s">
        <v>142</v>
      </c>
      <c r="N428" s="2">
        <f>VLOOKUP(F428,Productos!$A$2:$J$182,5)</f>
        <v>3</v>
      </c>
      <c r="O428" s="2" t="str">
        <f>VLOOKUP(F428,Productos!$A$2:$J$182,6)</f>
        <v>Manufacturas</v>
      </c>
    </row>
    <row r="429" spans="1:15">
      <c r="A429" s="2" t="s">
        <v>626</v>
      </c>
      <c r="B429" s="2" t="s">
        <v>559</v>
      </c>
      <c r="C429" s="2" t="s">
        <v>560</v>
      </c>
      <c r="D429" s="2" t="s">
        <v>561</v>
      </c>
      <c r="E429" s="2" t="s">
        <v>560</v>
      </c>
      <c r="F429" s="3">
        <v>66</v>
      </c>
      <c r="G429" s="2" t="s">
        <v>146</v>
      </c>
      <c r="H429" s="2" t="str">
        <f>IF(F429="","",VLOOKUP(F429,Productos!$A$2:$F$182,3,FALSE))</f>
        <v>2</v>
      </c>
      <c r="I429" s="2" t="str">
        <f>IF(F429="","",VLOOKUP(F429,Productos!$A$2:$F$182,4,FALSE))</f>
        <v>Productos alimenticios, bebidas y tabaco; textiles, prendas de vestir y productos de cuero</v>
      </c>
      <c r="J429" s="2">
        <f>IF(F429="","",VLOOKUP(F429,Productos!$A$2:$F$182,5,FALSE))</f>
        <v>3</v>
      </c>
      <c r="K429" s="2" t="str">
        <f>IF(F429="","",VLOOKUP(F429,Productos!$A$2:$F$182,6,FALSE))</f>
        <v>Manufacturas</v>
      </c>
      <c r="L429" s="2">
        <v>1</v>
      </c>
      <c r="M429" s="2" t="s">
        <v>14</v>
      </c>
      <c r="N429" s="2">
        <f>VLOOKUP(F429,Productos!$A$2:$J$182,5)</f>
        <v>3</v>
      </c>
      <c r="O429" s="2" t="str">
        <f>VLOOKUP(F429,Productos!$A$2:$J$182,6)</f>
        <v>Manufacturas</v>
      </c>
    </row>
    <row r="430" spans="1:15">
      <c r="A430" s="2" t="s">
        <v>627</v>
      </c>
      <c r="B430" s="2" t="s">
        <v>559</v>
      </c>
      <c r="C430" s="2" t="s">
        <v>560</v>
      </c>
      <c r="D430" s="2" t="s">
        <v>561</v>
      </c>
      <c r="E430" s="2" t="s">
        <v>560</v>
      </c>
      <c r="F430" s="3">
        <v>67</v>
      </c>
      <c r="G430" s="2" t="s">
        <v>148</v>
      </c>
      <c r="H430" s="2" t="str">
        <f>IF(F430="","",VLOOKUP(F430,Productos!$A$2:$F$182,3,FALSE))</f>
        <v>2</v>
      </c>
      <c r="I430" s="2" t="str">
        <f>IF(F430="","",VLOOKUP(F430,Productos!$A$2:$F$182,4,FALSE))</f>
        <v>Productos alimenticios, bebidas y tabaco; textiles, prendas de vestir y productos de cuero</v>
      </c>
      <c r="J430" s="2">
        <f>IF(F430="","",VLOOKUP(F430,Productos!$A$2:$F$182,5,FALSE))</f>
        <v>3</v>
      </c>
      <c r="K430" s="2" t="str">
        <f>IF(F430="","",VLOOKUP(F430,Productos!$A$2:$F$182,6,FALSE))</f>
        <v>Manufacturas</v>
      </c>
      <c r="L430" s="2">
        <v>2</v>
      </c>
      <c r="M430" s="2" t="s">
        <v>142</v>
      </c>
      <c r="N430" s="2">
        <f>VLOOKUP(F430,Productos!$A$2:$J$182,5)</f>
        <v>3</v>
      </c>
      <c r="O430" s="2" t="str">
        <f>VLOOKUP(F430,Productos!$A$2:$J$182,6)</f>
        <v>Manufacturas</v>
      </c>
    </row>
    <row r="431" spans="1:15">
      <c r="A431" s="2" t="s">
        <v>628</v>
      </c>
      <c r="B431" s="2" t="s">
        <v>559</v>
      </c>
      <c r="C431" s="2" t="s">
        <v>560</v>
      </c>
      <c r="D431" s="2" t="s">
        <v>561</v>
      </c>
      <c r="E431" s="2" t="s">
        <v>560</v>
      </c>
      <c r="F431" s="3">
        <v>68</v>
      </c>
      <c r="G431" s="2" t="s">
        <v>150</v>
      </c>
      <c r="H431" s="2" t="str">
        <f>IF(F431="","",VLOOKUP(F431,Productos!$A$2:$F$182,3,FALSE))</f>
        <v>3</v>
      </c>
      <c r="I431" s="2" t="str">
        <f>IF(F431="","",VLOOKUP(F431,Productos!$A$2:$F$182,4,FALSE))</f>
        <v>Otros bienes transportables, excepto productos metálicos, maquinaria y equipo</v>
      </c>
      <c r="J431" s="2">
        <f>IF(F431="","",VLOOKUP(F431,Productos!$A$2:$F$182,5,FALSE))</f>
        <v>3</v>
      </c>
      <c r="K431" s="2" t="str">
        <f>IF(F431="","",VLOOKUP(F431,Productos!$A$2:$F$182,6,FALSE))</f>
        <v>Manufacturas</v>
      </c>
      <c r="L431" s="2">
        <v>2</v>
      </c>
      <c r="M431" s="2" t="s">
        <v>142</v>
      </c>
      <c r="N431" s="2">
        <f>VLOOKUP(F431,Productos!$A$2:$J$182,5)</f>
        <v>3</v>
      </c>
      <c r="O431" s="2" t="str">
        <f>VLOOKUP(F431,Productos!$A$2:$J$182,6)</f>
        <v>Manufacturas</v>
      </c>
    </row>
    <row r="432" spans="1:15">
      <c r="A432" s="2" t="s">
        <v>629</v>
      </c>
      <c r="B432" s="2" t="s">
        <v>559</v>
      </c>
      <c r="C432" s="2" t="s">
        <v>560</v>
      </c>
      <c r="D432" s="2" t="s">
        <v>561</v>
      </c>
      <c r="E432" s="2" t="s">
        <v>560</v>
      </c>
      <c r="F432" s="3">
        <v>69</v>
      </c>
      <c r="G432" s="2" t="s">
        <v>152</v>
      </c>
      <c r="H432" s="2" t="str">
        <f>IF(F432="","",VLOOKUP(F432,Productos!$A$2:$F$182,3,FALSE))</f>
        <v>3</v>
      </c>
      <c r="I432" s="2" t="str">
        <f>IF(F432="","",VLOOKUP(F432,Productos!$A$2:$F$182,4,FALSE))</f>
        <v>Otros bienes transportables, excepto productos metálicos, maquinaria y equipo</v>
      </c>
      <c r="J432" s="2">
        <f>IF(F432="","",VLOOKUP(F432,Productos!$A$2:$F$182,5,FALSE))</f>
        <v>3</v>
      </c>
      <c r="K432" s="2" t="str">
        <f>IF(F432="","",VLOOKUP(F432,Productos!$A$2:$F$182,6,FALSE))</f>
        <v>Manufacturas</v>
      </c>
      <c r="L432" s="2">
        <v>2</v>
      </c>
      <c r="M432" s="2" t="s">
        <v>142</v>
      </c>
      <c r="N432" s="2">
        <f>VLOOKUP(F432,Productos!$A$2:$J$182,5)</f>
        <v>3</v>
      </c>
      <c r="O432" s="2" t="str">
        <f>VLOOKUP(F432,Productos!$A$2:$J$182,6)</f>
        <v>Manufacturas</v>
      </c>
    </row>
    <row r="433" spans="1:15">
      <c r="A433" s="2" t="s">
        <v>630</v>
      </c>
      <c r="B433" s="2" t="s">
        <v>559</v>
      </c>
      <c r="C433" s="2" t="s">
        <v>560</v>
      </c>
      <c r="D433" s="2" t="s">
        <v>561</v>
      </c>
      <c r="E433" s="2" t="s">
        <v>560</v>
      </c>
      <c r="F433" s="3">
        <v>70</v>
      </c>
      <c r="G433" s="2" t="s">
        <v>154</v>
      </c>
      <c r="H433" s="2" t="str">
        <f>IF(F433="","",VLOOKUP(F433,Productos!$A$2:$F$182,3,FALSE))</f>
        <v>3</v>
      </c>
      <c r="I433" s="2" t="str">
        <f>IF(F433="","",VLOOKUP(F433,Productos!$A$2:$F$182,4,FALSE))</f>
        <v>Otros bienes transportables, excepto productos metálicos, maquinaria y equipo</v>
      </c>
      <c r="J433" s="2">
        <f>IF(F433="","",VLOOKUP(F433,Productos!$A$2:$F$182,5,FALSE))</f>
        <v>3</v>
      </c>
      <c r="K433" s="2" t="str">
        <f>IF(F433="","",VLOOKUP(F433,Productos!$A$2:$F$182,6,FALSE))</f>
        <v>Manufacturas</v>
      </c>
      <c r="L433" s="2">
        <v>2</v>
      </c>
      <c r="M433" s="2" t="s">
        <v>142</v>
      </c>
      <c r="N433" s="2">
        <f>VLOOKUP(F433,Productos!$A$2:$J$182,5)</f>
        <v>3</v>
      </c>
      <c r="O433" s="2" t="str">
        <f>VLOOKUP(F433,Productos!$A$2:$J$182,6)</f>
        <v>Manufacturas</v>
      </c>
    </row>
    <row r="434" spans="1:15">
      <c r="A434" s="2" t="s">
        <v>631</v>
      </c>
      <c r="B434" s="2" t="s">
        <v>559</v>
      </c>
      <c r="C434" s="2" t="s">
        <v>560</v>
      </c>
      <c r="D434" s="2" t="s">
        <v>561</v>
      </c>
      <c r="E434" s="2" t="s">
        <v>560</v>
      </c>
      <c r="F434" s="3">
        <v>71</v>
      </c>
      <c r="G434" s="2" t="s">
        <v>156</v>
      </c>
      <c r="H434" s="2" t="str">
        <f>IF(F434="","",VLOOKUP(F434,Productos!$A$2:$F$182,3,FALSE))</f>
        <v>3</v>
      </c>
      <c r="I434" s="2" t="str">
        <f>IF(F434="","",VLOOKUP(F434,Productos!$A$2:$F$182,4,FALSE))</f>
        <v>Otros bienes transportables, excepto productos metálicos, maquinaria y equipo</v>
      </c>
      <c r="J434" s="2">
        <f>IF(F434="","",VLOOKUP(F434,Productos!$A$2:$F$182,5,FALSE))</f>
        <v>3</v>
      </c>
      <c r="K434" s="2" t="str">
        <f>IF(F434="","",VLOOKUP(F434,Productos!$A$2:$F$182,6,FALSE))</f>
        <v>Manufacturas</v>
      </c>
      <c r="L434" s="2">
        <v>2</v>
      </c>
      <c r="M434" s="2" t="s">
        <v>142</v>
      </c>
      <c r="N434" s="2">
        <f>VLOOKUP(F434,Productos!$A$2:$J$182,5)</f>
        <v>3</v>
      </c>
      <c r="O434" s="2" t="str">
        <f>VLOOKUP(F434,Productos!$A$2:$J$182,6)</f>
        <v>Manufacturas</v>
      </c>
    </row>
    <row r="435" spans="1:15">
      <c r="A435" s="2" t="s">
        <v>632</v>
      </c>
      <c r="B435" s="2" t="s">
        <v>559</v>
      </c>
      <c r="C435" s="2" t="s">
        <v>560</v>
      </c>
      <c r="D435" s="2" t="s">
        <v>561</v>
      </c>
      <c r="E435" s="2" t="s">
        <v>560</v>
      </c>
      <c r="F435" s="3">
        <v>72</v>
      </c>
      <c r="G435" s="2" t="s">
        <v>158</v>
      </c>
      <c r="H435" s="2" t="str">
        <f>IF(F435="","",VLOOKUP(F435,Productos!$A$2:$F$182,3,FALSE))</f>
        <v>3</v>
      </c>
      <c r="I435" s="2" t="str">
        <f>IF(F435="","",VLOOKUP(F435,Productos!$A$2:$F$182,4,FALSE))</f>
        <v>Otros bienes transportables, excepto productos metálicos, maquinaria y equipo</v>
      </c>
      <c r="J435" s="2">
        <f>IF(F435="","",VLOOKUP(F435,Productos!$A$2:$F$182,5,FALSE))</f>
        <v>3</v>
      </c>
      <c r="K435" s="2" t="str">
        <f>IF(F435="","",VLOOKUP(F435,Productos!$A$2:$F$182,6,FALSE))</f>
        <v>Manufacturas</v>
      </c>
      <c r="L435" s="2">
        <v>2</v>
      </c>
      <c r="M435" s="2" t="s">
        <v>142</v>
      </c>
      <c r="N435" s="2">
        <f>VLOOKUP(F435,Productos!$A$2:$J$182,5)</f>
        <v>3</v>
      </c>
      <c r="O435" s="2" t="str">
        <f>VLOOKUP(F435,Productos!$A$2:$J$182,6)</f>
        <v>Manufacturas</v>
      </c>
    </row>
    <row r="436" spans="1:15">
      <c r="A436" s="2" t="s">
        <v>633</v>
      </c>
      <c r="B436" s="2" t="s">
        <v>559</v>
      </c>
      <c r="C436" s="2" t="s">
        <v>560</v>
      </c>
      <c r="D436" s="2" t="s">
        <v>561</v>
      </c>
      <c r="E436" s="2" t="s">
        <v>560</v>
      </c>
      <c r="F436" s="3">
        <v>73</v>
      </c>
      <c r="G436" s="2" t="s">
        <v>160</v>
      </c>
      <c r="H436" s="2" t="str">
        <f>IF(F436="","",VLOOKUP(F436,Productos!$A$2:$F$182,3,FALSE))</f>
        <v>3</v>
      </c>
      <c r="I436" s="2" t="str">
        <f>IF(F436="","",VLOOKUP(F436,Productos!$A$2:$F$182,4,FALSE))</f>
        <v>Otros bienes transportables, excepto productos metálicos, maquinaria y equipo</v>
      </c>
      <c r="J436" s="2">
        <f>IF(F436="","",VLOOKUP(F436,Productos!$A$2:$F$182,5,FALSE))</f>
        <v>3</v>
      </c>
      <c r="K436" s="2" t="str">
        <f>IF(F436="","",VLOOKUP(F436,Productos!$A$2:$F$182,6,FALSE))</f>
        <v>Manufacturas</v>
      </c>
      <c r="L436" s="2">
        <v>2</v>
      </c>
      <c r="M436" s="2" t="s">
        <v>142</v>
      </c>
      <c r="N436" s="2">
        <f>VLOOKUP(F436,Productos!$A$2:$J$182,5)</f>
        <v>3</v>
      </c>
      <c r="O436" s="2" t="str">
        <f>VLOOKUP(F436,Productos!$A$2:$J$182,6)</f>
        <v>Manufacturas</v>
      </c>
    </row>
    <row r="437" spans="1:15">
      <c r="A437" s="2" t="s">
        <v>634</v>
      </c>
      <c r="B437" s="2" t="s">
        <v>559</v>
      </c>
      <c r="C437" s="2" t="s">
        <v>560</v>
      </c>
      <c r="D437" s="2" t="s">
        <v>561</v>
      </c>
      <c r="E437" s="2" t="s">
        <v>560</v>
      </c>
      <c r="F437" s="3">
        <v>74</v>
      </c>
      <c r="G437" s="2" t="s">
        <v>162</v>
      </c>
      <c r="H437" s="2" t="str">
        <f>IF(F437="","",VLOOKUP(F437,Productos!$A$2:$F$182,3,FALSE))</f>
        <v>3</v>
      </c>
      <c r="I437" s="2" t="str">
        <f>IF(F437="","",VLOOKUP(F437,Productos!$A$2:$F$182,4,FALSE))</f>
        <v>Otros bienes transportables, excepto productos metálicos, maquinaria y equipo</v>
      </c>
      <c r="J437" s="2">
        <f>IF(F437="","",VLOOKUP(F437,Productos!$A$2:$F$182,5,FALSE))</f>
        <v>3</v>
      </c>
      <c r="K437" s="2" t="str">
        <f>IF(F437="","",VLOOKUP(F437,Productos!$A$2:$F$182,6,FALSE))</f>
        <v>Manufacturas</v>
      </c>
      <c r="L437" s="2">
        <v>2</v>
      </c>
      <c r="M437" s="2" t="s">
        <v>142</v>
      </c>
      <c r="N437" s="2">
        <f>VLOOKUP(F437,Productos!$A$2:$J$182,5)</f>
        <v>3</v>
      </c>
      <c r="O437" s="2" t="str">
        <f>VLOOKUP(F437,Productos!$A$2:$J$182,6)</f>
        <v>Manufacturas</v>
      </c>
    </row>
    <row r="438" spans="1:15">
      <c r="A438" s="2" t="s">
        <v>635</v>
      </c>
      <c r="B438" s="2" t="s">
        <v>559</v>
      </c>
      <c r="C438" s="2" t="s">
        <v>560</v>
      </c>
      <c r="D438" s="2" t="s">
        <v>561</v>
      </c>
      <c r="E438" s="2" t="s">
        <v>560</v>
      </c>
      <c r="F438" s="3">
        <v>75</v>
      </c>
      <c r="G438" s="2" t="s">
        <v>164</v>
      </c>
      <c r="H438" s="2" t="str">
        <f>IF(F438="","",VLOOKUP(F438,Productos!$A$2:$F$182,3,FALSE))</f>
        <v>3</v>
      </c>
      <c r="I438" s="2" t="str">
        <f>IF(F438="","",VLOOKUP(F438,Productos!$A$2:$F$182,4,FALSE))</f>
        <v>Otros bienes transportables, excepto productos metálicos, maquinaria y equipo</v>
      </c>
      <c r="J438" s="2">
        <f>IF(F438="","",VLOOKUP(F438,Productos!$A$2:$F$182,5,FALSE))</f>
        <v>3</v>
      </c>
      <c r="K438" s="2" t="str">
        <f>IF(F438="","",VLOOKUP(F438,Productos!$A$2:$F$182,6,FALSE))</f>
        <v>Manufacturas</v>
      </c>
      <c r="L438" s="2">
        <v>2</v>
      </c>
      <c r="M438" s="2" t="s">
        <v>142</v>
      </c>
      <c r="N438" s="2">
        <f>VLOOKUP(F438,Productos!$A$2:$J$182,5)</f>
        <v>3</v>
      </c>
      <c r="O438" s="2" t="str">
        <f>VLOOKUP(F438,Productos!$A$2:$J$182,6)</f>
        <v>Manufacturas</v>
      </c>
    </row>
    <row r="439" spans="1:15">
      <c r="A439" s="2" t="s">
        <v>636</v>
      </c>
      <c r="B439" s="2" t="s">
        <v>559</v>
      </c>
      <c r="C439" s="2" t="s">
        <v>560</v>
      </c>
      <c r="D439" s="2" t="s">
        <v>561</v>
      </c>
      <c r="E439" s="2" t="s">
        <v>560</v>
      </c>
      <c r="F439" s="3">
        <v>76</v>
      </c>
      <c r="G439" s="2" t="s">
        <v>166</v>
      </c>
      <c r="H439" s="2" t="str">
        <f>IF(F439="","",VLOOKUP(F439,Productos!$A$2:$F$182,3,FALSE))</f>
        <v>3</v>
      </c>
      <c r="I439" s="2" t="str">
        <f>IF(F439="","",VLOOKUP(F439,Productos!$A$2:$F$182,4,FALSE))</f>
        <v>Otros bienes transportables, excepto productos metálicos, maquinaria y equipo</v>
      </c>
      <c r="J439" s="2">
        <f>IF(F439="","",VLOOKUP(F439,Productos!$A$2:$F$182,5,FALSE))</f>
        <v>3</v>
      </c>
      <c r="K439" s="2" t="str">
        <f>IF(F439="","",VLOOKUP(F439,Productos!$A$2:$F$182,6,FALSE))</f>
        <v>Manufacturas</v>
      </c>
      <c r="L439" s="2">
        <v>3</v>
      </c>
      <c r="M439" s="2" t="s">
        <v>67</v>
      </c>
      <c r="N439" s="2">
        <f>VLOOKUP(F439,Productos!$A$2:$J$182,5)</f>
        <v>3</v>
      </c>
      <c r="O439" s="2" t="str">
        <f>VLOOKUP(F439,Productos!$A$2:$J$182,6)</f>
        <v>Manufacturas</v>
      </c>
    </row>
    <row r="440" spans="1:15">
      <c r="A440" s="2" t="s">
        <v>637</v>
      </c>
      <c r="B440" s="2" t="s">
        <v>559</v>
      </c>
      <c r="C440" s="2" t="s">
        <v>560</v>
      </c>
      <c r="D440" s="2" t="s">
        <v>561</v>
      </c>
      <c r="E440" s="2" t="s">
        <v>560</v>
      </c>
      <c r="F440" s="3">
        <v>77</v>
      </c>
      <c r="G440" s="2" t="s">
        <v>168</v>
      </c>
      <c r="H440" s="2" t="str">
        <f>IF(F440="","",VLOOKUP(F440,Productos!$A$2:$F$182,3,FALSE))</f>
        <v>3</v>
      </c>
      <c r="I440" s="2" t="str">
        <f>IF(F440="","",VLOOKUP(F440,Productos!$A$2:$F$182,4,FALSE))</f>
        <v>Otros bienes transportables, excepto productos metálicos, maquinaria y equipo</v>
      </c>
      <c r="J440" s="2">
        <f>IF(F440="","",VLOOKUP(F440,Productos!$A$2:$F$182,5,FALSE))</f>
        <v>3</v>
      </c>
      <c r="K440" s="2" t="str">
        <f>IF(F440="","",VLOOKUP(F440,Productos!$A$2:$F$182,6,FALSE))</f>
        <v>Manufacturas</v>
      </c>
      <c r="L440" s="2">
        <v>3</v>
      </c>
      <c r="M440" s="2" t="s">
        <v>67</v>
      </c>
      <c r="N440" s="2">
        <f>VLOOKUP(F440,Productos!$A$2:$J$182,5)</f>
        <v>3</v>
      </c>
      <c r="O440" s="2" t="str">
        <f>VLOOKUP(F440,Productos!$A$2:$J$182,6)</f>
        <v>Manufacturas</v>
      </c>
    </row>
    <row r="441" spans="1:15">
      <c r="A441" s="2" t="s">
        <v>638</v>
      </c>
      <c r="B441" s="2" t="s">
        <v>559</v>
      </c>
      <c r="C441" s="2" t="s">
        <v>560</v>
      </c>
      <c r="D441" s="2" t="s">
        <v>561</v>
      </c>
      <c r="E441" s="2" t="s">
        <v>560</v>
      </c>
      <c r="F441" s="3">
        <v>78</v>
      </c>
      <c r="G441" s="2" t="s">
        <v>170</v>
      </c>
      <c r="H441" s="2" t="str">
        <f>IF(F441="","",VLOOKUP(F441,Productos!$A$2:$F$182,3,FALSE))</f>
        <v>3</v>
      </c>
      <c r="I441" s="2" t="str">
        <f>IF(F441="","",VLOOKUP(F441,Productos!$A$2:$F$182,4,FALSE))</f>
        <v>Otros bienes transportables, excepto productos metálicos, maquinaria y equipo</v>
      </c>
      <c r="J441" s="2">
        <f>IF(F441="","",VLOOKUP(F441,Productos!$A$2:$F$182,5,FALSE))</f>
        <v>3</v>
      </c>
      <c r="K441" s="2" t="str">
        <f>IF(F441="","",VLOOKUP(F441,Productos!$A$2:$F$182,6,FALSE))</f>
        <v>Manufacturas</v>
      </c>
      <c r="L441" s="2">
        <v>3</v>
      </c>
      <c r="M441" s="2" t="s">
        <v>67</v>
      </c>
      <c r="N441" s="2">
        <f>VLOOKUP(F441,Productos!$A$2:$J$182,5)</f>
        <v>3</v>
      </c>
      <c r="O441" s="2" t="str">
        <f>VLOOKUP(F441,Productos!$A$2:$J$182,6)</f>
        <v>Manufacturas</v>
      </c>
    </row>
    <row r="442" spans="1:15">
      <c r="A442" s="2" t="s">
        <v>639</v>
      </c>
      <c r="B442" s="2" t="s">
        <v>559</v>
      </c>
      <c r="C442" s="2" t="s">
        <v>560</v>
      </c>
      <c r="D442" s="2" t="s">
        <v>561</v>
      </c>
      <c r="E442" s="2" t="s">
        <v>560</v>
      </c>
      <c r="F442" s="3">
        <v>79</v>
      </c>
      <c r="G442" s="2" t="s">
        <v>172</v>
      </c>
      <c r="H442" s="2" t="str">
        <f>IF(F442="","",VLOOKUP(F442,Productos!$A$2:$F$182,3,FALSE))</f>
        <v>3</v>
      </c>
      <c r="I442" s="2" t="str">
        <f>IF(F442="","",VLOOKUP(F442,Productos!$A$2:$F$182,4,FALSE))</f>
        <v>Otros bienes transportables, excepto productos metálicos, maquinaria y equipo</v>
      </c>
      <c r="J442" s="2">
        <f>IF(F442="","",VLOOKUP(F442,Productos!$A$2:$F$182,5,FALSE))</f>
        <v>3</v>
      </c>
      <c r="K442" s="2" t="str">
        <f>IF(F442="","",VLOOKUP(F442,Productos!$A$2:$F$182,6,FALSE))</f>
        <v>Manufacturas</v>
      </c>
      <c r="L442" s="2">
        <v>3</v>
      </c>
      <c r="M442" s="2" t="s">
        <v>67</v>
      </c>
      <c r="N442" s="2">
        <f>VLOOKUP(F442,Productos!$A$2:$J$182,5)</f>
        <v>3</v>
      </c>
      <c r="O442" s="2" t="str">
        <f>VLOOKUP(F442,Productos!$A$2:$J$182,6)</f>
        <v>Manufacturas</v>
      </c>
    </row>
    <row r="443" spans="1:15">
      <c r="A443" s="2" t="s">
        <v>640</v>
      </c>
      <c r="B443" s="2" t="s">
        <v>559</v>
      </c>
      <c r="C443" s="2" t="s">
        <v>560</v>
      </c>
      <c r="D443" s="2" t="s">
        <v>561</v>
      </c>
      <c r="E443" s="2" t="s">
        <v>560</v>
      </c>
      <c r="F443" s="3">
        <v>80</v>
      </c>
      <c r="G443" s="2" t="s">
        <v>174</v>
      </c>
      <c r="H443" s="2" t="str">
        <f>IF(F443="","",VLOOKUP(F443,Productos!$A$2:$F$182,3,FALSE))</f>
        <v>3</v>
      </c>
      <c r="I443" s="2" t="str">
        <f>IF(F443="","",VLOOKUP(F443,Productos!$A$2:$F$182,4,FALSE))</f>
        <v>Otros bienes transportables, excepto productos metálicos, maquinaria y equipo</v>
      </c>
      <c r="J443" s="2">
        <f>IF(F443="","",VLOOKUP(F443,Productos!$A$2:$F$182,5,FALSE))</f>
        <v>3</v>
      </c>
      <c r="K443" s="2" t="str">
        <f>IF(F443="","",VLOOKUP(F443,Productos!$A$2:$F$182,6,FALSE))</f>
        <v>Manufacturas</v>
      </c>
      <c r="L443" s="2">
        <v>3</v>
      </c>
      <c r="M443" s="2" t="s">
        <v>67</v>
      </c>
      <c r="N443" s="2">
        <f>VLOOKUP(F443,Productos!$A$2:$J$182,5)</f>
        <v>3</v>
      </c>
      <c r="O443" s="2" t="str">
        <f>VLOOKUP(F443,Productos!$A$2:$J$182,6)</f>
        <v>Manufacturas</v>
      </c>
    </row>
    <row r="444" spans="1:15">
      <c r="A444" s="2" t="s">
        <v>641</v>
      </c>
      <c r="B444" s="2" t="s">
        <v>559</v>
      </c>
      <c r="C444" s="2" t="s">
        <v>560</v>
      </c>
      <c r="D444" s="2" t="s">
        <v>561</v>
      </c>
      <c r="E444" s="2" t="s">
        <v>560</v>
      </c>
      <c r="F444" s="3">
        <v>81</v>
      </c>
      <c r="G444" s="2" t="s">
        <v>176</v>
      </c>
      <c r="H444" s="2" t="str">
        <f>IF(F444="","",VLOOKUP(F444,Productos!$A$2:$F$182,3,FALSE))</f>
        <v>3</v>
      </c>
      <c r="I444" s="2" t="str">
        <f>IF(F444="","",VLOOKUP(F444,Productos!$A$2:$F$182,4,FALSE))</f>
        <v>Otros bienes transportables, excepto productos metálicos, maquinaria y equipo</v>
      </c>
      <c r="J444" s="2">
        <f>IF(F444="","",VLOOKUP(F444,Productos!$A$2:$F$182,5,FALSE))</f>
        <v>3</v>
      </c>
      <c r="K444" s="2" t="str">
        <f>IF(F444="","",VLOOKUP(F444,Productos!$A$2:$F$182,6,FALSE))</f>
        <v>Manufacturas</v>
      </c>
      <c r="L444" s="2">
        <v>3</v>
      </c>
      <c r="M444" s="2" t="s">
        <v>67</v>
      </c>
      <c r="N444" s="2">
        <f>VLOOKUP(F444,Productos!$A$2:$J$182,5)</f>
        <v>3</v>
      </c>
      <c r="O444" s="2" t="str">
        <f>VLOOKUP(F444,Productos!$A$2:$J$182,6)</f>
        <v>Manufacturas</v>
      </c>
    </row>
    <row r="445" spans="1:15">
      <c r="A445" s="2" t="s">
        <v>642</v>
      </c>
      <c r="B445" s="2" t="s">
        <v>559</v>
      </c>
      <c r="C445" s="2" t="s">
        <v>560</v>
      </c>
      <c r="D445" s="2" t="s">
        <v>561</v>
      </c>
      <c r="E445" s="2" t="s">
        <v>560</v>
      </c>
      <c r="F445" s="3">
        <v>82</v>
      </c>
      <c r="G445" s="2" t="s">
        <v>178</v>
      </c>
      <c r="H445" s="2" t="str">
        <f>IF(F445="","",VLOOKUP(F445,Productos!$A$2:$F$182,3,FALSE))</f>
        <v>3</v>
      </c>
      <c r="I445" s="2" t="str">
        <f>IF(F445="","",VLOOKUP(F445,Productos!$A$2:$F$182,4,FALSE))</f>
        <v>Otros bienes transportables, excepto productos metálicos, maquinaria y equipo</v>
      </c>
      <c r="J445" s="2">
        <f>IF(F445="","",VLOOKUP(F445,Productos!$A$2:$F$182,5,FALSE))</f>
        <v>3</v>
      </c>
      <c r="K445" s="2" t="str">
        <f>IF(F445="","",VLOOKUP(F445,Productos!$A$2:$F$182,6,FALSE))</f>
        <v>Manufacturas</v>
      </c>
      <c r="L445" s="2">
        <v>2</v>
      </c>
      <c r="M445" s="2" t="s">
        <v>142</v>
      </c>
      <c r="N445" s="2">
        <f>VLOOKUP(F445,Productos!$A$2:$J$182,5)</f>
        <v>3</v>
      </c>
      <c r="O445" s="2" t="str">
        <f>VLOOKUP(F445,Productos!$A$2:$J$182,6)</f>
        <v>Manufacturas</v>
      </c>
    </row>
    <row r="446" spans="1:15">
      <c r="A446" s="2" t="s">
        <v>643</v>
      </c>
      <c r="B446" s="2" t="s">
        <v>559</v>
      </c>
      <c r="C446" s="2" t="s">
        <v>560</v>
      </c>
      <c r="D446" s="2" t="s">
        <v>561</v>
      </c>
      <c r="E446" s="2" t="s">
        <v>560</v>
      </c>
      <c r="F446" s="3">
        <v>83</v>
      </c>
      <c r="G446" s="2" t="s">
        <v>180</v>
      </c>
      <c r="H446" s="2" t="str">
        <f>IF(F446="","",VLOOKUP(F446,Productos!$A$2:$F$182,3,FALSE))</f>
        <v>3</v>
      </c>
      <c r="I446" s="2" t="str">
        <f>IF(F446="","",VLOOKUP(F446,Productos!$A$2:$F$182,4,FALSE))</f>
        <v>Otros bienes transportables, excepto productos metálicos, maquinaria y equipo</v>
      </c>
      <c r="J446" s="2">
        <f>IF(F446="","",VLOOKUP(F446,Productos!$A$2:$F$182,5,FALSE))</f>
        <v>3</v>
      </c>
      <c r="K446" s="2" t="str">
        <f>IF(F446="","",VLOOKUP(F446,Productos!$A$2:$F$182,6,FALSE))</f>
        <v>Manufacturas</v>
      </c>
      <c r="L446" s="2">
        <v>3</v>
      </c>
      <c r="M446" s="2" t="s">
        <v>67</v>
      </c>
      <c r="N446" s="2">
        <f>VLOOKUP(F446,Productos!$A$2:$J$182,5)</f>
        <v>3</v>
      </c>
      <c r="O446" s="2" t="str">
        <f>VLOOKUP(F446,Productos!$A$2:$J$182,6)</f>
        <v>Manufacturas</v>
      </c>
    </row>
    <row r="447" spans="1:15">
      <c r="A447" s="2" t="s">
        <v>644</v>
      </c>
      <c r="B447" s="2" t="s">
        <v>559</v>
      </c>
      <c r="C447" s="2" t="s">
        <v>560</v>
      </c>
      <c r="D447" s="2" t="s">
        <v>561</v>
      </c>
      <c r="E447" s="2" t="s">
        <v>560</v>
      </c>
      <c r="F447" s="3">
        <v>84</v>
      </c>
      <c r="G447" s="2" t="s">
        <v>182</v>
      </c>
      <c r="H447" s="2" t="str">
        <f>IF(F447="","",VLOOKUP(F447,Productos!$A$2:$F$182,3,FALSE))</f>
        <v>3</v>
      </c>
      <c r="I447" s="2" t="str">
        <f>IF(F447="","",VLOOKUP(F447,Productos!$A$2:$F$182,4,FALSE))</f>
        <v>Otros bienes transportables, excepto productos metálicos, maquinaria y equipo</v>
      </c>
      <c r="J447" s="2">
        <f>IF(F447="","",VLOOKUP(F447,Productos!$A$2:$F$182,5,FALSE))</f>
        <v>3</v>
      </c>
      <c r="K447" s="2" t="str">
        <f>IF(F447="","",VLOOKUP(F447,Productos!$A$2:$F$182,6,FALSE))</f>
        <v>Manufacturas</v>
      </c>
      <c r="L447" s="2">
        <v>3</v>
      </c>
      <c r="M447" s="2" t="s">
        <v>67</v>
      </c>
      <c r="N447" s="2">
        <f>VLOOKUP(F447,Productos!$A$2:$J$182,5)</f>
        <v>3</v>
      </c>
      <c r="O447" s="2" t="str">
        <f>VLOOKUP(F447,Productos!$A$2:$J$182,6)</f>
        <v>Manufacturas</v>
      </c>
    </row>
    <row r="448" spans="1:15">
      <c r="A448" s="2" t="s">
        <v>645</v>
      </c>
      <c r="B448" s="2" t="s">
        <v>559</v>
      </c>
      <c r="C448" s="2" t="s">
        <v>560</v>
      </c>
      <c r="D448" s="2" t="s">
        <v>561</v>
      </c>
      <c r="E448" s="2" t="s">
        <v>560</v>
      </c>
      <c r="F448" s="3">
        <v>85</v>
      </c>
      <c r="G448" s="2" t="s">
        <v>184</v>
      </c>
      <c r="H448" s="2" t="str">
        <f>IF(F448="","",VLOOKUP(F448,Productos!$A$2:$F$182,3,FALSE))</f>
        <v>3</v>
      </c>
      <c r="I448" s="2" t="str">
        <f>IF(F448="","",VLOOKUP(F448,Productos!$A$2:$F$182,4,FALSE))</f>
        <v>Otros bienes transportables, excepto productos metálicos, maquinaria y equipo</v>
      </c>
      <c r="J448" s="2">
        <f>IF(F448="","",VLOOKUP(F448,Productos!$A$2:$F$182,5,FALSE))</f>
        <v>3</v>
      </c>
      <c r="K448" s="2" t="str">
        <f>IF(F448="","",VLOOKUP(F448,Productos!$A$2:$F$182,6,FALSE))</f>
        <v>Manufacturas</v>
      </c>
      <c r="L448" s="2">
        <v>3</v>
      </c>
      <c r="M448" s="2" t="s">
        <v>67</v>
      </c>
      <c r="N448" s="2">
        <f>VLOOKUP(F448,Productos!$A$2:$J$182,5)</f>
        <v>3</v>
      </c>
      <c r="O448" s="2" t="str">
        <f>VLOOKUP(F448,Productos!$A$2:$J$182,6)</f>
        <v>Manufacturas</v>
      </c>
    </row>
    <row r="449" spans="1:15">
      <c r="A449" s="2" t="s">
        <v>646</v>
      </c>
      <c r="B449" s="2" t="s">
        <v>559</v>
      </c>
      <c r="C449" s="2" t="s">
        <v>560</v>
      </c>
      <c r="D449" s="2" t="s">
        <v>561</v>
      </c>
      <c r="E449" s="2" t="s">
        <v>560</v>
      </c>
      <c r="F449" s="3">
        <v>86</v>
      </c>
      <c r="G449" s="2" t="s">
        <v>186</v>
      </c>
      <c r="H449" s="2" t="str">
        <f>IF(F449="","",VLOOKUP(F449,Productos!$A$2:$F$182,3,FALSE))</f>
        <v>3</v>
      </c>
      <c r="I449" s="2" t="str">
        <f>IF(F449="","",VLOOKUP(F449,Productos!$A$2:$F$182,4,FALSE))</f>
        <v>Otros bienes transportables, excepto productos metálicos, maquinaria y equipo</v>
      </c>
      <c r="J449" s="2">
        <f>IF(F449="","",VLOOKUP(F449,Productos!$A$2:$F$182,5,FALSE))</f>
        <v>3</v>
      </c>
      <c r="K449" s="2" t="str">
        <f>IF(F449="","",VLOOKUP(F449,Productos!$A$2:$F$182,6,FALSE))</f>
        <v>Manufacturas</v>
      </c>
      <c r="L449" s="2">
        <v>2</v>
      </c>
      <c r="M449" s="2" t="s">
        <v>142</v>
      </c>
      <c r="N449" s="2">
        <f>VLOOKUP(F449,Productos!$A$2:$J$182,5)</f>
        <v>3</v>
      </c>
      <c r="O449" s="2" t="str">
        <f>VLOOKUP(F449,Productos!$A$2:$J$182,6)</f>
        <v>Manufacturas</v>
      </c>
    </row>
    <row r="450" spans="1:15">
      <c r="A450" s="2" t="s">
        <v>647</v>
      </c>
      <c r="B450" s="2" t="s">
        <v>559</v>
      </c>
      <c r="C450" s="2" t="s">
        <v>560</v>
      </c>
      <c r="D450" s="2" t="s">
        <v>561</v>
      </c>
      <c r="E450" s="2" t="s">
        <v>560</v>
      </c>
      <c r="F450" s="3">
        <v>87</v>
      </c>
      <c r="G450" s="2" t="s">
        <v>188</v>
      </c>
      <c r="H450" s="2" t="str">
        <f>IF(F450="","",VLOOKUP(F450,Productos!$A$2:$F$182,3,FALSE))</f>
        <v>3</v>
      </c>
      <c r="I450" s="2" t="str">
        <f>IF(F450="","",VLOOKUP(F450,Productos!$A$2:$F$182,4,FALSE))</f>
        <v>Otros bienes transportables, excepto productos metálicos, maquinaria y equipo</v>
      </c>
      <c r="J450" s="2">
        <f>IF(F450="","",VLOOKUP(F450,Productos!$A$2:$F$182,5,FALSE))</f>
        <v>3</v>
      </c>
      <c r="K450" s="2" t="str">
        <f>IF(F450="","",VLOOKUP(F450,Productos!$A$2:$F$182,6,FALSE))</f>
        <v>Manufacturas</v>
      </c>
      <c r="L450" s="2">
        <v>2</v>
      </c>
      <c r="M450" s="2" t="s">
        <v>142</v>
      </c>
      <c r="N450" s="2">
        <f>VLOOKUP(F450,Productos!$A$2:$J$182,5)</f>
        <v>3</v>
      </c>
      <c r="O450" s="2" t="str">
        <f>VLOOKUP(F450,Productos!$A$2:$J$182,6)</f>
        <v>Manufacturas</v>
      </c>
    </row>
    <row r="451" spans="1:15">
      <c r="A451" s="2" t="s">
        <v>648</v>
      </c>
      <c r="B451" s="2" t="s">
        <v>559</v>
      </c>
      <c r="C451" s="2" t="s">
        <v>560</v>
      </c>
      <c r="D451" s="2" t="s">
        <v>561</v>
      </c>
      <c r="E451" s="2" t="s">
        <v>560</v>
      </c>
      <c r="F451" s="3">
        <v>88</v>
      </c>
      <c r="G451" s="2" t="s">
        <v>190</v>
      </c>
      <c r="H451" s="2" t="str">
        <f>IF(F451="","",VLOOKUP(F451,Productos!$A$2:$F$182,3,FALSE))</f>
        <v>3</v>
      </c>
      <c r="I451" s="2" t="str">
        <f>IF(F451="","",VLOOKUP(F451,Productos!$A$2:$F$182,4,FALSE))</f>
        <v>Otros bienes transportables, excepto productos metálicos, maquinaria y equipo</v>
      </c>
      <c r="J451" s="2">
        <f>IF(F451="","",VLOOKUP(F451,Productos!$A$2:$F$182,5,FALSE))</f>
        <v>3</v>
      </c>
      <c r="K451" s="2" t="str">
        <f>IF(F451="","",VLOOKUP(F451,Productos!$A$2:$F$182,6,FALSE))</f>
        <v>Manufacturas</v>
      </c>
      <c r="L451" s="2">
        <v>3</v>
      </c>
      <c r="M451" s="2" t="s">
        <v>67</v>
      </c>
      <c r="N451" s="2">
        <f>VLOOKUP(F451,Productos!$A$2:$J$182,5)</f>
        <v>3</v>
      </c>
      <c r="O451" s="2" t="str">
        <f>VLOOKUP(F451,Productos!$A$2:$J$182,6)</f>
        <v>Manufacturas</v>
      </c>
    </row>
    <row r="452" spans="1:15">
      <c r="A452" s="2" t="s">
        <v>649</v>
      </c>
      <c r="B452" s="2" t="s">
        <v>559</v>
      </c>
      <c r="C452" s="2" t="s">
        <v>560</v>
      </c>
      <c r="D452" s="2" t="s">
        <v>561</v>
      </c>
      <c r="E452" s="2" t="s">
        <v>560</v>
      </c>
      <c r="F452" s="3">
        <v>89</v>
      </c>
      <c r="G452" s="2" t="s">
        <v>192</v>
      </c>
      <c r="H452" s="2" t="str">
        <f>IF(F452="","",VLOOKUP(F452,Productos!$A$2:$F$182,3,FALSE))</f>
        <v>3</v>
      </c>
      <c r="I452" s="2" t="str">
        <f>IF(F452="","",VLOOKUP(F452,Productos!$A$2:$F$182,4,FALSE))</f>
        <v>Otros bienes transportables, excepto productos metálicos, maquinaria y equipo</v>
      </c>
      <c r="J452" s="2">
        <f>IF(F452="","",VLOOKUP(F452,Productos!$A$2:$F$182,5,FALSE))</f>
        <v>3</v>
      </c>
      <c r="K452" s="2" t="str">
        <f>IF(F452="","",VLOOKUP(F452,Productos!$A$2:$F$182,6,FALSE))</f>
        <v>Manufacturas</v>
      </c>
      <c r="L452" s="2">
        <v>3</v>
      </c>
      <c r="M452" s="2" t="s">
        <v>67</v>
      </c>
      <c r="N452" s="2">
        <f>VLOOKUP(F452,Productos!$A$2:$J$182,5)</f>
        <v>3</v>
      </c>
      <c r="O452" s="2" t="str">
        <f>VLOOKUP(F452,Productos!$A$2:$J$182,6)</f>
        <v>Manufacturas</v>
      </c>
    </row>
    <row r="453" spans="1:15">
      <c r="A453" s="2" t="s">
        <v>650</v>
      </c>
      <c r="B453" s="2" t="s">
        <v>559</v>
      </c>
      <c r="C453" s="2" t="s">
        <v>560</v>
      </c>
      <c r="D453" s="2" t="s">
        <v>561</v>
      </c>
      <c r="E453" s="2" t="s">
        <v>560</v>
      </c>
      <c r="F453" s="3">
        <v>90</v>
      </c>
      <c r="G453" s="2" t="s">
        <v>194</v>
      </c>
      <c r="H453" s="2" t="str">
        <f>IF(F453="","",VLOOKUP(F453,Productos!$A$2:$F$182,3,FALSE))</f>
        <v>3</v>
      </c>
      <c r="I453" s="2" t="str">
        <f>IF(F453="","",VLOOKUP(F453,Productos!$A$2:$F$182,4,FALSE))</f>
        <v>Otros bienes transportables, excepto productos metálicos, maquinaria y equipo</v>
      </c>
      <c r="J453" s="2">
        <f>IF(F453="","",VLOOKUP(F453,Productos!$A$2:$F$182,5,FALSE))</f>
        <v>3</v>
      </c>
      <c r="K453" s="2" t="str">
        <f>IF(F453="","",VLOOKUP(F453,Productos!$A$2:$F$182,6,FALSE))</f>
        <v>Manufacturas</v>
      </c>
      <c r="L453" s="2">
        <v>3</v>
      </c>
      <c r="M453" s="2" t="s">
        <v>67</v>
      </c>
      <c r="N453" s="2">
        <f>VLOOKUP(F453,Productos!$A$2:$J$182,5)</f>
        <v>3</v>
      </c>
      <c r="O453" s="2" t="str">
        <f>VLOOKUP(F453,Productos!$A$2:$J$182,6)</f>
        <v>Manufacturas</v>
      </c>
    </row>
    <row r="454" spans="1:15">
      <c r="A454" s="2" t="s">
        <v>651</v>
      </c>
      <c r="B454" s="2" t="s">
        <v>559</v>
      </c>
      <c r="C454" s="2" t="s">
        <v>560</v>
      </c>
      <c r="D454" s="2" t="s">
        <v>561</v>
      </c>
      <c r="E454" s="2" t="s">
        <v>560</v>
      </c>
      <c r="F454" s="3">
        <v>91</v>
      </c>
      <c r="G454" s="2" t="s">
        <v>196</v>
      </c>
      <c r="H454" s="2" t="str">
        <f>IF(F454="","",VLOOKUP(F454,Productos!$A$2:$F$182,3,FALSE))</f>
        <v>3</v>
      </c>
      <c r="I454" s="2" t="str">
        <f>IF(F454="","",VLOOKUP(F454,Productos!$A$2:$F$182,4,FALSE))</f>
        <v>Otros bienes transportables, excepto productos metálicos, maquinaria y equipo</v>
      </c>
      <c r="J454" s="2">
        <f>IF(F454="","",VLOOKUP(F454,Productos!$A$2:$F$182,5,FALSE))</f>
        <v>3</v>
      </c>
      <c r="K454" s="2" t="str">
        <f>IF(F454="","",VLOOKUP(F454,Productos!$A$2:$F$182,6,FALSE))</f>
        <v>Manufacturas</v>
      </c>
      <c r="L454" s="2">
        <v>3</v>
      </c>
      <c r="M454" s="2" t="s">
        <v>67</v>
      </c>
      <c r="N454" s="2">
        <f>VLOOKUP(F454,Productos!$A$2:$J$182,5)</f>
        <v>3</v>
      </c>
      <c r="O454" s="2" t="str">
        <f>VLOOKUP(F454,Productos!$A$2:$J$182,6)</f>
        <v>Manufacturas</v>
      </c>
    </row>
    <row r="455" spans="1:15">
      <c r="A455" s="2" t="s">
        <v>652</v>
      </c>
      <c r="B455" s="2" t="s">
        <v>559</v>
      </c>
      <c r="C455" s="2" t="s">
        <v>560</v>
      </c>
      <c r="D455" s="2" t="s">
        <v>561</v>
      </c>
      <c r="E455" s="2" t="s">
        <v>560</v>
      </c>
      <c r="F455" s="3">
        <v>92</v>
      </c>
      <c r="G455" s="2" t="s">
        <v>198</v>
      </c>
      <c r="H455" s="2" t="str">
        <f>IF(F455="","",VLOOKUP(F455,Productos!$A$2:$F$182,3,FALSE))</f>
        <v>3</v>
      </c>
      <c r="I455" s="2" t="str">
        <f>IF(F455="","",VLOOKUP(F455,Productos!$A$2:$F$182,4,FALSE))</f>
        <v>Otros bienes transportables, excepto productos metálicos, maquinaria y equipo</v>
      </c>
      <c r="J455" s="2">
        <f>IF(F455="","",VLOOKUP(F455,Productos!$A$2:$F$182,5,FALSE))</f>
        <v>3</v>
      </c>
      <c r="K455" s="2" t="str">
        <f>IF(F455="","",VLOOKUP(F455,Productos!$A$2:$F$182,6,FALSE))</f>
        <v>Manufacturas</v>
      </c>
      <c r="L455" s="2">
        <v>3</v>
      </c>
      <c r="M455" s="2" t="s">
        <v>67</v>
      </c>
      <c r="N455" s="2">
        <f>VLOOKUP(F455,Productos!$A$2:$J$182,5)</f>
        <v>3</v>
      </c>
      <c r="O455" s="2" t="str">
        <f>VLOOKUP(F455,Productos!$A$2:$J$182,6)</f>
        <v>Manufacturas</v>
      </c>
    </row>
    <row r="456" spans="1:15">
      <c r="A456" s="2" t="s">
        <v>653</v>
      </c>
      <c r="B456" s="2" t="s">
        <v>559</v>
      </c>
      <c r="C456" s="2" t="s">
        <v>560</v>
      </c>
      <c r="D456" s="2" t="s">
        <v>561</v>
      </c>
      <c r="E456" s="2" t="s">
        <v>560</v>
      </c>
      <c r="F456" s="3">
        <v>93</v>
      </c>
      <c r="G456" s="2" t="s">
        <v>200</v>
      </c>
      <c r="H456" s="2" t="str">
        <f>IF(F456="","",VLOOKUP(F456,Productos!$A$2:$F$182,3,FALSE))</f>
        <v>3</v>
      </c>
      <c r="I456" s="2" t="str">
        <f>IF(F456="","",VLOOKUP(F456,Productos!$A$2:$F$182,4,FALSE))</f>
        <v>Otros bienes transportables, excepto productos metálicos, maquinaria y equipo</v>
      </c>
      <c r="J456" s="2">
        <f>IF(F456="","",VLOOKUP(F456,Productos!$A$2:$F$182,5,FALSE))</f>
        <v>3</v>
      </c>
      <c r="K456" s="2" t="str">
        <f>IF(F456="","",VLOOKUP(F456,Productos!$A$2:$F$182,6,FALSE))</f>
        <v>Manufacturas</v>
      </c>
      <c r="L456" s="2">
        <v>3</v>
      </c>
      <c r="M456" s="2" t="s">
        <v>67</v>
      </c>
      <c r="N456" s="2">
        <f>VLOOKUP(F456,Productos!$A$2:$J$182,5)</f>
        <v>3</v>
      </c>
      <c r="O456" s="2" t="str">
        <f>VLOOKUP(F456,Productos!$A$2:$J$182,6)</f>
        <v>Manufacturas</v>
      </c>
    </row>
    <row r="457" spans="1:15">
      <c r="A457" s="2" t="s">
        <v>654</v>
      </c>
      <c r="B457" s="2" t="s">
        <v>559</v>
      </c>
      <c r="C457" s="2" t="s">
        <v>560</v>
      </c>
      <c r="D457" s="2" t="s">
        <v>561</v>
      </c>
      <c r="E457" s="2" t="s">
        <v>560</v>
      </c>
      <c r="F457" s="3">
        <v>94</v>
      </c>
      <c r="G457" s="2" t="s">
        <v>202</v>
      </c>
      <c r="H457" s="2" t="str">
        <f>IF(F457="","",VLOOKUP(F457,Productos!$A$2:$F$182,3,FALSE))</f>
        <v>3</v>
      </c>
      <c r="I457" s="2" t="str">
        <f>IF(F457="","",VLOOKUP(F457,Productos!$A$2:$F$182,4,FALSE))</f>
        <v>Otros bienes transportables, excepto productos metálicos, maquinaria y equipo</v>
      </c>
      <c r="J457" s="2">
        <f>IF(F457="","",VLOOKUP(F457,Productos!$A$2:$F$182,5,FALSE))</f>
        <v>3</v>
      </c>
      <c r="K457" s="2" t="str">
        <f>IF(F457="","",VLOOKUP(F457,Productos!$A$2:$F$182,6,FALSE))</f>
        <v>Manufacturas</v>
      </c>
      <c r="L457" s="2">
        <v>3</v>
      </c>
      <c r="M457" s="2" t="s">
        <v>67</v>
      </c>
      <c r="N457" s="2">
        <f>VLOOKUP(F457,Productos!$A$2:$J$182,5)</f>
        <v>3</v>
      </c>
      <c r="O457" s="2" t="str">
        <f>VLOOKUP(F457,Productos!$A$2:$J$182,6)</f>
        <v>Manufacturas</v>
      </c>
    </row>
    <row r="458" spans="1:15">
      <c r="A458" s="2" t="s">
        <v>655</v>
      </c>
      <c r="B458" s="2" t="s">
        <v>559</v>
      </c>
      <c r="C458" s="2" t="s">
        <v>560</v>
      </c>
      <c r="D458" s="2" t="s">
        <v>561</v>
      </c>
      <c r="E458" s="2" t="s">
        <v>560</v>
      </c>
      <c r="F458" s="3">
        <v>95</v>
      </c>
      <c r="G458" s="2" t="s">
        <v>204</v>
      </c>
      <c r="H458" s="2" t="str">
        <f>IF(F458="","",VLOOKUP(F458,Productos!$A$2:$F$182,3,FALSE))</f>
        <v>3</v>
      </c>
      <c r="I458" s="2" t="str">
        <f>IF(F458="","",VLOOKUP(F458,Productos!$A$2:$F$182,4,FALSE))</f>
        <v>Otros bienes transportables, excepto productos metálicos, maquinaria y equipo</v>
      </c>
      <c r="J458" s="2">
        <f>IF(F458="","",VLOOKUP(F458,Productos!$A$2:$F$182,5,FALSE))</f>
        <v>3</v>
      </c>
      <c r="K458" s="2" t="str">
        <f>IF(F458="","",VLOOKUP(F458,Productos!$A$2:$F$182,6,FALSE))</f>
        <v>Manufacturas</v>
      </c>
      <c r="L458" s="2">
        <v>3</v>
      </c>
      <c r="M458" s="2" t="s">
        <v>67</v>
      </c>
      <c r="N458" s="2">
        <f>VLOOKUP(F458,Productos!$A$2:$J$182,5)</f>
        <v>3</v>
      </c>
      <c r="O458" s="2" t="str">
        <f>VLOOKUP(F458,Productos!$A$2:$J$182,6)</f>
        <v>Manufacturas</v>
      </c>
    </row>
    <row r="459" spans="1:15">
      <c r="A459" s="2" t="s">
        <v>656</v>
      </c>
      <c r="B459" s="2" t="s">
        <v>559</v>
      </c>
      <c r="C459" s="2" t="s">
        <v>560</v>
      </c>
      <c r="D459" s="2" t="s">
        <v>561</v>
      </c>
      <c r="E459" s="2" t="s">
        <v>560</v>
      </c>
      <c r="F459" s="3">
        <v>96</v>
      </c>
      <c r="G459" s="2" t="s">
        <v>206</v>
      </c>
      <c r="H459" s="2" t="str">
        <f>IF(F459="","",VLOOKUP(F459,Productos!$A$2:$F$182,3,FALSE))</f>
        <v>3</v>
      </c>
      <c r="I459" s="2" t="str">
        <f>IF(F459="","",VLOOKUP(F459,Productos!$A$2:$F$182,4,FALSE))</f>
        <v>Otros bienes transportables, excepto productos metálicos, maquinaria y equipo</v>
      </c>
      <c r="J459" s="2">
        <f>IF(F459="","",VLOOKUP(F459,Productos!$A$2:$F$182,5,FALSE))</f>
        <v>3</v>
      </c>
      <c r="K459" s="2" t="str">
        <f>IF(F459="","",VLOOKUP(F459,Productos!$A$2:$F$182,6,FALSE))</f>
        <v>Manufacturas</v>
      </c>
      <c r="L459" s="2">
        <v>3</v>
      </c>
      <c r="M459" s="2" t="s">
        <v>67</v>
      </c>
      <c r="N459" s="2">
        <f>VLOOKUP(F459,Productos!$A$2:$J$182,5)</f>
        <v>3</v>
      </c>
      <c r="O459" s="2" t="str">
        <f>VLOOKUP(F459,Productos!$A$2:$J$182,6)</f>
        <v>Manufacturas</v>
      </c>
    </row>
    <row r="460" spans="1:15">
      <c r="A460" s="2" t="s">
        <v>657</v>
      </c>
      <c r="B460" s="2" t="s">
        <v>559</v>
      </c>
      <c r="C460" s="2" t="s">
        <v>560</v>
      </c>
      <c r="D460" s="2" t="s">
        <v>561</v>
      </c>
      <c r="E460" s="2" t="s">
        <v>560</v>
      </c>
      <c r="F460" s="3">
        <v>97</v>
      </c>
      <c r="G460" s="2" t="s">
        <v>208</v>
      </c>
      <c r="H460" s="2" t="str">
        <f>IF(F460="","",VLOOKUP(F460,Productos!$A$2:$F$182,3,FALSE))</f>
        <v>3</v>
      </c>
      <c r="I460" s="2" t="str">
        <f>IF(F460="","",VLOOKUP(F460,Productos!$A$2:$F$182,4,FALSE))</f>
        <v>Otros bienes transportables, excepto productos metálicos, maquinaria y equipo</v>
      </c>
      <c r="J460" s="2">
        <f>IF(F460="","",VLOOKUP(F460,Productos!$A$2:$F$182,5,FALSE))</f>
        <v>3</v>
      </c>
      <c r="K460" s="2" t="str">
        <f>IF(F460="","",VLOOKUP(F460,Productos!$A$2:$F$182,6,FALSE))</f>
        <v>Manufacturas</v>
      </c>
      <c r="L460" s="2">
        <v>3</v>
      </c>
      <c r="M460" s="2" t="s">
        <v>67</v>
      </c>
      <c r="N460" s="2">
        <f>VLOOKUP(F460,Productos!$A$2:$J$182,5)</f>
        <v>3</v>
      </c>
      <c r="O460" s="2" t="str">
        <f>VLOOKUP(F460,Productos!$A$2:$J$182,6)</f>
        <v>Manufacturas</v>
      </c>
    </row>
    <row r="461" spans="1:15">
      <c r="A461" s="2" t="s">
        <v>658</v>
      </c>
      <c r="B461" s="2" t="s">
        <v>559</v>
      </c>
      <c r="C461" s="2" t="s">
        <v>560</v>
      </c>
      <c r="D461" s="2" t="s">
        <v>561</v>
      </c>
      <c r="E461" s="2" t="s">
        <v>560</v>
      </c>
      <c r="F461" s="3">
        <v>98</v>
      </c>
      <c r="G461" s="2" t="s">
        <v>210</v>
      </c>
      <c r="H461" s="2" t="str">
        <f>IF(F461="","",VLOOKUP(F461,Productos!$A$2:$F$182,3,FALSE))</f>
        <v>4</v>
      </c>
      <c r="I461" s="2" t="str">
        <f>IF(F461="","",VLOOKUP(F461,Productos!$A$2:$F$182,4,FALSE))</f>
        <v>Productos metálicos, maquinaria y equipo</v>
      </c>
      <c r="J461" s="2">
        <f>IF(F461="","",VLOOKUP(F461,Productos!$A$2:$F$182,5,FALSE))</f>
        <v>3</v>
      </c>
      <c r="K461" s="2" t="str">
        <f>IF(F461="","",VLOOKUP(F461,Productos!$A$2:$F$182,6,FALSE))</f>
        <v>Manufacturas</v>
      </c>
      <c r="L461" s="2">
        <v>3</v>
      </c>
      <c r="M461" s="2" t="s">
        <v>67</v>
      </c>
      <c r="N461" s="2">
        <f>VLOOKUP(F461,Productos!$A$2:$J$182,5)</f>
        <v>3</v>
      </c>
      <c r="O461" s="2" t="str">
        <f>VLOOKUP(F461,Productos!$A$2:$J$182,6)</f>
        <v>Manufacturas</v>
      </c>
    </row>
    <row r="462" spans="1:15">
      <c r="A462" s="2" t="s">
        <v>659</v>
      </c>
      <c r="B462" s="2" t="s">
        <v>559</v>
      </c>
      <c r="C462" s="2" t="s">
        <v>560</v>
      </c>
      <c r="D462" s="2" t="s">
        <v>561</v>
      </c>
      <c r="E462" s="2" t="s">
        <v>560</v>
      </c>
      <c r="F462" s="3">
        <v>99</v>
      </c>
      <c r="G462" s="2" t="s">
        <v>212</v>
      </c>
      <c r="H462" s="2" t="str">
        <f>IF(F462="","",VLOOKUP(F462,Productos!$A$2:$F$182,3,FALSE))</f>
        <v>4</v>
      </c>
      <c r="I462" s="2" t="str">
        <f>IF(F462="","",VLOOKUP(F462,Productos!$A$2:$F$182,4,FALSE))</f>
        <v>Productos metálicos, maquinaria y equipo</v>
      </c>
      <c r="J462" s="2">
        <f>IF(F462="","",VLOOKUP(F462,Productos!$A$2:$F$182,5,FALSE))</f>
        <v>3</v>
      </c>
      <c r="K462" s="2" t="str">
        <f>IF(F462="","",VLOOKUP(F462,Productos!$A$2:$F$182,6,FALSE))</f>
        <v>Manufacturas</v>
      </c>
      <c r="L462" s="2">
        <v>3</v>
      </c>
      <c r="M462" s="2" t="s">
        <v>67</v>
      </c>
      <c r="N462" s="2">
        <f>VLOOKUP(F462,Productos!$A$2:$J$182,5)</f>
        <v>3</v>
      </c>
      <c r="O462" s="2" t="str">
        <f>VLOOKUP(F462,Productos!$A$2:$J$182,6)</f>
        <v>Manufacturas</v>
      </c>
    </row>
    <row r="463" spans="1:15">
      <c r="A463" s="2" t="s">
        <v>660</v>
      </c>
      <c r="B463" s="2" t="s">
        <v>559</v>
      </c>
      <c r="C463" s="2" t="s">
        <v>560</v>
      </c>
      <c r="D463" s="2" t="s">
        <v>561</v>
      </c>
      <c r="E463" s="2" t="s">
        <v>560</v>
      </c>
      <c r="F463" s="3">
        <v>100</v>
      </c>
      <c r="G463" s="2" t="s">
        <v>214</v>
      </c>
      <c r="H463" s="2" t="str">
        <f>IF(F463="","",VLOOKUP(F463,Productos!$A$2:$F$182,3,FALSE))</f>
        <v>4</v>
      </c>
      <c r="I463" s="2" t="str">
        <f>IF(F463="","",VLOOKUP(F463,Productos!$A$2:$F$182,4,FALSE))</f>
        <v>Productos metálicos, maquinaria y equipo</v>
      </c>
      <c r="J463" s="2">
        <f>IF(F463="","",VLOOKUP(F463,Productos!$A$2:$F$182,5,FALSE))</f>
        <v>3</v>
      </c>
      <c r="K463" s="2" t="str">
        <f>IF(F463="","",VLOOKUP(F463,Productos!$A$2:$F$182,6,FALSE))</f>
        <v>Manufacturas</v>
      </c>
      <c r="L463" s="2">
        <v>3</v>
      </c>
      <c r="M463" s="2" t="s">
        <v>67</v>
      </c>
      <c r="N463" s="2">
        <f>VLOOKUP(F463,Productos!$A$2:$J$182,5)</f>
        <v>3</v>
      </c>
      <c r="O463" s="2" t="str">
        <f>VLOOKUP(F463,Productos!$A$2:$J$182,6)</f>
        <v>Manufacturas</v>
      </c>
    </row>
    <row r="464" spans="1:15">
      <c r="A464" s="2" t="s">
        <v>661</v>
      </c>
      <c r="B464" s="2" t="s">
        <v>559</v>
      </c>
      <c r="C464" s="2" t="s">
        <v>560</v>
      </c>
      <c r="D464" s="2" t="s">
        <v>561</v>
      </c>
      <c r="E464" s="2" t="s">
        <v>560</v>
      </c>
      <c r="F464" s="3">
        <v>101</v>
      </c>
      <c r="G464" s="2" t="s">
        <v>216</v>
      </c>
      <c r="H464" s="2" t="str">
        <f>IF(F464="","",VLOOKUP(F464,Productos!$A$2:$F$182,3,FALSE))</f>
        <v>4</v>
      </c>
      <c r="I464" s="2" t="str">
        <f>IF(F464="","",VLOOKUP(F464,Productos!$A$2:$F$182,4,FALSE))</f>
        <v>Productos metálicos, maquinaria y equipo</v>
      </c>
      <c r="J464" s="2">
        <f>IF(F464="","",VLOOKUP(F464,Productos!$A$2:$F$182,5,FALSE))</f>
        <v>3</v>
      </c>
      <c r="K464" s="2" t="str">
        <f>IF(F464="","",VLOOKUP(F464,Productos!$A$2:$F$182,6,FALSE))</f>
        <v>Manufacturas</v>
      </c>
      <c r="L464" s="2">
        <v>3</v>
      </c>
      <c r="M464" s="2" t="s">
        <v>67</v>
      </c>
      <c r="N464" s="2">
        <f>VLOOKUP(F464,Productos!$A$2:$J$182,5)</f>
        <v>3</v>
      </c>
      <c r="O464" s="2" t="str">
        <f>VLOOKUP(F464,Productos!$A$2:$J$182,6)</f>
        <v>Manufacturas</v>
      </c>
    </row>
    <row r="465" spans="1:15">
      <c r="A465" s="2" t="s">
        <v>662</v>
      </c>
      <c r="B465" s="2" t="s">
        <v>559</v>
      </c>
      <c r="C465" s="2" t="s">
        <v>560</v>
      </c>
      <c r="D465" s="2" t="s">
        <v>561</v>
      </c>
      <c r="E465" s="2" t="s">
        <v>560</v>
      </c>
      <c r="F465" s="3">
        <v>102</v>
      </c>
      <c r="G465" s="2" t="s">
        <v>218</v>
      </c>
      <c r="H465" s="2" t="str">
        <f>IF(F465="","",VLOOKUP(F465,Productos!$A$2:$F$182,3,FALSE))</f>
        <v>4</v>
      </c>
      <c r="I465" s="2" t="str">
        <f>IF(F465="","",VLOOKUP(F465,Productos!$A$2:$F$182,4,FALSE))</f>
        <v>Productos metálicos, maquinaria y equipo</v>
      </c>
      <c r="J465" s="2">
        <f>IF(F465="","",VLOOKUP(F465,Productos!$A$2:$F$182,5,FALSE))</f>
        <v>3</v>
      </c>
      <c r="K465" s="2" t="str">
        <f>IF(F465="","",VLOOKUP(F465,Productos!$A$2:$F$182,6,FALSE))</f>
        <v>Manufacturas</v>
      </c>
      <c r="L465" s="2">
        <v>3</v>
      </c>
      <c r="M465" s="2" t="s">
        <v>67</v>
      </c>
      <c r="N465" s="2">
        <f>VLOOKUP(F465,Productos!$A$2:$J$182,5)</f>
        <v>3</v>
      </c>
      <c r="O465" s="2" t="str">
        <f>VLOOKUP(F465,Productos!$A$2:$J$182,6)</f>
        <v>Manufacturas</v>
      </c>
    </row>
    <row r="466" spans="1:15">
      <c r="A466" s="2" t="s">
        <v>663</v>
      </c>
      <c r="B466" s="2" t="s">
        <v>559</v>
      </c>
      <c r="C466" s="2" t="s">
        <v>560</v>
      </c>
      <c r="D466" s="2" t="s">
        <v>561</v>
      </c>
      <c r="E466" s="2" t="s">
        <v>560</v>
      </c>
      <c r="F466" s="3">
        <v>103</v>
      </c>
      <c r="G466" s="2" t="s">
        <v>220</v>
      </c>
      <c r="H466" s="2" t="str">
        <f>IF(F466="","",VLOOKUP(F466,Productos!$A$2:$F$182,3,FALSE))</f>
        <v>4</v>
      </c>
      <c r="I466" s="2" t="str">
        <f>IF(F466="","",VLOOKUP(F466,Productos!$A$2:$F$182,4,FALSE))</f>
        <v>Productos metálicos, maquinaria y equipo</v>
      </c>
      <c r="J466" s="2">
        <f>IF(F466="","",VLOOKUP(F466,Productos!$A$2:$F$182,5,FALSE))</f>
        <v>3</v>
      </c>
      <c r="K466" s="2" t="str">
        <f>IF(F466="","",VLOOKUP(F466,Productos!$A$2:$F$182,6,FALSE))</f>
        <v>Manufacturas</v>
      </c>
      <c r="L466" s="2">
        <v>3</v>
      </c>
      <c r="M466" s="2" t="s">
        <v>67</v>
      </c>
      <c r="N466" s="2">
        <f>VLOOKUP(F466,Productos!$A$2:$J$182,5)</f>
        <v>3</v>
      </c>
      <c r="O466" s="2" t="str">
        <f>VLOOKUP(F466,Productos!$A$2:$J$182,6)</f>
        <v>Manufacturas</v>
      </c>
    </row>
    <row r="467" spans="1:15">
      <c r="A467" s="2" t="s">
        <v>664</v>
      </c>
      <c r="B467" s="2" t="s">
        <v>559</v>
      </c>
      <c r="C467" s="2" t="s">
        <v>560</v>
      </c>
      <c r="D467" s="2" t="s">
        <v>561</v>
      </c>
      <c r="E467" s="2" t="s">
        <v>560</v>
      </c>
      <c r="F467" s="3">
        <v>104</v>
      </c>
      <c r="G467" s="2" t="s">
        <v>222</v>
      </c>
      <c r="H467" s="2" t="str">
        <f>IF(F467="","",VLOOKUP(F467,Productos!$A$2:$F$182,3,FALSE))</f>
        <v>4</v>
      </c>
      <c r="I467" s="2" t="str">
        <f>IF(F467="","",VLOOKUP(F467,Productos!$A$2:$F$182,4,FALSE))</f>
        <v>Productos metálicos, maquinaria y equipo</v>
      </c>
      <c r="J467" s="2">
        <f>IF(F467="","",VLOOKUP(F467,Productos!$A$2:$F$182,5,FALSE))</f>
        <v>3</v>
      </c>
      <c r="K467" s="2" t="str">
        <f>IF(F467="","",VLOOKUP(F467,Productos!$A$2:$F$182,6,FALSE))</f>
        <v>Manufacturas</v>
      </c>
      <c r="L467" s="2">
        <v>3</v>
      </c>
      <c r="M467" s="2" t="s">
        <v>67</v>
      </c>
      <c r="N467" s="2">
        <f>VLOOKUP(F467,Productos!$A$2:$J$182,5)</f>
        <v>3</v>
      </c>
      <c r="O467" s="2" t="str">
        <f>VLOOKUP(F467,Productos!$A$2:$J$182,6)</f>
        <v>Manufacturas</v>
      </c>
    </row>
    <row r="468" spans="1:15">
      <c r="A468" s="2" t="s">
        <v>665</v>
      </c>
      <c r="B468" s="2" t="s">
        <v>559</v>
      </c>
      <c r="C468" s="2" t="s">
        <v>560</v>
      </c>
      <c r="D468" s="2" t="s">
        <v>561</v>
      </c>
      <c r="E468" s="2" t="s">
        <v>560</v>
      </c>
      <c r="F468" s="3">
        <v>105</v>
      </c>
      <c r="G468" s="2" t="s">
        <v>224</v>
      </c>
      <c r="H468" s="2" t="str">
        <f>IF(F468="","",VLOOKUP(F468,Productos!$A$2:$F$182,3,FALSE))</f>
        <v>4</v>
      </c>
      <c r="I468" s="2" t="str">
        <f>IF(F468="","",VLOOKUP(F468,Productos!$A$2:$F$182,4,FALSE))</f>
        <v>Productos metálicos, maquinaria y equipo</v>
      </c>
      <c r="J468" s="2">
        <f>IF(F468="","",VLOOKUP(F468,Productos!$A$2:$F$182,5,FALSE))</f>
        <v>3</v>
      </c>
      <c r="K468" s="2" t="str">
        <f>IF(F468="","",VLOOKUP(F468,Productos!$A$2:$F$182,6,FALSE))</f>
        <v>Manufacturas</v>
      </c>
      <c r="L468" s="2">
        <v>3</v>
      </c>
      <c r="M468" s="2" t="s">
        <v>67</v>
      </c>
      <c r="N468" s="2">
        <f>VLOOKUP(F468,Productos!$A$2:$J$182,5)</f>
        <v>3</v>
      </c>
      <c r="O468" s="2" t="str">
        <f>VLOOKUP(F468,Productos!$A$2:$J$182,6)</f>
        <v>Manufacturas</v>
      </c>
    </row>
    <row r="469" spans="1:15">
      <c r="A469" s="2" t="s">
        <v>666</v>
      </c>
      <c r="B469" s="2" t="s">
        <v>559</v>
      </c>
      <c r="C469" s="2" t="s">
        <v>560</v>
      </c>
      <c r="D469" s="2" t="s">
        <v>561</v>
      </c>
      <c r="E469" s="2" t="s">
        <v>560</v>
      </c>
      <c r="F469" s="3">
        <v>106</v>
      </c>
      <c r="G469" s="2" t="s">
        <v>226</v>
      </c>
      <c r="H469" s="2" t="str">
        <f>IF(F469="","",VLOOKUP(F469,Productos!$A$2:$F$182,3,FALSE))</f>
        <v>4</v>
      </c>
      <c r="I469" s="2" t="str">
        <f>IF(F469="","",VLOOKUP(F469,Productos!$A$2:$F$182,4,FALSE))</f>
        <v>Productos metálicos, maquinaria y equipo</v>
      </c>
      <c r="J469" s="2">
        <f>IF(F469="","",VLOOKUP(F469,Productos!$A$2:$F$182,5,FALSE))</f>
        <v>3</v>
      </c>
      <c r="K469" s="2" t="str">
        <f>IF(F469="","",VLOOKUP(F469,Productos!$A$2:$F$182,6,FALSE))</f>
        <v>Manufacturas</v>
      </c>
      <c r="L469" s="2">
        <v>3</v>
      </c>
      <c r="M469" s="2" t="s">
        <v>67</v>
      </c>
      <c r="N469" s="2">
        <f>VLOOKUP(F469,Productos!$A$2:$J$182,5)</f>
        <v>3</v>
      </c>
      <c r="O469" s="2" t="str">
        <f>VLOOKUP(F469,Productos!$A$2:$J$182,6)</f>
        <v>Manufacturas</v>
      </c>
    </row>
    <row r="470" spans="1:15">
      <c r="A470" s="2" t="s">
        <v>667</v>
      </c>
      <c r="B470" s="2" t="s">
        <v>559</v>
      </c>
      <c r="C470" s="2" t="s">
        <v>560</v>
      </c>
      <c r="D470" s="2" t="s">
        <v>561</v>
      </c>
      <c r="E470" s="2" t="s">
        <v>560</v>
      </c>
      <c r="F470" s="3">
        <v>107</v>
      </c>
      <c r="G470" s="2" t="s">
        <v>228</v>
      </c>
      <c r="H470" s="2" t="str">
        <f>IF(F470="","",VLOOKUP(F470,Productos!$A$2:$F$182,3,FALSE))</f>
        <v>4</v>
      </c>
      <c r="I470" s="2" t="str">
        <f>IF(F470="","",VLOOKUP(F470,Productos!$A$2:$F$182,4,FALSE))</f>
        <v>Productos metálicos, maquinaria y equipo</v>
      </c>
      <c r="J470" s="2">
        <f>IF(F470="","",VLOOKUP(F470,Productos!$A$2:$F$182,5,FALSE))</f>
        <v>3</v>
      </c>
      <c r="K470" s="2" t="str">
        <f>IF(F470="","",VLOOKUP(F470,Productos!$A$2:$F$182,6,FALSE))</f>
        <v>Manufacturas</v>
      </c>
      <c r="L470" s="2">
        <v>3</v>
      </c>
      <c r="M470" s="2" t="s">
        <v>67</v>
      </c>
      <c r="N470" s="2">
        <f>VLOOKUP(F470,Productos!$A$2:$J$182,5)</f>
        <v>3</v>
      </c>
      <c r="O470" s="2" t="str">
        <f>VLOOKUP(F470,Productos!$A$2:$J$182,6)</f>
        <v>Manufacturas</v>
      </c>
    </row>
    <row r="471" spans="1:15">
      <c r="A471" s="2" t="s">
        <v>668</v>
      </c>
      <c r="B471" s="2" t="s">
        <v>559</v>
      </c>
      <c r="C471" s="2" t="s">
        <v>560</v>
      </c>
      <c r="D471" s="2" t="s">
        <v>561</v>
      </c>
      <c r="E471" s="2" t="s">
        <v>560</v>
      </c>
      <c r="F471" s="3">
        <v>108</v>
      </c>
      <c r="G471" s="2" t="s">
        <v>230</v>
      </c>
      <c r="H471" s="2" t="str">
        <f>IF(F471="","",VLOOKUP(F471,Productos!$A$2:$F$182,3,FALSE))</f>
        <v>4</v>
      </c>
      <c r="I471" s="2" t="str">
        <f>IF(F471="","",VLOOKUP(F471,Productos!$A$2:$F$182,4,FALSE))</f>
        <v>Productos metálicos, maquinaria y equipo</v>
      </c>
      <c r="J471" s="2">
        <f>IF(F471="","",VLOOKUP(F471,Productos!$A$2:$F$182,5,FALSE))</f>
        <v>3</v>
      </c>
      <c r="K471" s="2" t="str">
        <f>IF(F471="","",VLOOKUP(F471,Productos!$A$2:$F$182,6,FALSE))</f>
        <v>Manufacturas</v>
      </c>
      <c r="L471" s="2">
        <v>3</v>
      </c>
      <c r="M471" s="2" t="s">
        <v>67</v>
      </c>
      <c r="N471" s="2">
        <f>VLOOKUP(F471,Productos!$A$2:$J$182,5)</f>
        <v>3</v>
      </c>
      <c r="O471" s="2" t="str">
        <f>VLOOKUP(F471,Productos!$A$2:$J$182,6)</f>
        <v>Manufacturas</v>
      </c>
    </row>
    <row r="472" spans="1:15">
      <c r="A472" s="2" t="s">
        <v>669</v>
      </c>
      <c r="B472" s="2" t="s">
        <v>559</v>
      </c>
      <c r="C472" s="2" t="s">
        <v>560</v>
      </c>
      <c r="D472" s="2" t="s">
        <v>561</v>
      </c>
      <c r="E472" s="2" t="s">
        <v>560</v>
      </c>
      <c r="F472" s="3">
        <v>109</v>
      </c>
      <c r="G472" s="2" t="s">
        <v>232</v>
      </c>
      <c r="H472" s="2" t="str">
        <f>IF(F472="","",VLOOKUP(F472,Productos!$A$2:$F$182,3,FALSE))</f>
        <v>4</v>
      </c>
      <c r="I472" s="2" t="str">
        <f>IF(F472="","",VLOOKUP(F472,Productos!$A$2:$F$182,4,FALSE))</f>
        <v>Productos metálicos, maquinaria y equipo</v>
      </c>
      <c r="J472" s="2">
        <f>IF(F472="","",VLOOKUP(F472,Productos!$A$2:$F$182,5,FALSE))</f>
        <v>3</v>
      </c>
      <c r="K472" s="2" t="str">
        <f>IF(F472="","",VLOOKUP(F472,Productos!$A$2:$F$182,6,FALSE))</f>
        <v>Manufacturas</v>
      </c>
      <c r="L472" s="2">
        <v>3</v>
      </c>
      <c r="M472" s="2" t="s">
        <v>67</v>
      </c>
      <c r="N472" s="2">
        <f>VLOOKUP(F472,Productos!$A$2:$J$182,5)</f>
        <v>3</v>
      </c>
      <c r="O472" s="2" t="str">
        <f>VLOOKUP(F472,Productos!$A$2:$J$182,6)</f>
        <v>Manufacturas</v>
      </c>
    </row>
    <row r="473" spans="1:15">
      <c r="A473" s="2" t="s">
        <v>670</v>
      </c>
      <c r="B473" s="2" t="s">
        <v>559</v>
      </c>
      <c r="C473" s="2" t="s">
        <v>560</v>
      </c>
      <c r="D473" s="2" t="s">
        <v>561</v>
      </c>
      <c r="E473" s="2" t="s">
        <v>560</v>
      </c>
      <c r="F473" s="3">
        <v>110</v>
      </c>
      <c r="G473" s="2" t="s">
        <v>234</v>
      </c>
      <c r="H473" s="2" t="str">
        <f>IF(F473="","",VLOOKUP(F473,Productos!$A$2:$F$182,3,FALSE))</f>
        <v>4</v>
      </c>
      <c r="I473" s="2" t="str">
        <f>IF(F473="","",VLOOKUP(F473,Productos!$A$2:$F$182,4,FALSE))</f>
        <v>Productos metálicos, maquinaria y equipo</v>
      </c>
      <c r="J473" s="2">
        <f>IF(F473="","",VLOOKUP(F473,Productos!$A$2:$F$182,5,FALSE))</f>
        <v>3</v>
      </c>
      <c r="K473" s="2" t="str">
        <f>IF(F473="","",VLOOKUP(F473,Productos!$A$2:$F$182,6,FALSE))</f>
        <v>Manufacturas</v>
      </c>
      <c r="L473" s="2">
        <v>3</v>
      </c>
      <c r="M473" s="2" t="s">
        <v>67</v>
      </c>
      <c r="N473" s="2">
        <f>VLOOKUP(F473,Productos!$A$2:$J$182,5)</f>
        <v>3</v>
      </c>
      <c r="O473" s="2" t="str">
        <f>VLOOKUP(F473,Productos!$A$2:$J$182,6)</f>
        <v>Manufacturas</v>
      </c>
    </row>
    <row r="474" spans="1:15">
      <c r="A474" s="2" t="s">
        <v>671</v>
      </c>
      <c r="B474" s="2" t="s">
        <v>559</v>
      </c>
      <c r="C474" s="2" t="s">
        <v>560</v>
      </c>
      <c r="D474" s="2" t="s">
        <v>561</v>
      </c>
      <c r="E474" s="2" t="s">
        <v>560</v>
      </c>
      <c r="F474" s="3">
        <v>111</v>
      </c>
      <c r="G474" s="2" t="s">
        <v>236</v>
      </c>
      <c r="H474" s="2" t="str">
        <f>IF(F474="","",VLOOKUP(F474,Productos!$A$2:$F$182,3,FALSE))</f>
        <v>4</v>
      </c>
      <c r="I474" s="2" t="str">
        <f>IF(F474="","",VLOOKUP(F474,Productos!$A$2:$F$182,4,FALSE))</f>
        <v>Productos metálicos, maquinaria y equipo</v>
      </c>
      <c r="J474" s="2">
        <f>IF(F474="","",VLOOKUP(F474,Productos!$A$2:$F$182,5,FALSE))</f>
        <v>3</v>
      </c>
      <c r="K474" s="2" t="str">
        <f>IF(F474="","",VLOOKUP(F474,Productos!$A$2:$F$182,6,FALSE))</f>
        <v>Manufacturas</v>
      </c>
      <c r="L474" s="2">
        <v>3</v>
      </c>
      <c r="M474" s="2" t="s">
        <v>67</v>
      </c>
      <c r="N474" s="2">
        <f>VLOOKUP(F474,Productos!$A$2:$J$182,5)</f>
        <v>3</v>
      </c>
      <c r="O474" s="2" t="str">
        <f>VLOOKUP(F474,Productos!$A$2:$J$182,6)</f>
        <v>Manufacturas</v>
      </c>
    </row>
    <row r="475" spans="1:15">
      <c r="A475" s="2" t="s">
        <v>672</v>
      </c>
      <c r="B475" s="2" t="s">
        <v>559</v>
      </c>
      <c r="C475" s="2" t="s">
        <v>560</v>
      </c>
      <c r="D475" s="2" t="s">
        <v>561</v>
      </c>
      <c r="E475" s="2" t="s">
        <v>560</v>
      </c>
      <c r="F475" s="3">
        <v>112</v>
      </c>
      <c r="G475" s="2" t="s">
        <v>238</v>
      </c>
      <c r="H475" s="2" t="str">
        <f>IF(F475="","",VLOOKUP(F475,Productos!$A$2:$F$182,3,FALSE))</f>
        <v>4</v>
      </c>
      <c r="I475" s="2" t="str">
        <f>IF(F475="","",VLOOKUP(F475,Productos!$A$2:$F$182,4,FALSE))</f>
        <v>Productos metálicos, maquinaria y equipo</v>
      </c>
      <c r="J475" s="2">
        <f>IF(F475="","",VLOOKUP(F475,Productos!$A$2:$F$182,5,FALSE))</f>
        <v>3</v>
      </c>
      <c r="K475" s="2" t="str">
        <f>IF(F475="","",VLOOKUP(F475,Productos!$A$2:$F$182,6,FALSE))</f>
        <v>Manufacturas</v>
      </c>
      <c r="L475" s="2">
        <v>3</v>
      </c>
      <c r="M475" s="2" t="s">
        <v>67</v>
      </c>
      <c r="N475" s="2">
        <f>VLOOKUP(F475,Productos!$A$2:$J$182,5)</f>
        <v>3</v>
      </c>
      <c r="O475" s="2" t="str">
        <f>VLOOKUP(F475,Productos!$A$2:$J$182,6)</f>
        <v>Manufacturas</v>
      </c>
    </row>
    <row r="476" spans="1:15">
      <c r="A476" s="2" t="s">
        <v>673</v>
      </c>
      <c r="B476" s="2" t="s">
        <v>559</v>
      </c>
      <c r="C476" s="2" t="s">
        <v>560</v>
      </c>
      <c r="D476" s="2" t="s">
        <v>561</v>
      </c>
      <c r="E476" s="2" t="s">
        <v>560</v>
      </c>
      <c r="F476" s="3">
        <v>113</v>
      </c>
      <c r="G476" s="2" t="s">
        <v>240</v>
      </c>
      <c r="H476" s="2" t="str">
        <f>IF(F476="","",VLOOKUP(F476,Productos!$A$2:$F$182,3,FALSE))</f>
        <v>4</v>
      </c>
      <c r="I476" s="2" t="str">
        <f>IF(F476="","",VLOOKUP(F476,Productos!$A$2:$F$182,4,FALSE))</f>
        <v>Productos metálicos, maquinaria y equipo</v>
      </c>
      <c r="J476" s="2">
        <f>IF(F476="","",VLOOKUP(F476,Productos!$A$2:$F$182,5,FALSE))</f>
        <v>3</v>
      </c>
      <c r="K476" s="2" t="str">
        <f>IF(F476="","",VLOOKUP(F476,Productos!$A$2:$F$182,6,FALSE))</f>
        <v>Manufacturas</v>
      </c>
      <c r="L476" s="2">
        <v>3</v>
      </c>
      <c r="M476" s="2" t="s">
        <v>67</v>
      </c>
      <c r="N476" s="2">
        <f>VLOOKUP(F476,Productos!$A$2:$J$182,5)</f>
        <v>3</v>
      </c>
      <c r="O476" s="2" t="str">
        <f>VLOOKUP(F476,Productos!$A$2:$J$182,6)</f>
        <v>Manufacturas</v>
      </c>
    </row>
    <row r="477" spans="1:15">
      <c r="A477" s="2" t="s">
        <v>674</v>
      </c>
      <c r="B477" s="2" t="s">
        <v>559</v>
      </c>
      <c r="C477" s="2" t="s">
        <v>560</v>
      </c>
      <c r="D477" s="2" t="s">
        <v>561</v>
      </c>
      <c r="E477" s="2" t="s">
        <v>560</v>
      </c>
      <c r="F477" s="3">
        <v>114</v>
      </c>
      <c r="G477" s="2" t="s">
        <v>242</v>
      </c>
      <c r="H477" s="2" t="str">
        <f>IF(F477="","",VLOOKUP(F477,Productos!$A$2:$F$182,3,FALSE))</f>
        <v>4</v>
      </c>
      <c r="I477" s="2" t="str">
        <f>IF(F477="","",VLOOKUP(F477,Productos!$A$2:$F$182,4,FALSE))</f>
        <v>Productos metálicos, maquinaria y equipo</v>
      </c>
      <c r="J477" s="2">
        <f>IF(F477="","",VLOOKUP(F477,Productos!$A$2:$F$182,5,FALSE))</f>
        <v>3</v>
      </c>
      <c r="K477" s="2" t="str">
        <f>IF(F477="","",VLOOKUP(F477,Productos!$A$2:$F$182,6,FALSE))</f>
        <v>Manufacturas</v>
      </c>
      <c r="L477" s="2">
        <v>3</v>
      </c>
      <c r="M477" s="2" t="s">
        <v>67</v>
      </c>
      <c r="N477" s="2">
        <f>VLOOKUP(F477,Productos!$A$2:$J$182,5)</f>
        <v>3</v>
      </c>
      <c r="O477" s="2" t="str">
        <f>VLOOKUP(F477,Productos!$A$2:$J$182,6)</f>
        <v>Manufacturas</v>
      </c>
    </row>
    <row r="478" spans="1:15">
      <c r="A478" s="2" t="s">
        <v>675</v>
      </c>
      <c r="B478" s="2" t="s">
        <v>559</v>
      </c>
      <c r="C478" s="2" t="s">
        <v>560</v>
      </c>
      <c r="D478" s="2" t="s">
        <v>561</v>
      </c>
      <c r="E478" s="2" t="s">
        <v>560</v>
      </c>
      <c r="F478" s="3">
        <v>115</v>
      </c>
      <c r="G478" s="2" t="s">
        <v>244</v>
      </c>
      <c r="H478" s="2" t="str">
        <f>IF(F478="","",VLOOKUP(F478,Productos!$A$2:$F$182,3,FALSE))</f>
        <v>4</v>
      </c>
      <c r="I478" s="2" t="str">
        <f>IF(F478="","",VLOOKUP(F478,Productos!$A$2:$F$182,4,FALSE))</f>
        <v>Productos metálicos, maquinaria y equipo</v>
      </c>
      <c r="J478" s="2">
        <f>IF(F478="","",VLOOKUP(F478,Productos!$A$2:$F$182,5,FALSE))</f>
        <v>3</v>
      </c>
      <c r="K478" s="2" t="str">
        <f>IF(F478="","",VLOOKUP(F478,Productos!$A$2:$F$182,6,FALSE))</f>
        <v>Manufacturas</v>
      </c>
      <c r="L478" s="2">
        <v>3</v>
      </c>
      <c r="M478" s="2" t="s">
        <v>67</v>
      </c>
      <c r="N478" s="2">
        <f>VLOOKUP(F478,Productos!$A$2:$J$182,5)</f>
        <v>3</v>
      </c>
      <c r="O478" s="2" t="str">
        <f>VLOOKUP(F478,Productos!$A$2:$J$182,6)</f>
        <v>Manufacturas</v>
      </c>
    </row>
    <row r="479" spans="1:15">
      <c r="A479" s="2" t="s">
        <v>676</v>
      </c>
      <c r="B479" s="2" t="s">
        <v>559</v>
      </c>
      <c r="C479" s="2" t="s">
        <v>560</v>
      </c>
      <c r="D479" s="2" t="s">
        <v>561</v>
      </c>
      <c r="E479" s="2" t="s">
        <v>560</v>
      </c>
      <c r="F479" s="3">
        <v>116</v>
      </c>
      <c r="G479" s="2" t="s">
        <v>246</v>
      </c>
      <c r="H479" s="2" t="str">
        <f>IF(F479="","",VLOOKUP(F479,Productos!$A$2:$F$182,3,FALSE))</f>
        <v>4</v>
      </c>
      <c r="I479" s="2" t="str">
        <f>IF(F479="","",VLOOKUP(F479,Productos!$A$2:$F$182,4,FALSE))</f>
        <v>Productos metálicos, maquinaria y equipo</v>
      </c>
      <c r="J479" s="2">
        <f>IF(F479="","",VLOOKUP(F479,Productos!$A$2:$F$182,5,FALSE))</f>
        <v>3</v>
      </c>
      <c r="K479" s="2" t="str">
        <f>IF(F479="","",VLOOKUP(F479,Productos!$A$2:$F$182,6,FALSE))</f>
        <v>Manufacturas</v>
      </c>
      <c r="L479" s="2">
        <v>3</v>
      </c>
      <c r="M479" s="2" t="s">
        <v>67</v>
      </c>
      <c r="N479" s="2">
        <f>VLOOKUP(F479,Productos!$A$2:$J$182,5)</f>
        <v>3</v>
      </c>
      <c r="O479" s="2" t="str">
        <f>VLOOKUP(F479,Productos!$A$2:$J$182,6)</f>
        <v>Manufacturas</v>
      </c>
    </row>
    <row r="480" spans="1:15">
      <c r="A480" s="2" t="s">
        <v>677</v>
      </c>
      <c r="B480" s="2" t="s">
        <v>559</v>
      </c>
      <c r="C480" s="2" t="s">
        <v>560</v>
      </c>
      <c r="D480" s="2" t="s">
        <v>561</v>
      </c>
      <c r="E480" s="2" t="s">
        <v>560</v>
      </c>
      <c r="F480" s="3">
        <v>117</v>
      </c>
      <c r="G480" s="2" t="s">
        <v>248</v>
      </c>
      <c r="H480" s="2" t="str">
        <f>IF(F480="","",VLOOKUP(F480,Productos!$A$2:$F$182,3,FALSE))</f>
        <v>4</v>
      </c>
      <c r="I480" s="2" t="str">
        <f>IF(F480="","",VLOOKUP(F480,Productos!$A$2:$F$182,4,FALSE))</f>
        <v>Productos metálicos, maquinaria y equipo</v>
      </c>
      <c r="J480" s="2">
        <f>IF(F480="","",VLOOKUP(F480,Productos!$A$2:$F$182,5,FALSE))</f>
        <v>3</v>
      </c>
      <c r="K480" s="2" t="str">
        <f>IF(F480="","",VLOOKUP(F480,Productos!$A$2:$F$182,6,FALSE))</f>
        <v>Manufacturas</v>
      </c>
      <c r="L480" s="2">
        <v>3</v>
      </c>
      <c r="M480" s="2" t="s">
        <v>67</v>
      </c>
      <c r="N480" s="2">
        <f>VLOOKUP(F480,Productos!$A$2:$J$182,5)</f>
        <v>3</v>
      </c>
      <c r="O480" s="2" t="str">
        <f>VLOOKUP(F480,Productos!$A$2:$J$182,6)</f>
        <v>Manufacturas</v>
      </c>
    </row>
    <row r="481" spans="1:15">
      <c r="A481" s="2" t="s">
        <v>678</v>
      </c>
      <c r="B481" s="2" t="s">
        <v>559</v>
      </c>
      <c r="C481" s="2" t="s">
        <v>560</v>
      </c>
      <c r="D481" s="2" t="s">
        <v>561</v>
      </c>
      <c r="E481" s="2" t="s">
        <v>560</v>
      </c>
      <c r="F481" s="3">
        <v>118</v>
      </c>
      <c r="G481" s="2" t="s">
        <v>250</v>
      </c>
      <c r="H481" s="2" t="str">
        <f>IF(F481="","",VLOOKUP(F481,Productos!$A$2:$F$182,3,FALSE))</f>
        <v>4</v>
      </c>
      <c r="I481" s="2" t="str">
        <f>IF(F481="","",VLOOKUP(F481,Productos!$A$2:$F$182,4,FALSE))</f>
        <v>Productos metálicos, maquinaria y equipo</v>
      </c>
      <c r="J481" s="2">
        <f>IF(F481="","",VLOOKUP(F481,Productos!$A$2:$F$182,5,FALSE))</f>
        <v>3</v>
      </c>
      <c r="K481" s="2" t="str">
        <f>IF(F481="","",VLOOKUP(F481,Productos!$A$2:$F$182,6,FALSE))</f>
        <v>Manufacturas</v>
      </c>
      <c r="L481" s="2">
        <v>3</v>
      </c>
      <c r="M481" s="2" t="s">
        <v>67</v>
      </c>
      <c r="N481" s="2">
        <f>VLOOKUP(F481,Productos!$A$2:$J$182,5)</f>
        <v>3</v>
      </c>
      <c r="O481" s="2" t="str">
        <f>VLOOKUP(F481,Productos!$A$2:$J$182,6)</f>
        <v>Manufacturas</v>
      </c>
    </row>
    <row r="482" spans="1:15">
      <c r="A482" s="2" t="s">
        <v>679</v>
      </c>
      <c r="B482" s="2" t="s">
        <v>559</v>
      </c>
      <c r="C482" s="2" t="s">
        <v>560</v>
      </c>
      <c r="D482" s="2" t="s">
        <v>561</v>
      </c>
      <c r="E482" s="2" t="s">
        <v>560</v>
      </c>
      <c r="F482" s="3">
        <v>119</v>
      </c>
      <c r="G482" s="2" t="s">
        <v>252</v>
      </c>
      <c r="H482" s="2" t="str">
        <f>IF(F482="","",VLOOKUP(F482,Productos!$A$2:$F$182,3,FALSE))</f>
        <v>1</v>
      </c>
      <c r="I482" s="2" t="str">
        <f>IF(F482="","",VLOOKUP(F482,Productos!$A$2:$F$182,4,FALSE))</f>
        <v>Minerales; electricidad, gas y agua</v>
      </c>
      <c r="J482" s="2">
        <f>IF(F482="","",VLOOKUP(F482,Productos!$A$2:$F$182,5,FALSE))</f>
        <v>4</v>
      </c>
      <c r="K482" s="2" t="str">
        <f>IF(F482="","",VLOOKUP(F482,Productos!$A$2:$F$182,6,FALSE))</f>
        <v>Servicios básicos</v>
      </c>
      <c r="L482" s="2">
        <v>3</v>
      </c>
      <c r="M482" s="2" t="s">
        <v>67</v>
      </c>
      <c r="N482" s="2">
        <f>VLOOKUP(F482,Productos!$A$2:$J$182,5)</f>
        <v>4</v>
      </c>
      <c r="O482" s="2" t="str">
        <f>VLOOKUP(F482,Productos!$A$2:$J$182,6)</f>
        <v>Servicios básicos</v>
      </c>
    </row>
    <row r="483" spans="1:15">
      <c r="A483" s="2" t="s">
        <v>680</v>
      </c>
      <c r="B483" s="2" t="s">
        <v>559</v>
      </c>
      <c r="C483" s="2" t="s">
        <v>560</v>
      </c>
      <c r="D483" s="2" t="s">
        <v>561</v>
      </c>
      <c r="E483" s="2" t="s">
        <v>560</v>
      </c>
      <c r="F483" s="3">
        <v>120</v>
      </c>
      <c r="G483" s="2" t="s">
        <v>254</v>
      </c>
      <c r="H483" s="2" t="str">
        <f>IF(F483="","",VLOOKUP(F483,Productos!$A$2:$F$182,3,FALSE))</f>
        <v>1</v>
      </c>
      <c r="I483" s="2" t="str">
        <f>IF(F483="","",VLOOKUP(F483,Productos!$A$2:$F$182,4,FALSE))</f>
        <v>Minerales; electricidad, gas y agua</v>
      </c>
      <c r="J483" s="2">
        <f>IF(F483="","",VLOOKUP(F483,Productos!$A$2:$F$182,5,FALSE))</f>
        <v>4</v>
      </c>
      <c r="K483" s="2" t="str">
        <f>IF(F483="","",VLOOKUP(F483,Productos!$A$2:$F$182,6,FALSE))</f>
        <v>Servicios básicos</v>
      </c>
      <c r="L483" s="2">
        <v>3</v>
      </c>
      <c r="M483" s="2" t="s">
        <v>67</v>
      </c>
      <c r="N483" s="2">
        <f>VLOOKUP(F483,Productos!$A$2:$J$182,5)</f>
        <v>4</v>
      </c>
      <c r="O483" s="2" t="str">
        <f>VLOOKUP(F483,Productos!$A$2:$J$182,6)</f>
        <v>Servicios básicos</v>
      </c>
    </row>
    <row r="484" spans="1:15">
      <c r="A484" s="2" t="s">
        <v>681</v>
      </c>
      <c r="B484" s="2" t="s">
        <v>559</v>
      </c>
      <c r="C484" s="2" t="s">
        <v>560</v>
      </c>
      <c r="D484" s="2" t="s">
        <v>561</v>
      </c>
      <c r="E484" s="2" t="s">
        <v>560</v>
      </c>
      <c r="F484" s="3">
        <v>121</v>
      </c>
      <c r="G484" s="2" t="s">
        <v>256</v>
      </c>
      <c r="H484" s="2" t="str">
        <f>IF(F484="","",VLOOKUP(F484,Productos!$A$2:$F$182,3,FALSE))</f>
        <v>1</v>
      </c>
      <c r="I484" s="2" t="str">
        <f>IF(F484="","",VLOOKUP(F484,Productos!$A$2:$F$182,4,FALSE))</f>
        <v>Minerales; electricidad, gas y agua</v>
      </c>
      <c r="J484" s="2">
        <f>IF(F484="","",VLOOKUP(F484,Productos!$A$2:$F$182,5,FALSE))</f>
        <v>4</v>
      </c>
      <c r="K484" s="2" t="str">
        <f>IF(F484="","",VLOOKUP(F484,Productos!$A$2:$F$182,6,FALSE))</f>
        <v>Servicios básicos</v>
      </c>
      <c r="L484" s="2">
        <v>3</v>
      </c>
      <c r="M484" s="2" t="s">
        <v>67</v>
      </c>
      <c r="N484" s="2">
        <f>VLOOKUP(F484,Productos!$A$2:$J$182,5)</f>
        <v>4</v>
      </c>
      <c r="O484" s="2" t="str">
        <f>VLOOKUP(F484,Productos!$A$2:$J$182,6)</f>
        <v>Servicios básicos</v>
      </c>
    </row>
    <row r="485" spans="1:15">
      <c r="A485" s="2" t="s">
        <v>682</v>
      </c>
      <c r="B485" s="2" t="s">
        <v>559</v>
      </c>
      <c r="C485" s="2" t="s">
        <v>560</v>
      </c>
      <c r="D485" s="2" t="s">
        <v>561</v>
      </c>
      <c r="E485" s="2" t="s">
        <v>560</v>
      </c>
      <c r="F485" s="3">
        <v>122</v>
      </c>
      <c r="G485" s="2" t="s">
        <v>258</v>
      </c>
      <c r="H485" s="2" t="str">
        <f>IF(F485="","",VLOOKUP(F485,Productos!$A$2:$F$182,3,FALSE))</f>
        <v>1</v>
      </c>
      <c r="I485" s="2" t="str">
        <f>IF(F485="","",VLOOKUP(F485,Productos!$A$2:$F$182,4,FALSE))</f>
        <v>Minerales; electricidad, gas y agua</v>
      </c>
      <c r="J485" s="2">
        <f>IF(F485="","",VLOOKUP(F485,Productos!$A$2:$F$182,5,FALSE))</f>
        <v>4</v>
      </c>
      <c r="K485" s="2" t="str">
        <f>IF(F485="","",VLOOKUP(F485,Productos!$A$2:$F$182,6,FALSE))</f>
        <v>Servicios básicos</v>
      </c>
      <c r="L485" s="2">
        <v>3</v>
      </c>
      <c r="M485" s="2" t="s">
        <v>67</v>
      </c>
      <c r="N485" s="2">
        <f>VLOOKUP(F485,Productos!$A$2:$J$182,5)</f>
        <v>4</v>
      </c>
      <c r="O485" s="2" t="str">
        <f>VLOOKUP(F485,Productos!$A$2:$J$182,6)</f>
        <v>Servicios básicos</v>
      </c>
    </row>
    <row r="486" spans="1:15">
      <c r="A486" s="2" t="s">
        <v>683</v>
      </c>
      <c r="B486" s="2" t="s">
        <v>559</v>
      </c>
      <c r="C486" s="2" t="s">
        <v>560</v>
      </c>
      <c r="D486" s="2" t="s">
        <v>561</v>
      </c>
      <c r="E486" s="2" t="s">
        <v>560</v>
      </c>
      <c r="F486" s="3">
        <v>123</v>
      </c>
      <c r="G486" s="2" t="s">
        <v>260</v>
      </c>
      <c r="H486" s="2" t="str">
        <f>IF(F486="","",VLOOKUP(F486,Productos!$A$2:$F$182,3,FALSE))</f>
        <v>1</v>
      </c>
      <c r="I486" s="2" t="str">
        <f>IF(F486="","",VLOOKUP(F486,Productos!$A$2:$F$182,4,FALSE))</f>
        <v>Minerales; electricidad, gas y agua</v>
      </c>
      <c r="J486" s="2">
        <f>IF(F486="","",VLOOKUP(F486,Productos!$A$2:$F$182,5,FALSE))</f>
        <v>4</v>
      </c>
      <c r="K486" s="2" t="str">
        <f>IF(F486="","",VLOOKUP(F486,Productos!$A$2:$F$182,6,FALSE))</f>
        <v>Servicios básicos</v>
      </c>
      <c r="L486" s="2">
        <v>2</v>
      </c>
      <c r="M486" s="2" t="s">
        <v>142</v>
      </c>
      <c r="N486" s="2">
        <f>VLOOKUP(F486,Productos!$A$2:$J$182,5)</f>
        <v>4</v>
      </c>
      <c r="O486" s="2" t="str">
        <f>VLOOKUP(F486,Productos!$A$2:$J$182,6)</f>
        <v>Servicios básicos</v>
      </c>
    </row>
    <row r="487" spans="1:15">
      <c r="A487" s="2" t="s">
        <v>684</v>
      </c>
      <c r="B487" s="2" t="s">
        <v>559</v>
      </c>
      <c r="C487" s="2" t="s">
        <v>560</v>
      </c>
      <c r="D487" s="2" t="s">
        <v>561</v>
      </c>
      <c r="E487" s="2" t="s">
        <v>560</v>
      </c>
      <c r="F487" s="3">
        <v>124</v>
      </c>
      <c r="G487" s="2" t="s">
        <v>262</v>
      </c>
      <c r="H487" s="2" t="str">
        <f>IF(F487="","",VLOOKUP(F487,Productos!$A$2:$F$182,3,FALSE))</f>
        <v>1</v>
      </c>
      <c r="I487" s="2" t="str">
        <f>IF(F487="","",VLOOKUP(F487,Productos!$A$2:$F$182,4,FALSE))</f>
        <v>Minerales; electricidad, gas y agua</v>
      </c>
      <c r="J487" s="2">
        <f>IF(F487="","",VLOOKUP(F487,Productos!$A$2:$F$182,5,FALSE))</f>
        <v>4</v>
      </c>
      <c r="K487" s="2" t="str">
        <f>IF(F487="","",VLOOKUP(F487,Productos!$A$2:$F$182,6,FALSE))</f>
        <v>Servicios básicos</v>
      </c>
      <c r="L487" s="2">
        <v>2</v>
      </c>
      <c r="M487" s="2" t="s">
        <v>142</v>
      </c>
      <c r="N487" s="2">
        <f>VLOOKUP(F487,Productos!$A$2:$J$182,5)</f>
        <v>4</v>
      </c>
      <c r="O487" s="2" t="str">
        <f>VLOOKUP(F487,Productos!$A$2:$J$182,6)</f>
        <v>Servicios básicos</v>
      </c>
    </row>
    <row r="488" spans="1:15">
      <c r="A488" s="2" t="s">
        <v>685</v>
      </c>
      <c r="B488" s="2" t="s">
        <v>559</v>
      </c>
      <c r="C488" s="2" t="s">
        <v>560</v>
      </c>
      <c r="D488" s="2" t="s">
        <v>561</v>
      </c>
      <c r="E488" s="2" t="s">
        <v>560</v>
      </c>
      <c r="F488" s="3">
        <v>125</v>
      </c>
      <c r="G488" s="2" t="s">
        <v>264</v>
      </c>
      <c r="H488" s="2" t="str">
        <f>IF(F488="","",VLOOKUP(F488,Productos!$A$2:$F$182,3,FALSE))</f>
        <v>5</v>
      </c>
      <c r="I488" s="2" t="str">
        <f>IF(F488="","",VLOOKUP(F488,Productos!$A$2:$F$182,4,FALSE))</f>
        <v>Construcciones y servicios de construcción</v>
      </c>
      <c r="J488" s="2">
        <f>IF(F488="","",VLOOKUP(F488,Productos!$A$2:$F$182,5,FALSE))</f>
        <v>5</v>
      </c>
      <c r="K488" s="2" t="str">
        <f>IF(F488="","",VLOOKUP(F488,Productos!$A$2:$F$182,6,FALSE))</f>
        <v>Construcción</v>
      </c>
      <c r="L488" s="2">
        <v>3</v>
      </c>
      <c r="M488" s="2" t="s">
        <v>67</v>
      </c>
      <c r="N488" s="2">
        <f>VLOOKUP(F488,Productos!$A$2:$J$182,5)</f>
        <v>5</v>
      </c>
      <c r="O488" s="2" t="str">
        <f>VLOOKUP(F488,Productos!$A$2:$J$182,6)</f>
        <v>Construcción</v>
      </c>
    </row>
    <row r="489" spans="1:15">
      <c r="A489" s="2" t="s">
        <v>686</v>
      </c>
      <c r="B489" s="2" t="s">
        <v>559</v>
      </c>
      <c r="C489" s="2" t="s">
        <v>560</v>
      </c>
      <c r="D489" s="2" t="s">
        <v>561</v>
      </c>
      <c r="E489" s="2" t="s">
        <v>560</v>
      </c>
      <c r="F489" s="3">
        <v>126</v>
      </c>
      <c r="G489" s="2" t="s">
        <v>266</v>
      </c>
      <c r="H489" s="2" t="str">
        <f>IF(F489="","",VLOOKUP(F489,Productos!$A$2:$F$182,3,FALSE))</f>
        <v>5</v>
      </c>
      <c r="I489" s="2" t="str">
        <f>IF(F489="","",VLOOKUP(F489,Productos!$A$2:$F$182,4,FALSE))</f>
        <v>Construcciones y servicios de construcción</v>
      </c>
      <c r="J489" s="2">
        <f>IF(F489="","",VLOOKUP(F489,Productos!$A$2:$F$182,5,FALSE))</f>
        <v>5</v>
      </c>
      <c r="K489" s="2" t="str">
        <f>IF(F489="","",VLOOKUP(F489,Productos!$A$2:$F$182,6,FALSE))</f>
        <v>Construcción</v>
      </c>
      <c r="L489" s="2">
        <v>3</v>
      </c>
      <c r="M489" s="2" t="s">
        <v>67</v>
      </c>
      <c r="N489" s="2">
        <f>VLOOKUP(F489,Productos!$A$2:$J$182,5)</f>
        <v>5</v>
      </c>
      <c r="O489" s="2" t="str">
        <f>VLOOKUP(F489,Productos!$A$2:$J$182,6)</f>
        <v>Construcción</v>
      </c>
    </row>
    <row r="490" spans="1:15">
      <c r="A490" s="2" t="s">
        <v>687</v>
      </c>
      <c r="B490" s="2" t="s">
        <v>559</v>
      </c>
      <c r="C490" s="2" t="s">
        <v>560</v>
      </c>
      <c r="D490" s="2" t="s">
        <v>561</v>
      </c>
      <c r="E490" s="2" t="s">
        <v>560</v>
      </c>
      <c r="F490" s="3">
        <v>127</v>
      </c>
      <c r="G490" s="2" t="s">
        <v>268</v>
      </c>
      <c r="H490" s="2" t="str">
        <f>IF(F490="","",VLOOKUP(F490,Productos!$A$2:$F$182,3,FALSE))</f>
        <v>5</v>
      </c>
      <c r="I490" s="2" t="str">
        <f>IF(F490="","",VLOOKUP(F490,Productos!$A$2:$F$182,4,FALSE))</f>
        <v>Construcciones y servicios de construcción</v>
      </c>
      <c r="J490" s="2">
        <f>IF(F490="","",VLOOKUP(F490,Productos!$A$2:$F$182,5,FALSE))</f>
        <v>5</v>
      </c>
      <c r="K490" s="2" t="str">
        <f>IF(F490="","",VLOOKUP(F490,Productos!$A$2:$F$182,6,FALSE))</f>
        <v>Construcción</v>
      </c>
      <c r="L490" s="2">
        <v>3</v>
      </c>
      <c r="M490" s="2" t="s">
        <v>67</v>
      </c>
      <c r="N490" s="2">
        <f>VLOOKUP(F490,Productos!$A$2:$J$182,5)</f>
        <v>5</v>
      </c>
      <c r="O490" s="2" t="str">
        <f>VLOOKUP(F490,Productos!$A$2:$J$182,6)</f>
        <v>Construcción</v>
      </c>
    </row>
    <row r="491" spans="1:15">
      <c r="A491" s="2" t="s">
        <v>688</v>
      </c>
      <c r="B491" s="2" t="s">
        <v>559</v>
      </c>
      <c r="C491" s="2" t="s">
        <v>560</v>
      </c>
      <c r="D491" s="2" t="s">
        <v>561</v>
      </c>
      <c r="E491" s="2" t="s">
        <v>560</v>
      </c>
      <c r="F491" s="3">
        <v>128</v>
      </c>
      <c r="G491" s="2" t="s">
        <v>270</v>
      </c>
      <c r="H491" s="2" t="str">
        <f>IF(F491="","",VLOOKUP(F491,Productos!$A$2:$F$182,3,FALSE))</f>
        <v>5</v>
      </c>
      <c r="I491" s="2" t="str">
        <f>IF(F491="","",VLOOKUP(F491,Productos!$A$2:$F$182,4,FALSE))</f>
        <v>Construcciones y servicios de construcción</v>
      </c>
      <c r="J491" s="2">
        <f>IF(F491="","",VLOOKUP(F491,Productos!$A$2:$F$182,5,FALSE))</f>
        <v>5</v>
      </c>
      <c r="K491" s="2" t="str">
        <f>IF(F491="","",VLOOKUP(F491,Productos!$A$2:$F$182,6,FALSE))</f>
        <v>Construcción</v>
      </c>
      <c r="L491" s="2">
        <v>3</v>
      </c>
      <c r="M491" s="2" t="s">
        <v>67</v>
      </c>
      <c r="N491" s="2">
        <f>VLOOKUP(F491,Productos!$A$2:$J$182,5)</f>
        <v>5</v>
      </c>
      <c r="O491" s="2" t="str">
        <f>VLOOKUP(F491,Productos!$A$2:$J$182,6)</f>
        <v>Construcción</v>
      </c>
    </row>
    <row r="492" spans="1:15">
      <c r="A492" s="2" t="s">
        <v>689</v>
      </c>
      <c r="B492" s="2" t="s">
        <v>559</v>
      </c>
      <c r="C492" s="2" t="s">
        <v>560</v>
      </c>
      <c r="D492" s="2" t="s">
        <v>561</v>
      </c>
      <c r="E492" s="2" t="s">
        <v>560</v>
      </c>
      <c r="F492" s="3">
        <v>129</v>
      </c>
      <c r="G492" s="2" t="s">
        <v>272</v>
      </c>
      <c r="H492" s="2" t="str">
        <f>IF(F492="","",VLOOKUP(F492,Productos!$A$2:$F$182,3,FALSE))</f>
        <v>5</v>
      </c>
      <c r="I492" s="2" t="str">
        <f>IF(F492="","",VLOOKUP(F492,Productos!$A$2:$F$182,4,FALSE))</f>
        <v>Construcciones y servicios de construcción</v>
      </c>
      <c r="J492" s="2">
        <f>IF(F492="","",VLOOKUP(F492,Productos!$A$2:$F$182,5,FALSE))</f>
        <v>5</v>
      </c>
      <c r="K492" s="2" t="str">
        <f>IF(F492="","",VLOOKUP(F492,Productos!$A$2:$F$182,6,FALSE))</f>
        <v>Construcción</v>
      </c>
      <c r="L492" s="2">
        <v>3</v>
      </c>
      <c r="M492" s="2" t="s">
        <v>67</v>
      </c>
      <c r="N492" s="2">
        <f>VLOOKUP(F492,Productos!$A$2:$J$182,5)</f>
        <v>5</v>
      </c>
      <c r="O492" s="2" t="str">
        <f>VLOOKUP(F492,Productos!$A$2:$J$182,6)</f>
        <v>Construcción</v>
      </c>
    </row>
    <row r="493" spans="1:15">
      <c r="A493" s="2" t="s">
        <v>690</v>
      </c>
      <c r="B493" s="2" t="s">
        <v>559</v>
      </c>
      <c r="C493" s="2" t="s">
        <v>560</v>
      </c>
      <c r="D493" s="2" t="s">
        <v>561</v>
      </c>
      <c r="E493" s="2" t="s">
        <v>560</v>
      </c>
      <c r="F493" s="3">
        <v>130</v>
      </c>
      <c r="G493" s="2" t="s">
        <v>274</v>
      </c>
      <c r="H493" s="2" t="str">
        <f>IF(F493="","",VLOOKUP(F493,Productos!$A$2:$F$182,3,FALSE))</f>
        <v>5</v>
      </c>
      <c r="I493" s="2" t="str">
        <f>IF(F493="","",VLOOKUP(F493,Productos!$A$2:$F$182,4,FALSE))</f>
        <v>Construcciones y servicios de construcción</v>
      </c>
      <c r="J493" s="2">
        <f>IF(F493="","",VLOOKUP(F493,Productos!$A$2:$F$182,5,FALSE))</f>
        <v>5</v>
      </c>
      <c r="K493" s="2" t="str">
        <f>IF(F493="","",VLOOKUP(F493,Productos!$A$2:$F$182,6,FALSE))</f>
        <v>Construcción</v>
      </c>
      <c r="L493" s="2">
        <v>3</v>
      </c>
      <c r="M493" s="2" t="s">
        <v>67</v>
      </c>
      <c r="N493" s="2">
        <f>VLOOKUP(F493,Productos!$A$2:$J$182,5)</f>
        <v>5</v>
      </c>
      <c r="O493" s="2" t="str">
        <f>VLOOKUP(F493,Productos!$A$2:$J$182,6)</f>
        <v>Construcción</v>
      </c>
    </row>
    <row r="494" spans="1:15">
      <c r="A494" s="2" t="s">
        <v>691</v>
      </c>
      <c r="B494" s="2" t="s">
        <v>559</v>
      </c>
      <c r="C494" s="2" t="s">
        <v>560</v>
      </c>
      <c r="D494" s="2" t="s">
        <v>561</v>
      </c>
      <c r="E494" s="2" t="s">
        <v>560</v>
      </c>
      <c r="F494" s="3">
        <v>131</v>
      </c>
      <c r="G494" s="2" t="s">
        <v>276</v>
      </c>
      <c r="H494" s="2" t="str">
        <f>IF(F494="","",VLOOKUP(F494,Productos!$A$2:$F$182,3,FALSE))</f>
        <v>5</v>
      </c>
      <c r="I494" s="2" t="str">
        <f>IF(F494="","",VLOOKUP(F494,Productos!$A$2:$F$182,4,FALSE))</f>
        <v>Construcciones y servicios de construcción</v>
      </c>
      <c r="J494" s="2">
        <f>IF(F494="","",VLOOKUP(F494,Productos!$A$2:$F$182,5,FALSE))</f>
        <v>5</v>
      </c>
      <c r="K494" s="2" t="str">
        <f>IF(F494="","",VLOOKUP(F494,Productos!$A$2:$F$182,6,FALSE))</f>
        <v>Construcción</v>
      </c>
      <c r="L494" s="2">
        <v>3</v>
      </c>
      <c r="M494" s="2" t="s">
        <v>67</v>
      </c>
      <c r="N494" s="2">
        <f>VLOOKUP(F494,Productos!$A$2:$J$182,5)</f>
        <v>5</v>
      </c>
      <c r="O494" s="2" t="str">
        <f>VLOOKUP(F494,Productos!$A$2:$J$182,6)</f>
        <v>Construcción</v>
      </c>
    </row>
    <row r="495" spans="1:15">
      <c r="A495" s="2" t="s">
        <v>692</v>
      </c>
      <c r="B495" s="2" t="s">
        <v>559</v>
      </c>
      <c r="C495" s="2" t="s">
        <v>560</v>
      </c>
      <c r="D495" s="2" t="s">
        <v>561</v>
      </c>
      <c r="E495" s="2" t="s">
        <v>560</v>
      </c>
      <c r="F495" s="3">
        <v>132</v>
      </c>
      <c r="G495" s="2" t="s">
        <v>278</v>
      </c>
      <c r="H495" s="2" t="str">
        <f>IF(F495="","",VLOOKUP(F495,Productos!$A$2:$F$182,3,FALSE))</f>
        <v>6</v>
      </c>
      <c r="I495" s="2" t="str">
        <f>IF(F495="","",VLOOKUP(F495,Productos!$A$2:$F$182,4,FALSE))</f>
        <v>Servicios comerciales de distribución; alojamiento, servicios de suministro de comidas y bebidas; servicios de transporte; y servicios de distribución de electricidad, gas y agua</v>
      </c>
      <c r="J495" s="2">
        <f>IF(F495="","",VLOOKUP(F495,Productos!$A$2:$F$182,5,FALSE))</f>
        <v>6</v>
      </c>
      <c r="K495" s="2" t="str">
        <f>IF(F495="","",VLOOKUP(F495,Productos!$A$2:$F$182,6,FALSE))</f>
        <v>Comercio</v>
      </c>
      <c r="L495" s="2">
        <v>3</v>
      </c>
      <c r="M495" s="2" t="s">
        <v>67</v>
      </c>
      <c r="N495" s="2">
        <f>VLOOKUP(F495,Productos!$A$2:$J$182,5)</f>
        <v>6</v>
      </c>
      <c r="O495" s="2" t="str">
        <f>VLOOKUP(F495,Productos!$A$2:$J$182,6)</f>
        <v>Comercio</v>
      </c>
    </row>
    <row r="496" spans="1:15">
      <c r="A496" s="2" t="s">
        <v>693</v>
      </c>
      <c r="B496" s="2" t="s">
        <v>559</v>
      </c>
      <c r="C496" s="2" t="s">
        <v>560</v>
      </c>
      <c r="D496" s="2" t="s">
        <v>561</v>
      </c>
      <c r="E496" s="2" t="s">
        <v>560</v>
      </c>
      <c r="F496" s="3">
        <v>133</v>
      </c>
      <c r="G496" s="2" t="s">
        <v>280</v>
      </c>
      <c r="H496" s="2" t="str">
        <f>IF(F496="","",VLOOKUP(F496,Productos!$A$2:$F$182,3,FALSE))</f>
        <v>6</v>
      </c>
      <c r="I496" s="2" t="str">
        <f>IF(F496="","",VLOOKUP(F496,Productos!$A$2:$F$182,4,FALSE))</f>
        <v>Servicios comerciales de distribución; alojamiento, servicios de suministro de comidas y bebidas; servicios de transporte; y servicios de distribución de electricidad, gas y agua</v>
      </c>
      <c r="J496" s="2">
        <f>IF(F496="","",VLOOKUP(F496,Productos!$A$2:$F$182,5,FALSE))</f>
        <v>6</v>
      </c>
      <c r="K496" s="2" t="str">
        <f>IF(F496="","",VLOOKUP(F496,Productos!$A$2:$F$182,6,FALSE))</f>
        <v>Comercio</v>
      </c>
      <c r="L496" s="2">
        <v>3</v>
      </c>
      <c r="M496" s="2" t="s">
        <v>67</v>
      </c>
      <c r="N496" s="2">
        <f>VLOOKUP(F496,Productos!$A$2:$J$182,5)</f>
        <v>6</v>
      </c>
      <c r="O496" s="2" t="str">
        <f>VLOOKUP(F496,Productos!$A$2:$J$182,6)</f>
        <v>Comercio</v>
      </c>
    </row>
    <row r="497" spans="1:15">
      <c r="A497" s="2" t="s">
        <v>694</v>
      </c>
      <c r="B497" s="2" t="s">
        <v>559</v>
      </c>
      <c r="C497" s="2" t="s">
        <v>560</v>
      </c>
      <c r="D497" s="2" t="s">
        <v>561</v>
      </c>
      <c r="E497" s="2" t="s">
        <v>560</v>
      </c>
      <c r="F497" s="3">
        <v>134</v>
      </c>
      <c r="G497" s="2" t="s">
        <v>282</v>
      </c>
      <c r="H497" s="2" t="str">
        <f>IF(F497="","",VLOOKUP(F497,Productos!$A$2:$F$182,3,FALSE))</f>
        <v>6</v>
      </c>
      <c r="I497" s="2" t="str">
        <f>IF(F497="","",VLOOKUP(F497,Productos!$A$2:$F$182,4,FALSE))</f>
        <v>Servicios comerciales de distribución; alojamiento, servicios de suministro de comidas y bebidas; servicios de transporte; y servicios de distribución de electricidad, gas y agua</v>
      </c>
      <c r="J497" s="2">
        <f>IF(F497="","",VLOOKUP(F497,Productos!$A$2:$F$182,5,FALSE))</f>
        <v>6</v>
      </c>
      <c r="K497" s="2" t="str">
        <f>IF(F497="","",VLOOKUP(F497,Productos!$A$2:$F$182,6,FALSE))</f>
        <v>Comercio</v>
      </c>
      <c r="L497" s="2">
        <v>3</v>
      </c>
      <c r="M497" s="2" t="s">
        <v>67</v>
      </c>
      <c r="N497" s="2">
        <f>VLOOKUP(F497,Productos!$A$2:$J$182,5)</f>
        <v>6</v>
      </c>
      <c r="O497" s="2" t="str">
        <f>VLOOKUP(F497,Productos!$A$2:$J$182,6)</f>
        <v>Comercio</v>
      </c>
    </row>
    <row r="498" spans="1:15">
      <c r="A498" s="2" t="s">
        <v>695</v>
      </c>
      <c r="B498" s="2" t="s">
        <v>559</v>
      </c>
      <c r="C498" s="2" t="s">
        <v>560</v>
      </c>
      <c r="D498" s="2" t="s">
        <v>561</v>
      </c>
      <c r="E498" s="2" t="s">
        <v>560</v>
      </c>
      <c r="F498" s="3">
        <v>135</v>
      </c>
      <c r="G498" s="2" t="s">
        <v>284</v>
      </c>
      <c r="H498" s="2" t="str">
        <f>IF(F498="","",VLOOKUP(F498,Productos!$A$2:$F$182,3,FALSE))</f>
        <v>6</v>
      </c>
      <c r="I498" s="2" t="str">
        <f>IF(F498="","",VLOOKUP(F498,Productos!$A$2:$F$182,4,FALSE))</f>
        <v>Servicios comerciales de distribución; alojamiento, servicios de suministro de comidas y bebidas; servicios de transporte; y servicios de distribución de electricidad, gas y agua</v>
      </c>
      <c r="J498" s="2">
        <f>IF(F498="","",VLOOKUP(F498,Productos!$A$2:$F$182,5,FALSE))</f>
        <v>6</v>
      </c>
      <c r="K498" s="2" t="str">
        <f>IF(F498="","",VLOOKUP(F498,Productos!$A$2:$F$182,6,FALSE))</f>
        <v>Comercio</v>
      </c>
      <c r="L498" s="2">
        <v>3</v>
      </c>
      <c r="M498" s="2" t="s">
        <v>67</v>
      </c>
      <c r="N498" s="2">
        <f>VLOOKUP(F498,Productos!$A$2:$J$182,5)</f>
        <v>6</v>
      </c>
      <c r="O498" s="2" t="str">
        <f>VLOOKUP(F498,Productos!$A$2:$J$182,6)</f>
        <v>Comercio</v>
      </c>
    </row>
    <row r="499" spans="1:15">
      <c r="A499" s="2" t="s">
        <v>696</v>
      </c>
      <c r="B499" s="2" t="s">
        <v>559</v>
      </c>
      <c r="C499" s="2" t="s">
        <v>560</v>
      </c>
      <c r="D499" s="2" t="s">
        <v>561</v>
      </c>
      <c r="E499" s="2" t="s">
        <v>560</v>
      </c>
      <c r="F499" s="3">
        <v>136</v>
      </c>
      <c r="G499" s="2" t="s">
        <v>286</v>
      </c>
      <c r="H499" s="2" t="str">
        <f>IF(F499="","",VLOOKUP(F499,Productos!$A$2:$F$182,3,FALSE))</f>
        <v>6</v>
      </c>
      <c r="I499" s="2" t="str">
        <f>IF(F499="","",VLOOKUP(F499,Productos!$A$2:$F$182,4,FALSE))</f>
        <v>Servicios comerciales de distribución; alojamiento, servicios de suministro de comidas y bebidas; servicios de transporte; y servicios de distribución de electricidad, gas y agua</v>
      </c>
      <c r="J499" s="2">
        <f>IF(F499="","",VLOOKUP(F499,Productos!$A$2:$F$182,5,FALSE))</f>
        <v>7</v>
      </c>
      <c r="K499" s="2" t="str">
        <f>IF(F499="","",VLOOKUP(F499,Productos!$A$2:$F$182,6,FALSE))</f>
        <v>Otros servicios</v>
      </c>
      <c r="L499" s="2">
        <v>3</v>
      </c>
      <c r="M499" s="2" t="s">
        <v>67</v>
      </c>
      <c r="N499" s="2">
        <f>VLOOKUP(F499,Productos!$A$2:$J$182,5)</f>
        <v>7</v>
      </c>
      <c r="O499" s="2" t="str">
        <f>VLOOKUP(F499,Productos!$A$2:$J$182,6)</f>
        <v>Otros servicios</v>
      </c>
    </row>
    <row r="500" spans="1:15">
      <c r="A500" s="2" t="s">
        <v>697</v>
      </c>
      <c r="B500" s="2" t="s">
        <v>559</v>
      </c>
      <c r="C500" s="2" t="s">
        <v>560</v>
      </c>
      <c r="D500" s="2" t="s">
        <v>561</v>
      </c>
      <c r="E500" s="2" t="s">
        <v>560</v>
      </c>
      <c r="F500" s="3">
        <v>137</v>
      </c>
      <c r="G500" s="2" t="s">
        <v>288</v>
      </c>
      <c r="H500" s="2" t="str">
        <f>IF(F500="","",VLOOKUP(F500,Productos!$A$2:$F$182,3,FALSE))</f>
        <v>6</v>
      </c>
      <c r="I500" s="2" t="str">
        <f>IF(F500="","",VLOOKUP(F500,Productos!$A$2:$F$182,4,FALSE))</f>
        <v>Servicios comerciales de distribución; alojamiento, servicios de suministro de comidas y bebidas; servicios de transporte; y servicios de distribución de electricidad, gas y agua</v>
      </c>
      <c r="J500" s="2">
        <f>IF(F500="","",VLOOKUP(F500,Productos!$A$2:$F$182,5,FALSE))</f>
        <v>7</v>
      </c>
      <c r="K500" s="2" t="str">
        <f>IF(F500="","",VLOOKUP(F500,Productos!$A$2:$F$182,6,FALSE))</f>
        <v>Otros servicios</v>
      </c>
      <c r="L500" s="2">
        <v>3</v>
      </c>
      <c r="M500" s="2" t="s">
        <v>67</v>
      </c>
      <c r="N500" s="2">
        <f>VLOOKUP(F500,Productos!$A$2:$J$182,5)</f>
        <v>7</v>
      </c>
      <c r="O500" s="2" t="str">
        <f>VLOOKUP(F500,Productos!$A$2:$J$182,6)</f>
        <v>Otros servicios</v>
      </c>
    </row>
    <row r="501" spans="1:15">
      <c r="A501" s="2" t="s">
        <v>698</v>
      </c>
      <c r="B501" s="2" t="s">
        <v>559</v>
      </c>
      <c r="C501" s="2" t="s">
        <v>560</v>
      </c>
      <c r="D501" s="2" t="s">
        <v>561</v>
      </c>
      <c r="E501" s="2" t="s">
        <v>560</v>
      </c>
      <c r="F501" s="3">
        <v>138</v>
      </c>
      <c r="G501" s="2" t="s">
        <v>290</v>
      </c>
      <c r="H501" s="2" t="str">
        <f>IF(F501="","",VLOOKUP(F501,Productos!$A$2:$F$182,3,FALSE))</f>
        <v>6</v>
      </c>
      <c r="I501" s="2" t="str">
        <f>IF(F501="","",VLOOKUP(F501,Productos!$A$2:$F$182,4,FALSE))</f>
        <v>Servicios comerciales de distribución; alojamiento, servicios de suministro de comidas y bebidas; servicios de transporte; y servicios de distribución de electricidad, gas y agua</v>
      </c>
      <c r="J501" s="2">
        <f>IF(F501="","",VLOOKUP(F501,Productos!$A$2:$F$182,5,FALSE))</f>
        <v>7</v>
      </c>
      <c r="K501" s="2" t="str">
        <f>IF(F501="","",VLOOKUP(F501,Productos!$A$2:$F$182,6,FALSE))</f>
        <v>Otros servicios</v>
      </c>
      <c r="L501" s="2">
        <v>2</v>
      </c>
      <c r="M501" s="2" t="s">
        <v>142</v>
      </c>
      <c r="N501" s="2">
        <f>VLOOKUP(F501,Productos!$A$2:$J$182,5)</f>
        <v>7</v>
      </c>
      <c r="O501" s="2" t="str">
        <f>VLOOKUP(F501,Productos!$A$2:$J$182,6)</f>
        <v>Otros servicios</v>
      </c>
    </row>
    <row r="502" spans="1:15">
      <c r="A502" s="2" t="s">
        <v>699</v>
      </c>
      <c r="B502" s="2" t="s">
        <v>559</v>
      </c>
      <c r="C502" s="2" t="s">
        <v>560</v>
      </c>
      <c r="D502" s="2" t="s">
        <v>561</v>
      </c>
      <c r="E502" s="2" t="s">
        <v>560</v>
      </c>
      <c r="F502" s="3">
        <v>139</v>
      </c>
      <c r="G502" s="2" t="s">
        <v>292</v>
      </c>
      <c r="H502" s="2" t="str">
        <f>IF(F502="","",VLOOKUP(F502,Productos!$A$2:$F$182,3,FALSE))</f>
        <v>6</v>
      </c>
      <c r="I502" s="2" t="str">
        <f>IF(F502="","",VLOOKUP(F502,Productos!$A$2:$F$182,4,FALSE))</f>
        <v>Servicios comerciales de distribución; alojamiento, servicios de suministro de comidas y bebidas; servicios de transporte; y servicios de distribución de electricidad, gas y agua</v>
      </c>
      <c r="J502" s="2">
        <f>IF(F502="","",VLOOKUP(F502,Productos!$A$2:$F$182,5,FALSE))</f>
        <v>7</v>
      </c>
      <c r="K502" s="2" t="str">
        <f>IF(F502="","",VLOOKUP(F502,Productos!$A$2:$F$182,6,FALSE))</f>
        <v>Otros servicios</v>
      </c>
      <c r="L502" s="2">
        <v>3</v>
      </c>
      <c r="M502" s="2" t="s">
        <v>67</v>
      </c>
      <c r="N502" s="2">
        <f>VLOOKUP(F502,Productos!$A$2:$J$182,5)</f>
        <v>7</v>
      </c>
      <c r="O502" s="2" t="str">
        <f>VLOOKUP(F502,Productos!$A$2:$J$182,6)</f>
        <v>Otros servicios</v>
      </c>
    </row>
    <row r="503" spans="1:15">
      <c r="A503" s="2" t="s">
        <v>700</v>
      </c>
      <c r="B503" s="2" t="s">
        <v>559</v>
      </c>
      <c r="C503" s="2" t="s">
        <v>560</v>
      </c>
      <c r="D503" s="2" t="s">
        <v>561</v>
      </c>
      <c r="E503" s="2" t="s">
        <v>560</v>
      </c>
      <c r="F503" s="3">
        <v>140</v>
      </c>
      <c r="G503" s="2" t="s">
        <v>294</v>
      </c>
      <c r="H503" s="2" t="str">
        <f>IF(F503="","",VLOOKUP(F503,Productos!$A$2:$F$182,3,FALSE))</f>
        <v>6</v>
      </c>
      <c r="I503" s="2" t="str">
        <f>IF(F503="","",VLOOKUP(F503,Productos!$A$2:$F$182,4,FALSE))</f>
        <v>Servicios comerciales de distribución; alojamiento, servicios de suministro de comidas y bebidas; servicios de transporte; y servicios de distribución de electricidad, gas y agua</v>
      </c>
      <c r="J503" s="2">
        <f>IF(F503="","",VLOOKUP(F503,Productos!$A$2:$F$182,5,FALSE))</f>
        <v>7</v>
      </c>
      <c r="K503" s="2" t="str">
        <f>IF(F503="","",VLOOKUP(F503,Productos!$A$2:$F$182,6,FALSE))</f>
        <v>Otros servicios</v>
      </c>
      <c r="L503" s="2">
        <v>3</v>
      </c>
      <c r="M503" s="2" t="s">
        <v>67</v>
      </c>
      <c r="N503" s="2">
        <f>VLOOKUP(F503,Productos!$A$2:$J$182,5)</f>
        <v>7</v>
      </c>
      <c r="O503" s="2" t="str">
        <f>VLOOKUP(F503,Productos!$A$2:$J$182,6)</f>
        <v>Otros servicios</v>
      </c>
    </row>
    <row r="504" spans="1:15">
      <c r="A504" s="2" t="s">
        <v>701</v>
      </c>
      <c r="B504" s="2" t="s">
        <v>559</v>
      </c>
      <c r="C504" s="2" t="s">
        <v>560</v>
      </c>
      <c r="D504" s="2" t="s">
        <v>561</v>
      </c>
      <c r="E504" s="2" t="s">
        <v>560</v>
      </c>
      <c r="F504" s="3">
        <v>141</v>
      </c>
      <c r="G504" s="2" t="s">
        <v>296</v>
      </c>
      <c r="H504" s="2" t="str">
        <f>IF(F504="","",VLOOKUP(F504,Productos!$A$2:$F$182,3,FALSE))</f>
        <v>6</v>
      </c>
      <c r="I504" s="2" t="str">
        <f>IF(F504="","",VLOOKUP(F504,Productos!$A$2:$F$182,4,FALSE))</f>
        <v>Servicios comerciales de distribución; alojamiento, servicios de suministro de comidas y bebidas; servicios de transporte; y servicios de distribución de electricidad, gas y agua</v>
      </c>
      <c r="J504" s="2">
        <f>IF(F504="","",VLOOKUP(F504,Productos!$A$2:$F$182,5,FALSE))</f>
        <v>7</v>
      </c>
      <c r="K504" s="2" t="str">
        <f>IF(F504="","",VLOOKUP(F504,Productos!$A$2:$F$182,6,FALSE))</f>
        <v>Otros servicios</v>
      </c>
      <c r="L504" s="2">
        <v>3</v>
      </c>
      <c r="M504" s="2" t="s">
        <v>67</v>
      </c>
      <c r="N504" s="2">
        <f>VLOOKUP(F504,Productos!$A$2:$J$182,5)</f>
        <v>7</v>
      </c>
      <c r="O504" s="2" t="str">
        <f>VLOOKUP(F504,Productos!$A$2:$J$182,6)</f>
        <v>Otros servicios</v>
      </c>
    </row>
    <row r="505" spans="1:15">
      <c r="A505" s="2" t="s">
        <v>702</v>
      </c>
      <c r="B505" s="2" t="s">
        <v>559</v>
      </c>
      <c r="C505" s="2" t="s">
        <v>560</v>
      </c>
      <c r="D505" s="2" t="s">
        <v>561</v>
      </c>
      <c r="E505" s="2" t="s">
        <v>560</v>
      </c>
      <c r="F505" s="3">
        <v>142</v>
      </c>
      <c r="G505" s="2" t="s">
        <v>298</v>
      </c>
      <c r="H505" s="2" t="str">
        <f>IF(F505="","",VLOOKUP(F505,Productos!$A$2:$F$182,3,FALSE))</f>
        <v>6</v>
      </c>
      <c r="I505" s="2" t="str">
        <f>IF(F505="","",VLOOKUP(F505,Productos!$A$2:$F$182,4,FALSE))</f>
        <v>Servicios comerciales de distribución; alojamiento, servicios de suministro de comidas y bebidas; servicios de transporte; y servicios de distribución de electricidad, gas y agua</v>
      </c>
      <c r="J505" s="2">
        <f>IF(F505="","",VLOOKUP(F505,Productos!$A$2:$F$182,5,FALSE))</f>
        <v>7</v>
      </c>
      <c r="K505" s="2" t="str">
        <f>IF(F505="","",VLOOKUP(F505,Productos!$A$2:$F$182,6,FALSE))</f>
        <v>Otros servicios</v>
      </c>
      <c r="L505" s="2">
        <v>3</v>
      </c>
      <c r="M505" s="2" t="s">
        <v>67</v>
      </c>
      <c r="N505" s="2">
        <f>VLOOKUP(F505,Productos!$A$2:$J$182,5)</f>
        <v>7</v>
      </c>
      <c r="O505" s="2" t="str">
        <f>VLOOKUP(F505,Productos!$A$2:$J$182,6)</f>
        <v>Otros servicios</v>
      </c>
    </row>
    <row r="506" spans="1:15">
      <c r="A506" s="2" t="s">
        <v>703</v>
      </c>
      <c r="B506" s="2" t="s">
        <v>559</v>
      </c>
      <c r="C506" s="2" t="s">
        <v>560</v>
      </c>
      <c r="D506" s="2" t="s">
        <v>561</v>
      </c>
      <c r="E506" s="2" t="s">
        <v>560</v>
      </c>
      <c r="F506" s="3">
        <v>143</v>
      </c>
      <c r="G506" s="2" t="s">
        <v>300</v>
      </c>
      <c r="H506" s="2" t="str">
        <f>IF(F506="","",VLOOKUP(F506,Productos!$A$2:$F$182,3,FALSE))</f>
        <v>6</v>
      </c>
      <c r="I506" s="2" t="str">
        <f>IF(F506="","",VLOOKUP(F506,Productos!$A$2:$F$182,4,FALSE))</f>
        <v>Servicios comerciales de distribución; alojamiento, servicios de suministro de comidas y bebidas; servicios de transporte; y servicios de distribución de electricidad, gas y agua</v>
      </c>
      <c r="J506" s="2">
        <f>IF(F506="","",VLOOKUP(F506,Productos!$A$2:$F$182,5,FALSE))</f>
        <v>7</v>
      </c>
      <c r="K506" s="2" t="str">
        <f>IF(F506="","",VLOOKUP(F506,Productos!$A$2:$F$182,6,FALSE))</f>
        <v>Otros servicios</v>
      </c>
      <c r="L506" s="2">
        <v>3</v>
      </c>
      <c r="M506" s="2" t="s">
        <v>67</v>
      </c>
      <c r="N506" s="2">
        <f>VLOOKUP(F506,Productos!$A$2:$J$182,5)</f>
        <v>7</v>
      </c>
      <c r="O506" s="2" t="str">
        <f>VLOOKUP(F506,Productos!$A$2:$J$182,6)</f>
        <v>Otros servicios</v>
      </c>
    </row>
    <row r="507" spans="1:15">
      <c r="A507" s="2" t="s">
        <v>704</v>
      </c>
      <c r="B507" s="2" t="s">
        <v>559</v>
      </c>
      <c r="C507" s="2" t="s">
        <v>560</v>
      </c>
      <c r="D507" s="2" t="s">
        <v>561</v>
      </c>
      <c r="E507" s="2" t="s">
        <v>560</v>
      </c>
      <c r="F507" s="3">
        <v>144</v>
      </c>
      <c r="G507" s="2" t="s">
        <v>302</v>
      </c>
      <c r="H507" s="2" t="str">
        <f>IF(F507="","",VLOOKUP(F507,Productos!$A$2:$F$182,3,FALSE))</f>
        <v>6</v>
      </c>
      <c r="I507" s="2" t="str">
        <f>IF(F507="","",VLOOKUP(F507,Productos!$A$2:$F$182,4,FALSE))</f>
        <v>Servicios comerciales de distribución; alojamiento, servicios de suministro de comidas y bebidas; servicios de transporte; y servicios de distribución de electricidad, gas y agua</v>
      </c>
      <c r="J507" s="2">
        <f>IF(F507="","",VLOOKUP(F507,Productos!$A$2:$F$182,5,FALSE))</f>
        <v>7</v>
      </c>
      <c r="K507" s="2" t="str">
        <f>IF(F507="","",VLOOKUP(F507,Productos!$A$2:$F$182,6,FALSE))</f>
        <v>Otros servicios</v>
      </c>
      <c r="L507" s="2">
        <v>3</v>
      </c>
      <c r="M507" s="2" t="s">
        <v>67</v>
      </c>
      <c r="N507" s="2">
        <f>VLOOKUP(F507,Productos!$A$2:$J$182,5)</f>
        <v>7</v>
      </c>
      <c r="O507" s="2" t="str">
        <f>VLOOKUP(F507,Productos!$A$2:$J$182,6)</f>
        <v>Otros servicios</v>
      </c>
    </row>
    <row r="508" spans="1:15">
      <c r="A508" s="2" t="s">
        <v>705</v>
      </c>
      <c r="B508" s="2" t="s">
        <v>559</v>
      </c>
      <c r="C508" s="2" t="s">
        <v>560</v>
      </c>
      <c r="D508" s="2" t="s">
        <v>561</v>
      </c>
      <c r="E508" s="2" t="s">
        <v>560</v>
      </c>
      <c r="F508" s="3">
        <v>145</v>
      </c>
      <c r="G508" s="2" t="s">
        <v>304</v>
      </c>
      <c r="H508" s="2" t="str">
        <f>IF(F508="","",VLOOKUP(F508,Productos!$A$2:$F$182,3,FALSE))</f>
        <v>6</v>
      </c>
      <c r="I508" s="2" t="str">
        <f>IF(F508="","",VLOOKUP(F508,Productos!$A$2:$F$182,4,FALSE))</f>
        <v>Servicios comerciales de distribución; alojamiento, servicios de suministro de comidas y bebidas; servicios de transporte; y servicios de distribución de electricidad, gas y agua</v>
      </c>
      <c r="J508" s="2">
        <f>IF(F508="","",VLOOKUP(F508,Productos!$A$2:$F$182,5,FALSE))</f>
        <v>7</v>
      </c>
      <c r="K508" s="2" t="str">
        <f>IF(F508="","",VLOOKUP(F508,Productos!$A$2:$F$182,6,FALSE))</f>
        <v>Otros servicios</v>
      </c>
      <c r="L508" s="2">
        <v>3</v>
      </c>
      <c r="M508" s="2" t="s">
        <v>67</v>
      </c>
      <c r="N508" s="2">
        <f>VLOOKUP(F508,Productos!$A$2:$J$182,5)</f>
        <v>7</v>
      </c>
      <c r="O508" s="2" t="str">
        <f>VLOOKUP(F508,Productos!$A$2:$J$182,6)</f>
        <v>Otros servicios</v>
      </c>
    </row>
    <row r="509" spans="1:15">
      <c r="A509" s="2" t="s">
        <v>706</v>
      </c>
      <c r="B509" s="2" t="s">
        <v>559</v>
      </c>
      <c r="C509" s="2" t="s">
        <v>560</v>
      </c>
      <c r="D509" s="2" t="s">
        <v>561</v>
      </c>
      <c r="E509" s="2" t="s">
        <v>560</v>
      </c>
      <c r="F509" s="3">
        <v>146</v>
      </c>
      <c r="G509" s="2" t="s">
        <v>306</v>
      </c>
      <c r="H509" s="2" t="str">
        <f>IF(F509="","",VLOOKUP(F509,Productos!$A$2:$F$182,3,FALSE))</f>
        <v>6</v>
      </c>
      <c r="I509" s="2" t="str">
        <f>IF(F509="","",VLOOKUP(F509,Productos!$A$2:$F$182,4,FALSE))</f>
        <v>Servicios comerciales de distribución; alojamiento, servicios de suministro de comidas y bebidas; servicios de transporte; y servicios de distribución de electricidad, gas y agua</v>
      </c>
      <c r="J509" s="2">
        <f>IF(F509="","",VLOOKUP(F509,Productos!$A$2:$F$182,5,FALSE))</f>
        <v>7</v>
      </c>
      <c r="K509" s="2" t="str">
        <f>IF(F509="","",VLOOKUP(F509,Productos!$A$2:$F$182,6,FALSE))</f>
        <v>Otros servicios</v>
      </c>
      <c r="L509" s="2">
        <v>3</v>
      </c>
      <c r="M509" s="2" t="s">
        <v>67</v>
      </c>
      <c r="N509" s="2">
        <f>VLOOKUP(F509,Productos!$A$2:$J$182,5)</f>
        <v>7</v>
      </c>
      <c r="O509" s="2" t="str">
        <f>VLOOKUP(F509,Productos!$A$2:$J$182,6)</f>
        <v>Otros servicios</v>
      </c>
    </row>
    <row r="510" spans="1:15">
      <c r="A510" s="2" t="s">
        <v>707</v>
      </c>
      <c r="B510" s="2" t="s">
        <v>559</v>
      </c>
      <c r="C510" s="2" t="s">
        <v>560</v>
      </c>
      <c r="D510" s="2" t="s">
        <v>561</v>
      </c>
      <c r="E510" s="2" t="s">
        <v>560</v>
      </c>
      <c r="F510" s="3">
        <v>147</v>
      </c>
      <c r="G510" s="2" t="s">
        <v>308</v>
      </c>
      <c r="H510" s="2" t="str">
        <f>IF(F510="","",VLOOKUP(F510,Productos!$A$2:$F$182,3,FALSE))</f>
        <v>6</v>
      </c>
      <c r="I510" s="2" t="str">
        <f>IF(F510="","",VLOOKUP(F510,Productos!$A$2:$F$182,4,FALSE))</f>
        <v>Servicios comerciales de distribución; alojamiento, servicios de suministro de comidas y bebidas; servicios de transporte; y servicios de distribución de electricidad, gas y agua</v>
      </c>
      <c r="J510" s="2">
        <f>IF(F510="","",VLOOKUP(F510,Productos!$A$2:$F$182,5,FALSE))</f>
        <v>7</v>
      </c>
      <c r="K510" s="2" t="str">
        <f>IF(F510="","",VLOOKUP(F510,Productos!$A$2:$F$182,6,FALSE))</f>
        <v>Otros servicios</v>
      </c>
      <c r="L510" s="2">
        <v>3</v>
      </c>
      <c r="M510" s="2" t="s">
        <v>67</v>
      </c>
      <c r="N510" s="2">
        <f>VLOOKUP(F510,Productos!$A$2:$J$182,5)</f>
        <v>7</v>
      </c>
      <c r="O510" s="2" t="str">
        <f>VLOOKUP(F510,Productos!$A$2:$J$182,6)</f>
        <v>Otros servicios</v>
      </c>
    </row>
    <row r="511" spans="1:15">
      <c r="A511" s="2" t="s">
        <v>708</v>
      </c>
      <c r="B511" s="2" t="s">
        <v>559</v>
      </c>
      <c r="C511" s="2" t="s">
        <v>560</v>
      </c>
      <c r="D511" s="2" t="s">
        <v>561</v>
      </c>
      <c r="E511" s="2" t="s">
        <v>560</v>
      </c>
      <c r="F511" s="3">
        <v>148</v>
      </c>
      <c r="G511" s="2" t="s">
        <v>310</v>
      </c>
      <c r="H511" s="2" t="str">
        <f>IF(F511="","",VLOOKUP(F511,Productos!$A$2:$F$182,3,FALSE))</f>
        <v>6</v>
      </c>
      <c r="I511" s="2" t="str">
        <f>IF(F511="","",VLOOKUP(F511,Productos!$A$2:$F$182,4,FALSE))</f>
        <v>Servicios comerciales de distribución; alojamiento, servicios de suministro de comidas y bebidas; servicios de transporte; y servicios de distribución de electricidad, gas y agua</v>
      </c>
      <c r="J511" s="2">
        <f>IF(F511="","",VLOOKUP(F511,Productos!$A$2:$F$182,5,FALSE))</f>
        <v>7</v>
      </c>
      <c r="K511" s="2" t="str">
        <f>IF(F511="","",VLOOKUP(F511,Productos!$A$2:$F$182,6,FALSE))</f>
        <v>Otros servicios</v>
      </c>
      <c r="L511" s="2">
        <v>3</v>
      </c>
      <c r="M511" s="2" t="s">
        <v>67</v>
      </c>
      <c r="N511" s="2">
        <f>VLOOKUP(F511,Productos!$A$2:$J$182,5)</f>
        <v>7</v>
      </c>
      <c r="O511" s="2" t="str">
        <f>VLOOKUP(F511,Productos!$A$2:$J$182,6)</f>
        <v>Otros servicios</v>
      </c>
    </row>
    <row r="512" spans="1:15">
      <c r="A512" s="2" t="s">
        <v>709</v>
      </c>
      <c r="B512" s="2" t="s">
        <v>559</v>
      </c>
      <c r="C512" s="2" t="s">
        <v>560</v>
      </c>
      <c r="D512" s="2" t="s">
        <v>561</v>
      </c>
      <c r="E512" s="2" t="s">
        <v>560</v>
      </c>
      <c r="F512" s="3">
        <v>149</v>
      </c>
      <c r="G512" s="2" t="s">
        <v>312</v>
      </c>
      <c r="H512" s="2" t="str">
        <f>IF(F512="","",VLOOKUP(F512,Productos!$A$2:$F$182,3,FALSE))</f>
        <v>6</v>
      </c>
      <c r="I512" s="2" t="str">
        <f>IF(F512="","",VLOOKUP(F512,Productos!$A$2:$F$182,4,FALSE))</f>
        <v>Servicios comerciales de distribución; alojamiento, servicios de suministro de comidas y bebidas; servicios de transporte; y servicios de distribución de electricidad, gas y agua</v>
      </c>
      <c r="J512" s="2">
        <f>IF(F512="","",VLOOKUP(F512,Productos!$A$2:$F$182,5,FALSE))</f>
        <v>7</v>
      </c>
      <c r="K512" s="2" t="str">
        <f>IF(F512="","",VLOOKUP(F512,Productos!$A$2:$F$182,6,FALSE))</f>
        <v>Otros servicios</v>
      </c>
      <c r="L512" s="2">
        <v>3</v>
      </c>
      <c r="M512" s="2" t="s">
        <v>67</v>
      </c>
      <c r="N512" s="2">
        <f>VLOOKUP(F512,Productos!$A$2:$J$182,5)</f>
        <v>7</v>
      </c>
      <c r="O512" s="2" t="str">
        <f>VLOOKUP(F512,Productos!$A$2:$J$182,6)</f>
        <v>Otros servicios</v>
      </c>
    </row>
    <row r="513" spans="1:15">
      <c r="A513" s="2" t="s">
        <v>710</v>
      </c>
      <c r="B513" s="2" t="s">
        <v>559</v>
      </c>
      <c r="C513" s="2" t="s">
        <v>560</v>
      </c>
      <c r="D513" s="2" t="s">
        <v>561</v>
      </c>
      <c r="E513" s="2" t="s">
        <v>560</v>
      </c>
      <c r="F513" s="3">
        <v>150</v>
      </c>
      <c r="G513" s="2" t="s">
        <v>314</v>
      </c>
      <c r="H513" s="2" t="str">
        <f>IF(F513="","",VLOOKUP(F513,Productos!$A$2:$F$182,3,FALSE))</f>
        <v>6</v>
      </c>
      <c r="I513" s="2" t="str">
        <f>IF(F513="","",VLOOKUP(F513,Productos!$A$2:$F$182,4,FALSE))</f>
        <v>Servicios comerciales de distribución; alojamiento, servicios de suministro de comidas y bebidas; servicios de transporte; y servicios de distribución de electricidad, gas y agua</v>
      </c>
      <c r="J513" s="2">
        <f>IF(F513="","",VLOOKUP(F513,Productos!$A$2:$F$182,5,FALSE))</f>
        <v>7</v>
      </c>
      <c r="K513" s="2" t="str">
        <f>IF(F513="","",VLOOKUP(F513,Productos!$A$2:$F$182,6,FALSE))</f>
        <v>Otros servicios</v>
      </c>
      <c r="L513" s="2">
        <v>3</v>
      </c>
      <c r="M513" s="2" t="s">
        <v>67</v>
      </c>
      <c r="N513" s="2">
        <f>VLOOKUP(F513,Productos!$A$2:$J$182,5)</f>
        <v>7</v>
      </c>
      <c r="O513" s="2" t="str">
        <f>VLOOKUP(F513,Productos!$A$2:$J$182,6)</f>
        <v>Otros servicios</v>
      </c>
    </row>
    <row r="514" spans="1:15">
      <c r="A514" s="2" t="s">
        <v>711</v>
      </c>
      <c r="B514" s="2" t="s">
        <v>559</v>
      </c>
      <c r="C514" s="2" t="s">
        <v>560</v>
      </c>
      <c r="D514" s="2" t="s">
        <v>561</v>
      </c>
      <c r="E514" s="2" t="s">
        <v>560</v>
      </c>
      <c r="F514" s="3">
        <v>151</v>
      </c>
      <c r="G514" s="2" t="s">
        <v>316</v>
      </c>
      <c r="H514" s="2" t="str">
        <f>IF(F514="","",VLOOKUP(F514,Productos!$A$2:$F$182,3,FALSE))</f>
        <v>6</v>
      </c>
      <c r="I514" s="2" t="str">
        <f>IF(F514="","",VLOOKUP(F514,Productos!$A$2:$F$182,4,FALSE))</f>
        <v>Servicios comerciales de distribución; alojamiento, servicios de suministro de comidas y bebidas; servicios de transporte; y servicios de distribución de electricidad, gas y agua</v>
      </c>
      <c r="J514" s="2">
        <f>IF(F514="","",VLOOKUP(F514,Productos!$A$2:$F$182,5,FALSE))</f>
        <v>7</v>
      </c>
      <c r="K514" s="2" t="str">
        <f>IF(F514="","",VLOOKUP(F514,Productos!$A$2:$F$182,6,FALSE))</f>
        <v>Otros servicios</v>
      </c>
      <c r="L514" s="2">
        <v>3</v>
      </c>
      <c r="M514" s="2" t="s">
        <v>67</v>
      </c>
      <c r="N514" s="2">
        <f>VLOOKUP(F514,Productos!$A$2:$J$182,5)</f>
        <v>7</v>
      </c>
      <c r="O514" s="2" t="str">
        <f>VLOOKUP(F514,Productos!$A$2:$J$182,6)</f>
        <v>Otros servicios</v>
      </c>
    </row>
    <row r="515" spans="1:15">
      <c r="A515" s="2" t="s">
        <v>712</v>
      </c>
      <c r="B515" s="2" t="s">
        <v>559</v>
      </c>
      <c r="C515" s="2" t="s">
        <v>560</v>
      </c>
      <c r="D515" s="2" t="s">
        <v>561</v>
      </c>
      <c r="E515" s="2" t="s">
        <v>560</v>
      </c>
      <c r="F515" s="3">
        <v>152</v>
      </c>
      <c r="G515" s="2" t="s">
        <v>318</v>
      </c>
      <c r="H515" s="2" t="str">
        <f>IF(F515="","",VLOOKUP(F515,Productos!$A$2:$F$182,3,FALSE))</f>
        <v>6</v>
      </c>
      <c r="I515" s="2" t="str">
        <f>IF(F515="","",VLOOKUP(F515,Productos!$A$2:$F$182,4,FALSE))</f>
        <v>Servicios comerciales de distribución; alojamiento, servicios de suministro de comidas y bebidas; servicios de transporte; y servicios de distribución de electricidad, gas y agua</v>
      </c>
      <c r="J515" s="2">
        <f>IF(F515="","",VLOOKUP(F515,Productos!$A$2:$F$182,5,FALSE))</f>
        <v>7</v>
      </c>
      <c r="K515" s="2" t="str">
        <f>IF(F515="","",VLOOKUP(F515,Productos!$A$2:$F$182,6,FALSE))</f>
        <v>Otros servicios</v>
      </c>
      <c r="L515" s="2">
        <v>3</v>
      </c>
      <c r="M515" s="2" t="s">
        <v>67</v>
      </c>
      <c r="N515" s="2">
        <f>VLOOKUP(F515,Productos!$A$2:$J$182,5)</f>
        <v>7</v>
      </c>
      <c r="O515" s="2" t="str">
        <f>VLOOKUP(F515,Productos!$A$2:$J$182,6)</f>
        <v>Otros servicios</v>
      </c>
    </row>
    <row r="516" spans="1:15">
      <c r="A516" s="2" t="s">
        <v>713</v>
      </c>
      <c r="B516" s="2" t="s">
        <v>559</v>
      </c>
      <c r="C516" s="2" t="s">
        <v>560</v>
      </c>
      <c r="D516" s="2" t="s">
        <v>561</v>
      </c>
      <c r="E516" s="2" t="s">
        <v>560</v>
      </c>
      <c r="F516" s="3">
        <v>153</v>
      </c>
      <c r="G516" s="2" t="s">
        <v>320</v>
      </c>
      <c r="H516" s="2" t="str">
        <f>IF(F516="","",VLOOKUP(F516,Productos!$A$2:$F$182,3,FALSE))</f>
        <v>6</v>
      </c>
      <c r="I516" s="2" t="str">
        <f>IF(F516="","",VLOOKUP(F516,Productos!$A$2:$F$182,4,FALSE))</f>
        <v>Servicios comerciales de distribución; alojamiento, servicios de suministro de comidas y bebidas; servicios de transporte; y servicios de distribución de electricidad, gas y agua</v>
      </c>
      <c r="J516" s="2">
        <f>IF(F516="","",VLOOKUP(F516,Productos!$A$2:$F$182,5,FALSE))</f>
        <v>7</v>
      </c>
      <c r="K516" s="2" t="str">
        <f>IF(F516="","",VLOOKUP(F516,Productos!$A$2:$F$182,6,FALSE))</f>
        <v>Otros servicios</v>
      </c>
      <c r="L516" s="2">
        <v>3</v>
      </c>
      <c r="M516" s="2" t="s">
        <v>67</v>
      </c>
      <c r="N516" s="2">
        <f>VLOOKUP(F516,Productos!$A$2:$J$182,5)</f>
        <v>7</v>
      </c>
      <c r="O516" s="2" t="str">
        <f>VLOOKUP(F516,Productos!$A$2:$J$182,6)</f>
        <v>Otros servicios</v>
      </c>
    </row>
    <row r="517" spans="1:15">
      <c r="A517" s="2" t="s">
        <v>714</v>
      </c>
      <c r="B517" s="2" t="s">
        <v>559</v>
      </c>
      <c r="C517" s="2" t="s">
        <v>560</v>
      </c>
      <c r="D517" s="2" t="s">
        <v>561</v>
      </c>
      <c r="E517" s="2" t="s">
        <v>560</v>
      </c>
      <c r="F517" s="3">
        <v>154</v>
      </c>
      <c r="G517" s="2" t="s">
        <v>322</v>
      </c>
      <c r="H517" s="2" t="str">
        <f>IF(F517="","",VLOOKUP(F517,Productos!$A$2:$F$182,3,FALSE))</f>
        <v>6</v>
      </c>
      <c r="I517" s="2" t="str">
        <f>IF(F517="","",VLOOKUP(F517,Productos!$A$2:$F$182,4,FALSE))</f>
        <v>Servicios comerciales de distribución; alojamiento, servicios de suministro de comidas y bebidas; servicios de transporte; y servicios de distribución de electricidad, gas y agua</v>
      </c>
      <c r="J517" s="2">
        <f>IF(F517="","",VLOOKUP(F517,Productos!$A$2:$F$182,5,FALSE))</f>
        <v>7</v>
      </c>
      <c r="K517" s="2" t="str">
        <f>IF(F517="","",VLOOKUP(F517,Productos!$A$2:$F$182,6,FALSE))</f>
        <v>Otros servicios</v>
      </c>
      <c r="L517" s="2">
        <v>3</v>
      </c>
      <c r="M517" s="2" t="s">
        <v>67</v>
      </c>
      <c r="N517" s="2">
        <f>VLOOKUP(F517,Productos!$A$2:$J$182,5)</f>
        <v>7</v>
      </c>
      <c r="O517" s="2" t="str">
        <f>VLOOKUP(F517,Productos!$A$2:$J$182,6)</f>
        <v>Otros servicios</v>
      </c>
    </row>
    <row r="518" spans="1:15">
      <c r="A518" s="2" t="s">
        <v>715</v>
      </c>
      <c r="B518" s="2" t="s">
        <v>559</v>
      </c>
      <c r="C518" s="2" t="s">
        <v>560</v>
      </c>
      <c r="D518" s="2" t="s">
        <v>561</v>
      </c>
      <c r="E518" s="2" t="s">
        <v>560</v>
      </c>
      <c r="F518" s="3">
        <v>155</v>
      </c>
      <c r="G518" s="2" t="s">
        <v>324</v>
      </c>
      <c r="H518" s="2" t="str">
        <f>IF(F518="","",VLOOKUP(F518,Productos!$A$2:$F$182,3,FALSE))</f>
        <v>6</v>
      </c>
      <c r="I518" s="2" t="str">
        <f>IF(F518="","",VLOOKUP(F518,Productos!$A$2:$F$182,4,FALSE))</f>
        <v>Servicios comerciales de distribución; alojamiento, servicios de suministro de comidas y bebidas; servicios de transporte; y servicios de distribución de electricidad, gas y agua</v>
      </c>
      <c r="J518" s="2">
        <f>IF(F518="","",VLOOKUP(F518,Productos!$A$2:$F$182,5,FALSE))</f>
        <v>7</v>
      </c>
      <c r="K518" s="2" t="str">
        <f>IF(F518="","",VLOOKUP(F518,Productos!$A$2:$F$182,6,FALSE))</f>
        <v>Otros servicios</v>
      </c>
      <c r="L518" s="2">
        <v>3</v>
      </c>
      <c r="M518" s="2" t="s">
        <v>67</v>
      </c>
      <c r="N518" s="2">
        <f>VLOOKUP(F518,Productos!$A$2:$J$182,5)</f>
        <v>7</v>
      </c>
      <c r="O518" s="2" t="str">
        <f>VLOOKUP(F518,Productos!$A$2:$J$182,6)</f>
        <v>Otros servicios</v>
      </c>
    </row>
    <row r="519" spans="1:15">
      <c r="A519" s="2" t="s">
        <v>716</v>
      </c>
      <c r="B519" s="2" t="s">
        <v>559</v>
      </c>
      <c r="C519" s="2" t="s">
        <v>560</v>
      </c>
      <c r="D519" s="2" t="s">
        <v>561</v>
      </c>
      <c r="E519" s="2" t="s">
        <v>560</v>
      </c>
      <c r="F519" s="3">
        <v>156</v>
      </c>
      <c r="G519" s="2" t="s">
        <v>326</v>
      </c>
      <c r="H519" s="2" t="str">
        <f>IF(F519="","",VLOOKUP(F519,Productos!$A$2:$F$182,3,FALSE))</f>
        <v>6</v>
      </c>
      <c r="I519" s="2" t="str">
        <f>IF(F519="","",VLOOKUP(F519,Productos!$A$2:$F$182,4,FALSE))</f>
        <v>Servicios comerciales de distribución; alojamiento, servicios de suministro de comidas y bebidas; servicios de transporte; y servicios de distribución de electricidad, gas y agua</v>
      </c>
      <c r="J519" s="2">
        <f>IF(F519="","",VLOOKUP(F519,Productos!$A$2:$F$182,5,FALSE))</f>
        <v>7</v>
      </c>
      <c r="K519" s="2" t="str">
        <f>IF(F519="","",VLOOKUP(F519,Productos!$A$2:$F$182,6,FALSE))</f>
        <v>Otros servicios</v>
      </c>
      <c r="L519" s="2">
        <v>3</v>
      </c>
      <c r="M519" s="2" t="s">
        <v>67</v>
      </c>
      <c r="N519" s="2">
        <f>VLOOKUP(F519,Productos!$A$2:$J$182,5)</f>
        <v>7</v>
      </c>
      <c r="O519" s="2" t="str">
        <f>VLOOKUP(F519,Productos!$A$2:$J$182,6)</f>
        <v>Otros servicios</v>
      </c>
    </row>
    <row r="520" spans="1:15">
      <c r="A520" s="2" t="s">
        <v>717</v>
      </c>
      <c r="B520" s="2" t="s">
        <v>559</v>
      </c>
      <c r="C520" s="2" t="s">
        <v>560</v>
      </c>
      <c r="D520" s="2" t="s">
        <v>561</v>
      </c>
      <c r="E520" s="2" t="s">
        <v>560</v>
      </c>
      <c r="F520" s="3">
        <v>157</v>
      </c>
      <c r="G520" s="2" t="s">
        <v>328</v>
      </c>
      <c r="H520" s="2" t="str">
        <f>IF(F520="","",VLOOKUP(F520,Productos!$A$2:$F$182,3,FALSE))</f>
        <v>7</v>
      </c>
      <c r="I520" s="2" t="str">
        <f>IF(F520="","",VLOOKUP(F520,Productos!$A$2:$F$182,4,FALSE))</f>
        <v>Servicios financieros y servicios conexos; servicios inmobiliarios; y servicios de alquiler y arrendamiento</v>
      </c>
      <c r="J520" s="2">
        <f>IF(F520="","",VLOOKUP(F520,Productos!$A$2:$F$182,5,FALSE))</f>
        <v>7</v>
      </c>
      <c r="K520" s="2" t="str">
        <f>IF(F520="","",VLOOKUP(F520,Productos!$A$2:$F$182,6,FALSE))</f>
        <v>Otros servicios</v>
      </c>
      <c r="L520" s="2">
        <v>3</v>
      </c>
      <c r="M520" s="2" t="s">
        <v>67</v>
      </c>
      <c r="N520" s="2">
        <f>VLOOKUP(F520,Productos!$A$2:$J$182,5)</f>
        <v>7</v>
      </c>
      <c r="O520" s="2" t="str">
        <f>VLOOKUP(F520,Productos!$A$2:$J$182,6)</f>
        <v>Otros servicios</v>
      </c>
    </row>
    <row r="521" spans="1:15">
      <c r="A521" s="2" t="s">
        <v>718</v>
      </c>
      <c r="B521" s="2" t="s">
        <v>559</v>
      </c>
      <c r="C521" s="2" t="s">
        <v>560</v>
      </c>
      <c r="D521" s="2" t="s">
        <v>561</v>
      </c>
      <c r="E521" s="2" t="s">
        <v>560</v>
      </c>
      <c r="F521" s="3">
        <v>158</v>
      </c>
      <c r="G521" s="2" t="s">
        <v>330</v>
      </c>
      <c r="H521" s="2" t="str">
        <f>IF(F521="","",VLOOKUP(F521,Productos!$A$2:$F$182,3,FALSE))</f>
        <v>7</v>
      </c>
      <c r="I521" s="2" t="str">
        <f>IF(F521="","",VLOOKUP(F521,Productos!$A$2:$F$182,4,FALSE))</f>
        <v>Servicios financieros y servicios conexos; servicios inmobiliarios; y servicios de alquiler y arrendamiento</v>
      </c>
      <c r="J521" s="2">
        <f>IF(F521="","",VLOOKUP(F521,Productos!$A$2:$F$182,5,FALSE))</f>
        <v>7</v>
      </c>
      <c r="K521" s="2" t="str">
        <f>IF(F521="","",VLOOKUP(F521,Productos!$A$2:$F$182,6,FALSE))</f>
        <v>Otros servicios</v>
      </c>
      <c r="L521" s="2">
        <v>3</v>
      </c>
      <c r="M521" s="2" t="s">
        <v>67</v>
      </c>
      <c r="N521" s="2">
        <f>VLOOKUP(F521,Productos!$A$2:$J$182,5)</f>
        <v>7</v>
      </c>
      <c r="O521" s="2" t="str">
        <f>VLOOKUP(F521,Productos!$A$2:$J$182,6)</f>
        <v>Otros servicios</v>
      </c>
    </row>
    <row r="522" spans="1:15">
      <c r="A522" s="2" t="s">
        <v>719</v>
      </c>
      <c r="B522" s="2" t="s">
        <v>559</v>
      </c>
      <c r="C522" s="2" t="s">
        <v>560</v>
      </c>
      <c r="D522" s="2" t="s">
        <v>561</v>
      </c>
      <c r="E522" s="2" t="s">
        <v>560</v>
      </c>
      <c r="F522" s="3">
        <v>159</v>
      </c>
      <c r="G522" s="2" t="s">
        <v>332</v>
      </c>
      <c r="H522" s="2" t="str">
        <f>IF(F522="","",VLOOKUP(F522,Productos!$A$2:$F$182,3,FALSE))</f>
        <v>7</v>
      </c>
      <c r="I522" s="2" t="str">
        <f>IF(F522="","",VLOOKUP(F522,Productos!$A$2:$F$182,4,FALSE))</f>
        <v>Servicios financieros y servicios conexos; servicios inmobiliarios; y servicios de alquiler y arrendamiento</v>
      </c>
      <c r="J522" s="2">
        <f>IF(F522="","",VLOOKUP(F522,Productos!$A$2:$F$182,5,FALSE))</f>
        <v>7</v>
      </c>
      <c r="K522" s="2" t="str">
        <f>IF(F522="","",VLOOKUP(F522,Productos!$A$2:$F$182,6,FALSE))</f>
        <v>Otros servicios</v>
      </c>
      <c r="L522" s="2">
        <v>3</v>
      </c>
      <c r="M522" s="2" t="s">
        <v>67</v>
      </c>
      <c r="N522" s="2">
        <f>VLOOKUP(F522,Productos!$A$2:$J$182,5)</f>
        <v>7</v>
      </c>
      <c r="O522" s="2" t="str">
        <f>VLOOKUP(F522,Productos!$A$2:$J$182,6)</f>
        <v>Otros servicios</v>
      </c>
    </row>
    <row r="523" spans="1:15">
      <c r="A523" s="2" t="s">
        <v>720</v>
      </c>
      <c r="B523" s="2" t="s">
        <v>559</v>
      </c>
      <c r="C523" s="2" t="s">
        <v>560</v>
      </c>
      <c r="D523" s="2" t="s">
        <v>561</v>
      </c>
      <c r="E523" s="2" t="s">
        <v>560</v>
      </c>
      <c r="F523" s="3">
        <v>160</v>
      </c>
      <c r="G523" s="2" t="s">
        <v>334</v>
      </c>
      <c r="H523" s="2" t="str">
        <f>IF(F523="","",VLOOKUP(F523,Productos!$A$2:$F$182,3,FALSE))</f>
        <v>7</v>
      </c>
      <c r="I523" s="2" t="str">
        <f>IF(F523="","",VLOOKUP(F523,Productos!$A$2:$F$182,4,FALSE))</f>
        <v>Servicios financieros y servicios conexos; servicios inmobiliarios; y servicios de alquiler y arrendamiento</v>
      </c>
      <c r="J523" s="2">
        <f>IF(F523="","",VLOOKUP(F523,Productos!$A$2:$F$182,5,FALSE))</f>
        <v>7</v>
      </c>
      <c r="K523" s="2" t="str">
        <f>IF(F523="","",VLOOKUP(F523,Productos!$A$2:$F$182,6,FALSE))</f>
        <v>Otros servicios</v>
      </c>
      <c r="L523" s="2">
        <v>3</v>
      </c>
      <c r="M523" s="2" t="s">
        <v>67</v>
      </c>
      <c r="N523" s="2">
        <f>VLOOKUP(F523,Productos!$A$2:$J$182,5)</f>
        <v>7</v>
      </c>
      <c r="O523" s="2" t="str">
        <f>VLOOKUP(F523,Productos!$A$2:$J$182,6)</f>
        <v>Otros servicios</v>
      </c>
    </row>
    <row r="524" spans="1:15">
      <c r="A524" s="2" t="s">
        <v>721</v>
      </c>
      <c r="B524" s="2" t="s">
        <v>559</v>
      </c>
      <c r="C524" s="2" t="s">
        <v>560</v>
      </c>
      <c r="D524" s="2" t="s">
        <v>561</v>
      </c>
      <c r="E524" s="2" t="s">
        <v>560</v>
      </c>
      <c r="F524" s="3">
        <v>161</v>
      </c>
      <c r="G524" s="2" t="s">
        <v>336</v>
      </c>
      <c r="H524" s="2" t="str">
        <f>IF(F524="","",VLOOKUP(F524,Productos!$A$2:$F$182,3,FALSE))</f>
        <v>7</v>
      </c>
      <c r="I524" s="2" t="str">
        <f>IF(F524="","",VLOOKUP(F524,Productos!$A$2:$F$182,4,FALSE))</f>
        <v>Servicios financieros y servicios conexos; servicios inmobiliarios; y servicios de alquiler y arrendamiento</v>
      </c>
      <c r="J524" s="2">
        <f>IF(F524="","",VLOOKUP(F524,Productos!$A$2:$F$182,5,FALSE))</f>
        <v>7</v>
      </c>
      <c r="K524" s="2" t="str">
        <f>IF(F524="","",VLOOKUP(F524,Productos!$A$2:$F$182,6,FALSE))</f>
        <v>Otros servicios</v>
      </c>
      <c r="L524" s="2">
        <v>3</v>
      </c>
      <c r="M524" s="2" t="s">
        <v>67</v>
      </c>
      <c r="N524" s="2">
        <f>VLOOKUP(F524,Productos!$A$2:$J$182,5)</f>
        <v>7</v>
      </c>
      <c r="O524" s="2" t="str">
        <f>VLOOKUP(F524,Productos!$A$2:$J$182,6)</f>
        <v>Otros servicios</v>
      </c>
    </row>
    <row r="525" spans="1:15">
      <c r="A525" s="2" t="s">
        <v>722</v>
      </c>
      <c r="B525" s="2" t="s">
        <v>559</v>
      </c>
      <c r="C525" s="2" t="s">
        <v>560</v>
      </c>
      <c r="D525" s="2" t="s">
        <v>561</v>
      </c>
      <c r="E525" s="2" t="s">
        <v>560</v>
      </c>
      <c r="F525" s="3">
        <v>162</v>
      </c>
      <c r="G525" s="2" t="s">
        <v>338</v>
      </c>
      <c r="H525" s="2" t="str">
        <f>IF(F525="","",VLOOKUP(F525,Productos!$A$2:$F$182,3,FALSE))</f>
        <v>7</v>
      </c>
      <c r="I525" s="2" t="str">
        <f>IF(F525="","",VLOOKUP(F525,Productos!$A$2:$F$182,4,FALSE))</f>
        <v>Servicios financieros y servicios conexos; servicios inmobiliarios; y servicios de alquiler y arrendamiento</v>
      </c>
      <c r="J525" s="2">
        <f>IF(F525="","",VLOOKUP(F525,Productos!$A$2:$F$182,5,FALSE))</f>
        <v>7</v>
      </c>
      <c r="K525" s="2" t="str">
        <f>IF(F525="","",VLOOKUP(F525,Productos!$A$2:$F$182,6,FALSE))</f>
        <v>Otros servicios</v>
      </c>
      <c r="L525" s="2">
        <v>3</v>
      </c>
      <c r="M525" s="2" t="s">
        <v>67</v>
      </c>
      <c r="N525" s="2">
        <f>VLOOKUP(F525,Productos!$A$2:$J$182,5)</f>
        <v>7</v>
      </c>
      <c r="O525" s="2" t="str">
        <f>VLOOKUP(F525,Productos!$A$2:$J$182,6)</f>
        <v>Otros servicios</v>
      </c>
    </row>
    <row r="526" spans="1:15">
      <c r="A526" s="2" t="s">
        <v>723</v>
      </c>
      <c r="B526" s="2" t="s">
        <v>559</v>
      </c>
      <c r="C526" s="2" t="s">
        <v>560</v>
      </c>
      <c r="D526" s="2" t="s">
        <v>561</v>
      </c>
      <c r="E526" s="2" t="s">
        <v>560</v>
      </c>
      <c r="F526" s="3">
        <v>163</v>
      </c>
      <c r="G526" s="2" t="s">
        <v>340</v>
      </c>
      <c r="H526" s="2" t="str">
        <f>IF(F526="","",VLOOKUP(F526,Productos!$A$2:$F$182,3,FALSE))</f>
        <v>7</v>
      </c>
      <c r="I526" s="2" t="str">
        <f>IF(F526="","",VLOOKUP(F526,Productos!$A$2:$F$182,4,FALSE))</f>
        <v>Servicios financieros y servicios conexos; servicios inmobiliarios; y servicios de alquiler y arrendamiento</v>
      </c>
      <c r="J526" s="2">
        <f>IF(F526="","",VLOOKUP(F526,Productos!$A$2:$F$182,5,FALSE))</f>
        <v>7</v>
      </c>
      <c r="K526" s="2" t="str">
        <f>IF(F526="","",VLOOKUP(F526,Productos!$A$2:$F$182,6,FALSE))</f>
        <v>Otros servicios</v>
      </c>
      <c r="L526" s="2">
        <v>3</v>
      </c>
      <c r="M526" s="2" t="s">
        <v>67</v>
      </c>
      <c r="N526" s="2">
        <f>VLOOKUP(F526,Productos!$A$2:$J$182,5)</f>
        <v>7</v>
      </c>
      <c r="O526" s="2" t="str">
        <f>VLOOKUP(F526,Productos!$A$2:$J$182,6)</f>
        <v>Otros servicios</v>
      </c>
    </row>
    <row r="527" spans="1:15">
      <c r="A527" s="2" t="s">
        <v>724</v>
      </c>
      <c r="B527" s="2" t="s">
        <v>559</v>
      </c>
      <c r="C527" s="2" t="s">
        <v>560</v>
      </c>
      <c r="D527" s="2" t="s">
        <v>561</v>
      </c>
      <c r="E527" s="2" t="s">
        <v>560</v>
      </c>
      <c r="F527" s="3">
        <v>164</v>
      </c>
      <c r="G527" s="2" t="s">
        <v>342</v>
      </c>
      <c r="H527" s="2" t="str">
        <f>IF(F527="","",VLOOKUP(F527,Productos!$A$2:$F$182,3,FALSE))</f>
        <v>8</v>
      </c>
      <c r="I527" s="2" t="str">
        <f>IF(F527="","",VLOOKUP(F527,Productos!$A$2:$F$182,4,FALSE))</f>
        <v>Servicios prestados a las empresas y servicios de producción</v>
      </c>
      <c r="J527" s="2">
        <f>IF(F527="","",VLOOKUP(F527,Productos!$A$2:$F$182,5,FALSE))</f>
        <v>7</v>
      </c>
      <c r="K527" s="2" t="str">
        <f>IF(F527="","",VLOOKUP(F527,Productos!$A$2:$F$182,6,FALSE))</f>
        <v>Otros servicios</v>
      </c>
      <c r="L527" s="2">
        <v>3</v>
      </c>
      <c r="M527" s="2" t="s">
        <v>67</v>
      </c>
      <c r="N527" s="2">
        <f>VLOOKUP(F527,Productos!$A$2:$J$182,5)</f>
        <v>7</v>
      </c>
      <c r="O527" s="2" t="str">
        <f>VLOOKUP(F527,Productos!$A$2:$J$182,6)</f>
        <v>Otros servicios</v>
      </c>
    </row>
    <row r="528" spans="1:15">
      <c r="A528" s="2" t="s">
        <v>725</v>
      </c>
      <c r="B528" s="2" t="s">
        <v>559</v>
      </c>
      <c r="C528" s="2" t="s">
        <v>560</v>
      </c>
      <c r="D528" s="2" t="s">
        <v>561</v>
      </c>
      <c r="E528" s="2" t="s">
        <v>560</v>
      </c>
      <c r="F528" s="3">
        <v>165</v>
      </c>
      <c r="G528" s="2" t="s">
        <v>344</v>
      </c>
      <c r="H528" s="2" t="str">
        <f>IF(F528="","",VLOOKUP(F528,Productos!$A$2:$F$182,3,FALSE))</f>
        <v>8</v>
      </c>
      <c r="I528" s="2" t="str">
        <f>IF(F528="","",VLOOKUP(F528,Productos!$A$2:$F$182,4,FALSE))</f>
        <v>Servicios prestados a las empresas y servicios de producción</v>
      </c>
      <c r="J528" s="2">
        <f>IF(F528="","",VLOOKUP(F528,Productos!$A$2:$F$182,5,FALSE))</f>
        <v>7</v>
      </c>
      <c r="K528" s="2" t="str">
        <f>IF(F528="","",VLOOKUP(F528,Productos!$A$2:$F$182,6,FALSE))</f>
        <v>Otros servicios</v>
      </c>
      <c r="L528" s="2">
        <v>3</v>
      </c>
      <c r="M528" s="2" t="s">
        <v>67</v>
      </c>
      <c r="N528" s="2">
        <f>VLOOKUP(F528,Productos!$A$2:$J$182,5)</f>
        <v>7</v>
      </c>
      <c r="O528" s="2" t="str">
        <f>VLOOKUP(F528,Productos!$A$2:$J$182,6)</f>
        <v>Otros servicios</v>
      </c>
    </row>
    <row r="529" spans="1:15">
      <c r="A529" s="2" t="s">
        <v>726</v>
      </c>
      <c r="B529" s="2" t="s">
        <v>559</v>
      </c>
      <c r="C529" s="2" t="s">
        <v>560</v>
      </c>
      <c r="D529" s="2" t="s">
        <v>561</v>
      </c>
      <c r="E529" s="2" t="s">
        <v>560</v>
      </c>
      <c r="F529" s="3">
        <v>166</v>
      </c>
      <c r="G529" s="2" t="s">
        <v>346</v>
      </c>
      <c r="H529" s="2" t="str">
        <f>IF(F529="","",VLOOKUP(F529,Productos!$A$2:$F$182,3,FALSE))</f>
        <v>8</v>
      </c>
      <c r="I529" s="2" t="str">
        <f>IF(F529="","",VLOOKUP(F529,Productos!$A$2:$F$182,4,FALSE))</f>
        <v>Servicios prestados a las empresas y servicios de producción</v>
      </c>
      <c r="J529" s="2">
        <f>IF(F529="","",VLOOKUP(F529,Productos!$A$2:$F$182,5,FALSE))</f>
        <v>7</v>
      </c>
      <c r="K529" s="2" t="str">
        <f>IF(F529="","",VLOOKUP(F529,Productos!$A$2:$F$182,6,FALSE))</f>
        <v>Otros servicios</v>
      </c>
      <c r="L529" s="2">
        <v>3</v>
      </c>
      <c r="M529" s="2" t="s">
        <v>67</v>
      </c>
      <c r="N529" s="2">
        <f>VLOOKUP(F529,Productos!$A$2:$J$182,5)</f>
        <v>7</v>
      </c>
      <c r="O529" s="2" t="str">
        <f>VLOOKUP(F529,Productos!$A$2:$J$182,6)</f>
        <v>Otros servicios</v>
      </c>
    </row>
    <row r="530" spans="1:15">
      <c r="A530" s="2" t="s">
        <v>727</v>
      </c>
      <c r="B530" s="2" t="s">
        <v>559</v>
      </c>
      <c r="C530" s="2" t="s">
        <v>560</v>
      </c>
      <c r="D530" s="2" t="s">
        <v>561</v>
      </c>
      <c r="E530" s="2" t="s">
        <v>560</v>
      </c>
      <c r="F530" s="3">
        <v>167</v>
      </c>
      <c r="G530" s="2" t="s">
        <v>348</v>
      </c>
      <c r="H530" s="2" t="str">
        <f>IF(F530="","",VLOOKUP(F530,Productos!$A$2:$F$182,3,FALSE))</f>
        <v>8</v>
      </c>
      <c r="I530" s="2" t="str">
        <f>IF(F530="","",VLOOKUP(F530,Productos!$A$2:$F$182,4,FALSE))</f>
        <v>Servicios prestados a las empresas y servicios de producción</v>
      </c>
      <c r="J530" s="2">
        <f>IF(F530="","",VLOOKUP(F530,Productos!$A$2:$F$182,5,FALSE))</f>
        <v>7</v>
      </c>
      <c r="K530" s="2" t="str">
        <f>IF(F530="","",VLOOKUP(F530,Productos!$A$2:$F$182,6,FALSE))</f>
        <v>Otros servicios</v>
      </c>
      <c r="L530" s="2">
        <v>2</v>
      </c>
      <c r="M530" s="2" t="s">
        <v>142</v>
      </c>
      <c r="N530" s="2">
        <f>VLOOKUP(F530,Productos!$A$2:$J$182,5)</f>
        <v>7</v>
      </c>
      <c r="O530" s="2" t="str">
        <f>VLOOKUP(F530,Productos!$A$2:$J$182,6)</f>
        <v>Otros servicios</v>
      </c>
    </row>
    <row r="531" spans="1:15">
      <c r="A531" s="2" t="s">
        <v>728</v>
      </c>
      <c r="B531" s="2" t="s">
        <v>559</v>
      </c>
      <c r="C531" s="2" t="s">
        <v>560</v>
      </c>
      <c r="D531" s="2" t="s">
        <v>561</v>
      </c>
      <c r="E531" s="2" t="s">
        <v>560</v>
      </c>
      <c r="F531" s="3">
        <v>168</v>
      </c>
      <c r="G531" s="2" t="s">
        <v>350</v>
      </c>
      <c r="H531" s="2" t="str">
        <f>IF(F531="","",VLOOKUP(F531,Productos!$A$2:$F$182,3,FALSE))</f>
        <v>8</v>
      </c>
      <c r="I531" s="2" t="str">
        <f>IF(F531="","",VLOOKUP(F531,Productos!$A$2:$F$182,4,FALSE))</f>
        <v>Servicios prestados a las empresas y servicios de producción</v>
      </c>
      <c r="J531" s="2">
        <f>IF(F531="","",VLOOKUP(F531,Productos!$A$2:$F$182,5,FALSE))</f>
        <v>7</v>
      </c>
      <c r="K531" s="2" t="str">
        <f>IF(F531="","",VLOOKUP(F531,Productos!$A$2:$F$182,6,FALSE))</f>
        <v>Otros servicios</v>
      </c>
      <c r="L531" s="2">
        <v>3</v>
      </c>
      <c r="M531" s="2" t="s">
        <v>67</v>
      </c>
      <c r="N531" s="2">
        <f>VLOOKUP(F531,Productos!$A$2:$J$182,5)</f>
        <v>7</v>
      </c>
      <c r="O531" s="2" t="str">
        <f>VLOOKUP(F531,Productos!$A$2:$J$182,6)</f>
        <v>Otros servicios</v>
      </c>
    </row>
    <row r="532" spans="1:15">
      <c r="A532" s="2" t="s">
        <v>729</v>
      </c>
      <c r="B532" s="2" t="s">
        <v>559</v>
      </c>
      <c r="C532" s="2" t="s">
        <v>560</v>
      </c>
      <c r="D532" s="2" t="s">
        <v>561</v>
      </c>
      <c r="E532" s="2" t="s">
        <v>560</v>
      </c>
      <c r="F532" s="3">
        <v>169</v>
      </c>
      <c r="G532" s="2" t="s">
        <v>352</v>
      </c>
      <c r="H532" s="2" t="str">
        <f>IF(F532="","",VLOOKUP(F532,Productos!$A$2:$F$182,3,FALSE))</f>
        <v>8</v>
      </c>
      <c r="I532" s="2" t="str">
        <f>IF(F532="","",VLOOKUP(F532,Productos!$A$2:$F$182,4,FALSE))</f>
        <v>Servicios prestados a las empresas y servicios de producción</v>
      </c>
      <c r="J532" s="2">
        <f>IF(F532="","",VLOOKUP(F532,Productos!$A$2:$F$182,5,FALSE))</f>
        <v>7</v>
      </c>
      <c r="K532" s="2" t="str">
        <f>IF(F532="","",VLOOKUP(F532,Productos!$A$2:$F$182,6,FALSE))</f>
        <v>Otros servicios</v>
      </c>
      <c r="L532" s="2">
        <v>3</v>
      </c>
      <c r="M532" s="2" t="s">
        <v>67</v>
      </c>
      <c r="N532" s="2">
        <f>VLOOKUP(F532,Productos!$A$2:$J$182,5)</f>
        <v>7</v>
      </c>
      <c r="O532" s="2" t="str">
        <f>VLOOKUP(F532,Productos!$A$2:$J$182,6)</f>
        <v>Otros servicios</v>
      </c>
    </row>
    <row r="533" spans="1:15">
      <c r="A533" s="2" t="s">
        <v>730</v>
      </c>
      <c r="B533" s="2" t="s">
        <v>559</v>
      </c>
      <c r="C533" s="2" t="s">
        <v>560</v>
      </c>
      <c r="D533" s="2" t="s">
        <v>561</v>
      </c>
      <c r="E533" s="2" t="s">
        <v>560</v>
      </c>
      <c r="F533" s="3">
        <v>170</v>
      </c>
      <c r="G533" s="2" t="s">
        <v>354</v>
      </c>
      <c r="H533" s="2" t="str">
        <f>IF(F533="","",VLOOKUP(F533,Productos!$A$2:$F$182,3,FALSE))</f>
        <v>8</v>
      </c>
      <c r="I533" s="2" t="str">
        <f>IF(F533="","",VLOOKUP(F533,Productos!$A$2:$F$182,4,FALSE))</f>
        <v>Servicios prestados a las empresas y servicios de producción</v>
      </c>
      <c r="J533" s="2">
        <f>IF(F533="","",VLOOKUP(F533,Productos!$A$2:$F$182,5,FALSE))</f>
        <v>7</v>
      </c>
      <c r="K533" s="2" t="str">
        <f>IF(F533="","",VLOOKUP(F533,Productos!$A$2:$F$182,6,FALSE))</f>
        <v>Otros servicios</v>
      </c>
      <c r="L533" s="2">
        <v>3</v>
      </c>
      <c r="M533" s="2" t="s">
        <v>67</v>
      </c>
      <c r="N533" s="2">
        <f>VLOOKUP(F533,Productos!$A$2:$J$182,5)</f>
        <v>7</v>
      </c>
      <c r="O533" s="2" t="str">
        <f>VLOOKUP(F533,Productos!$A$2:$J$182,6)</f>
        <v>Otros servicios</v>
      </c>
    </row>
    <row r="534" spans="1:15">
      <c r="A534" s="2" t="s">
        <v>731</v>
      </c>
      <c r="B534" s="2" t="s">
        <v>559</v>
      </c>
      <c r="C534" s="2" t="s">
        <v>560</v>
      </c>
      <c r="D534" s="2" t="s">
        <v>561</v>
      </c>
      <c r="E534" s="2" t="s">
        <v>560</v>
      </c>
      <c r="F534" s="3">
        <v>171</v>
      </c>
      <c r="G534" s="2" t="s">
        <v>356</v>
      </c>
      <c r="H534" s="2" t="str">
        <f>IF(F534="","",VLOOKUP(F534,Productos!$A$2:$F$182,3,FALSE))</f>
        <v>9</v>
      </c>
      <c r="I534" s="2" t="str">
        <f>IF(F534="","",VLOOKUP(F534,Productos!$A$2:$F$182,4,FALSE))</f>
        <v>Servicios para la comunidad, sociales y personales</v>
      </c>
      <c r="J534" s="2">
        <f>IF(F534="","",VLOOKUP(F534,Productos!$A$2:$F$182,5,FALSE))</f>
        <v>7</v>
      </c>
      <c r="K534" s="2" t="str">
        <f>IF(F534="","",VLOOKUP(F534,Productos!$A$2:$F$182,6,FALSE))</f>
        <v>Otros servicios</v>
      </c>
      <c r="L534" s="2">
        <v>3</v>
      </c>
      <c r="M534" s="2" t="s">
        <v>67</v>
      </c>
      <c r="N534" s="2">
        <f>VLOOKUP(F534,Productos!$A$2:$J$182,5)</f>
        <v>7</v>
      </c>
      <c r="O534" s="2" t="str">
        <f>VLOOKUP(F534,Productos!$A$2:$J$182,6)</f>
        <v>Otros servicios</v>
      </c>
    </row>
    <row r="535" spans="1:15">
      <c r="A535" s="2" t="s">
        <v>732</v>
      </c>
      <c r="B535" s="2" t="s">
        <v>559</v>
      </c>
      <c r="C535" s="2" t="s">
        <v>560</v>
      </c>
      <c r="D535" s="2" t="s">
        <v>561</v>
      </c>
      <c r="E535" s="2" t="s">
        <v>560</v>
      </c>
      <c r="F535" s="3">
        <v>172</v>
      </c>
      <c r="G535" s="2" t="s">
        <v>358</v>
      </c>
      <c r="H535" s="2" t="str">
        <f>IF(F535="","",VLOOKUP(F535,Productos!$A$2:$F$182,3,FALSE))</f>
        <v>9</v>
      </c>
      <c r="I535" s="2" t="str">
        <f>IF(F535="","",VLOOKUP(F535,Productos!$A$2:$F$182,4,FALSE))</f>
        <v>Servicios para la comunidad, sociales y personales</v>
      </c>
      <c r="J535" s="2">
        <f>IF(F535="","",VLOOKUP(F535,Productos!$A$2:$F$182,5,FALSE))</f>
        <v>7</v>
      </c>
      <c r="K535" s="2" t="str">
        <f>IF(F535="","",VLOOKUP(F535,Productos!$A$2:$F$182,6,FALSE))</f>
        <v>Otros servicios</v>
      </c>
      <c r="L535" s="2">
        <v>3</v>
      </c>
      <c r="M535" s="2" t="s">
        <v>67</v>
      </c>
      <c r="N535" s="2">
        <f>VLOOKUP(F535,Productos!$A$2:$J$182,5)</f>
        <v>7</v>
      </c>
      <c r="O535" s="2" t="str">
        <f>VLOOKUP(F535,Productos!$A$2:$J$182,6)</f>
        <v>Otros servicios</v>
      </c>
    </row>
    <row r="536" spans="1:15">
      <c r="A536" s="2" t="s">
        <v>733</v>
      </c>
      <c r="B536" s="2" t="s">
        <v>559</v>
      </c>
      <c r="C536" s="2" t="s">
        <v>560</v>
      </c>
      <c r="D536" s="2" t="s">
        <v>561</v>
      </c>
      <c r="E536" s="2" t="s">
        <v>560</v>
      </c>
      <c r="F536" s="3">
        <v>173</v>
      </c>
      <c r="G536" s="2" t="s">
        <v>360</v>
      </c>
      <c r="H536" s="2" t="str">
        <f>IF(F536="","",VLOOKUP(F536,Productos!$A$2:$F$182,3,FALSE))</f>
        <v>9</v>
      </c>
      <c r="I536" s="2" t="str">
        <f>IF(F536="","",VLOOKUP(F536,Productos!$A$2:$F$182,4,FALSE))</f>
        <v>Servicios para la comunidad, sociales y personales</v>
      </c>
      <c r="J536" s="2">
        <f>IF(F536="","",VLOOKUP(F536,Productos!$A$2:$F$182,5,FALSE))</f>
        <v>7</v>
      </c>
      <c r="K536" s="2" t="str">
        <f>IF(F536="","",VLOOKUP(F536,Productos!$A$2:$F$182,6,FALSE))</f>
        <v>Otros servicios</v>
      </c>
      <c r="L536" s="2">
        <v>3</v>
      </c>
      <c r="M536" s="2" t="s">
        <v>67</v>
      </c>
      <c r="N536" s="2">
        <f>VLOOKUP(F536,Productos!$A$2:$J$182,5)</f>
        <v>7</v>
      </c>
      <c r="O536" s="2" t="str">
        <f>VLOOKUP(F536,Productos!$A$2:$J$182,6)</f>
        <v>Otros servicios</v>
      </c>
    </row>
    <row r="537" spans="1:15">
      <c r="A537" s="2" t="s">
        <v>734</v>
      </c>
      <c r="B537" s="2" t="s">
        <v>559</v>
      </c>
      <c r="C537" s="2" t="s">
        <v>560</v>
      </c>
      <c r="D537" s="2" t="s">
        <v>561</v>
      </c>
      <c r="E537" s="2" t="s">
        <v>560</v>
      </c>
      <c r="F537" s="3">
        <v>174</v>
      </c>
      <c r="G537" s="2" t="s">
        <v>362</v>
      </c>
      <c r="H537" s="2" t="str">
        <f>IF(F537="","",VLOOKUP(F537,Productos!$A$2:$F$182,3,FALSE))</f>
        <v>9</v>
      </c>
      <c r="I537" s="2" t="str">
        <f>IF(F537="","",VLOOKUP(F537,Productos!$A$2:$F$182,4,FALSE))</f>
        <v>Servicios para la comunidad, sociales y personales</v>
      </c>
      <c r="J537" s="2">
        <f>IF(F537="","",VLOOKUP(F537,Productos!$A$2:$F$182,5,FALSE))</f>
        <v>7</v>
      </c>
      <c r="K537" s="2" t="str">
        <f>IF(F537="","",VLOOKUP(F537,Productos!$A$2:$F$182,6,FALSE))</f>
        <v>Otros servicios</v>
      </c>
      <c r="L537" s="2">
        <v>3</v>
      </c>
      <c r="M537" s="2" t="s">
        <v>67</v>
      </c>
      <c r="N537" s="2">
        <f>VLOOKUP(F537,Productos!$A$2:$J$182,5)</f>
        <v>7</v>
      </c>
      <c r="O537" s="2" t="str">
        <f>VLOOKUP(F537,Productos!$A$2:$J$182,6)</f>
        <v>Otros servicios</v>
      </c>
    </row>
    <row r="538" spans="1:15">
      <c r="A538" s="2" t="s">
        <v>735</v>
      </c>
      <c r="B538" s="2" t="s">
        <v>559</v>
      </c>
      <c r="C538" s="2" t="s">
        <v>560</v>
      </c>
      <c r="D538" s="2" t="s">
        <v>561</v>
      </c>
      <c r="E538" s="2" t="s">
        <v>560</v>
      </c>
      <c r="F538" s="3">
        <v>175</v>
      </c>
      <c r="G538" s="2" t="s">
        <v>364</v>
      </c>
      <c r="H538" s="2" t="str">
        <f>IF(F538="","",VLOOKUP(F538,Productos!$A$2:$F$182,3,FALSE))</f>
        <v>9</v>
      </c>
      <c r="I538" s="2" t="str">
        <f>IF(F538="","",VLOOKUP(F538,Productos!$A$2:$F$182,4,FALSE))</f>
        <v>Servicios para la comunidad, sociales y personales</v>
      </c>
      <c r="J538" s="2">
        <f>IF(F538="","",VLOOKUP(F538,Productos!$A$2:$F$182,5,FALSE))</f>
        <v>7</v>
      </c>
      <c r="K538" s="2" t="str">
        <f>IF(F538="","",VLOOKUP(F538,Productos!$A$2:$F$182,6,FALSE))</f>
        <v>Otros servicios</v>
      </c>
      <c r="L538" s="2">
        <v>3</v>
      </c>
      <c r="M538" s="2" t="s">
        <v>67</v>
      </c>
      <c r="N538" s="2">
        <f>VLOOKUP(F538,Productos!$A$2:$J$182,5)</f>
        <v>7</v>
      </c>
      <c r="O538" s="2" t="str">
        <f>VLOOKUP(F538,Productos!$A$2:$J$182,6)</f>
        <v>Otros servicios</v>
      </c>
    </row>
    <row r="539" spans="1:15">
      <c r="A539" s="2" t="s">
        <v>736</v>
      </c>
      <c r="B539" s="2" t="s">
        <v>559</v>
      </c>
      <c r="C539" s="2" t="s">
        <v>560</v>
      </c>
      <c r="D539" s="2" t="s">
        <v>561</v>
      </c>
      <c r="E539" s="2" t="s">
        <v>560</v>
      </c>
      <c r="F539" s="3">
        <v>176</v>
      </c>
      <c r="G539" s="2" t="s">
        <v>366</v>
      </c>
      <c r="H539" s="2" t="str">
        <f>IF(F539="","",VLOOKUP(F539,Productos!$A$2:$F$182,3,FALSE))</f>
        <v>9</v>
      </c>
      <c r="I539" s="2" t="str">
        <f>IF(F539="","",VLOOKUP(F539,Productos!$A$2:$F$182,4,FALSE))</f>
        <v>Servicios para la comunidad, sociales y personales</v>
      </c>
      <c r="J539" s="2">
        <f>IF(F539="","",VLOOKUP(F539,Productos!$A$2:$F$182,5,FALSE))</f>
        <v>7</v>
      </c>
      <c r="K539" s="2" t="str">
        <f>IF(F539="","",VLOOKUP(F539,Productos!$A$2:$F$182,6,FALSE))</f>
        <v>Otros servicios</v>
      </c>
      <c r="L539" s="2">
        <v>3</v>
      </c>
      <c r="M539" s="2" t="s">
        <v>67</v>
      </c>
      <c r="N539" s="2">
        <f>VLOOKUP(F539,Productos!$A$2:$J$182,5)</f>
        <v>7</v>
      </c>
      <c r="O539" s="2" t="str">
        <f>VLOOKUP(F539,Productos!$A$2:$J$182,6)</f>
        <v>Otros servicios</v>
      </c>
    </row>
    <row r="540" spans="1:15">
      <c r="A540" s="2" t="s">
        <v>737</v>
      </c>
      <c r="B540" s="2" t="s">
        <v>559</v>
      </c>
      <c r="C540" s="2" t="s">
        <v>560</v>
      </c>
      <c r="D540" s="2" t="s">
        <v>561</v>
      </c>
      <c r="E540" s="2" t="s">
        <v>560</v>
      </c>
      <c r="F540" s="3">
        <v>177</v>
      </c>
      <c r="G540" s="2" t="s">
        <v>368</v>
      </c>
      <c r="H540" s="2" t="str">
        <f>IF(F540="","",VLOOKUP(F540,Productos!$A$2:$F$182,3,FALSE))</f>
        <v>9</v>
      </c>
      <c r="I540" s="2" t="str">
        <f>IF(F540="","",VLOOKUP(F540,Productos!$A$2:$F$182,4,FALSE))</f>
        <v>Servicios para la comunidad, sociales y personales</v>
      </c>
      <c r="J540" s="2">
        <f>IF(F540="","",VLOOKUP(F540,Productos!$A$2:$F$182,5,FALSE))</f>
        <v>7</v>
      </c>
      <c r="K540" s="2" t="str">
        <f>IF(F540="","",VLOOKUP(F540,Productos!$A$2:$F$182,6,FALSE))</f>
        <v>Otros servicios</v>
      </c>
      <c r="L540" s="2">
        <v>3</v>
      </c>
      <c r="M540" s="2" t="s">
        <v>67</v>
      </c>
      <c r="N540" s="2">
        <f>VLOOKUP(F540,Productos!$A$2:$J$182,5)</f>
        <v>7</v>
      </c>
      <c r="O540" s="2" t="str">
        <f>VLOOKUP(F540,Productos!$A$2:$J$182,6)</f>
        <v>Otros servicios</v>
      </c>
    </row>
    <row r="541" spans="1:15">
      <c r="A541" s="2" t="s">
        <v>738</v>
      </c>
      <c r="B541" s="2" t="s">
        <v>559</v>
      </c>
      <c r="C541" s="2" t="s">
        <v>560</v>
      </c>
      <c r="D541" s="2" t="s">
        <v>561</v>
      </c>
      <c r="E541" s="2" t="s">
        <v>560</v>
      </c>
      <c r="F541" s="3">
        <v>178</v>
      </c>
      <c r="G541" s="2" t="s">
        <v>370</v>
      </c>
      <c r="H541" s="2" t="str">
        <f>IF(F541="","",VLOOKUP(F541,Productos!$A$2:$F$182,3,FALSE))</f>
        <v>9</v>
      </c>
      <c r="I541" s="2" t="str">
        <f>IF(F541="","",VLOOKUP(F541,Productos!$A$2:$F$182,4,FALSE))</f>
        <v>Servicios para la comunidad, sociales y personales</v>
      </c>
      <c r="J541" s="2">
        <f>IF(F541="","",VLOOKUP(F541,Productos!$A$2:$F$182,5,FALSE))</f>
        <v>7</v>
      </c>
      <c r="K541" s="2" t="str">
        <f>IF(F541="","",VLOOKUP(F541,Productos!$A$2:$F$182,6,FALSE))</f>
        <v>Otros servicios</v>
      </c>
      <c r="L541" s="2">
        <v>3</v>
      </c>
      <c r="M541" s="2" t="s">
        <v>67</v>
      </c>
      <c r="N541" s="2">
        <f>VLOOKUP(F541,Productos!$A$2:$J$182,5)</f>
        <v>7</v>
      </c>
      <c r="O541" s="2" t="str">
        <f>VLOOKUP(F541,Productos!$A$2:$J$182,6)</f>
        <v>Otros servicios</v>
      </c>
    </row>
    <row r="542" spans="1:15">
      <c r="A542" s="2" t="s">
        <v>739</v>
      </c>
      <c r="B542" s="2" t="s">
        <v>559</v>
      </c>
      <c r="C542" s="2" t="s">
        <v>560</v>
      </c>
      <c r="D542" s="2" t="s">
        <v>561</v>
      </c>
      <c r="E542" s="2" t="s">
        <v>560</v>
      </c>
      <c r="F542" s="3">
        <v>179</v>
      </c>
      <c r="G542" s="2" t="s">
        <v>372</v>
      </c>
      <c r="H542" s="2" t="str">
        <f>IF(F542="","",VLOOKUP(F542,Productos!$A$2:$F$182,3,FALSE))</f>
        <v>9</v>
      </c>
      <c r="I542" s="2" t="str">
        <f>IF(F542="","",VLOOKUP(F542,Productos!$A$2:$F$182,4,FALSE))</f>
        <v>Servicios para la comunidad, sociales y personales</v>
      </c>
      <c r="J542" s="2">
        <f>IF(F542="","",VLOOKUP(F542,Productos!$A$2:$F$182,5,FALSE))</f>
        <v>7</v>
      </c>
      <c r="K542" s="2" t="str">
        <f>IF(F542="","",VLOOKUP(F542,Productos!$A$2:$F$182,6,FALSE))</f>
        <v>Otros servicios</v>
      </c>
      <c r="L542" s="2">
        <v>3</v>
      </c>
      <c r="M542" s="2" t="s">
        <v>67</v>
      </c>
      <c r="N542" s="2">
        <f>VLOOKUP(F542,Productos!$A$2:$J$182,5)</f>
        <v>7</v>
      </c>
      <c r="O542" s="2" t="str">
        <f>VLOOKUP(F542,Productos!$A$2:$J$182,6)</f>
        <v>Otros servicios</v>
      </c>
    </row>
    <row r="543" spans="1:15">
      <c r="A543" s="2" t="s">
        <v>740</v>
      </c>
      <c r="B543" s="2" t="s">
        <v>559</v>
      </c>
      <c r="C543" s="2" t="s">
        <v>560</v>
      </c>
      <c r="D543" s="2" t="s">
        <v>561</v>
      </c>
      <c r="E543" s="2" t="s">
        <v>560</v>
      </c>
      <c r="F543" s="3">
        <v>180</v>
      </c>
      <c r="G543" s="2" t="s">
        <v>374</v>
      </c>
      <c r="H543" s="2" t="str">
        <f>IF(F543="","",VLOOKUP(F543,Productos!$A$2:$F$182,3,FALSE))</f>
        <v>9</v>
      </c>
      <c r="I543" s="2" t="str">
        <f>IF(F543="","",VLOOKUP(F543,Productos!$A$2:$F$182,4,FALSE))</f>
        <v>Servicios para la comunidad, sociales y personales</v>
      </c>
      <c r="J543" s="2">
        <f>IF(F543="","",VLOOKUP(F543,Productos!$A$2:$F$182,5,FALSE))</f>
        <v>7</v>
      </c>
      <c r="K543" s="2" t="str">
        <f>IF(F543="","",VLOOKUP(F543,Productos!$A$2:$F$182,6,FALSE))</f>
        <v>Otros servicios</v>
      </c>
      <c r="L543" s="2">
        <v>3</v>
      </c>
      <c r="M543" s="2" t="s">
        <v>67</v>
      </c>
      <c r="N543" s="2">
        <f>VLOOKUP(F543,Productos!$A$2:$J$182,5)</f>
        <v>7</v>
      </c>
      <c r="O543" s="2" t="str">
        <f>VLOOKUP(F543,Productos!$A$2:$J$182,6)</f>
        <v>Otros servicios</v>
      </c>
    </row>
    <row r="544" spans="1:15">
      <c r="A544" s="2" t="s">
        <v>741</v>
      </c>
      <c r="B544" s="2" t="s">
        <v>559</v>
      </c>
      <c r="C544" s="2" t="s">
        <v>560</v>
      </c>
      <c r="D544" s="2" t="s">
        <v>561</v>
      </c>
      <c r="E544" s="2" t="s">
        <v>560</v>
      </c>
      <c r="F544" s="3">
        <v>181</v>
      </c>
      <c r="G544" s="2" t="s">
        <v>376</v>
      </c>
      <c r="H544" s="2" t="str">
        <f>IF(F544="","",VLOOKUP(F544,Productos!$A$2:$F$182,3,FALSE))</f>
        <v>9</v>
      </c>
      <c r="I544" s="2" t="str">
        <f>IF(F544="","",VLOOKUP(F544,Productos!$A$2:$F$182,4,FALSE))</f>
        <v>Servicios para la comunidad, sociales y personales</v>
      </c>
      <c r="J544" s="2">
        <f>IF(F544="","",VLOOKUP(F544,Productos!$A$2:$F$182,5,FALSE))</f>
        <v>7</v>
      </c>
      <c r="K544" s="2" t="str">
        <f>IF(F544="","",VLOOKUP(F544,Productos!$A$2:$F$182,6,FALSE))</f>
        <v>Otros servicios</v>
      </c>
      <c r="L544" s="2">
        <v>3</v>
      </c>
      <c r="M544" s="2" t="s">
        <v>67</v>
      </c>
      <c r="N544" s="2">
        <f>VLOOKUP(F544,Productos!$A$2:$J$182,5)</f>
        <v>7</v>
      </c>
      <c r="O544" s="2" t="str">
        <f>VLOOKUP(F544,Productos!$A$2:$J$182,6)</f>
        <v>Otros servicios</v>
      </c>
    </row>
    <row r="545" spans="1:15">
      <c r="A545" s="4" t="s">
        <v>742</v>
      </c>
      <c r="B545" s="4" t="s">
        <v>559</v>
      </c>
      <c r="C545" s="4" t="s">
        <v>560</v>
      </c>
      <c r="D545" s="4" t="s">
        <v>561</v>
      </c>
      <c r="E545" s="4" t="s">
        <v>560</v>
      </c>
      <c r="F545" s="5">
        <v>1</v>
      </c>
      <c r="G545" s="4" t="s">
        <v>13</v>
      </c>
      <c r="H545" s="4" t="str">
        <f>IF(F545="","",VLOOKUP(F545,Productos!$A$2:$F$182,3,FALSE))</f>
        <v>0</v>
      </c>
      <c r="I545" s="4" t="str">
        <f>IF(F545="","",VLOOKUP(F545,Productos!$A$2:$F$182,4,FALSE))</f>
        <v>Productos de la agricultura, la silvicultura y la pesca</v>
      </c>
      <c r="J545" s="4">
        <f>IF(F545="","",VLOOKUP(F545,Productos!$A$2:$F$182,5,FALSE))</f>
        <v>1</v>
      </c>
      <c r="K545" s="4" t="str">
        <f>IF(F545="","",VLOOKUP(F545,Productos!$A$2:$F$182,6,FALSE))</f>
        <v>Agropecuarios</v>
      </c>
      <c r="L545" s="4">
        <v>1</v>
      </c>
      <c r="M545" s="4" t="s">
        <v>14</v>
      </c>
      <c r="N545" s="4">
        <f>VLOOKUP(F545,Productos!$A$2:$J$182,5)</f>
        <v>1</v>
      </c>
      <c r="O545" s="4" t="str">
        <f>VLOOKUP(F545,Productos!$A$2:$J$182,6)</f>
        <v>Agropecuarios</v>
      </c>
    </row>
    <row r="546" spans="1:15">
      <c r="A546" s="4" t="s">
        <v>743</v>
      </c>
      <c r="B546" s="4" t="s">
        <v>559</v>
      </c>
      <c r="C546" s="4" t="s">
        <v>560</v>
      </c>
      <c r="D546" s="4" t="s">
        <v>561</v>
      </c>
      <c r="E546" s="4" t="s">
        <v>560</v>
      </c>
      <c r="F546" s="5">
        <v>2</v>
      </c>
      <c r="G546" s="4" t="s">
        <v>16</v>
      </c>
      <c r="H546" s="4" t="str">
        <f>IF(F546="","",VLOOKUP(F546,Productos!$A$2:$F$182,3,FALSE))</f>
        <v>0</v>
      </c>
      <c r="I546" s="4" t="str">
        <f>IF(F546="","",VLOOKUP(F546,Productos!$A$2:$F$182,4,FALSE))</f>
        <v>Productos de la agricultura, la silvicultura y la pesca</v>
      </c>
      <c r="J546" s="4">
        <f>IF(F546="","",VLOOKUP(F546,Productos!$A$2:$F$182,5,FALSE))</f>
        <v>1</v>
      </c>
      <c r="K546" s="4" t="str">
        <f>IF(F546="","",VLOOKUP(F546,Productos!$A$2:$F$182,6,FALSE))</f>
        <v>Agropecuarios</v>
      </c>
      <c r="L546" s="4">
        <v>1</v>
      </c>
      <c r="M546" s="4" t="s">
        <v>14</v>
      </c>
      <c r="N546" s="4">
        <f>VLOOKUP(F546,Productos!$A$2:$J$182,5)</f>
        <v>1</v>
      </c>
      <c r="O546" s="4" t="str">
        <f>VLOOKUP(F546,Productos!$A$2:$J$182,6)</f>
        <v>Agropecuarios</v>
      </c>
    </row>
    <row r="547" spans="1:15">
      <c r="A547" s="4" t="s">
        <v>744</v>
      </c>
      <c r="B547" s="4" t="s">
        <v>559</v>
      </c>
      <c r="C547" s="4" t="s">
        <v>560</v>
      </c>
      <c r="D547" s="4" t="s">
        <v>561</v>
      </c>
      <c r="E547" s="4" t="s">
        <v>560</v>
      </c>
      <c r="F547" s="5">
        <v>3</v>
      </c>
      <c r="G547" s="4" t="s">
        <v>18</v>
      </c>
      <c r="H547" s="4" t="str">
        <f>IF(F547="","",VLOOKUP(F547,Productos!$A$2:$F$182,3,FALSE))</f>
        <v>0</v>
      </c>
      <c r="I547" s="4" t="str">
        <f>IF(F547="","",VLOOKUP(F547,Productos!$A$2:$F$182,4,FALSE))</f>
        <v>Productos de la agricultura, la silvicultura y la pesca</v>
      </c>
      <c r="J547" s="4">
        <f>IF(F547="","",VLOOKUP(F547,Productos!$A$2:$F$182,5,FALSE))</f>
        <v>1</v>
      </c>
      <c r="K547" s="4" t="str">
        <f>IF(F547="","",VLOOKUP(F547,Productos!$A$2:$F$182,6,FALSE))</f>
        <v>Agropecuarios</v>
      </c>
      <c r="L547" s="4">
        <v>1</v>
      </c>
      <c r="M547" s="4" t="s">
        <v>14</v>
      </c>
      <c r="N547" s="4">
        <f>VLOOKUP(F547,Productos!$A$2:$J$182,5)</f>
        <v>1</v>
      </c>
      <c r="O547" s="4" t="str">
        <f>VLOOKUP(F547,Productos!$A$2:$J$182,6)</f>
        <v>Agropecuarios</v>
      </c>
    </row>
    <row r="548" spans="1:15">
      <c r="A548" s="4" t="s">
        <v>745</v>
      </c>
      <c r="B548" s="4" t="s">
        <v>559</v>
      </c>
      <c r="C548" s="4" t="s">
        <v>560</v>
      </c>
      <c r="D548" s="4" t="s">
        <v>561</v>
      </c>
      <c r="E548" s="4" t="s">
        <v>560</v>
      </c>
      <c r="F548" s="5">
        <v>4</v>
      </c>
      <c r="G548" s="4" t="s">
        <v>20</v>
      </c>
      <c r="H548" s="4" t="str">
        <f>IF(F548="","",VLOOKUP(F548,Productos!$A$2:$F$182,3,FALSE))</f>
        <v>0</v>
      </c>
      <c r="I548" s="4" t="str">
        <f>IF(F548="","",VLOOKUP(F548,Productos!$A$2:$F$182,4,FALSE))</f>
        <v>Productos de la agricultura, la silvicultura y la pesca</v>
      </c>
      <c r="J548" s="4">
        <f>IF(F548="","",VLOOKUP(F548,Productos!$A$2:$F$182,5,FALSE))</f>
        <v>1</v>
      </c>
      <c r="K548" s="4" t="str">
        <f>IF(F548="","",VLOOKUP(F548,Productos!$A$2:$F$182,6,FALSE))</f>
        <v>Agropecuarios</v>
      </c>
      <c r="L548" s="4">
        <v>1</v>
      </c>
      <c r="M548" s="4" t="s">
        <v>14</v>
      </c>
      <c r="N548" s="4">
        <f>VLOOKUP(F548,Productos!$A$2:$J$182,5)</f>
        <v>1</v>
      </c>
      <c r="O548" s="4" t="str">
        <f>VLOOKUP(F548,Productos!$A$2:$J$182,6)</f>
        <v>Agropecuarios</v>
      </c>
    </row>
    <row r="549" spans="1:15">
      <c r="A549" s="4" t="s">
        <v>746</v>
      </c>
      <c r="B549" s="4" t="s">
        <v>559</v>
      </c>
      <c r="C549" s="4" t="s">
        <v>560</v>
      </c>
      <c r="D549" s="4" t="s">
        <v>561</v>
      </c>
      <c r="E549" s="4" t="s">
        <v>560</v>
      </c>
      <c r="F549" s="5">
        <v>5</v>
      </c>
      <c r="G549" s="4" t="s">
        <v>22</v>
      </c>
      <c r="H549" s="4" t="str">
        <f>IF(F549="","",VLOOKUP(F549,Productos!$A$2:$F$182,3,FALSE))</f>
        <v>0</v>
      </c>
      <c r="I549" s="4" t="str">
        <f>IF(F549="","",VLOOKUP(F549,Productos!$A$2:$F$182,4,FALSE))</f>
        <v>Productos de la agricultura, la silvicultura y la pesca</v>
      </c>
      <c r="J549" s="4">
        <f>IF(F549="","",VLOOKUP(F549,Productos!$A$2:$F$182,5,FALSE))</f>
        <v>1</v>
      </c>
      <c r="K549" s="4" t="str">
        <f>IF(F549="","",VLOOKUP(F549,Productos!$A$2:$F$182,6,FALSE))</f>
        <v>Agropecuarios</v>
      </c>
      <c r="L549" s="4">
        <v>1</v>
      </c>
      <c r="M549" s="4" t="s">
        <v>14</v>
      </c>
      <c r="N549" s="4">
        <f>VLOOKUP(F549,Productos!$A$2:$J$182,5)</f>
        <v>1</v>
      </c>
      <c r="O549" s="4" t="str">
        <f>VLOOKUP(F549,Productos!$A$2:$J$182,6)</f>
        <v>Agropecuarios</v>
      </c>
    </row>
    <row r="550" spans="1:15">
      <c r="A550" s="4" t="s">
        <v>747</v>
      </c>
      <c r="B550" s="4" t="s">
        <v>559</v>
      </c>
      <c r="C550" s="4" t="s">
        <v>560</v>
      </c>
      <c r="D550" s="4" t="s">
        <v>561</v>
      </c>
      <c r="E550" s="4" t="s">
        <v>560</v>
      </c>
      <c r="F550" s="5">
        <v>6</v>
      </c>
      <c r="G550" s="4" t="s">
        <v>24</v>
      </c>
      <c r="H550" s="4" t="str">
        <f>IF(F550="","",VLOOKUP(F550,Productos!$A$2:$F$182,3,FALSE))</f>
        <v>0</v>
      </c>
      <c r="I550" s="4" t="str">
        <f>IF(F550="","",VLOOKUP(F550,Productos!$A$2:$F$182,4,FALSE))</f>
        <v>Productos de la agricultura, la silvicultura y la pesca</v>
      </c>
      <c r="J550" s="4">
        <f>IF(F550="","",VLOOKUP(F550,Productos!$A$2:$F$182,5,FALSE))</f>
        <v>1</v>
      </c>
      <c r="K550" s="4" t="str">
        <f>IF(F550="","",VLOOKUP(F550,Productos!$A$2:$F$182,6,FALSE))</f>
        <v>Agropecuarios</v>
      </c>
      <c r="L550" s="4">
        <v>1</v>
      </c>
      <c r="M550" s="4" t="s">
        <v>14</v>
      </c>
      <c r="N550" s="4">
        <f>VLOOKUP(F550,Productos!$A$2:$J$182,5)</f>
        <v>1</v>
      </c>
      <c r="O550" s="4" t="str">
        <f>VLOOKUP(F550,Productos!$A$2:$J$182,6)</f>
        <v>Agropecuarios</v>
      </c>
    </row>
    <row r="551" spans="1:15">
      <c r="A551" s="4" t="s">
        <v>748</v>
      </c>
      <c r="B551" s="4" t="s">
        <v>559</v>
      </c>
      <c r="C551" s="4" t="s">
        <v>560</v>
      </c>
      <c r="D551" s="4" t="s">
        <v>561</v>
      </c>
      <c r="E551" s="4" t="s">
        <v>560</v>
      </c>
      <c r="F551" s="5">
        <v>7</v>
      </c>
      <c r="G551" s="4" t="s">
        <v>26</v>
      </c>
      <c r="H551" s="4" t="str">
        <f>IF(F551="","",VLOOKUP(F551,Productos!$A$2:$F$182,3,FALSE))</f>
        <v>0</v>
      </c>
      <c r="I551" s="4" t="str">
        <f>IF(F551="","",VLOOKUP(F551,Productos!$A$2:$F$182,4,FALSE))</f>
        <v>Productos de la agricultura, la silvicultura y la pesca</v>
      </c>
      <c r="J551" s="4">
        <f>IF(F551="","",VLOOKUP(F551,Productos!$A$2:$F$182,5,FALSE))</f>
        <v>1</v>
      </c>
      <c r="K551" s="4" t="str">
        <f>IF(F551="","",VLOOKUP(F551,Productos!$A$2:$F$182,6,FALSE))</f>
        <v>Agropecuarios</v>
      </c>
      <c r="L551" s="4">
        <v>1</v>
      </c>
      <c r="M551" s="4" t="s">
        <v>14</v>
      </c>
      <c r="N551" s="4">
        <f>VLOOKUP(F551,Productos!$A$2:$J$182,5)</f>
        <v>1</v>
      </c>
      <c r="O551" s="4" t="str">
        <f>VLOOKUP(F551,Productos!$A$2:$J$182,6)</f>
        <v>Agropecuarios</v>
      </c>
    </row>
    <row r="552" spans="1:15">
      <c r="A552" s="4" t="s">
        <v>749</v>
      </c>
      <c r="B552" s="4" t="s">
        <v>559</v>
      </c>
      <c r="C552" s="4" t="s">
        <v>560</v>
      </c>
      <c r="D552" s="4" t="s">
        <v>561</v>
      </c>
      <c r="E552" s="4" t="s">
        <v>560</v>
      </c>
      <c r="F552" s="5">
        <v>8</v>
      </c>
      <c r="G552" s="4" t="s">
        <v>28</v>
      </c>
      <c r="H552" s="4" t="str">
        <f>IF(F552="","",VLOOKUP(F552,Productos!$A$2:$F$182,3,FALSE))</f>
        <v>0</v>
      </c>
      <c r="I552" s="4" t="str">
        <f>IF(F552="","",VLOOKUP(F552,Productos!$A$2:$F$182,4,FALSE))</f>
        <v>Productos de la agricultura, la silvicultura y la pesca</v>
      </c>
      <c r="J552" s="4">
        <f>IF(F552="","",VLOOKUP(F552,Productos!$A$2:$F$182,5,FALSE))</f>
        <v>1</v>
      </c>
      <c r="K552" s="4" t="str">
        <f>IF(F552="","",VLOOKUP(F552,Productos!$A$2:$F$182,6,FALSE))</f>
        <v>Agropecuarios</v>
      </c>
      <c r="L552" s="4">
        <v>1</v>
      </c>
      <c r="M552" s="4" t="s">
        <v>14</v>
      </c>
      <c r="N552" s="4">
        <f>VLOOKUP(F552,Productos!$A$2:$J$182,5)</f>
        <v>1</v>
      </c>
      <c r="O552" s="4" t="str">
        <f>VLOOKUP(F552,Productos!$A$2:$J$182,6)</f>
        <v>Agropecuarios</v>
      </c>
    </row>
    <row r="553" spans="1:15">
      <c r="A553" s="4" t="s">
        <v>750</v>
      </c>
      <c r="B553" s="4" t="s">
        <v>559</v>
      </c>
      <c r="C553" s="4" t="s">
        <v>560</v>
      </c>
      <c r="D553" s="4" t="s">
        <v>561</v>
      </c>
      <c r="E553" s="4" t="s">
        <v>560</v>
      </c>
      <c r="F553" s="5">
        <v>9</v>
      </c>
      <c r="G553" s="4" t="s">
        <v>30</v>
      </c>
      <c r="H553" s="4" t="str">
        <f>IF(F553="","",VLOOKUP(F553,Productos!$A$2:$F$182,3,FALSE))</f>
        <v>0</v>
      </c>
      <c r="I553" s="4" t="str">
        <f>IF(F553="","",VLOOKUP(F553,Productos!$A$2:$F$182,4,FALSE))</f>
        <v>Productos de la agricultura, la silvicultura y la pesca</v>
      </c>
      <c r="J553" s="4">
        <f>IF(F553="","",VLOOKUP(F553,Productos!$A$2:$F$182,5,FALSE))</f>
        <v>1</v>
      </c>
      <c r="K553" s="4" t="str">
        <f>IF(F553="","",VLOOKUP(F553,Productos!$A$2:$F$182,6,FALSE))</f>
        <v>Agropecuarios</v>
      </c>
      <c r="L553" s="4">
        <v>1</v>
      </c>
      <c r="M553" s="4" t="s">
        <v>14</v>
      </c>
      <c r="N553" s="4">
        <f>VLOOKUP(F553,Productos!$A$2:$J$182,5)</f>
        <v>1</v>
      </c>
      <c r="O553" s="4" t="str">
        <f>VLOOKUP(F553,Productos!$A$2:$J$182,6)</f>
        <v>Agropecuarios</v>
      </c>
    </row>
    <row r="554" spans="1:15">
      <c r="A554" s="4" t="s">
        <v>751</v>
      </c>
      <c r="B554" s="4" t="s">
        <v>559</v>
      </c>
      <c r="C554" s="4" t="s">
        <v>560</v>
      </c>
      <c r="D554" s="4" t="s">
        <v>561</v>
      </c>
      <c r="E554" s="4" t="s">
        <v>560</v>
      </c>
      <c r="F554" s="5">
        <v>10</v>
      </c>
      <c r="G554" s="4" t="s">
        <v>32</v>
      </c>
      <c r="H554" s="4" t="str">
        <f>IF(F554="","",VLOOKUP(F554,Productos!$A$2:$F$182,3,FALSE))</f>
        <v>0</v>
      </c>
      <c r="I554" s="4" t="str">
        <f>IF(F554="","",VLOOKUP(F554,Productos!$A$2:$F$182,4,FALSE))</f>
        <v>Productos de la agricultura, la silvicultura y la pesca</v>
      </c>
      <c r="J554" s="4">
        <f>IF(F554="","",VLOOKUP(F554,Productos!$A$2:$F$182,5,FALSE))</f>
        <v>1</v>
      </c>
      <c r="K554" s="4" t="str">
        <f>IF(F554="","",VLOOKUP(F554,Productos!$A$2:$F$182,6,FALSE))</f>
        <v>Agropecuarios</v>
      </c>
      <c r="L554" s="4">
        <v>1</v>
      </c>
      <c r="M554" s="4" t="s">
        <v>14</v>
      </c>
      <c r="N554" s="4">
        <f>VLOOKUP(F554,Productos!$A$2:$J$182,5)</f>
        <v>1</v>
      </c>
      <c r="O554" s="4" t="str">
        <f>VLOOKUP(F554,Productos!$A$2:$J$182,6)</f>
        <v>Agropecuarios</v>
      </c>
    </row>
    <row r="555" spans="1:15">
      <c r="A555" s="4" t="s">
        <v>752</v>
      </c>
      <c r="B555" s="4" t="s">
        <v>559</v>
      </c>
      <c r="C555" s="4" t="s">
        <v>560</v>
      </c>
      <c r="D555" s="4" t="s">
        <v>561</v>
      </c>
      <c r="E555" s="4" t="s">
        <v>560</v>
      </c>
      <c r="F555" s="5">
        <v>11</v>
      </c>
      <c r="G555" s="4" t="s">
        <v>34</v>
      </c>
      <c r="H555" s="4" t="str">
        <f>IF(F555="","",VLOOKUP(F555,Productos!$A$2:$F$182,3,FALSE))</f>
        <v>0</v>
      </c>
      <c r="I555" s="4" t="str">
        <f>IF(F555="","",VLOOKUP(F555,Productos!$A$2:$F$182,4,FALSE))</f>
        <v>Productos de la agricultura, la silvicultura y la pesca</v>
      </c>
      <c r="J555" s="4">
        <f>IF(F555="","",VLOOKUP(F555,Productos!$A$2:$F$182,5,FALSE))</f>
        <v>1</v>
      </c>
      <c r="K555" s="4" t="str">
        <f>IF(F555="","",VLOOKUP(F555,Productos!$A$2:$F$182,6,FALSE))</f>
        <v>Agropecuarios</v>
      </c>
      <c r="L555" s="4">
        <v>1</v>
      </c>
      <c r="M555" s="4" t="s">
        <v>14</v>
      </c>
      <c r="N555" s="4">
        <f>VLOOKUP(F555,Productos!$A$2:$J$182,5)</f>
        <v>1</v>
      </c>
      <c r="O555" s="4" t="str">
        <f>VLOOKUP(F555,Productos!$A$2:$J$182,6)</f>
        <v>Agropecuarios</v>
      </c>
    </row>
    <row r="556" spans="1:15">
      <c r="A556" s="4" t="s">
        <v>753</v>
      </c>
      <c r="B556" s="4" t="s">
        <v>559</v>
      </c>
      <c r="C556" s="4" t="s">
        <v>560</v>
      </c>
      <c r="D556" s="4" t="s">
        <v>561</v>
      </c>
      <c r="E556" s="4" t="s">
        <v>560</v>
      </c>
      <c r="F556" s="5">
        <v>12</v>
      </c>
      <c r="G556" s="4" t="s">
        <v>36</v>
      </c>
      <c r="H556" s="4" t="str">
        <f>IF(F556="","",VLOOKUP(F556,Productos!$A$2:$F$182,3,FALSE))</f>
        <v>0</v>
      </c>
      <c r="I556" s="4" t="str">
        <f>IF(F556="","",VLOOKUP(F556,Productos!$A$2:$F$182,4,FALSE))</f>
        <v>Productos de la agricultura, la silvicultura y la pesca</v>
      </c>
      <c r="J556" s="4">
        <f>IF(F556="","",VLOOKUP(F556,Productos!$A$2:$F$182,5,FALSE))</f>
        <v>1</v>
      </c>
      <c r="K556" s="4" t="str">
        <f>IF(F556="","",VLOOKUP(F556,Productos!$A$2:$F$182,6,FALSE))</f>
        <v>Agropecuarios</v>
      </c>
      <c r="L556" s="4">
        <v>1</v>
      </c>
      <c r="M556" s="4" t="s">
        <v>14</v>
      </c>
      <c r="N556" s="4">
        <f>VLOOKUP(F556,Productos!$A$2:$J$182,5)</f>
        <v>1</v>
      </c>
      <c r="O556" s="4" t="str">
        <f>VLOOKUP(F556,Productos!$A$2:$J$182,6)</f>
        <v>Agropecuarios</v>
      </c>
    </row>
    <row r="557" spans="1:15">
      <c r="A557" s="4" t="s">
        <v>754</v>
      </c>
      <c r="B557" s="4" t="s">
        <v>559</v>
      </c>
      <c r="C557" s="4" t="s">
        <v>560</v>
      </c>
      <c r="D557" s="4" t="s">
        <v>561</v>
      </c>
      <c r="E557" s="4" t="s">
        <v>560</v>
      </c>
      <c r="F557" s="5">
        <v>13</v>
      </c>
      <c r="G557" s="4" t="s">
        <v>38</v>
      </c>
      <c r="H557" s="4" t="str">
        <f>IF(F557="","",VLOOKUP(F557,Productos!$A$2:$F$182,3,FALSE))</f>
        <v>0</v>
      </c>
      <c r="I557" s="4" t="str">
        <f>IF(F557="","",VLOOKUP(F557,Productos!$A$2:$F$182,4,FALSE))</f>
        <v>Productos de la agricultura, la silvicultura y la pesca</v>
      </c>
      <c r="J557" s="4">
        <f>IF(F557="","",VLOOKUP(F557,Productos!$A$2:$F$182,5,FALSE))</f>
        <v>1</v>
      </c>
      <c r="K557" s="4" t="str">
        <f>IF(F557="","",VLOOKUP(F557,Productos!$A$2:$F$182,6,FALSE))</f>
        <v>Agropecuarios</v>
      </c>
      <c r="L557" s="4">
        <v>1</v>
      </c>
      <c r="M557" s="4" t="s">
        <v>14</v>
      </c>
      <c r="N557" s="4">
        <f>VLOOKUP(F557,Productos!$A$2:$J$182,5)</f>
        <v>1</v>
      </c>
      <c r="O557" s="4" t="str">
        <f>VLOOKUP(F557,Productos!$A$2:$J$182,6)</f>
        <v>Agropecuarios</v>
      </c>
    </row>
    <row r="558" spans="1:15">
      <c r="A558" s="4" t="s">
        <v>755</v>
      </c>
      <c r="B558" s="4" t="s">
        <v>559</v>
      </c>
      <c r="C558" s="4" t="s">
        <v>560</v>
      </c>
      <c r="D558" s="4" t="s">
        <v>561</v>
      </c>
      <c r="E558" s="4" t="s">
        <v>560</v>
      </c>
      <c r="F558" s="5">
        <v>14</v>
      </c>
      <c r="G558" s="4" t="s">
        <v>40</v>
      </c>
      <c r="H558" s="4" t="str">
        <f>IF(F558="","",VLOOKUP(F558,Productos!$A$2:$F$182,3,FALSE))</f>
        <v>0</v>
      </c>
      <c r="I558" s="4" t="str">
        <f>IF(F558="","",VLOOKUP(F558,Productos!$A$2:$F$182,4,FALSE))</f>
        <v>Productos de la agricultura, la silvicultura y la pesca</v>
      </c>
      <c r="J558" s="4">
        <f>IF(F558="","",VLOOKUP(F558,Productos!$A$2:$F$182,5,FALSE))</f>
        <v>1</v>
      </c>
      <c r="K558" s="4" t="str">
        <f>IF(F558="","",VLOOKUP(F558,Productos!$A$2:$F$182,6,FALSE))</f>
        <v>Agropecuarios</v>
      </c>
      <c r="L558" s="4">
        <v>1</v>
      </c>
      <c r="M558" s="4" t="s">
        <v>14</v>
      </c>
      <c r="N558" s="4">
        <f>VLOOKUP(F558,Productos!$A$2:$J$182,5)</f>
        <v>1</v>
      </c>
      <c r="O558" s="4" t="str">
        <f>VLOOKUP(F558,Productos!$A$2:$J$182,6)</f>
        <v>Agropecuarios</v>
      </c>
    </row>
    <row r="559" spans="1:15">
      <c r="A559" s="4" t="s">
        <v>756</v>
      </c>
      <c r="B559" s="4" t="s">
        <v>559</v>
      </c>
      <c r="C559" s="4" t="s">
        <v>560</v>
      </c>
      <c r="D559" s="4" t="s">
        <v>561</v>
      </c>
      <c r="E559" s="4" t="s">
        <v>560</v>
      </c>
      <c r="F559" s="5">
        <v>15</v>
      </c>
      <c r="G559" s="4" t="s">
        <v>42</v>
      </c>
      <c r="H559" s="4" t="str">
        <f>IF(F559="","",VLOOKUP(F559,Productos!$A$2:$F$182,3,FALSE))</f>
        <v>0</v>
      </c>
      <c r="I559" s="4" t="str">
        <f>IF(F559="","",VLOOKUP(F559,Productos!$A$2:$F$182,4,FALSE))</f>
        <v>Productos de la agricultura, la silvicultura y la pesca</v>
      </c>
      <c r="J559" s="4">
        <f>IF(F559="","",VLOOKUP(F559,Productos!$A$2:$F$182,5,FALSE))</f>
        <v>1</v>
      </c>
      <c r="K559" s="4" t="str">
        <f>IF(F559="","",VLOOKUP(F559,Productos!$A$2:$F$182,6,FALSE))</f>
        <v>Agropecuarios</v>
      </c>
      <c r="L559" s="4">
        <v>1</v>
      </c>
      <c r="M559" s="4" t="s">
        <v>14</v>
      </c>
      <c r="N559" s="4">
        <f>VLOOKUP(F559,Productos!$A$2:$J$182,5)</f>
        <v>1</v>
      </c>
      <c r="O559" s="4" t="str">
        <f>VLOOKUP(F559,Productos!$A$2:$J$182,6)</f>
        <v>Agropecuarios</v>
      </c>
    </row>
    <row r="560" spans="1:15">
      <c r="A560" s="4" t="s">
        <v>757</v>
      </c>
      <c r="B560" s="4" t="s">
        <v>559</v>
      </c>
      <c r="C560" s="4" t="s">
        <v>560</v>
      </c>
      <c r="D560" s="4" t="s">
        <v>561</v>
      </c>
      <c r="E560" s="4" t="s">
        <v>560</v>
      </c>
      <c r="F560" s="5">
        <v>16</v>
      </c>
      <c r="G560" s="4" t="s">
        <v>44</v>
      </c>
      <c r="H560" s="4" t="str">
        <f>IF(F560="","",VLOOKUP(F560,Productos!$A$2:$F$182,3,FALSE))</f>
        <v>0</v>
      </c>
      <c r="I560" s="4" t="str">
        <f>IF(F560="","",VLOOKUP(F560,Productos!$A$2:$F$182,4,FALSE))</f>
        <v>Productos de la agricultura, la silvicultura y la pesca</v>
      </c>
      <c r="J560" s="4">
        <f>IF(F560="","",VLOOKUP(F560,Productos!$A$2:$F$182,5,FALSE))</f>
        <v>1</v>
      </c>
      <c r="K560" s="4" t="str">
        <f>IF(F560="","",VLOOKUP(F560,Productos!$A$2:$F$182,6,FALSE))</f>
        <v>Agropecuarios</v>
      </c>
      <c r="L560" s="4">
        <v>1</v>
      </c>
      <c r="M560" s="4" t="s">
        <v>14</v>
      </c>
      <c r="N560" s="4">
        <f>VLOOKUP(F560,Productos!$A$2:$J$182,5)</f>
        <v>1</v>
      </c>
      <c r="O560" s="4" t="str">
        <f>VLOOKUP(F560,Productos!$A$2:$J$182,6)</f>
        <v>Agropecuarios</v>
      </c>
    </row>
    <row r="561" spans="1:15">
      <c r="A561" s="4" t="s">
        <v>758</v>
      </c>
      <c r="B561" s="4" t="s">
        <v>559</v>
      </c>
      <c r="C561" s="4" t="s">
        <v>560</v>
      </c>
      <c r="D561" s="4" t="s">
        <v>561</v>
      </c>
      <c r="E561" s="4" t="s">
        <v>560</v>
      </c>
      <c r="F561" s="5">
        <v>17</v>
      </c>
      <c r="G561" s="4" t="s">
        <v>46</v>
      </c>
      <c r="H561" s="4" t="str">
        <f>IF(F561="","",VLOOKUP(F561,Productos!$A$2:$F$182,3,FALSE))</f>
        <v>0</v>
      </c>
      <c r="I561" s="4" t="str">
        <f>IF(F561="","",VLOOKUP(F561,Productos!$A$2:$F$182,4,FALSE))</f>
        <v>Productos de la agricultura, la silvicultura y la pesca</v>
      </c>
      <c r="J561" s="4">
        <f>IF(F561="","",VLOOKUP(F561,Productos!$A$2:$F$182,5,FALSE))</f>
        <v>1</v>
      </c>
      <c r="K561" s="4" t="str">
        <f>IF(F561="","",VLOOKUP(F561,Productos!$A$2:$F$182,6,FALSE))</f>
        <v>Agropecuarios</v>
      </c>
      <c r="L561" s="4">
        <v>1</v>
      </c>
      <c r="M561" s="4" t="s">
        <v>14</v>
      </c>
      <c r="N561" s="4">
        <f>VLOOKUP(F561,Productos!$A$2:$J$182,5)</f>
        <v>1</v>
      </c>
      <c r="O561" s="4" t="str">
        <f>VLOOKUP(F561,Productos!$A$2:$J$182,6)</f>
        <v>Agropecuarios</v>
      </c>
    </row>
    <row r="562" spans="1:15">
      <c r="A562" s="4" t="s">
        <v>759</v>
      </c>
      <c r="B562" s="4" t="s">
        <v>559</v>
      </c>
      <c r="C562" s="4" t="s">
        <v>560</v>
      </c>
      <c r="D562" s="4" t="s">
        <v>561</v>
      </c>
      <c r="E562" s="4" t="s">
        <v>560</v>
      </c>
      <c r="F562" s="5">
        <v>18</v>
      </c>
      <c r="G562" s="4" t="s">
        <v>48</v>
      </c>
      <c r="H562" s="4" t="str">
        <f>IF(F562="","",VLOOKUP(F562,Productos!$A$2:$F$182,3,FALSE))</f>
        <v>0</v>
      </c>
      <c r="I562" s="4" t="str">
        <f>IF(F562="","",VLOOKUP(F562,Productos!$A$2:$F$182,4,FALSE))</f>
        <v>Productos de la agricultura, la silvicultura y la pesca</v>
      </c>
      <c r="J562" s="4">
        <f>IF(F562="","",VLOOKUP(F562,Productos!$A$2:$F$182,5,FALSE))</f>
        <v>1</v>
      </c>
      <c r="K562" s="4" t="str">
        <f>IF(F562="","",VLOOKUP(F562,Productos!$A$2:$F$182,6,FALSE))</f>
        <v>Agropecuarios</v>
      </c>
      <c r="L562" s="4">
        <v>1</v>
      </c>
      <c r="M562" s="4" t="s">
        <v>14</v>
      </c>
      <c r="N562" s="4">
        <f>VLOOKUP(F562,Productos!$A$2:$J$182,5)</f>
        <v>1</v>
      </c>
      <c r="O562" s="4" t="str">
        <f>VLOOKUP(F562,Productos!$A$2:$J$182,6)</f>
        <v>Agropecuarios</v>
      </c>
    </row>
    <row r="563" spans="1:15">
      <c r="A563" s="4" t="s">
        <v>760</v>
      </c>
      <c r="B563" s="4" t="s">
        <v>559</v>
      </c>
      <c r="C563" s="4" t="s">
        <v>560</v>
      </c>
      <c r="D563" s="4" t="s">
        <v>561</v>
      </c>
      <c r="E563" s="4" t="s">
        <v>560</v>
      </c>
      <c r="F563" s="5">
        <v>19</v>
      </c>
      <c r="G563" s="4" t="s">
        <v>50</v>
      </c>
      <c r="H563" s="4" t="str">
        <f>IF(F563="","",VLOOKUP(F563,Productos!$A$2:$F$182,3,FALSE))</f>
        <v>0</v>
      </c>
      <c r="I563" s="4" t="str">
        <f>IF(F563="","",VLOOKUP(F563,Productos!$A$2:$F$182,4,FALSE))</f>
        <v>Productos de la agricultura, la silvicultura y la pesca</v>
      </c>
      <c r="J563" s="4">
        <f>IF(F563="","",VLOOKUP(F563,Productos!$A$2:$F$182,5,FALSE))</f>
        <v>1</v>
      </c>
      <c r="K563" s="4" t="str">
        <f>IF(F563="","",VLOOKUP(F563,Productos!$A$2:$F$182,6,FALSE))</f>
        <v>Agropecuarios</v>
      </c>
      <c r="L563" s="4">
        <v>1</v>
      </c>
      <c r="M563" s="4" t="s">
        <v>14</v>
      </c>
      <c r="N563" s="4">
        <f>VLOOKUP(F563,Productos!$A$2:$J$182,5)</f>
        <v>1</v>
      </c>
      <c r="O563" s="4" t="str">
        <f>VLOOKUP(F563,Productos!$A$2:$J$182,6)</f>
        <v>Agropecuarios</v>
      </c>
    </row>
    <row r="564" spans="1:15">
      <c r="A564" s="4" t="s">
        <v>761</v>
      </c>
      <c r="B564" s="4" t="s">
        <v>559</v>
      </c>
      <c r="C564" s="4" t="s">
        <v>560</v>
      </c>
      <c r="D564" s="4" t="s">
        <v>561</v>
      </c>
      <c r="E564" s="4" t="s">
        <v>560</v>
      </c>
      <c r="F564" s="5">
        <v>20</v>
      </c>
      <c r="G564" s="4" t="s">
        <v>52</v>
      </c>
      <c r="H564" s="4" t="str">
        <f>IF(F564="","",VLOOKUP(F564,Productos!$A$2:$F$182,3,FALSE))</f>
        <v>0</v>
      </c>
      <c r="I564" s="4" t="str">
        <f>IF(F564="","",VLOOKUP(F564,Productos!$A$2:$F$182,4,FALSE))</f>
        <v>Productos de la agricultura, la silvicultura y la pesca</v>
      </c>
      <c r="J564" s="4">
        <f>IF(F564="","",VLOOKUP(F564,Productos!$A$2:$F$182,5,FALSE))</f>
        <v>1</v>
      </c>
      <c r="K564" s="4" t="str">
        <f>IF(F564="","",VLOOKUP(F564,Productos!$A$2:$F$182,6,FALSE))</f>
        <v>Agropecuarios</v>
      </c>
      <c r="L564" s="4">
        <v>1</v>
      </c>
      <c r="M564" s="4" t="s">
        <v>14</v>
      </c>
      <c r="N564" s="4">
        <f>VLOOKUP(F564,Productos!$A$2:$J$182,5)</f>
        <v>1</v>
      </c>
      <c r="O564" s="4" t="str">
        <f>VLOOKUP(F564,Productos!$A$2:$J$182,6)</f>
        <v>Agropecuarios</v>
      </c>
    </row>
    <row r="565" spans="1:15">
      <c r="A565" s="4" t="s">
        <v>762</v>
      </c>
      <c r="B565" s="4" t="s">
        <v>559</v>
      </c>
      <c r="C565" s="4" t="s">
        <v>560</v>
      </c>
      <c r="D565" s="4" t="s">
        <v>561</v>
      </c>
      <c r="E565" s="4" t="s">
        <v>560</v>
      </c>
      <c r="F565" s="5">
        <v>21</v>
      </c>
      <c r="G565" s="4" t="s">
        <v>54</v>
      </c>
      <c r="H565" s="4" t="str">
        <f>IF(F565="","",VLOOKUP(F565,Productos!$A$2:$F$182,3,FALSE))</f>
        <v>0</v>
      </c>
      <c r="I565" s="4" t="str">
        <f>IF(F565="","",VLOOKUP(F565,Productos!$A$2:$F$182,4,FALSE))</f>
        <v>Productos de la agricultura, la silvicultura y la pesca</v>
      </c>
      <c r="J565" s="4">
        <f>IF(F565="","",VLOOKUP(F565,Productos!$A$2:$F$182,5,FALSE))</f>
        <v>1</v>
      </c>
      <c r="K565" s="4" t="str">
        <f>IF(F565="","",VLOOKUP(F565,Productos!$A$2:$F$182,6,FALSE))</f>
        <v>Agropecuarios</v>
      </c>
      <c r="L565" s="4">
        <v>1</v>
      </c>
      <c r="M565" s="4" t="s">
        <v>14</v>
      </c>
      <c r="N565" s="4">
        <f>VLOOKUP(F565,Productos!$A$2:$J$182,5)</f>
        <v>1</v>
      </c>
      <c r="O565" s="4" t="str">
        <f>VLOOKUP(F565,Productos!$A$2:$J$182,6)</f>
        <v>Agropecuarios</v>
      </c>
    </row>
    <row r="566" spans="1:15">
      <c r="A566" s="4" t="s">
        <v>763</v>
      </c>
      <c r="B566" s="4" t="s">
        <v>559</v>
      </c>
      <c r="C566" s="4" t="s">
        <v>560</v>
      </c>
      <c r="D566" s="4" t="s">
        <v>561</v>
      </c>
      <c r="E566" s="4" t="s">
        <v>560</v>
      </c>
      <c r="F566" s="5">
        <v>22</v>
      </c>
      <c r="G566" s="4" t="s">
        <v>56</v>
      </c>
      <c r="H566" s="4" t="str">
        <f>IF(F566="","",VLOOKUP(F566,Productos!$A$2:$F$182,3,FALSE))</f>
        <v>0</v>
      </c>
      <c r="I566" s="4" t="str">
        <f>IF(F566="","",VLOOKUP(F566,Productos!$A$2:$F$182,4,FALSE))</f>
        <v>Productos de la agricultura, la silvicultura y la pesca</v>
      </c>
      <c r="J566" s="4">
        <f>IF(F566="","",VLOOKUP(F566,Productos!$A$2:$F$182,5,FALSE))</f>
        <v>1</v>
      </c>
      <c r="K566" s="4" t="str">
        <f>IF(F566="","",VLOOKUP(F566,Productos!$A$2:$F$182,6,FALSE))</f>
        <v>Agropecuarios</v>
      </c>
      <c r="L566" s="4">
        <v>1</v>
      </c>
      <c r="M566" s="4" t="s">
        <v>14</v>
      </c>
      <c r="N566" s="4">
        <f>VLOOKUP(F566,Productos!$A$2:$J$182,5)</f>
        <v>1</v>
      </c>
      <c r="O566" s="4" t="str">
        <f>VLOOKUP(F566,Productos!$A$2:$J$182,6)</f>
        <v>Agropecuarios</v>
      </c>
    </row>
    <row r="567" spans="1:15">
      <c r="A567" s="4" t="s">
        <v>764</v>
      </c>
      <c r="B567" s="4" t="s">
        <v>559</v>
      </c>
      <c r="C567" s="4" t="s">
        <v>560</v>
      </c>
      <c r="D567" s="4" t="s">
        <v>561</v>
      </c>
      <c r="E567" s="4" t="s">
        <v>560</v>
      </c>
      <c r="F567" s="5">
        <v>23</v>
      </c>
      <c r="G567" s="4" t="s">
        <v>58</v>
      </c>
      <c r="H567" s="4" t="str">
        <f>IF(F567="","",VLOOKUP(F567,Productos!$A$2:$F$182,3,FALSE))</f>
        <v>0</v>
      </c>
      <c r="I567" s="4" t="str">
        <f>IF(F567="","",VLOOKUP(F567,Productos!$A$2:$F$182,4,FALSE))</f>
        <v>Productos de la agricultura, la silvicultura y la pesca</v>
      </c>
      <c r="J567" s="4">
        <f>IF(F567="","",VLOOKUP(F567,Productos!$A$2:$F$182,5,FALSE))</f>
        <v>1</v>
      </c>
      <c r="K567" s="4" t="str">
        <f>IF(F567="","",VLOOKUP(F567,Productos!$A$2:$F$182,6,FALSE))</f>
        <v>Agropecuarios</v>
      </c>
      <c r="L567" s="4">
        <v>1</v>
      </c>
      <c r="M567" s="4" t="s">
        <v>14</v>
      </c>
      <c r="N567" s="4">
        <f>VLOOKUP(F567,Productos!$A$2:$J$182,5)</f>
        <v>1</v>
      </c>
      <c r="O567" s="4" t="str">
        <f>VLOOKUP(F567,Productos!$A$2:$J$182,6)</f>
        <v>Agropecuarios</v>
      </c>
    </row>
    <row r="568" spans="1:15">
      <c r="A568" s="4" t="s">
        <v>765</v>
      </c>
      <c r="B568" s="4" t="s">
        <v>559</v>
      </c>
      <c r="C568" s="4" t="s">
        <v>560</v>
      </c>
      <c r="D568" s="4" t="s">
        <v>561</v>
      </c>
      <c r="E568" s="4" t="s">
        <v>560</v>
      </c>
      <c r="F568" s="5">
        <v>24</v>
      </c>
      <c r="G568" s="4" t="s">
        <v>60</v>
      </c>
      <c r="H568" s="4" t="str">
        <f>IF(F568="","",VLOOKUP(F568,Productos!$A$2:$F$182,3,FALSE))</f>
        <v>0</v>
      </c>
      <c r="I568" s="4" t="str">
        <f>IF(F568="","",VLOOKUP(F568,Productos!$A$2:$F$182,4,FALSE))</f>
        <v>Productos de la agricultura, la silvicultura y la pesca</v>
      </c>
      <c r="J568" s="4">
        <f>IF(F568="","",VLOOKUP(F568,Productos!$A$2:$F$182,5,FALSE))</f>
        <v>1</v>
      </c>
      <c r="K568" s="4" t="str">
        <f>IF(F568="","",VLOOKUP(F568,Productos!$A$2:$F$182,6,FALSE))</f>
        <v>Agropecuarios</v>
      </c>
      <c r="L568" s="4">
        <v>1</v>
      </c>
      <c r="M568" s="4" t="s">
        <v>14</v>
      </c>
      <c r="N568" s="4">
        <f>VLOOKUP(F568,Productos!$A$2:$J$182,5)</f>
        <v>1</v>
      </c>
      <c r="O568" s="4" t="str">
        <f>VLOOKUP(F568,Productos!$A$2:$J$182,6)</f>
        <v>Agropecuarios</v>
      </c>
    </row>
    <row r="569" spans="1:15">
      <c r="A569" s="4" t="s">
        <v>766</v>
      </c>
      <c r="B569" s="4" t="s">
        <v>559</v>
      </c>
      <c r="C569" s="4" t="s">
        <v>560</v>
      </c>
      <c r="D569" s="4" t="s">
        <v>561</v>
      </c>
      <c r="E569" s="4" t="s">
        <v>560</v>
      </c>
      <c r="F569" s="5">
        <v>25</v>
      </c>
      <c r="G569" s="4" t="s">
        <v>62</v>
      </c>
      <c r="H569" s="4" t="str">
        <f>IF(F569="","",VLOOKUP(F569,Productos!$A$2:$F$182,3,FALSE))</f>
        <v>0</v>
      </c>
      <c r="I569" s="4" t="str">
        <f>IF(F569="","",VLOOKUP(F569,Productos!$A$2:$F$182,4,FALSE))</f>
        <v>Productos de la agricultura, la silvicultura y la pesca</v>
      </c>
      <c r="J569" s="4">
        <f>IF(F569="","",VLOOKUP(F569,Productos!$A$2:$F$182,5,FALSE))</f>
        <v>1</v>
      </c>
      <c r="K569" s="4" t="str">
        <f>IF(F569="","",VLOOKUP(F569,Productos!$A$2:$F$182,6,FALSE))</f>
        <v>Agropecuarios</v>
      </c>
      <c r="L569" s="4">
        <v>1</v>
      </c>
      <c r="M569" s="4" t="s">
        <v>14</v>
      </c>
      <c r="N569" s="4">
        <f>VLOOKUP(F569,Productos!$A$2:$J$182,5)</f>
        <v>1</v>
      </c>
      <c r="O569" s="4" t="str">
        <f>VLOOKUP(F569,Productos!$A$2:$J$182,6)</f>
        <v>Agropecuarios</v>
      </c>
    </row>
    <row r="570" spans="1:15">
      <c r="A570" s="4" t="s">
        <v>767</v>
      </c>
      <c r="B570" s="4" t="s">
        <v>559</v>
      </c>
      <c r="C570" s="4" t="s">
        <v>560</v>
      </c>
      <c r="D570" s="4" t="s">
        <v>561</v>
      </c>
      <c r="E570" s="4" t="s">
        <v>560</v>
      </c>
      <c r="F570" s="5">
        <v>26</v>
      </c>
      <c r="G570" s="4" t="s">
        <v>64</v>
      </c>
      <c r="H570" s="4" t="str">
        <f>IF(F570="","",VLOOKUP(F570,Productos!$A$2:$F$182,3,FALSE))</f>
        <v>0</v>
      </c>
      <c r="I570" s="4" t="str">
        <f>IF(F570="","",VLOOKUP(F570,Productos!$A$2:$F$182,4,FALSE))</f>
        <v>Productos de la agricultura, la silvicultura y la pesca</v>
      </c>
      <c r="J570" s="4">
        <f>IF(F570="","",VLOOKUP(F570,Productos!$A$2:$F$182,5,FALSE))</f>
        <v>1</v>
      </c>
      <c r="K570" s="4" t="str">
        <f>IF(F570="","",VLOOKUP(F570,Productos!$A$2:$F$182,6,FALSE))</f>
        <v>Agropecuarios</v>
      </c>
      <c r="L570" s="4">
        <v>1</v>
      </c>
      <c r="M570" s="4" t="s">
        <v>14</v>
      </c>
      <c r="N570" s="4">
        <f>VLOOKUP(F570,Productos!$A$2:$J$182,5)</f>
        <v>1</v>
      </c>
      <c r="O570" s="4" t="str">
        <f>VLOOKUP(F570,Productos!$A$2:$J$182,6)</f>
        <v>Agropecuarios</v>
      </c>
    </row>
    <row r="571" spans="1:15">
      <c r="A571" s="4" t="s">
        <v>768</v>
      </c>
      <c r="B571" s="4" t="s">
        <v>559</v>
      </c>
      <c r="C571" s="4" t="s">
        <v>560</v>
      </c>
      <c r="D571" s="4" t="s">
        <v>561</v>
      </c>
      <c r="E571" s="4" t="s">
        <v>560</v>
      </c>
      <c r="F571" s="5">
        <v>27</v>
      </c>
      <c r="G571" s="4" t="s">
        <v>66</v>
      </c>
      <c r="H571" s="4" t="str">
        <f>IF(F571="","",VLOOKUP(F571,Productos!$A$2:$F$182,3,FALSE))</f>
        <v>1</v>
      </c>
      <c r="I571" s="4" t="str">
        <f>IF(F571="","",VLOOKUP(F571,Productos!$A$2:$F$182,4,FALSE))</f>
        <v>Minerales; electricidad, gas y agua</v>
      </c>
      <c r="J571" s="4">
        <f>IF(F571="","",VLOOKUP(F571,Productos!$A$2:$F$182,5,FALSE))</f>
        <v>2</v>
      </c>
      <c r="K571" s="4" t="str">
        <f>IF(F571="","",VLOOKUP(F571,Productos!$A$2:$F$182,6,FALSE))</f>
        <v>Minería</v>
      </c>
      <c r="L571" s="4">
        <v>3</v>
      </c>
      <c r="M571" s="4" t="s">
        <v>67</v>
      </c>
      <c r="N571" s="4">
        <f>VLOOKUP(F571,Productos!$A$2:$J$182,5)</f>
        <v>2</v>
      </c>
      <c r="O571" s="4" t="str">
        <f>VLOOKUP(F571,Productos!$A$2:$J$182,6)</f>
        <v>Minería</v>
      </c>
    </row>
    <row r="572" spans="1:15">
      <c r="A572" s="4" t="s">
        <v>769</v>
      </c>
      <c r="B572" s="4" t="s">
        <v>559</v>
      </c>
      <c r="C572" s="4" t="s">
        <v>560</v>
      </c>
      <c r="D572" s="4" t="s">
        <v>561</v>
      </c>
      <c r="E572" s="4" t="s">
        <v>560</v>
      </c>
      <c r="F572" s="5">
        <v>28</v>
      </c>
      <c r="G572" s="4" t="s">
        <v>69</v>
      </c>
      <c r="H572" s="4" t="str">
        <f>IF(F572="","",VLOOKUP(F572,Productos!$A$2:$F$182,3,FALSE))</f>
        <v>1</v>
      </c>
      <c r="I572" s="4" t="str">
        <f>IF(F572="","",VLOOKUP(F572,Productos!$A$2:$F$182,4,FALSE))</f>
        <v>Minerales; electricidad, gas y agua</v>
      </c>
      <c r="J572" s="4">
        <f>IF(F572="","",VLOOKUP(F572,Productos!$A$2:$F$182,5,FALSE))</f>
        <v>2</v>
      </c>
      <c r="K572" s="4" t="str">
        <f>IF(F572="","",VLOOKUP(F572,Productos!$A$2:$F$182,6,FALSE))</f>
        <v>Minería</v>
      </c>
      <c r="L572" s="4">
        <v>3</v>
      </c>
      <c r="M572" s="4" t="s">
        <v>67</v>
      </c>
      <c r="N572" s="4">
        <f>VLOOKUP(F572,Productos!$A$2:$J$182,5)</f>
        <v>2</v>
      </c>
      <c r="O572" s="4" t="str">
        <f>VLOOKUP(F572,Productos!$A$2:$J$182,6)</f>
        <v>Minería</v>
      </c>
    </row>
    <row r="573" spans="1:15">
      <c r="A573" s="4" t="s">
        <v>770</v>
      </c>
      <c r="B573" s="4" t="s">
        <v>559</v>
      </c>
      <c r="C573" s="4" t="s">
        <v>560</v>
      </c>
      <c r="D573" s="4" t="s">
        <v>561</v>
      </c>
      <c r="E573" s="4" t="s">
        <v>560</v>
      </c>
      <c r="F573" s="5">
        <v>29</v>
      </c>
      <c r="G573" s="4" t="s">
        <v>71</v>
      </c>
      <c r="H573" s="4" t="str">
        <f>IF(F573="","",VLOOKUP(F573,Productos!$A$2:$F$182,3,FALSE))</f>
        <v>1</v>
      </c>
      <c r="I573" s="4" t="str">
        <f>IF(F573="","",VLOOKUP(F573,Productos!$A$2:$F$182,4,FALSE))</f>
        <v>Minerales; electricidad, gas y agua</v>
      </c>
      <c r="J573" s="4">
        <f>IF(F573="","",VLOOKUP(F573,Productos!$A$2:$F$182,5,FALSE))</f>
        <v>2</v>
      </c>
      <c r="K573" s="4" t="str">
        <f>IF(F573="","",VLOOKUP(F573,Productos!$A$2:$F$182,6,FALSE))</f>
        <v>Minería</v>
      </c>
      <c r="L573" s="4">
        <v>3</v>
      </c>
      <c r="M573" s="4" t="s">
        <v>67</v>
      </c>
      <c r="N573" s="4">
        <f>VLOOKUP(F573,Productos!$A$2:$J$182,5)</f>
        <v>2</v>
      </c>
      <c r="O573" s="4" t="str">
        <f>VLOOKUP(F573,Productos!$A$2:$J$182,6)</f>
        <v>Minería</v>
      </c>
    </row>
    <row r="574" spans="1:15">
      <c r="A574" s="4" t="s">
        <v>771</v>
      </c>
      <c r="B574" s="4" t="s">
        <v>559</v>
      </c>
      <c r="C574" s="4" t="s">
        <v>560</v>
      </c>
      <c r="D574" s="4" t="s">
        <v>561</v>
      </c>
      <c r="E574" s="4" t="s">
        <v>560</v>
      </c>
      <c r="F574" s="5">
        <v>30</v>
      </c>
      <c r="G574" s="4" t="s">
        <v>73</v>
      </c>
      <c r="H574" s="4" t="str">
        <f>IF(F574="","",VLOOKUP(F574,Productos!$A$2:$F$182,3,FALSE))</f>
        <v>1</v>
      </c>
      <c r="I574" s="4" t="str">
        <f>IF(F574="","",VLOOKUP(F574,Productos!$A$2:$F$182,4,FALSE))</f>
        <v>Minerales; electricidad, gas y agua</v>
      </c>
      <c r="J574" s="4">
        <f>IF(F574="","",VLOOKUP(F574,Productos!$A$2:$F$182,5,FALSE))</f>
        <v>2</v>
      </c>
      <c r="K574" s="4" t="str">
        <f>IF(F574="","",VLOOKUP(F574,Productos!$A$2:$F$182,6,FALSE))</f>
        <v>Minería</v>
      </c>
      <c r="L574" s="4">
        <v>3</v>
      </c>
      <c r="M574" s="4" t="s">
        <v>67</v>
      </c>
      <c r="N574" s="4">
        <f>VLOOKUP(F574,Productos!$A$2:$J$182,5)</f>
        <v>2</v>
      </c>
      <c r="O574" s="4" t="str">
        <f>VLOOKUP(F574,Productos!$A$2:$J$182,6)</f>
        <v>Minería</v>
      </c>
    </row>
    <row r="575" spans="1:15">
      <c r="A575" s="4" t="s">
        <v>772</v>
      </c>
      <c r="B575" s="4" t="s">
        <v>559</v>
      </c>
      <c r="C575" s="4" t="s">
        <v>560</v>
      </c>
      <c r="D575" s="4" t="s">
        <v>561</v>
      </c>
      <c r="E575" s="4" t="s">
        <v>560</v>
      </c>
      <c r="F575" s="5">
        <v>31</v>
      </c>
      <c r="G575" s="4" t="s">
        <v>75</v>
      </c>
      <c r="H575" s="4" t="str">
        <f>IF(F575="","",VLOOKUP(F575,Productos!$A$2:$F$182,3,FALSE))</f>
        <v>1</v>
      </c>
      <c r="I575" s="4" t="str">
        <f>IF(F575="","",VLOOKUP(F575,Productos!$A$2:$F$182,4,FALSE))</f>
        <v>Minerales; electricidad, gas y agua</v>
      </c>
      <c r="J575" s="4">
        <f>IF(F575="","",VLOOKUP(F575,Productos!$A$2:$F$182,5,FALSE))</f>
        <v>2</v>
      </c>
      <c r="K575" s="4" t="str">
        <f>IF(F575="","",VLOOKUP(F575,Productos!$A$2:$F$182,6,FALSE))</f>
        <v>Minería</v>
      </c>
      <c r="L575" s="4">
        <v>3</v>
      </c>
      <c r="M575" s="4" t="s">
        <v>67</v>
      </c>
      <c r="N575" s="4">
        <f>VLOOKUP(F575,Productos!$A$2:$J$182,5)</f>
        <v>2</v>
      </c>
      <c r="O575" s="4" t="str">
        <f>VLOOKUP(F575,Productos!$A$2:$J$182,6)</f>
        <v>Minería</v>
      </c>
    </row>
    <row r="576" spans="1:15">
      <c r="A576" s="4" t="s">
        <v>773</v>
      </c>
      <c r="B576" s="4" t="s">
        <v>559</v>
      </c>
      <c r="C576" s="4" t="s">
        <v>560</v>
      </c>
      <c r="D576" s="4" t="s">
        <v>561</v>
      </c>
      <c r="E576" s="4" t="s">
        <v>560</v>
      </c>
      <c r="F576" s="5">
        <v>32</v>
      </c>
      <c r="G576" s="4" t="s">
        <v>77</v>
      </c>
      <c r="H576" s="4" t="str">
        <f>IF(F576="","",VLOOKUP(F576,Productos!$A$2:$F$182,3,FALSE))</f>
        <v>1</v>
      </c>
      <c r="I576" s="4" t="str">
        <f>IF(F576="","",VLOOKUP(F576,Productos!$A$2:$F$182,4,FALSE))</f>
        <v>Minerales; electricidad, gas y agua</v>
      </c>
      <c r="J576" s="4">
        <f>IF(F576="","",VLOOKUP(F576,Productos!$A$2:$F$182,5,FALSE))</f>
        <v>2</v>
      </c>
      <c r="K576" s="4" t="str">
        <f>IF(F576="","",VLOOKUP(F576,Productos!$A$2:$F$182,6,FALSE))</f>
        <v>Minería</v>
      </c>
      <c r="L576" s="4">
        <v>3</v>
      </c>
      <c r="M576" s="4" t="s">
        <v>67</v>
      </c>
      <c r="N576" s="4">
        <f>VLOOKUP(F576,Productos!$A$2:$J$182,5)</f>
        <v>2</v>
      </c>
      <c r="O576" s="4" t="str">
        <f>VLOOKUP(F576,Productos!$A$2:$J$182,6)</f>
        <v>Minería</v>
      </c>
    </row>
    <row r="577" spans="1:15">
      <c r="A577" s="4" t="s">
        <v>774</v>
      </c>
      <c r="B577" s="4" t="s">
        <v>559</v>
      </c>
      <c r="C577" s="4" t="s">
        <v>560</v>
      </c>
      <c r="D577" s="4" t="s">
        <v>561</v>
      </c>
      <c r="E577" s="4" t="s">
        <v>560</v>
      </c>
      <c r="F577" s="5">
        <v>33</v>
      </c>
      <c r="G577" s="4" t="s">
        <v>79</v>
      </c>
      <c r="H577" s="4" t="str">
        <f>IF(F577="","",VLOOKUP(F577,Productos!$A$2:$F$182,3,FALSE))</f>
        <v>1</v>
      </c>
      <c r="I577" s="4" t="str">
        <f>IF(F577="","",VLOOKUP(F577,Productos!$A$2:$F$182,4,FALSE))</f>
        <v>Minerales; electricidad, gas y agua</v>
      </c>
      <c r="J577" s="4">
        <f>IF(F577="","",VLOOKUP(F577,Productos!$A$2:$F$182,5,FALSE))</f>
        <v>2</v>
      </c>
      <c r="K577" s="4" t="str">
        <f>IF(F577="","",VLOOKUP(F577,Productos!$A$2:$F$182,6,FALSE))</f>
        <v>Minería</v>
      </c>
      <c r="L577" s="4">
        <v>3</v>
      </c>
      <c r="M577" s="4" t="s">
        <v>67</v>
      </c>
      <c r="N577" s="4">
        <f>VLOOKUP(F577,Productos!$A$2:$J$182,5)</f>
        <v>2</v>
      </c>
      <c r="O577" s="4" t="str">
        <f>VLOOKUP(F577,Productos!$A$2:$J$182,6)</f>
        <v>Minería</v>
      </c>
    </row>
    <row r="578" spans="1:15">
      <c r="A578" s="4" t="s">
        <v>775</v>
      </c>
      <c r="B578" s="4" t="s">
        <v>559</v>
      </c>
      <c r="C578" s="4" t="s">
        <v>560</v>
      </c>
      <c r="D578" s="4" t="s">
        <v>561</v>
      </c>
      <c r="E578" s="4" t="s">
        <v>560</v>
      </c>
      <c r="F578" s="5">
        <v>34</v>
      </c>
      <c r="G578" s="4" t="s">
        <v>81</v>
      </c>
      <c r="H578" s="4" t="str">
        <f>IF(F578="","",VLOOKUP(F578,Productos!$A$2:$F$182,3,FALSE))</f>
        <v>1</v>
      </c>
      <c r="I578" s="4" t="str">
        <f>IF(F578="","",VLOOKUP(F578,Productos!$A$2:$F$182,4,FALSE))</f>
        <v>Minerales; electricidad, gas y agua</v>
      </c>
      <c r="J578" s="4">
        <f>IF(F578="","",VLOOKUP(F578,Productos!$A$2:$F$182,5,FALSE))</f>
        <v>2</v>
      </c>
      <c r="K578" s="4" t="str">
        <f>IF(F578="","",VLOOKUP(F578,Productos!$A$2:$F$182,6,FALSE))</f>
        <v>Minería</v>
      </c>
      <c r="L578" s="4">
        <v>3</v>
      </c>
      <c r="M578" s="4" t="s">
        <v>67</v>
      </c>
      <c r="N578" s="4">
        <f>VLOOKUP(F578,Productos!$A$2:$J$182,5)</f>
        <v>2</v>
      </c>
      <c r="O578" s="4" t="str">
        <f>VLOOKUP(F578,Productos!$A$2:$J$182,6)</f>
        <v>Minería</v>
      </c>
    </row>
    <row r="579" spans="1:15">
      <c r="A579" s="4" t="s">
        <v>776</v>
      </c>
      <c r="B579" s="4" t="s">
        <v>559</v>
      </c>
      <c r="C579" s="4" t="s">
        <v>560</v>
      </c>
      <c r="D579" s="4" t="s">
        <v>561</v>
      </c>
      <c r="E579" s="4" t="s">
        <v>560</v>
      </c>
      <c r="F579" s="5">
        <v>35</v>
      </c>
      <c r="G579" s="4" t="s">
        <v>83</v>
      </c>
      <c r="H579" s="4" t="str">
        <f>IF(F579="","",VLOOKUP(F579,Productos!$A$2:$F$182,3,FALSE))</f>
        <v>1</v>
      </c>
      <c r="I579" s="4" t="str">
        <f>IF(F579="","",VLOOKUP(F579,Productos!$A$2:$F$182,4,FALSE))</f>
        <v>Minerales; electricidad, gas y agua</v>
      </c>
      <c r="J579" s="4">
        <f>IF(F579="","",VLOOKUP(F579,Productos!$A$2:$F$182,5,FALSE))</f>
        <v>2</v>
      </c>
      <c r="K579" s="4" t="str">
        <f>IF(F579="","",VLOOKUP(F579,Productos!$A$2:$F$182,6,FALSE))</f>
        <v>Minería</v>
      </c>
      <c r="L579" s="4">
        <v>3</v>
      </c>
      <c r="M579" s="4" t="s">
        <v>67</v>
      </c>
      <c r="N579" s="4">
        <f>VLOOKUP(F579,Productos!$A$2:$J$182,5)</f>
        <v>2</v>
      </c>
      <c r="O579" s="4" t="str">
        <f>VLOOKUP(F579,Productos!$A$2:$J$182,6)</f>
        <v>Minería</v>
      </c>
    </row>
    <row r="580" spans="1:15">
      <c r="A580" s="4" t="s">
        <v>777</v>
      </c>
      <c r="B580" s="4" t="s">
        <v>559</v>
      </c>
      <c r="C580" s="4" t="s">
        <v>560</v>
      </c>
      <c r="D580" s="4" t="s">
        <v>561</v>
      </c>
      <c r="E580" s="4" t="s">
        <v>560</v>
      </c>
      <c r="F580" s="5">
        <v>36</v>
      </c>
      <c r="G580" s="4" t="s">
        <v>85</v>
      </c>
      <c r="H580" s="4" t="str">
        <f>IF(F580="","",VLOOKUP(F580,Productos!$A$2:$F$182,3,FALSE))</f>
        <v>1</v>
      </c>
      <c r="I580" s="4" t="str">
        <f>IF(F580="","",VLOOKUP(F580,Productos!$A$2:$F$182,4,FALSE))</f>
        <v>Minerales; electricidad, gas y agua</v>
      </c>
      <c r="J580" s="4">
        <f>IF(F580="","",VLOOKUP(F580,Productos!$A$2:$F$182,5,FALSE))</f>
        <v>2</v>
      </c>
      <c r="K580" s="4" t="str">
        <f>IF(F580="","",VLOOKUP(F580,Productos!$A$2:$F$182,6,FALSE))</f>
        <v>Minería</v>
      </c>
      <c r="L580" s="4">
        <v>3</v>
      </c>
      <c r="M580" s="4" t="s">
        <v>67</v>
      </c>
      <c r="N580" s="4">
        <f>VLOOKUP(F580,Productos!$A$2:$J$182,5)</f>
        <v>2</v>
      </c>
      <c r="O580" s="4" t="str">
        <f>VLOOKUP(F580,Productos!$A$2:$J$182,6)</f>
        <v>Minería</v>
      </c>
    </row>
    <row r="581" spans="1:15">
      <c r="A581" s="4" t="s">
        <v>778</v>
      </c>
      <c r="B581" s="4" t="s">
        <v>559</v>
      </c>
      <c r="C581" s="4" t="s">
        <v>560</v>
      </c>
      <c r="D581" s="4" t="s">
        <v>561</v>
      </c>
      <c r="E581" s="4" t="s">
        <v>560</v>
      </c>
      <c r="F581" s="5">
        <v>37</v>
      </c>
      <c r="G581" s="4" t="s">
        <v>87</v>
      </c>
      <c r="H581" s="4" t="str">
        <f>IF(F581="","",VLOOKUP(F581,Productos!$A$2:$F$182,3,FALSE))</f>
        <v>2</v>
      </c>
      <c r="I581" s="4" t="str">
        <f>IF(F581="","",VLOOKUP(F581,Productos!$A$2:$F$182,4,FALSE))</f>
        <v>Productos alimenticios, bebidas y tabaco; textiles, prendas de vestir y productos de cuero</v>
      </c>
      <c r="J581" s="4">
        <f>IF(F581="","",VLOOKUP(F581,Productos!$A$2:$F$182,5,FALSE))</f>
        <v>3</v>
      </c>
      <c r="K581" s="4" t="str">
        <f>IF(F581="","",VLOOKUP(F581,Productos!$A$2:$F$182,6,FALSE))</f>
        <v>Manufacturas</v>
      </c>
      <c r="L581" s="4">
        <v>1</v>
      </c>
      <c r="M581" s="4" t="s">
        <v>14</v>
      </c>
      <c r="N581" s="4">
        <f>VLOOKUP(F581,Productos!$A$2:$J$182,5)</f>
        <v>3</v>
      </c>
      <c r="O581" s="4" t="str">
        <f>VLOOKUP(F581,Productos!$A$2:$J$182,6)</f>
        <v>Manufacturas</v>
      </c>
    </row>
    <row r="582" spans="1:15">
      <c r="A582" s="4" t="s">
        <v>779</v>
      </c>
      <c r="B582" s="4" t="s">
        <v>559</v>
      </c>
      <c r="C582" s="4" t="s">
        <v>560</v>
      </c>
      <c r="D582" s="4" t="s">
        <v>561</v>
      </c>
      <c r="E582" s="4" t="s">
        <v>560</v>
      </c>
      <c r="F582" s="5">
        <v>38</v>
      </c>
      <c r="G582" s="4" t="s">
        <v>89</v>
      </c>
      <c r="H582" s="4" t="str">
        <f>IF(F582="","",VLOOKUP(F582,Productos!$A$2:$F$182,3,FALSE))</f>
        <v>2</v>
      </c>
      <c r="I582" s="4" t="str">
        <f>IF(F582="","",VLOOKUP(F582,Productos!$A$2:$F$182,4,FALSE))</f>
        <v>Productos alimenticios, bebidas y tabaco; textiles, prendas de vestir y productos de cuero</v>
      </c>
      <c r="J582" s="4">
        <f>IF(F582="","",VLOOKUP(F582,Productos!$A$2:$F$182,5,FALSE))</f>
        <v>3</v>
      </c>
      <c r="K582" s="4" t="str">
        <f>IF(F582="","",VLOOKUP(F582,Productos!$A$2:$F$182,6,FALSE))</f>
        <v>Manufacturas</v>
      </c>
      <c r="L582" s="4">
        <v>1</v>
      </c>
      <c r="M582" s="4" t="s">
        <v>14</v>
      </c>
      <c r="N582" s="4">
        <f>VLOOKUP(F582,Productos!$A$2:$J$182,5)</f>
        <v>3</v>
      </c>
      <c r="O582" s="4" t="str">
        <f>VLOOKUP(F582,Productos!$A$2:$J$182,6)</f>
        <v>Manufacturas</v>
      </c>
    </row>
    <row r="583" spans="1:15">
      <c r="A583" s="4" t="s">
        <v>780</v>
      </c>
      <c r="B583" s="4" t="s">
        <v>559</v>
      </c>
      <c r="C583" s="4" t="s">
        <v>560</v>
      </c>
      <c r="D583" s="4" t="s">
        <v>561</v>
      </c>
      <c r="E583" s="4" t="s">
        <v>560</v>
      </c>
      <c r="F583" s="5">
        <v>39</v>
      </c>
      <c r="G583" s="4" t="s">
        <v>91</v>
      </c>
      <c r="H583" s="4" t="str">
        <f>IF(F583="","",VLOOKUP(F583,Productos!$A$2:$F$182,3,FALSE))</f>
        <v>2</v>
      </c>
      <c r="I583" s="4" t="str">
        <f>IF(F583="","",VLOOKUP(F583,Productos!$A$2:$F$182,4,FALSE))</f>
        <v>Productos alimenticios, bebidas y tabaco; textiles, prendas de vestir y productos de cuero</v>
      </c>
      <c r="J583" s="4">
        <f>IF(F583="","",VLOOKUP(F583,Productos!$A$2:$F$182,5,FALSE))</f>
        <v>3</v>
      </c>
      <c r="K583" s="4" t="str">
        <f>IF(F583="","",VLOOKUP(F583,Productos!$A$2:$F$182,6,FALSE))</f>
        <v>Manufacturas</v>
      </c>
      <c r="L583" s="4">
        <v>1</v>
      </c>
      <c r="M583" s="4" t="s">
        <v>14</v>
      </c>
      <c r="N583" s="4">
        <f>VLOOKUP(F583,Productos!$A$2:$J$182,5)</f>
        <v>3</v>
      </c>
      <c r="O583" s="4" t="str">
        <f>VLOOKUP(F583,Productos!$A$2:$J$182,6)</f>
        <v>Manufacturas</v>
      </c>
    </row>
    <row r="584" spans="1:15">
      <c r="A584" s="4" t="s">
        <v>781</v>
      </c>
      <c r="B584" s="4" t="s">
        <v>559</v>
      </c>
      <c r="C584" s="4" t="s">
        <v>560</v>
      </c>
      <c r="D584" s="4" t="s">
        <v>561</v>
      </c>
      <c r="E584" s="4" t="s">
        <v>560</v>
      </c>
      <c r="F584" s="5">
        <v>40</v>
      </c>
      <c r="G584" s="4" t="s">
        <v>93</v>
      </c>
      <c r="H584" s="4" t="str">
        <f>IF(F584="","",VLOOKUP(F584,Productos!$A$2:$F$182,3,FALSE))</f>
        <v>2</v>
      </c>
      <c r="I584" s="4" t="str">
        <f>IF(F584="","",VLOOKUP(F584,Productos!$A$2:$F$182,4,FALSE))</f>
        <v>Productos alimenticios, bebidas y tabaco; textiles, prendas de vestir y productos de cuero</v>
      </c>
      <c r="J584" s="4">
        <f>IF(F584="","",VLOOKUP(F584,Productos!$A$2:$F$182,5,FALSE))</f>
        <v>3</v>
      </c>
      <c r="K584" s="4" t="str">
        <f>IF(F584="","",VLOOKUP(F584,Productos!$A$2:$F$182,6,FALSE))</f>
        <v>Manufacturas</v>
      </c>
      <c r="L584" s="4">
        <v>1</v>
      </c>
      <c r="M584" s="4" t="s">
        <v>14</v>
      </c>
      <c r="N584" s="4">
        <f>VLOOKUP(F584,Productos!$A$2:$J$182,5)</f>
        <v>3</v>
      </c>
      <c r="O584" s="4" t="str">
        <f>VLOOKUP(F584,Productos!$A$2:$J$182,6)</f>
        <v>Manufacturas</v>
      </c>
    </row>
    <row r="585" spans="1:15">
      <c r="A585" s="4" t="s">
        <v>782</v>
      </c>
      <c r="B585" s="4" t="s">
        <v>559</v>
      </c>
      <c r="C585" s="4" t="s">
        <v>560</v>
      </c>
      <c r="D585" s="4" t="s">
        <v>561</v>
      </c>
      <c r="E585" s="4" t="s">
        <v>560</v>
      </c>
      <c r="F585" s="5">
        <v>41</v>
      </c>
      <c r="G585" s="4" t="s">
        <v>95</v>
      </c>
      <c r="H585" s="4" t="str">
        <f>IF(F585="","",VLOOKUP(F585,Productos!$A$2:$F$182,3,FALSE))</f>
        <v>2</v>
      </c>
      <c r="I585" s="4" t="str">
        <f>IF(F585="","",VLOOKUP(F585,Productos!$A$2:$F$182,4,FALSE))</f>
        <v>Productos alimenticios, bebidas y tabaco; textiles, prendas de vestir y productos de cuero</v>
      </c>
      <c r="J585" s="4">
        <f>IF(F585="","",VLOOKUP(F585,Productos!$A$2:$F$182,5,FALSE))</f>
        <v>3</v>
      </c>
      <c r="K585" s="4" t="str">
        <f>IF(F585="","",VLOOKUP(F585,Productos!$A$2:$F$182,6,FALSE))</f>
        <v>Manufacturas</v>
      </c>
      <c r="L585" s="4">
        <v>1</v>
      </c>
      <c r="M585" s="4" t="s">
        <v>14</v>
      </c>
      <c r="N585" s="4">
        <f>VLOOKUP(F585,Productos!$A$2:$J$182,5)</f>
        <v>3</v>
      </c>
      <c r="O585" s="4" t="str">
        <f>VLOOKUP(F585,Productos!$A$2:$J$182,6)</f>
        <v>Manufacturas</v>
      </c>
    </row>
    <row r="586" spans="1:15">
      <c r="A586" s="4" t="s">
        <v>783</v>
      </c>
      <c r="B586" s="4" t="s">
        <v>559</v>
      </c>
      <c r="C586" s="4" t="s">
        <v>560</v>
      </c>
      <c r="D586" s="4" t="s">
        <v>561</v>
      </c>
      <c r="E586" s="4" t="s">
        <v>560</v>
      </c>
      <c r="F586" s="5">
        <v>42</v>
      </c>
      <c r="G586" s="4" t="s">
        <v>97</v>
      </c>
      <c r="H586" s="4" t="str">
        <f>IF(F586="","",VLOOKUP(F586,Productos!$A$2:$F$182,3,FALSE))</f>
        <v>2</v>
      </c>
      <c r="I586" s="4" t="str">
        <f>IF(F586="","",VLOOKUP(F586,Productos!$A$2:$F$182,4,FALSE))</f>
        <v>Productos alimenticios, bebidas y tabaco; textiles, prendas de vestir y productos de cuero</v>
      </c>
      <c r="J586" s="4">
        <f>IF(F586="","",VLOOKUP(F586,Productos!$A$2:$F$182,5,FALSE))</f>
        <v>3</v>
      </c>
      <c r="K586" s="4" t="str">
        <f>IF(F586="","",VLOOKUP(F586,Productos!$A$2:$F$182,6,FALSE))</f>
        <v>Manufacturas</v>
      </c>
      <c r="L586" s="4">
        <v>1</v>
      </c>
      <c r="M586" s="4" t="s">
        <v>14</v>
      </c>
      <c r="N586" s="4">
        <f>VLOOKUP(F586,Productos!$A$2:$J$182,5)</f>
        <v>3</v>
      </c>
      <c r="O586" s="4" t="str">
        <f>VLOOKUP(F586,Productos!$A$2:$J$182,6)</f>
        <v>Manufacturas</v>
      </c>
    </row>
    <row r="587" spans="1:15">
      <c r="A587" s="4" t="s">
        <v>784</v>
      </c>
      <c r="B587" s="4" t="s">
        <v>559</v>
      </c>
      <c r="C587" s="4" t="s">
        <v>560</v>
      </c>
      <c r="D587" s="4" t="s">
        <v>561</v>
      </c>
      <c r="E587" s="4" t="s">
        <v>560</v>
      </c>
      <c r="F587" s="5">
        <v>43</v>
      </c>
      <c r="G587" s="4" t="s">
        <v>99</v>
      </c>
      <c r="H587" s="4" t="str">
        <f>IF(F587="","",VLOOKUP(F587,Productos!$A$2:$F$182,3,FALSE))</f>
        <v>2</v>
      </c>
      <c r="I587" s="4" t="str">
        <f>IF(F587="","",VLOOKUP(F587,Productos!$A$2:$F$182,4,FALSE))</f>
        <v>Productos alimenticios, bebidas y tabaco; textiles, prendas de vestir y productos de cuero</v>
      </c>
      <c r="J587" s="4">
        <f>IF(F587="","",VLOOKUP(F587,Productos!$A$2:$F$182,5,FALSE))</f>
        <v>3</v>
      </c>
      <c r="K587" s="4" t="str">
        <f>IF(F587="","",VLOOKUP(F587,Productos!$A$2:$F$182,6,FALSE))</f>
        <v>Manufacturas</v>
      </c>
      <c r="L587" s="4">
        <v>1</v>
      </c>
      <c r="M587" s="4" t="s">
        <v>14</v>
      </c>
      <c r="N587" s="4">
        <f>VLOOKUP(F587,Productos!$A$2:$J$182,5)</f>
        <v>3</v>
      </c>
      <c r="O587" s="4" t="str">
        <f>VLOOKUP(F587,Productos!$A$2:$J$182,6)</f>
        <v>Manufacturas</v>
      </c>
    </row>
    <row r="588" spans="1:15">
      <c r="A588" s="4" t="s">
        <v>785</v>
      </c>
      <c r="B588" s="4" t="s">
        <v>559</v>
      </c>
      <c r="C588" s="4" t="s">
        <v>560</v>
      </c>
      <c r="D588" s="4" t="s">
        <v>561</v>
      </c>
      <c r="E588" s="4" t="s">
        <v>560</v>
      </c>
      <c r="F588" s="5">
        <v>44</v>
      </c>
      <c r="G588" s="4" t="s">
        <v>101</v>
      </c>
      <c r="H588" s="4" t="str">
        <f>IF(F588="","",VLOOKUP(F588,Productos!$A$2:$F$182,3,FALSE))</f>
        <v>2</v>
      </c>
      <c r="I588" s="4" t="str">
        <f>IF(F588="","",VLOOKUP(F588,Productos!$A$2:$F$182,4,FALSE))</f>
        <v>Productos alimenticios, bebidas y tabaco; textiles, prendas de vestir y productos de cuero</v>
      </c>
      <c r="J588" s="4">
        <f>IF(F588="","",VLOOKUP(F588,Productos!$A$2:$F$182,5,FALSE))</f>
        <v>3</v>
      </c>
      <c r="K588" s="4" t="str">
        <f>IF(F588="","",VLOOKUP(F588,Productos!$A$2:$F$182,6,FALSE))</f>
        <v>Manufacturas</v>
      </c>
      <c r="L588" s="4">
        <v>1</v>
      </c>
      <c r="M588" s="4" t="s">
        <v>14</v>
      </c>
      <c r="N588" s="4">
        <f>VLOOKUP(F588,Productos!$A$2:$J$182,5)</f>
        <v>3</v>
      </c>
      <c r="O588" s="4" t="str">
        <f>VLOOKUP(F588,Productos!$A$2:$J$182,6)</f>
        <v>Manufacturas</v>
      </c>
    </row>
    <row r="589" spans="1:15">
      <c r="A589" s="4" t="s">
        <v>786</v>
      </c>
      <c r="B589" s="4" t="s">
        <v>559</v>
      </c>
      <c r="C589" s="4" t="s">
        <v>560</v>
      </c>
      <c r="D589" s="4" t="s">
        <v>561</v>
      </c>
      <c r="E589" s="4" t="s">
        <v>560</v>
      </c>
      <c r="F589" s="5">
        <v>45</v>
      </c>
      <c r="G589" s="4" t="s">
        <v>103</v>
      </c>
      <c r="H589" s="4" t="str">
        <f>IF(F589="","",VLOOKUP(F589,Productos!$A$2:$F$182,3,FALSE))</f>
        <v>2</v>
      </c>
      <c r="I589" s="4" t="str">
        <f>IF(F589="","",VLOOKUP(F589,Productos!$A$2:$F$182,4,FALSE))</f>
        <v>Productos alimenticios, bebidas y tabaco; textiles, prendas de vestir y productos de cuero</v>
      </c>
      <c r="J589" s="4">
        <f>IF(F589="","",VLOOKUP(F589,Productos!$A$2:$F$182,5,FALSE))</f>
        <v>3</v>
      </c>
      <c r="K589" s="4" t="str">
        <f>IF(F589="","",VLOOKUP(F589,Productos!$A$2:$F$182,6,FALSE))</f>
        <v>Manufacturas</v>
      </c>
      <c r="L589" s="4">
        <v>1</v>
      </c>
      <c r="M589" s="4" t="s">
        <v>14</v>
      </c>
      <c r="N589" s="4">
        <f>VLOOKUP(F589,Productos!$A$2:$J$182,5)</f>
        <v>3</v>
      </c>
      <c r="O589" s="4" t="str">
        <f>VLOOKUP(F589,Productos!$A$2:$J$182,6)</f>
        <v>Manufacturas</v>
      </c>
    </row>
    <row r="590" spans="1:15">
      <c r="A590" s="4" t="s">
        <v>787</v>
      </c>
      <c r="B590" s="4" t="s">
        <v>559</v>
      </c>
      <c r="C590" s="4" t="s">
        <v>560</v>
      </c>
      <c r="D590" s="4" t="s">
        <v>561</v>
      </c>
      <c r="E590" s="4" t="s">
        <v>560</v>
      </c>
      <c r="F590" s="5">
        <v>46</v>
      </c>
      <c r="G590" s="4" t="s">
        <v>105</v>
      </c>
      <c r="H590" s="4" t="str">
        <f>IF(F590="","",VLOOKUP(F590,Productos!$A$2:$F$182,3,FALSE))</f>
        <v>2</v>
      </c>
      <c r="I590" s="4" t="str">
        <f>IF(F590="","",VLOOKUP(F590,Productos!$A$2:$F$182,4,FALSE))</f>
        <v>Productos alimenticios, bebidas y tabaco; textiles, prendas de vestir y productos de cuero</v>
      </c>
      <c r="J590" s="4">
        <f>IF(F590="","",VLOOKUP(F590,Productos!$A$2:$F$182,5,FALSE))</f>
        <v>3</v>
      </c>
      <c r="K590" s="4" t="str">
        <f>IF(F590="","",VLOOKUP(F590,Productos!$A$2:$F$182,6,FALSE))</f>
        <v>Manufacturas</v>
      </c>
      <c r="L590" s="4">
        <v>1</v>
      </c>
      <c r="M590" s="4" t="s">
        <v>14</v>
      </c>
      <c r="N590" s="4">
        <f>VLOOKUP(F590,Productos!$A$2:$J$182,5)</f>
        <v>3</v>
      </c>
      <c r="O590" s="4" t="str">
        <f>VLOOKUP(F590,Productos!$A$2:$J$182,6)</f>
        <v>Manufacturas</v>
      </c>
    </row>
    <row r="591" spans="1:15">
      <c r="A591" s="4" t="s">
        <v>788</v>
      </c>
      <c r="B591" s="4" t="s">
        <v>559</v>
      </c>
      <c r="C591" s="4" t="s">
        <v>560</v>
      </c>
      <c r="D591" s="4" t="s">
        <v>561</v>
      </c>
      <c r="E591" s="4" t="s">
        <v>560</v>
      </c>
      <c r="F591" s="5">
        <v>47</v>
      </c>
      <c r="G591" s="4" t="s">
        <v>107</v>
      </c>
      <c r="H591" s="4" t="str">
        <f>IF(F591="","",VLOOKUP(F591,Productos!$A$2:$F$182,3,FALSE))</f>
        <v>2</v>
      </c>
      <c r="I591" s="4" t="str">
        <f>IF(F591="","",VLOOKUP(F591,Productos!$A$2:$F$182,4,FALSE))</f>
        <v>Productos alimenticios, bebidas y tabaco; textiles, prendas de vestir y productos de cuero</v>
      </c>
      <c r="J591" s="4">
        <f>IF(F591="","",VLOOKUP(F591,Productos!$A$2:$F$182,5,FALSE))</f>
        <v>3</v>
      </c>
      <c r="K591" s="4" t="str">
        <f>IF(F591="","",VLOOKUP(F591,Productos!$A$2:$F$182,6,FALSE))</f>
        <v>Manufacturas</v>
      </c>
      <c r="L591" s="4">
        <v>1</v>
      </c>
      <c r="M591" s="4" t="s">
        <v>14</v>
      </c>
      <c r="N591" s="4">
        <f>VLOOKUP(F591,Productos!$A$2:$J$182,5)</f>
        <v>3</v>
      </c>
      <c r="O591" s="4" t="str">
        <f>VLOOKUP(F591,Productos!$A$2:$J$182,6)</f>
        <v>Manufacturas</v>
      </c>
    </row>
    <row r="592" spans="1:15">
      <c r="A592" s="4" t="s">
        <v>789</v>
      </c>
      <c r="B592" s="4" t="s">
        <v>559</v>
      </c>
      <c r="C592" s="4" t="s">
        <v>560</v>
      </c>
      <c r="D592" s="4" t="s">
        <v>561</v>
      </c>
      <c r="E592" s="4" t="s">
        <v>560</v>
      </c>
      <c r="F592" s="5">
        <v>48</v>
      </c>
      <c r="G592" s="4" t="s">
        <v>109</v>
      </c>
      <c r="H592" s="4" t="str">
        <f>IF(F592="","",VLOOKUP(F592,Productos!$A$2:$F$182,3,FALSE))</f>
        <v>2</v>
      </c>
      <c r="I592" s="4" t="str">
        <f>IF(F592="","",VLOOKUP(F592,Productos!$A$2:$F$182,4,FALSE))</f>
        <v>Productos alimenticios, bebidas y tabaco; textiles, prendas de vestir y productos de cuero</v>
      </c>
      <c r="J592" s="4">
        <f>IF(F592="","",VLOOKUP(F592,Productos!$A$2:$F$182,5,FALSE))</f>
        <v>3</v>
      </c>
      <c r="K592" s="4" t="str">
        <f>IF(F592="","",VLOOKUP(F592,Productos!$A$2:$F$182,6,FALSE))</f>
        <v>Manufacturas</v>
      </c>
      <c r="L592" s="4">
        <v>1</v>
      </c>
      <c r="M592" s="4" t="s">
        <v>14</v>
      </c>
      <c r="N592" s="4">
        <f>VLOOKUP(F592,Productos!$A$2:$J$182,5)</f>
        <v>3</v>
      </c>
      <c r="O592" s="4" t="str">
        <f>VLOOKUP(F592,Productos!$A$2:$J$182,6)</f>
        <v>Manufacturas</v>
      </c>
    </row>
    <row r="593" spans="1:15">
      <c r="A593" s="4" t="s">
        <v>790</v>
      </c>
      <c r="B593" s="4" t="s">
        <v>559</v>
      </c>
      <c r="C593" s="4" t="s">
        <v>560</v>
      </c>
      <c r="D593" s="4" t="s">
        <v>561</v>
      </c>
      <c r="E593" s="4" t="s">
        <v>560</v>
      </c>
      <c r="F593" s="5">
        <v>49</v>
      </c>
      <c r="G593" s="4" t="s">
        <v>111</v>
      </c>
      <c r="H593" s="4" t="str">
        <f>IF(F593="","",VLOOKUP(F593,Productos!$A$2:$F$182,3,FALSE))</f>
        <v>2</v>
      </c>
      <c r="I593" s="4" t="str">
        <f>IF(F593="","",VLOOKUP(F593,Productos!$A$2:$F$182,4,FALSE))</f>
        <v>Productos alimenticios, bebidas y tabaco; textiles, prendas de vestir y productos de cuero</v>
      </c>
      <c r="J593" s="4">
        <f>IF(F593="","",VLOOKUP(F593,Productos!$A$2:$F$182,5,FALSE))</f>
        <v>3</v>
      </c>
      <c r="K593" s="4" t="str">
        <f>IF(F593="","",VLOOKUP(F593,Productos!$A$2:$F$182,6,FALSE))</f>
        <v>Manufacturas</v>
      </c>
      <c r="L593" s="4">
        <v>1</v>
      </c>
      <c r="M593" s="4" t="s">
        <v>14</v>
      </c>
      <c r="N593" s="4">
        <f>VLOOKUP(F593,Productos!$A$2:$J$182,5)</f>
        <v>3</v>
      </c>
      <c r="O593" s="4" t="str">
        <f>VLOOKUP(F593,Productos!$A$2:$J$182,6)</f>
        <v>Manufacturas</v>
      </c>
    </row>
    <row r="594" spans="1:15">
      <c r="A594" s="4" t="s">
        <v>791</v>
      </c>
      <c r="B594" s="4" t="s">
        <v>559</v>
      </c>
      <c r="C594" s="4" t="s">
        <v>560</v>
      </c>
      <c r="D594" s="4" t="s">
        <v>561</v>
      </c>
      <c r="E594" s="4" t="s">
        <v>560</v>
      </c>
      <c r="F594" s="5">
        <v>50</v>
      </c>
      <c r="G594" s="4" t="s">
        <v>113</v>
      </c>
      <c r="H594" s="4" t="str">
        <f>IF(F594="","",VLOOKUP(F594,Productos!$A$2:$F$182,3,FALSE))</f>
        <v>2</v>
      </c>
      <c r="I594" s="4" t="str">
        <f>IF(F594="","",VLOOKUP(F594,Productos!$A$2:$F$182,4,FALSE))</f>
        <v>Productos alimenticios, bebidas y tabaco; textiles, prendas de vestir y productos de cuero</v>
      </c>
      <c r="J594" s="4">
        <f>IF(F594="","",VLOOKUP(F594,Productos!$A$2:$F$182,5,FALSE))</f>
        <v>3</v>
      </c>
      <c r="K594" s="4" t="str">
        <f>IF(F594="","",VLOOKUP(F594,Productos!$A$2:$F$182,6,FALSE))</f>
        <v>Manufacturas</v>
      </c>
      <c r="L594" s="4">
        <v>1</v>
      </c>
      <c r="M594" s="4" t="s">
        <v>14</v>
      </c>
      <c r="N594" s="4">
        <f>VLOOKUP(F594,Productos!$A$2:$J$182,5)</f>
        <v>3</v>
      </c>
      <c r="O594" s="4" t="str">
        <f>VLOOKUP(F594,Productos!$A$2:$J$182,6)</f>
        <v>Manufacturas</v>
      </c>
    </row>
    <row r="595" spans="1:15">
      <c r="A595" s="4" t="s">
        <v>792</v>
      </c>
      <c r="B595" s="4" t="s">
        <v>559</v>
      </c>
      <c r="C595" s="4" t="s">
        <v>560</v>
      </c>
      <c r="D595" s="4" t="s">
        <v>561</v>
      </c>
      <c r="E595" s="4" t="s">
        <v>560</v>
      </c>
      <c r="F595" s="5">
        <v>51</v>
      </c>
      <c r="G595" s="4" t="s">
        <v>115</v>
      </c>
      <c r="H595" s="4" t="str">
        <f>IF(F595="","",VLOOKUP(F595,Productos!$A$2:$F$182,3,FALSE))</f>
        <v>2</v>
      </c>
      <c r="I595" s="4" t="str">
        <f>IF(F595="","",VLOOKUP(F595,Productos!$A$2:$F$182,4,FALSE))</f>
        <v>Productos alimenticios, bebidas y tabaco; textiles, prendas de vestir y productos de cuero</v>
      </c>
      <c r="J595" s="4">
        <f>IF(F595="","",VLOOKUP(F595,Productos!$A$2:$F$182,5,FALSE))</f>
        <v>3</v>
      </c>
      <c r="K595" s="4" t="str">
        <f>IF(F595="","",VLOOKUP(F595,Productos!$A$2:$F$182,6,FALSE))</f>
        <v>Manufacturas</v>
      </c>
      <c r="L595" s="4">
        <v>1</v>
      </c>
      <c r="M595" s="4" t="s">
        <v>14</v>
      </c>
      <c r="N595" s="4">
        <f>VLOOKUP(F595,Productos!$A$2:$J$182,5)</f>
        <v>3</v>
      </c>
      <c r="O595" s="4" t="str">
        <f>VLOOKUP(F595,Productos!$A$2:$J$182,6)</f>
        <v>Manufacturas</v>
      </c>
    </row>
    <row r="596" spans="1:15">
      <c r="A596" s="4" t="s">
        <v>793</v>
      </c>
      <c r="B596" s="4" t="s">
        <v>559</v>
      </c>
      <c r="C596" s="4" t="s">
        <v>560</v>
      </c>
      <c r="D596" s="4" t="s">
        <v>561</v>
      </c>
      <c r="E596" s="4" t="s">
        <v>560</v>
      </c>
      <c r="F596" s="5">
        <v>52</v>
      </c>
      <c r="G596" s="4" t="s">
        <v>117</v>
      </c>
      <c r="H596" s="4" t="str">
        <f>IF(F596="","",VLOOKUP(F596,Productos!$A$2:$F$182,3,FALSE))</f>
        <v>2</v>
      </c>
      <c r="I596" s="4" t="str">
        <f>IF(F596="","",VLOOKUP(F596,Productos!$A$2:$F$182,4,FALSE))</f>
        <v>Productos alimenticios, bebidas y tabaco; textiles, prendas de vestir y productos de cuero</v>
      </c>
      <c r="J596" s="4">
        <f>IF(F596="","",VLOOKUP(F596,Productos!$A$2:$F$182,5,FALSE))</f>
        <v>3</v>
      </c>
      <c r="K596" s="4" t="str">
        <f>IF(F596="","",VLOOKUP(F596,Productos!$A$2:$F$182,6,FALSE))</f>
        <v>Manufacturas</v>
      </c>
      <c r="L596" s="4">
        <v>1</v>
      </c>
      <c r="M596" s="4" t="s">
        <v>14</v>
      </c>
      <c r="N596" s="4">
        <f>VLOOKUP(F596,Productos!$A$2:$J$182,5)</f>
        <v>3</v>
      </c>
      <c r="O596" s="4" t="str">
        <f>VLOOKUP(F596,Productos!$A$2:$J$182,6)</f>
        <v>Manufacturas</v>
      </c>
    </row>
    <row r="597" spans="1:15">
      <c r="A597" s="4" t="s">
        <v>794</v>
      </c>
      <c r="B597" s="4" t="s">
        <v>559</v>
      </c>
      <c r="C597" s="4" t="s">
        <v>560</v>
      </c>
      <c r="D597" s="4" t="s">
        <v>561</v>
      </c>
      <c r="E597" s="4" t="s">
        <v>560</v>
      </c>
      <c r="F597" s="5">
        <v>53</v>
      </c>
      <c r="G597" s="4" t="s">
        <v>119</v>
      </c>
      <c r="H597" s="4" t="str">
        <f>IF(F597="","",VLOOKUP(F597,Productos!$A$2:$F$182,3,FALSE))</f>
        <v>2</v>
      </c>
      <c r="I597" s="4" t="str">
        <f>IF(F597="","",VLOOKUP(F597,Productos!$A$2:$F$182,4,FALSE))</f>
        <v>Productos alimenticios, bebidas y tabaco; textiles, prendas de vestir y productos de cuero</v>
      </c>
      <c r="J597" s="4">
        <f>IF(F597="","",VLOOKUP(F597,Productos!$A$2:$F$182,5,FALSE))</f>
        <v>3</v>
      </c>
      <c r="K597" s="4" t="str">
        <f>IF(F597="","",VLOOKUP(F597,Productos!$A$2:$F$182,6,FALSE))</f>
        <v>Manufacturas</v>
      </c>
      <c r="L597" s="4">
        <v>1</v>
      </c>
      <c r="M597" s="4" t="s">
        <v>14</v>
      </c>
      <c r="N597" s="4">
        <f>VLOOKUP(F597,Productos!$A$2:$J$182,5)</f>
        <v>3</v>
      </c>
      <c r="O597" s="4" t="str">
        <f>VLOOKUP(F597,Productos!$A$2:$J$182,6)</f>
        <v>Manufacturas</v>
      </c>
    </row>
    <row r="598" spans="1:15">
      <c r="A598" s="4" t="s">
        <v>795</v>
      </c>
      <c r="B598" s="4" t="s">
        <v>559</v>
      </c>
      <c r="C598" s="4" t="s">
        <v>560</v>
      </c>
      <c r="D598" s="4" t="s">
        <v>561</v>
      </c>
      <c r="E598" s="4" t="s">
        <v>560</v>
      </c>
      <c r="F598" s="5">
        <v>54</v>
      </c>
      <c r="G598" s="4" t="s">
        <v>121</v>
      </c>
      <c r="H598" s="4" t="str">
        <f>IF(F598="","",VLOOKUP(F598,Productos!$A$2:$F$182,3,FALSE))</f>
        <v>2</v>
      </c>
      <c r="I598" s="4" t="str">
        <f>IF(F598="","",VLOOKUP(F598,Productos!$A$2:$F$182,4,FALSE))</f>
        <v>Productos alimenticios, bebidas y tabaco; textiles, prendas de vestir y productos de cuero</v>
      </c>
      <c r="J598" s="4">
        <f>IF(F598="","",VLOOKUP(F598,Productos!$A$2:$F$182,5,FALSE))</f>
        <v>3</v>
      </c>
      <c r="K598" s="4" t="str">
        <f>IF(F598="","",VLOOKUP(F598,Productos!$A$2:$F$182,6,FALSE))</f>
        <v>Manufacturas</v>
      </c>
      <c r="L598" s="4">
        <v>1</v>
      </c>
      <c r="M598" s="4" t="s">
        <v>14</v>
      </c>
      <c r="N598" s="4">
        <f>VLOOKUP(F598,Productos!$A$2:$J$182,5)</f>
        <v>3</v>
      </c>
      <c r="O598" s="4" t="str">
        <f>VLOOKUP(F598,Productos!$A$2:$J$182,6)</f>
        <v>Manufacturas</v>
      </c>
    </row>
    <row r="599" spans="1:15">
      <c r="A599" s="4" t="s">
        <v>796</v>
      </c>
      <c r="B599" s="4" t="s">
        <v>559</v>
      </c>
      <c r="C599" s="4" t="s">
        <v>560</v>
      </c>
      <c r="D599" s="4" t="s">
        <v>561</v>
      </c>
      <c r="E599" s="4" t="s">
        <v>560</v>
      </c>
      <c r="F599" s="5">
        <v>55</v>
      </c>
      <c r="G599" s="4" t="s">
        <v>123</v>
      </c>
      <c r="H599" s="4" t="str">
        <f>IF(F599="","",VLOOKUP(F599,Productos!$A$2:$F$182,3,FALSE))</f>
        <v>2</v>
      </c>
      <c r="I599" s="4" t="str">
        <f>IF(F599="","",VLOOKUP(F599,Productos!$A$2:$F$182,4,FALSE))</f>
        <v>Productos alimenticios, bebidas y tabaco; textiles, prendas de vestir y productos de cuero</v>
      </c>
      <c r="J599" s="4">
        <f>IF(F599="","",VLOOKUP(F599,Productos!$A$2:$F$182,5,FALSE))</f>
        <v>3</v>
      </c>
      <c r="K599" s="4" t="str">
        <f>IF(F599="","",VLOOKUP(F599,Productos!$A$2:$F$182,6,FALSE))</f>
        <v>Manufacturas</v>
      </c>
      <c r="L599" s="4">
        <v>1</v>
      </c>
      <c r="M599" s="4" t="s">
        <v>14</v>
      </c>
      <c r="N599" s="4">
        <f>VLOOKUP(F599,Productos!$A$2:$J$182,5)</f>
        <v>3</v>
      </c>
      <c r="O599" s="4" t="str">
        <f>VLOOKUP(F599,Productos!$A$2:$J$182,6)</f>
        <v>Manufacturas</v>
      </c>
    </row>
    <row r="600" spans="1:15">
      <c r="A600" s="4" t="s">
        <v>797</v>
      </c>
      <c r="B600" s="4" t="s">
        <v>559</v>
      </c>
      <c r="C600" s="4" t="s">
        <v>560</v>
      </c>
      <c r="D600" s="4" t="s">
        <v>561</v>
      </c>
      <c r="E600" s="4" t="s">
        <v>560</v>
      </c>
      <c r="F600" s="5">
        <v>56</v>
      </c>
      <c r="G600" s="4" t="s">
        <v>125</v>
      </c>
      <c r="H600" s="4" t="str">
        <f>IF(F600="","",VLOOKUP(F600,Productos!$A$2:$F$182,3,FALSE))</f>
        <v>2</v>
      </c>
      <c r="I600" s="4" t="str">
        <f>IF(F600="","",VLOOKUP(F600,Productos!$A$2:$F$182,4,FALSE))</f>
        <v>Productos alimenticios, bebidas y tabaco; textiles, prendas de vestir y productos de cuero</v>
      </c>
      <c r="J600" s="4">
        <f>IF(F600="","",VLOOKUP(F600,Productos!$A$2:$F$182,5,FALSE))</f>
        <v>3</v>
      </c>
      <c r="K600" s="4" t="str">
        <f>IF(F600="","",VLOOKUP(F600,Productos!$A$2:$F$182,6,FALSE))</f>
        <v>Manufacturas</v>
      </c>
      <c r="L600" s="4">
        <v>1</v>
      </c>
      <c r="M600" s="4" t="s">
        <v>14</v>
      </c>
      <c r="N600" s="4">
        <f>VLOOKUP(F600,Productos!$A$2:$J$182,5)</f>
        <v>3</v>
      </c>
      <c r="O600" s="4" t="str">
        <f>VLOOKUP(F600,Productos!$A$2:$J$182,6)</f>
        <v>Manufacturas</v>
      </c>
    </row>
    <row r="601" spans="1:15">
      <c r="A601" s="4" t="s">
        <v>798</v>
      </c>
      <c r="B601" s="4" t="s">
        <v>559</v>
      </c>
      <c r="C601" s="4" t="s">
        <v>560</v>
      </c>
      <c r="D601" s="4" t="s">
        <v>561</v>
      </c>
      <c r="E601" s="4" t="s">
        <v>560</v>
      </c>
      <c r="F601" s="5">
        <v>57</v>
      </c>
      <c r="G601" s="4" t="s">
        <v>127</v>
      </c>
      <c r="H601" s="4" t="str">
        <f>IF(F601="","",VLOOKUP(F601,Productos!$A$2:$F$182,3,FALSE))</f>
        <v>2</v>
      </c>
      <c r="I601" s="4" t="str">
        <f>IF(F601="","",VLOOKUP(F601,Productos!$A$2:$F$182,4,FALSE))</f>
        <v>Productos alimenticios, bebidas y tabaco; textiles, prendas de vestir y productos de cuero</v>
      </c>
      <c r="J601" s="4">
        <f>IF(F601="","",VLOOKUP(F601,Productos!$A$2:$F$182,5,FALSE))</f>
        <v>3</v>
      </c>
      <c r="K601" s="4" t="str">
        <f>IF(F601="","",VLOOKUP(F601,Productos!$A$2:$F$182,6,FALSE))</f>
        <v>Manufacturas</v>
      </c>
      <c r="L601" s="4">
        <v>1</v>
      </c>
      <c r="M601" s="4" t="s">
        <v>14</v>
      </c>
      <c r="N601" s="4">
        <f>VLOOKUP(F601,Productos!$A$2:$J$182,5)</f>
        <v>3</v>
      </c>
      <c r="O601" s="4" t="str">
        <f>VLOOKUP(F601,Productos!$A$2:$J$182,6)</f>
        <v>Manufacturas</v>
      </c>
    </row>
    <row r="602" spans="1:15">
      <c r="A602" s="4" t="s">
        <v>799</v>
      </c>
      <c r="B602" s="4" t="s">
        <v>559</v>
      </c>
      <c r="C602" s="4" t="s">
        <v>560</v>
      </c>
      <c r="D602" s="4" t="s">
        <v>561</v>
      </c>
      <c r="E602" s="4" t="s">
        <v>560</v>
      </c>
      <c r="F602" s="5">
        <v>58</v>
      </c>
      <c r="G602" s="4" t="s">
        <v>129</v>
      </c>
      <c r="H602" s="4" t="str">
        <f>IF(F602="","",VLOOKUP(F602,Productos!$A$2:$F$182,3,FALSE))</f>
        <v>2</v>
      </c>
      <c r="I602" s="4" t="str">
        <f>IF(F602="","",VLOOKUP(F602,Productos!$A$2:$F$182,4,FALSE))</f>
        <v>Productos alimenticios, bebidas y tabaco; textiles, prendas de vestir y productos de cuero</v>
      </c>
      <c r="J602" s="4">
        <f>IF(F602="","",VLOOKUP(F602,Productos!$A$2:$F$182,5,FALSE))</f>
        <v>3</v>
      </c>
      <c r="K602" s="4" t="str">
        <f>IF(F602="","",VLOOKUP(F602,Productos!$A$2:$F$182,6,FALSE))</f>
        <v>Manufacturas</v>
      </c>
      <c r="L602" s="4">
        <v>1</v>
      </c>
      <c r="M602" s="4" t="s">
        <v>14</v>
      </c>
      <c r="N602" s="4">
        <f>VLOOKUP(F602,Productos!$A$2:$J$182,5)</f>
        <v>3</v>
      </c>
      <c r="O602" s="4" t="str">
        <f>VLOOKUP(F602,Productos!$A$2:$J$182,6)</f>
        <v>Manufacturas</v>
      </c>
    </row>
    <row r="603" spans="1:15">
      <c r="A603" s="4" t="s">
        <v>800</v>
      </c>
      <c r="B603" s="4" t="s">
        <v>559</v>
      </c>
      <c r="C603" s="4" t="s">
        <v>560</v>
      </c>
      <c r="D603" s="4" t="s">
        <v>561</v>
      </c>
      <c r="E603" s="4" t="s">
        <v>560</v>
      </c>
      <c r="F603" s="5">
        <v>59</v>
      </c>
      <c r="G603" s="4" t="s">
        <v>131</v>
      </c>
      <c r="H603" s="4" t="str">
        <f>IF(F603="","",VLOOKUP(F603,Productos!$A$2:$F$182,3,FALSE))</f>
        <v>2</v>
      </c>
      <c r="I603" s="4" t="str">
        <f>IF(F603="","",VLOOKUP(F603,Productos!$A$2:$F$182,4,FALSE))</f>
        <v>Productos alimenticios, bebidas y tabaco; textiles, prendas de vestir y productos de cuero</v>
      </c>
      <c r="J603" s="4">
        <f>IF(F603="","",VLOOKUP(F603,Productos!$A$2:$F$182,5,FALSE))</f>
        <v>3</v>
      </c>
      <c r="K603" s="4" t="str">
        <f>IF(F603="","",VLOOKUP(F603,Productos!$A$2:$F$182,6,FALSE))</f>
        <v>Manufacturas</v>
      </c>
      <c r="L603" s="4">
        <v>1</v>
      </c>
      <c r="M603" s="4" t="s">
        <v>14</v>
      </c>
      <c r="N603" s="4">
        <f>VLOOKUP(F603,Productos!$A$2:$J$182,5)</f>
        <v>3</v>
      </c>
      <c r="O603" s="4" t="str">
        <f>VLOOKUP(F603,Productos!$A$2:$J$182,6)</f>
        <v>Manufacturas</v>
      </c>
    </row>
    <row r="604" spans="1:15">
      <c r="A604" s="4" t="s">
        <v>801</v>
      </c>
      <c r="B604" s="4" t="s">
        <v>559</v>
      </c>
      <c r="C604" s="4" t="s">
        <v>560</v>
      </c>
      <c r="D604" s="4" t="s">
        <v>561</v>
      </c>
      <c r="E604" s="4" t="s">
        <v>560</v>
      </c>
      <c r="F604" s="5">
        <v>60</v>
      </c>
      <c r="G604" s="4" t="s">
        <v>133</v>
      </c>
      <c r="H604" s="4" t="str">
        <f>IF(F604="","",VLOOKUP(F604,Productos!$A$2:$F$182,3,FALSE))</f>
        <v>2</v>
      </c>
      <c r="I604" s="4" t="str">
        <f>IF(F604="","",VLOOKUP(F604,Productos!$A$2:$F$182,4,FALSE))</f>
        <v>Productos alimenticios, bebidas y tabaco; textiles, prendas de vestir y productos de cuero</v>
      </c>
      <c r="J604" s="4">
        <f>IF(F604="","",VLOOKUP(F604,Productos!$A$2:$F$182,5,FALSE))</f>
        <v>3</v>
      </c>
      <c r="K604" s="4" t="str">
        <f>IF(F604="","",VLOOKUP(F604,Productos!$A$2:$F$182,6,FALSE))</f>
        <v>Manufacturas</v>
      </c>
      <c r="L604" s="4">
        <v>1</v>
      </c>
      <c r="M604" s="4" t="s">
        <v>14</v>
      </c>
      <c r="N604" s="4">
        <f>VLOOKUP(F604,Productos!$A$2:$J$182,5)</f>
        <v>3</v>
      </c>
      <c r="O604" s="4" t="str">
        <f>VLOOKUP(F604,Productos!$A$2:$J$182,6)</f>
        <v>Manufacturas</v>
      </c>
    </row>
    <row r="605" spans="1:15">
      <c r="A605" s="4" t="s">
        <v>802</v>
      </c>
      <c r="B605" s="4" t="s">
        <v>559</v>
      </c>
      <c r="C605" s="4" t="s">
        <v>560</v>
      </c>
      <c r="D605" s="4" t="s">
        <v>561</v>
      </c>
      <c r="E605" s="4" t="s">
        <v>560</v>
      </c>
      <c r="F605" s="5">
        <v>61</v>
      </c>
      <c r="G605" s="4" t="s">
        <v>135</v>
      </c>
      <c r="H605" s="4" t="str">
        <f>IF(F605="","",VLOOKUP(F605,Productos!$A$2:$F$182,3,FALSE))</f>
        <v>2</v>
      </c>
      <c r="I605" s="4" t="str">
        <f>IF(F605="","",VLOOKUP(F605,Productos!$A$2:$F$182,4,FALSE))</f>
        <v>Productos alimenticios, bebidas y tabaco; textiles, prendas de vestir y productos de cuero</v>
      </c>
      <c r="J605" s="4">
        <f>IF(F605="","",VLOOKUP(F605,Productos!$A$2:$F$182,5,FALSE))</f>
        <v>3</v>
      </c>
      <c r="K605" s="4" t="str">
        <f>IF(F605="","",VLOOKUP(F605,Productos!$A$2:$F$182,6,FALSE))</f>
        <v>Manufacturas</v>
      </c>
      <c r="L605" s="4">
        <v>1</v>
      </c>
      <c r="M605" s="4" t="s">
        <v>14</v>
      </c>
      <c r="N605" s="4">
        <f>VLOOKUP(F605,Productos!$A$2:$J$182,5)</f>
        <v>3</v>
      </c>
      <c r="O605" s="4" t="str">
        <f>VLOOKUP(F605,Productos!$A$2:$J$182,6)</f>
        <v>Manufacturas</v>
      </c>
    </row>
    <row r="606" spans="1:15">
      <c r="A606" s="4" t="s">
        <v>803</v>
      </c>
      <c r="B606" s="4" t="s">
        <v>559</v>
      </c>
      <c r="C606" s="4" t="s">
        <v>560</v>
      </c>
      <c r="D606" s="4" t="s">
        <v>561</v>
      </c>
      <c r="E606" s="4" t="s">
        <v>560</v>
      </c>
      <c r="F606" s="5">
        <v>62</v>
      </c>
      <c r="G606" s="4" t="s">
        <v>137</v>
      </c>
      <c r="H606" s="4" t="str">
        <f>IF(F606="","",VLOOKUP(F606,Productos!$A$2:$F$182,3,FALSE))</f>
        <v>2</v>
      </c>
      <c r="I606" s="4" t="str">
        <f>IF(F606="","",VLOOKUP(F606,Productos!$A$2:$F$182,4,FALSE))</f>
        <v>Productos alimenticios, bebidas y tabaco; textiles, prendas de vestir y productos de cuero</v>
      </c>
      <c r="J606" s="4">
        <f>IF(F606="","",VLOOKUP(F606,Productos!$A$2:$F$182,5,FALSE))</f>
        <v>3</v>
      </c>
      <c r="K606" s="4" t="str">
        <f>IF(F606="","",VLOOKUP(F606,Productos!$A$2:$F$182,6,FALSE))</f>
        <v>Manufacturas</v>
      </c>
      <c r="L606" s="4">
        <v>1</v>
      </c>
      <c r="M606" s="4" t="s">
        <v>14</v>
      </c>
      <c r="N606" s="4">
        <f>VLOOKUP(F606,Productos!$A$2:$J$182,5)</f>
        <v>3</v>
      </c>
      <c r="O606" s="4" t="str">
        <f>VLOOKUP(F606,Productos!$A$2:$J$182,6)</f>
        <v>Manufacturas</v>
      </c>
    </row>
    <row r="607" spans="1:15">
      <c r="A607" s="4" t="s">
        <v>804</v>
      </c>
      <c r="B607" s="4" t="s">
        <v>559</v>
      </c>
      <c r="C607" s="4" t="s">
        <v>560</v>
      </c>
      <c r="D607" s="4" t="s">
        <v>561</v>
      </c>
      <c r="E607" s="4" t="s">
        <v>560</v>
      </c>
      <c r="F607" s="5">
        <v>63</v>
      </c>
      <c r="G607" s="4" t="s">
        <v>139</v>
      </c>
      <c r="H607" s="4" t="str">
        <f>IF(F607="","",VLOOKUP(F607,Productos!$A$2:$F$182,3,FALSE))</f>
        <v>2</v>
      </c>
      <c r="I607" s="4" t="str">
        <f>IF(F607="","",VLOOKUP(F607,Productos!$A$2:$F$182,4,FALSE))</f>
        <v>Productos alimenticios, bebidas y tabaco; textiles, prendas de vestir y productos de cuero</v>
      </c>
      <c r="J607" s="4">
        <f>IF(F607="","",VLOOKUP(F607,Productos!$A$2:$F$182,5,FALSE))</f>
        <v>3</v>
      </c>
      <c r="K607" s="4" t="str">
        <f>IF(F607="","",VLOOKUP(F607,Productos!$A$2:$F$182,6,FALSE))</f>
        <v>Manufacturas</v>
      </c>
      <c r="L607" s="4">
        <v>1</v>
      </c>
      <c r="M607" s="4" t="s">
        <v>14</v>
      </c>
      <c r="N607" s="4">
        <f>VLOOKUP(F607,Productos!$A$2:$J$182,5)</f>
        <v>3</v>
      </c>
      <c r="O607" s="4" t="str">
        <f>VLOOKUP(F607,Productos!$A$2:$J$182,6)</f>
        <v>Manufacturas</v>
      </c>
    </row>
    <row r="608" spans="1:15">
      <c r="A608" s="4" t="s">
        <v>805</v>
      </c>
      <c r="B608" s="4" t="s">
        <v>559</v>
      </c>
      <c r="C608" s="4" t="s">
        <v>560</v>
      </c>
      <c r="D608" s="4" t="s">
        <v>561</v>
      </c>
      <c r="E608" s="4" t="s">
        <v>560</v>
      </c>
      <c r="F608" s="5">
        <v>64</v>
      </c>
      <c r="G608" s="4" t="s">
        <v>141</v>
      </c>
      <c r="H608" s="4" t="str">
        <f>IF(F608="","",VLOOKUP(F608,Productos!$A$2:$F$182,3,FALSE))</f>
        <v>2</v>
      </c>
      <c r="I608" s="4" t="str">
        <f>IF(F608="","",VLOOKUP(F608,Productos!$A$2:$F$182,4,FALSE))</f>
        <v>Productos alimenticios, bebidas y tabaco; textiles, prendas de vestir y productos de cuero</v>
      </c>
      <c r="J608" s="4">
        <f>IF(F608="","",VLOOKUP(F608,Productos!$A$2:$F$182,5,FALSE))</f>
        <v>3</v>
      </c>
      <c r="K608" s="4" t="str">
        <f>IF(F608="","",VLOOKUP(F608,Productos!$A$2:$F$182,6,FALSE))</f>
        <v>Manufacturas</v>
      </c>
      <c r="L608" s="4">
        <v>2</v>
      </c>
      <c r="M608" s="4" t="s">
        <v>142</v>
      </c>
      <c r="N608" s="4">
        <f>VLOOKUP(F608,Productos!$A$2:$J$182,5)</f>
        <v>3</v>
      </c>
      <c r="O608" s="4" t="str">
        <f>VLOOKUP(F608,Productos!$A$2:$J$182,6)</f>
        <v>Manufacturas</v>
      </c>
    </row>
    <row r="609" spans="1:15">
      <c r="A609" s="4" t="s">
        <v>806</v>
      </c>
      <c r="B609" s="4" t="s">
        <v>559</v>
      </c>
      <c r="C609" s="4" t="s">
        <v>560</v>
      </c>
      <c r="D609" s="4" t="s">
        <v>561</v>
      </c>
      <c r="E609" s="4" t="s">
        <v>560</v>
      </c>
      <c r="F609" s="5">
        <v>65</v>
      </c>
      <c r="G609" s="4" t="s">
        <v>144</v>
      </c>
      <c r="H609" s="4" t="str">
        <f>IF(F609="","",VLOOKUP(F609,Productos!$A$2:$F$182,3,FALSE))</f>
        <v>2</v>
      </c>
      <c r="I609" s="4" t="str">
        <f>IF(F609="","",VLOOKUP(F609,Productos!$A$2:$F$182,4,FALSE))</f>
        <v>Productos alimenticios, bebidas y tabaco; textiles, prendas de vestir y productos de cuero</v>
      </c>
      <c r="J609" s="4">
        <f>IF(F609="","",VLOOKUP(F609,Productos!$A$2:$F$182,5,FALSE))</f>
        <v>3</v>
      </c>
      <c r="K609" s="4" t="str">
        <f>IF(F609="","",VLOOKUP(F609,Productos!$A$2:$F$182,6,FALSE))</f>
        <v>Manufacturas</v>
      </c>
      <c r="L609" s="4">
        <v>2</v>
      </c>
      <c r="M609" s="4" t="s">
        <v>142</v>
      </c>
      <c r="N609" s="4">
        <f>VLOOKUP(F609,Productos!$A$2:$J$182,5)</f>
        <v>3</v>
      </c>
      <c r="O609" s="4" t="str">
        <f>VLOOKUP(F609,Productos!$A$2:$J$182,6)</f>
        <v>Manufacturas</v>
      </c>
    </row>
    <row r="610" spans="1:15">
      <c r="A610" s="4" t="s">
        <v>807</v>
      </c>
      <c r="B610" s="4" t="s">
        <v>559</v>
      </c>
      <c r="C610" s="4" t="s">
        <v>560</v>
      </c>
      <c r="D610" s="4" t="s">
        <v>561</v>
      </c>
      <c r="E610" s="4" t="s">
        <v>560</v>
      </c>
      <c r="F610" s="5">
        <v>66</v>
      </c>
      <c r="G610" s="4" t="s">
        <v>146</v>
      </c>
      <c r="H610" s="4" t="str">
        <f>IF(F610="","",VLOOKUP(F610,Productos!$A$2:$F$182,3,FALSE))</f>
        <v>2</v>
      </c>
      <c r="I610" s="4" t="str">
        <f>IF(F610="","",VLOOKUP(F610,Productos!$A$2:$F$182,4,FALSE))</f>
        <v>Productos alimenticios, bebidas y tabaco; textiles, prendas de vestir y productos de cuero</v>
      </c>
      <c r="J610" s="4">
        <f>IF(F610="","",VLOOKUP(F610,Productos!$A$2:$F$182,5,FALSE))</f>
        <v>3</v>
      </c>
      <c r="K610" s="4" t="str">
        <f>IF(F610="","",VLOOKUP(F610,Productos!$A$2:$F$182,6,FALSE))</f>
        <v>Manufacturas</v>
      </c>
      <c r="L610" s="4">
        <v>1</v>
      </c>
      <c r="M610" s="4" t="s">
        <v>14</v>
      </c>
      <c r="N610" s="4">
        <f>VLOOKUP(F610,Productos!$A$2:$J$182,5)</f>
        <v>3</v>
      </c>
      <c r="O610" s="4" t="str">
        <f>VLOOKUP(F610,Productos!$A$2:$J$182,6)</f>
        <v>Manufacturas</v>
      </c>
    </row>
    <row r="611" spans="1:15">
      <c r="A611" s="4" t="s">
        <v>808</v>
      </c>
      <c r="B611" s="4" t="s">
        <v>559</v>
      </c>
      <c r="C611" s="4" t="s">
        <v>560</v>
      </c>
      <c r="D611" s="4" t="s">
        <v>561</v>
      </c>
      <c r="E611" s="4" t="s">
        <v>560</v>
      </c>
      <c r="F611" s="5">
        <v>67</v>
      </c>
      <c r="G611" s="4" t="s">
        <v>148</v>
      </c>
      <c r="H611" s="4" t="str">
        <f>IF(F611="","",VLOOKUP(F611,Productos!$A$2:$F$182,3,FALSE))</f>
        <v>2</v>
      </c>
      <c r="I611" s="4" t="str">
        <f>IF(F611="","",VLOOKUP(F611,Productos!$A$2:$F$182,4,FALSE))</f>
        <v>Productos alimenticios, bebidas y tabaco; textiles, prendas de vestir y productos de cuero</v>
      </c>
      <c r="J611" s="4">
        <f>IF(F611="","",VLOOKUP(F611,Productos!$A$2:$F$182,5,FALSE))</f>
        <v>3</v>
      </c>
      <c r="K611" s="4" t="str">
        <f>IF(F611="","",VLOOKUP(F611,Productos!$A$2:$F$182,6,FALSE))</f>
        <v>Manufacturas</v>
      </c>
      <c r="L611" s="4">
        <v>2</v>
      </c>
      <c r="M611" s="4" t="s">
        <v>142</v>
      </c>
      <c r="N611" s="4">
        <f>VLOOKUP(F611,Productos!$A$2:$J$182,5)</f>
        <v>3</v>
      </c>
      <c r="O611" s="4" t="str">
        <f>VLOOKUP(F611,Productos!$A$2:$J$182,6)</f>
        <v>Manufacturas</v>
      </c>
    </row>
    <row r="612" spans="1:15">
      <c r="A612" s="4" t="s">
        <v>809</v>
      </c>
      <c r="B612" s="4" t="s">
        <v>559</v>
      </c>
      <c r="C612" s="4" t="s">
        <v>560</v>
      </c>
      <c r="D612" s="4" t="s">
        <v>561</v>
      </c>
      <c r="E612" s="4" t="s">
        <v>560</v>
      </c>
      <c r="F612" s="5">
        <v>68</v>
      </c>
      <c r="G612" s="4" t="s">
        <v>150</v>
      </c>
      <c r="H612" s="4" t="str">
        <f>IF(F612="","",VLOOKUP(F612,Productos!$A$2:$F$182,3,FALSE))</f>
        <v>3</v>
      </c>
      <c r="I612" s="4" t="str">
        <f>IF(F612="","",VLOOKUP(F612,Productos!$A$2:$F$182,4,FALSE))</f>
        <v>Otros bienes transportables, excepto productos metálicos, maquinaria y equipo</v>
      </c>
      <c r="J612" s="4">
        <f>IF(F612="","",VLOOKUP(F612,Productos!$A$2:$F$182,5,FALSE))</f>
        <v>3</v>
      </c>
      <c r="K612" s="4" t="str">
        <f>IF(F612="","",VLOOKUP(F612,Productos!$A$2:$F$182,6,FALSE))</f>
        <v>Manufacturas</v>
      </c>
      <c r="L612" s="4">
        <v>2</v>
      </c>
      <c r="M612" s="4" t="s">
        <v>142</v>
      </c>
      <c r="N612" s="4">
        <f>VLOOKUP(F612,Productos!$A$2:$J$182,5)</f>
        <v>3</v>
      </c>
      <c r="O612" s="4" t="str">
        <f>VLOOKUP(F612,Productos!$A$2:$J$182,6)</f>
        <v>Manufacturas</v>
      </c>
    </row>
    <row r="613" spans="1:15">
      <c r="A613" s="4" t="s">
        <v>810</v>
      </c>
      <c r="B613" s="4" t="s">
        <v>559</v>
      </c>
      <c r="C613" s="4" t="s">
        <v>560</v>
      </c>
      <c r="D613" s="4" t="s">
        <v>561</v>
      </c>
      <c r="E613" s="4" t="s">
        <v>560</v>
      </c>
      <c r="F613" s="5">
        <v>69</v>
      </c>
      <c r="G613" s="4" t="s">
        <v>152</v>
      </c>
      <c r="H613" s="4" t="str">
        <f>IF(F613="","",VLOOKUP(F613,Productos!$A$2:$F$182,3,FALSE))</f>
        <v>3</v>
      </c>
      <c r="I613" s="4" t="str">
        <f>IF(F613="","",VLOOKUP(F613,Productos!$A$2:$F$182,4,FALSE))</f>
        <v>Otros bienes transportables, excepto productos metálicos, maquinaria y equipo</v>
      </c>
      <c r="J613" s="4">
        <f>IF(F613="","",VLOOKUP(F613,Productos!$A$2:$F$182,5,FALSE))</f>
        <v>3</v>
      </c>
      <c r="K613" s="4" t="str">
        <f>IF(F613="","",VLOOKUP(F613,Productos!$A$2:$F$182,6,FALSE))</f>
        <v>Manufacturas</v>
      </c>
      <c r="L613" s="4">
        <v>2</v>
      </c>
      <c r="M613" s="4" t="s">
        <v>142</v>
      </c>
      <c r="N613" s="4">
        <f>VLOOKUP(F613,Productos!$A$2:$J$182,5)</f>
        <v>3</v>
      </c>
      <c r="O613" s="4" t="str">
        <f>VLOOKUP(F613,Productos!$A$2:$J$182,6)</f>
        <v>Manufacturas</v>
      </c>
    </row>
    <row r="614" spans="1:15">
      <c r="A614" s="4" t="s">
        <v>811</v>
      </c>
      <c r="B614" s="4" t="s">
        <v>559</v>
      </c>
      <c r="C614" s="4" t="s">
        <v>560</v>
      </c>
      <c r="D614" s="4" t="s">
        <v>561</v>
      </c>
      <c r="E614" s="4" t="s">
        <v>560</v>
      </c>
      <c r="F614" s="5">
        <v>70</v>
      </c>
      <c r="G614" s="4" t="s">
        <v>154</v>
      </c>
      <c r="H614" s="4" t="str">
        <f>IF(F614="","",VLOOKUP(F614,Productos!$A$2:$F$182,3,FALSE))</f>
        <v>3</v>
      </c>
      <c r="I614" s="4" t="str">
        <f>IF(F614="","",VLOOKUP(F614,Productos!$A$2:$F$182,4,FALSE))</f>
        <v>Otros bienes transportables, excepto productos metálicos, maquinaria y equipo</v>
      </c>
      <c r="J614" s="4">
        <f>IF(F614="","",VLOOKUP(F614,Productos!$A$2:$F$182,5,FALSE))</f>
        <v>3</v>
      </c>
      <c r="K614" s="4" t="str">
        <f>IF(F614="","",VLOOKUP(F614,Productos!$A$2:$F$182,6,FALSE))</f>
        <v>Manufacturas</v>
      </c>
      <c r="L614" s="4">
        <v>2</v>
      </c>
      <c r="M614" s="4" t="s">
        <v>142</v>
      </c>
      <c r="N614" s="4">
        <f>VLOOKUP(F614,Productos!$A$2:$J$182,5)</f>
        <v>3</v>
      </c>
      <c r="O614" s="4" t="str">
        <f>VLOOKUP(F614,Productos!$A$2:$J$182,6)</f>
        <v>Manufacturas</v>
      </c>
    </row>
    <row r="615" spans="1:15">
      <c r="A615" s="4" t="s">
        <v>812</v>
      </c>
      <c r="B615" s="4" t="s">
        <v>559</v>
      </c>
      <c r="C615" s="4" t="s">
        <v>560</v>
      </c>
      <c r="D615" s="4" t="s">
        <v>561</v>
      </c>
      <c r="E615" s="4" t="s">
        <v>560</v>
      </c>
      <c r="F615" s="5">
        <v>71</v>
      </c>
      <c r="G615" s="4" t="s">
        <v>156</v>
      </c>
      <c r="H615" s="4" t="str">
        <f>IF(F615="","",VLOOKUP(F615,Productos!$A$2:$F$182,3,FALSE))</f>
        <v>3</v>
      </c>
      <c r="I615" s="4" t="str">
        <f>IF(F615="","",VLOOKUP(F615,Productos!$A$2:$F$182,4,FALSE))</f>
        <v>Otros bienes transportables, excepto productos metálicos, maquinaria y equipo</v>
      </c>
      <c r="J615" s="4">
        <f>IF(F615="","",VLOOKUP(F615,Productos!$A$2:$F$182,5,FALSE))</f>
        <v>3</v>
      </c>
      <c r="K615" s="4" t="str">
        <f>IF(F615="","",VLOOKUP(F615,Productos!$A$2:$F$182,6,FALSE))</f>
        <v>Manufacturas</v>
      </c>
      <c r="L615" s="4">
        <v>2</v>
      </c>
      <c r="M615" s="4" t="s">
        <v>142</v>
      </c>
      <c r="N615" s="4">
        <f>VLOOKUP(F615,Productos!$A$2:$J$182,5)</f>
        <v>3</v>
      </c>
      <c r="O615" s="4" t="str">
        <f>VLOOKUP(F615,Productos!$A$2:$J$182,6)</f>
        <v>Manufacturas</v>
      </c>
    </row>
    <row r="616" spans="1:15">
      <c r="A616" s="4" t="s">
        <v>813</v>
      </c>
      <c r="B616" s="4" t="s">
        <v>559</v>
      </c>
      <c r="C616" s="4" t="s">
        <v>560</v>
      </c>
      <c r="D616" s="4" t="s">
        <v>561</v>
      </c>
      <c r="E616" s="4" t="s">
        <v>560</v>
      </c>
      <c r="F616" s="5">
        <v>72</v>
      </c>
      <c r="G616" s="4" t="s">
        <v>158</v>
      </c>
      <c r="H616" s="4" t="str">
        <f>IF(F616="","",VLOOKUP(F616,Productos!$A$2:$F$182,3,FALSE))</f>
        <v>3</v>
      </c>
      <c r="I616" s="4" t="str">
        <f>IF(F616="","",VLOOKUP(F616,Productos!$A$2:$F$182,4,FALSE))</f>
        <v>Otros bienes transportables, excepto productos metálicos, maquinaria y equipo</v>
      </c>
      <c r="J616" s="4">
        <f>IF(F616="","",VLOOKUP(F616,Productos!$A$2:$F$182,5,FALSE))</f>
        <v>3</v>
      </c>
      <c r="K616" s="4" t="str">
        <f>IF(F616="","",VLOOKUP(F616,Productos!$A$2:$F$182,6,FALSE))</f>
        <v>Manufacturas</v>
      </c>
      <c r="L616" s="4">
        <v>2</v>
      </c>
      <c r="M616" s="4" t="s">
        <v>142</v>
      </c>
      <c r="N616" s="4">
        <f>VLOOKUP(F616,Productos!$A$2:$J$182,5)</f>
        <v>3</v>
      </c>
      <c r="O616" s="4" t="str">
        <f>VLOOKUP(F616,Productos!$A$2:$J$182,6)</f>
        <v>Manufacturas</v>
      </c>
    </row>
    <row r="617" spans="1:15">
      <c r="A617" s="4" t="s">
        <v>814</v>
      </c>
      <c r="B617" s="4" t="s">
        <v>559</v>
      </c>
      <c r="C617" s="4" t="s">
        <v>560</v>
      </c>
      <c r="D617" s="4" t="s">
        <v>561</v>
      </c>
      <c r="E617" s="4" t="s">
        <v>560</v>
      </c>
      <c r="F617" s="5">
        <v>73</v>
      </c>
      <c r="G617" s="4" t="s">
        <v>160</v>
      </c>
      <c r="H617" s="4" t="str">
        <f>IF(F617="","",VLOOKUP(F617,Productos!$A$2:$F$182,3,FALSE))</f>
        <v>3</v>
      </c>
      <c r="I617" s="4" t="str">
        <f>IF(F617="","",VLOOKUP(F617,Productos!$A$2:$F$182,4,FALSE))</f>
        <v>Otros bienes transportables, excepto productos metálicos, maquinaria y equipo</v>
      </c>
      <c r="J617" s="4">
        <f>IF(F617="","",VLOOKUP(F617,Productos!$A$2:$F$182,5,FALSE))</f>
        <v>3</v>
      </c>
      <c r="K617" s="4" t="str">
        <f>IF(F617="","",VLOOKUP(F617,Productos!$A$2:$F$182,6,FALSE))</f>
        <v>Manufacturas</v>
      </c>
      <c r="L617" s="4">
        <v>2</v>
      </c>
      <c r="M617" s="4" t="s">
        <v>142</v>
      </c>
      <c r="N617" s="4">
        <f>VLOOKUP(F617,Productos!$A$2:$J$182,5)</f>
        <v>3</v>
      </c>
      <c r="O617" s="4" t="str">
        <f>VLOOKUP(F617,Productos!$A$2:$J$182,6)</f>
        <v>Manufacturas</v>
      </c>
    </row>
    <row r="618" spans="1:15">
      <c r="A618" s="4" t="s">
        <v>815</v>
      </c>
      <c r="B618" s="4" t="s">
        <v>559</v>
      </c>
      <c r="C618" s="4" t="s">
        <v>560</v>
      </c>
      <c r="D618" s="4" t="s">
        <v>561</v>
      </c>
      <c r="E618" s="4" t="s">
        <v>560</v>
      </c>
      <c r="F618" s="5">
        <v>74</v>
      </c>
      <c r="G618" s="4" t="s">
        <v>162</v>
      </c>
      <c r="H618" s="4" t="str">
        <f>IF(F618="","",VLOOKUP(F618,Productos!$A$2:$F$182,3,FALSE))</f>
        <v>3</v>
      </c>
      <c r="I618" s="4" t="str">
        <f>IF(F618="","",VLOOKUP(F618,Productos!$A$2:$F$182,4,FALSE))</f>
        <v>Otros bienes transportables, excepto productos metálicos, maquinaria y equipo</v>
      </c>
      <c r="J618" s="4">
        <f>IF(F618="","",VLOOKUP(F618,Productos!$A$2:$F$182,5,FALSE))</f>
        <v>3</v>
      </c>
      <c r="K618" s="4" t="str">
        <f>IF(F618="","",VLOOKUP(F618,Productos!$A$2:$F$182,6,FALSE))</f>
        <v>Manufacturas</v>
      </c>
      <c r="L618" s="4">
        <v>2</v>
      </c>
      <c r="M618" s="4" t="s">
        <v>142</v>
      </c>
      <c r="N618" s="4">
        <f>VLOOKUP(F618,Productos!$A$2:$J$182,5)</f>
        <v>3</v>
      </c>
      <c r="O618" s="4" t="str">
        <f>VLOOKUP(F618,Productos!$A$2:$J$182,6)</f>
        <v>Manufacturas</v>
      </c>
    </row>
    <row r="619" spans="1:15">
      <c r="A619" s="4" t="s">
        <v>816</v>
      </c>
      <c r="B619" s="4" t="s">
        <v>559</v>
      </c>
      <c r="C619" s="4" t="s">
        <v>560</v>
      </c>
      <c r="D619" s="4" t="s">
        <v>561</v>
      </c>
      <c r="E619" s="4" t="s">
        <v>560</v>
      </c>
      <c r="F619" s="5">
        <v>75</v>
      </c>
      <c r="G619" s="4" t="s">
        <v>164</v>
      </c>
      <c r="H619" s="4" t="str">
        <f>IF(F619="","",VLOOKUP(F619,Productos!$A$2:$F$182,3,FALSE))</f>
        <v>3</v>
      </c>
      <c r="I619" s="4" t="str">
        <f>IF(F619="","",VLOOKUP(F619,Productos!$A$2:$F$182,4,FALSE))</f>
        <v>Otros bienes transportables, excepto productos metálicos, maquinaria y equipo</v>
      </c>
      <c r="J619" s="4">
        <f>IF(F619="","",VLOOKUP(F619,Productos!$A$2:$F$182,5,FALSE))</f>
        <v>3</v>
      </c>
      <c r="K619" s="4" t="str">
        <f>IF(F619="","",VLOOKUP(F619,Productos!$A$2:$F$182,6,FALSE))</f>
        <v>Manufacturas</v>
      </c>
      <c r="L619" s="4">
        <v>2</v>
      </c>
      <c r="M619" s="4" t="s">
        <v>142</v>
      </c>
      <c r="N619" s="4">
        <f>VLOOKUP(F619,Productos!$A$2:$J$182,5)</f>
        <v>3</v>
      </c>
      <c r="O619" s="4" t="str">
        <f>VLOOKUP(F619,Productos!$A$2:$J$182,6)</f>
        <v>Manufacturas</v>
      </c>
    </row>
    <row r="620" spans="1:15">
      <c r="A620" s="4" t="s">
        <v>817</v>
      </c>
      <c r="B620" s="4" t="s">
        <v>559</v>
      </c>
      <c r="C620" s="4" t="s">
        <v>560</v>
      </c>
      <c r="D620" s="4" t="s">
        <v>561</v>
      </c>
      <c r="E620" s="4" t="s">
        <v>560</v>
      </c>
      <c r="F620" s="5">
        <v>76</v>
      </c>
      <c r="G620" s="4" t="s">
        <v>166</v>
      </c>
      <c r="H620" s="4" t="str">
        <f>IF(F620="","",VLOOKUP(F620,Productos!$A$2:$F$182,3,FALSE))</f>
        <v>3</v>
      </c>
      <c r="I620" s="4" t="str">
        <f>IF(F620="","",VLOOKUP(F620,Productos!$A$2:$F$182,4,FALSE))</f>
        <v>Otros bienes transportables, excepto productos metálicos, maquinaria y equipo</v>
      </c>
      <c r="J620" s="4">
        <f>IF(F620="","",VLOOKUP(F620,Productos!$A$2:$F$182,5,FALSE))</f>
        <v>3</v>
      </c>
      <c r="K620" s="4" t="str">
        <f>IF(F620="","",VLOOKUP(F620,Productos!$A$2:$F$182,6,FALSE))</f>
        <v>Manufacturas</v>
      </c>
      <c r="L620" s="4">
        <v>3</v>
      </c>
      <c r="M620" s="4" t="s">
        <v>67</v>
      </c>
      <c r="N620" s="4">
        <f>VLOOKUP(F620,Productos!$A$2:$J$182,5)</f>
        <v>3</v>
      </c>
      <c r="O620" s="4" t="str">
        <f>VLOOKUP(F620,Productos!$A$2:$J$182,6)</f>
        <v>Manufacturas</v>
      </c>
    </row>
    <row r="621" spans="1:15">
      <c r="A621" s="4" t="s">
        <v>818</v>
      </c>
      <c r="B621" s="4" t="s">
        <v>559</v>
      </c>
      <c r="C621" s="4" t="s">
        <v>560</v>
      </c>
      <c r="D621" s="4" t="s">
        <v>561</v>
      </c>
      <c r="E621" s="4" t="s">
        <v>560</v>
      </c>
      <c r="F621" s="5">
        <v>77</v>
      </c>
      <c r="G621" s="4" t="s">
        <v>168</v>
      </c>
      <c r="H621" s="4" t="str">
        <f>IF(F621="","",VLOOKUP(F621,Productos!$A$2:$F$182,3,FALSE))</f>
        <v>3</v>
      </c>
      <c r="I621" s="4" t="str">
        <f>IF(F621="","",VLOOKUP(F621,Productos!$A$2:$F$182,4,FALSE))</f>
        <v>Otros bienes transportables, excepto productos metálicos, maquinaria y equipo</v>
      </c>
      <c r="J621" s="4">
        <f>IF(F621="","",VLOOKUP(F621,Productos!$A$2:$F$182,5,FALSE))</f>
        <v>3</v>
      </c>
      <c r="K621" s="4" t="str">
        <f>IF(F621="","",VLOOKUP(F621,Productos!$A$2:$F$182,6,FALSE))</f>
        <v>Manufacturas</v>
      </c>
      <c r="L621" s="4">
        <v>3</v>
      </c>
      <c r="M621" s="4" t="s">
        <v>67</v>
      </c>
      <c r="N621" s="4">
        <f>VLOOKUP(F621,Productos!$A$2:$J$182,5)</f>
        <v>3</v>
      </c>
      <c r="O621" s="4" t="str">
        <f>VLOOKUP(F621,Productos!$A$2:$J$182,6)</f>
        <v>Manufacturas</v>
      </c>
    </row>
    <row r="622" spans="1:15">
      <c r="A622" s="4" t="s">
        <v>819</v>
      </c>
      <c r="B622" s="4" t="s">
        <v>559</v>
      </c>
      <c r="C622" s="4" t="s">
        <v>560</v>
      </c>
      <c r="D622" s="4" t="s">
        <v>561</v>
      </c>
      <c r="E622" s="4" t="s">
        <v>560</v>
      </c>
      <c r="F622" s="5">
        <v>78</v>
      </c>
      <c r="G622" s="4" t="s">
        <v>170</v>
      </c>
      <c r="H622" s="4" t="str">
        <f>IF(F622="","",VLOOKUP(F622,Productos!$A$2:$F$182,3,FALSE))</f>
        <v>3</v>
      </c>
      <c r="I622" s="4" t="str">
        <f>IF(F622="","",VLOOKUP(F622,Productos!$A$2:$F$182,4,FALSE))</f>
        <v>Otros bienes transportables, excepto productos metálicos, maquinaria y equipo</v>
      </c>
      <c r="J622" s="4">
        <f>IF(F622="","",VLOOKUP(F622,Productos!$A$2:$F$182,5,FALSE))</f>
        <v>3</v>
      </c>
      <c r="K622" s="4" t="str">
        <f>IF(F622="","",VLOOKUP(F622,Productos!$A$2:$F$182,6,FALSE))</f>
        <v>Manufacturas</v>
      </c>
      <c r="L622" s="4">
        <v>3</v>
      </c>
      <c r="M622" s="4" t="s">
        <v>67</v>
      </c>
      <c r="N622" s="4">
        <f>VLOOKUP(F622,Productos!$A$2:$J$182,5)</f>
        <v>3</v>
      </c>
      <c r="O622" s="4" t="str">
        <f>VLOOKUP(F622,Productos!$A$2:$J$182,6)</f>
        <v>Manufacturas</v>
      </c>
    </row>
    <row r="623" spans="1:15">
      <c r="A623" s="4" t="s">
        <v>820</v>
      </c>
      <c r="B623" s="4" t="s">
        <v>559</v>
      </c>
      <c r="C623" s="4" t="s">
        <v>560</v>
      </c>
      <c r="D623" s="4" t="s">
        <v>561</v>
      </c>
      <c r="E623" s="4" t="s">
        <v>560</v>
      </c>
      <c r="F623" s="5">
        <v>79</v>
      </c>
      <c r="G623" s="4" t="s">
        <v>172</v>
      </c>
      <c r="H623" s="4" t="str">
        <f>IF(F623="","",VLOOKUP(F623,Productos!$A$2:$F$182,3,FALSE))</f>
        <v>3</v>
      </c>
      <c r="I623" s="4" t="str">
        <f>IF(F623="","",VLOOKUP(F623,Productos!$A$2:$F$182,4,FALSE))</f>
        <v>Otros bienes transportables, excepto productos metálicos, maquinaria y equipo</v>
      </c>
      <c r="J623" s="4">
        <f>IF(F623="","",VLOOKUP(F623,Productos!$A$2:$F$182,5,FALSE))</f>
        <v>3</v>
      </c>
      <c r="K623" s="4" t="str">
        <f>IF(F623="","",VLOOKUP(F623,Productos!$A$2:$F$182,6,FALSE))</f>
        <v>Manufacturas</v>
      </c>
      <c r="L623" s="4">
        <v>3</v>
      </c>
      <c r="M623" s="4" t="s">
        <v>67</v>
      </c>
      <c r="N623" s="4">
        <f>VLOOKUP(F623,Productos!$A$2:$J$182,5)</f>
        <v>3</v>
      </c>
      <c r="O623" s="4" t="str">
        <f>VLOOKUP(F623,Productos!$A$2:$J$182,6)</f>
        <v>Manufacturas</v>
      </c>
    </row>
    <row r="624" spans="1:15">
      <c r="A624" s="4" t="s">
        <v>821</v>
      </c>
      <c r="B624" s="4" t="s">
        <v>559</v>
      </c>
      <c r="C624" s="4" t="s">
        <v>560</v>
      </c>
      <c r="D624" s="4" t="s">
        <v>561</v>
      </c>
      <c r="E624" s="4" t="s">
        <v>560</v>
      </c>
      <c r="F624" s="5">
        <v>80</v>
      </c>
      <c r="G624" s="4" t="s">
        <v>174</v>
      </c>
      <c r="H624" s="4" t="str">
        <f>IF(F624="","",VLOOKUP(F624,Productos!$A$2:$F$182,3,FALSE))</f>
        <v>3</v>
      </c>
      <c r="I624" s="4" t="str">
        <f>IF(F624="","",VLOOKUP(F624,Productos!$A$2:$F$182,4,FALSE))</f>
        <v>Otros bienes transportables, excepto productos metálicos, maquinaria y equipo</v>
      </c>
      <c r="J624" s="4">
        <f>IF(F624="","",VLOOKUP(F624,Productos!$A$2:$F$182,5,FALSE))</f>
        <v>3</v>
      </c>
      <c r="K624" s="4" t="str">
        <f>IF(F624="","",VLOOKUP(F624,Productos!$A$2:$F$182,6,FALSE))</f>
        <v>Manufacturas</v>
      </c>
      <c r="L624" s="4">
        <v>3</v>
      </c>
      <c r="M624" s="4" t="s">
        <v>67</v>
      </c>
      <c r="N624" s="4">
        <f>VLOOKUP(F624,Productos!$A$2:$J$182,5)</f>
        <v>3</v>
      </c>
      <c r="O624" s="4" t="str">
        <f>VLOOKUP(F624,Productos!$A$2:$J$182,6)</f>
        <v>Manufacturas</v>
      </c>
    </row>
    <row r="625" spans="1:15">
      <c r="A625" s="4" t="s">
        <v>822</v>
      </c>
      <c r="B625" s="4" t="s">
        <v>559</v>
      </c>
      <c r="C625" s="4" t="s">
        <v>560</v>
      </c>
      <c r="D625" s="4" t="s">
        <v>561</v>
      </c>
      <c r="E625" s="4" t="s">
        <v>560</v>
      </c>
      <c r="F625" s="5">
        <v>81</v>
      </c>
      <c r="G625" s="4" t="s">
        <v>176</v>
      </c>
      <c r="H625" s="4" t="str">
        <f>IF(F625="","",VLOOKUP(F625,Productos!$A$2:$F$182,3,FALSE))</f>
        <v>3</v>
      </c>
      <c r="I625" s="4" t="str">
        <f>IF(F625="","",VLOOKUP(F625,Productos!$A$2:$F$182,4,FALSE))</f>
        <v>Otros bienes transportables, excepto productos metálicos, maquinaria y equipo</v>
      </c>
      <c r="J625" s="4">
        <f>IF(F625="","",VLOOKUP(F625,Productos!$A$2:$F$182,5,FALSE))</f>
        <v>3</v>
      </c>
      <c r="K625" s="4" t="str">
        <f>IF(F625="","",VLOOKUP(F625,Productos!$A$2:$F$182,6,FALSE))</f>
        <v>Manufacturas</v>
      </c>
      <c r="L625" s="4">
        <v>3</v>
      </c>
      <c r="M625" s="4" t="s">
        <v>67</v>
      </c>
      <c r="N625" s="4">
        <f>VLOOKUP(F625,Productos!$A$2:$J$182,5)</f>
        <v>3</v>
      </c>
      <c r="O625" s="4" t="str">
        <f>VLOOKUP(F625,Productos!$A$2:$J$182,6)</f>
        <v>Manufacturas</v>
      </c>
    </row>
    <row r="626" spans="1:15">
      <c r="A626" s="4" t="s">
        <v>823</v>
      </c>
      <c r="B626" s="4" t="s">
        <v>559</v>
      </c>
      <c r="C626" s="4" t="s">
        <v>560</v>
      </c>
      <c r="D626" s="4" t="s">
        <v>561</v>
      </c>
      <c r="E626" s="4" t="s">
        <v>560</v>
      </c>
      <c r="F626" s="5">
        <v>82</v>
      </c>
      <c r="G626" s="4" t="s">
        <v>178</v>
      </c>
      <c r="H626" s="4" t="str">
        <f>IF(F626="","",VLOOKUP(F626,Productos!$A$2:$F$182,3,FALSE))</f>
        <v>3</v>
      </c>
      <c r="I626" s="4" t="str">
        <f>IF(F626="","",VLOOKUP(F626,Productos!$A$2:$F$182,4,FALSE))</f>
        <v>Otros bienes transportables, excepto productos metálicos, maquinaria y equipo</v>
      </c>
      <c r="J626" s="4">
        <f>IF(F626="","",VLOOKUP(F626,Productos!$A$2:$F$182,5,FALSE))</f>
        <v>3</v>
      </c>
      <c r="K626" s="4" t="str">
        <f>IF(F626="","",VLOOKUP(F626,Productos!$A$2:$F$182,6,FALSE))</f>
        <v>Manufacturas</v>
      </c>
      <c r="L626" s="4">
        <v>2</v>
      </c>
      <c r="M626" s="4" t="s">
        <v>142</v>
      </c>
      <c r="N626" s="4">
        <f>VLOOKUP(F626,Productos!$A$2:$J$182,5)</f>
        <v>3</v>
      </c>
      <c r="O626" s="4" t="str">
        <f>VLOOKUP(F626,Productos!$A$2:$J$182,6)</f>
        <v>Manufacturas</v>
      </c>
    </row>
    <row r="627" spans="1:15">
      <c r="A627" s="4" t="s">
        <v>824</v>
      </c>
      <c r="B627" s="4" t="s">
        <v>559</v>
      </c>
      <c r="C627" s="4" t="s">
        <v>560</v>
      </c>
      <c r="D627" s="4" t="s">
        <v>561</v>
      </c>
      <c r="E627" s="4" t="s">
        <v>560</v>
      </c>
      <c r="F627" s="5">
        <v>83</v>
      </c>
      <c r="G627" s="4" t="s">
        <v>180</v>
      </c>
      <c r="H627" s="4" t="str">
        <f>IF(F627="","",VLOOKUP(F627,Productos!$A$2:$F$182,3,FALSE))</f>
        <v>3</v>
      </c>
      <c r="I627" s="4" t="str">
        <f>IF(F627="","",VLOOKUP(F627,Productos!$A$2:$F$182,4,FALSE))</f>
        <v>Otros bienes transportables, excepto productos metálicos, maquinaria y equipo</v>
      </c>
      <c r="J627" s="4">
        <f>IF(F627="","",VLOOKUP(F627,Productos!$A$2:$F$182,5,FALSE))</f>
        <v>3</v>
      </c>
      <c r="K627" s="4" t="str">
        <f>IF(F627="","",VLOOKUP(F627,Productos!$A$2:$F$182,6,FALSE))</f>
        <v>Manufacturas</v>
      </c>
      <c r="L627" s="4">
        <v>3</v>
      </c>
      <c r="M627" s="4" t="s">
        <v>67</v>
      </c>
      <c r="N627" s="4">
        <f>VLOOKUP(F627,Productos!$A$2:$J$182,5)</f>
        <v>3</v>
      </c>
      <c r="O627" s="4" t="str">
        <f>VLOOKUP(F627,Productos!$A$2:$J$182,6)</f>
        <v>Manufacturas</v>
      </c>
    </row>
    <row r="628" spans="1:15">
      <c r="A628" s="4" t="s">
        <v>825</v>
      </c>
      <c r="B628" s="4" t="s">
        <v>559</v>
      </c>
      <c r="C628" s="4" t="s">
        <v>560</v>
      </c>
      <c r="D628" s="4" t="s">
        <v>561</v>
      </c>
      <c r="E628" s="4" t="s">
        <v>560</v>
      </c>
      <c r="F628" s="5">
        <v>84</v>
      </c>
      <c r="G628" s="4" t="s">
        <v>182</v>
      </c>
      <c r="H628" s="4" t="str">
        <f>IF(F628="","",VLOOKUP(F628,Productos!$A$2:$F$182,3,FALSE))</f>
        <v>3</v>
      </c>
      <c r="I628" s="4" t="str">
        <f>IF(F628="","",VLOOKUP(F628,Productos!$A$2:$F$182,4,FALSE))</f>
        <v>Otros bienes transportables, excepto productos metálicos, maquinaria y equipo</v>
      </c>
      <c r="J628" s="4">
        <f>IF(F628="","",VLOOKUP(F628,Productos!$A$2:$F$182,5,FALSE))</f>
        <v>3</v>
      </c>
      <c r="K628" s="4" t="str">
        <f>IF(F628="","",VLOOKUP(F628,Productos!$A$2:$F$182,6,FALSE))</f>
        <v>Manufacturas</v>
      </c>
      <c r="L628" s="4">
        <v>3</v>
      </c>
      <c r="M628" s="4" t="s">
        <v>67</v>
      </c>
      <c r="N628" s="4">
        <f>VLOOKUP(F628,Productos!$A$2:$J$182,5)</f>
        <v>3</v>
      </c>
      <c r="O628" s="4" t="str">
        <f>VLOOKUP(F628,Productos!$A$2:$J$182,6)</f>
        <v>Manufacturas</v>
      </c>
    </row>
    <row r="629" spans="1:15">
      <c r="A629" s="4" t="s">
        <v>826</v>
      </c>
      <c r="B629" s="4" t="s">
        <v>559</v>
      </c>
      <c r="C629" s="4" t="s">
        <v>560</v>
      </c>
      <c r="D629" s="4" t="s">
        <v>561</v>
      </c>
      <c r="E629" s="4" t="s">
        <v>560</v>
      </c>
      <c r="F629" s="5">
        <v>85</v>
      </c>
      <c r="G629" s="4" t="s">
        <v>184</v>
      </c>
      <c r="H629" s="4" t="str">
        <f>IF(F629="","",VLOOKUP(F629,Productos!$A$2:$F$182,3,FALSE))</f>
        <v>3</v>
      </c>
      <c r="I629" s="4" t="str">
        <f>IF(F629="","",VLOOKUP(F629,Productos!$A$2:$F$182,4,FALSE))</f>
        <v>Otros bienes transportables, excepto productos metálicos, maquinaria y equipo</v>
      </c>
      <c r="J629" s="4">
        <f>IF(F629="","",VLOOKUP(F629,Productos!$A$2:$F$182,5,FALSE))</f>
        <v>3</v>
      </c>
      <c r="K629" s="4" t="str">
        <f>IF(F629="","",VLOOKUP(F629,Productos!$A$2:$F$182,6,FALSE))</f>
        <v>Manufacturas</v>
      </c>
      <c r="L629" s="4">
        <v>3</v>
      </c>
      <c r="M629" s="4" t="s">
        <v>67</v>
      </c>
      <c r="N629" s="4">
        <f>VLOOKUP(F629,Productos!$A$2:$J$182,5)</f>
        <v>3</v>
      </c>
      <c r="O629" s="4" t="str">
        <f>VLOOKUP(F629,Productos!$A$2:$J$182,6)</f>
        <v>Manufacturas</v>
      </c>
    </row>
    <row r="630" spans="1:15">
      <c r="A630" s="4" t="s">
        <v>827</v>
      </c>
      <c r="B630" s="4" t="s">
        <v>559</v>
      </c>
      <c r="C630" s="4" t="s">
        <v>560</v>
      </c>
      <c r="D630" s="4" t="s">
        <v>561</v>
      </c>
      <c r="E630" s="4" t="s">
        <v>560</v>
      </c>
      <c r="F630" s="5">
        <v>86</v>
      </c>
      <c r="G630" s="4" t="s">
        <v>186</v>
      </c>
      <c r="H630" s="4" t="str">
        <f>IF(F630="","",VLOOKUP(F630,Productos!$A$2:$F$182,3,FALSE))</f>
        <v>3</v>
      </c>
      <c r="I630" s="4" t="str">
        <f>IF(F630="","",VLOOKUP(F630,Productos!$A$2:$F$182,4,FALSE))</f>
        <v>Otros bienes transportables, excepto productos metálicos, maquinaria y equipo</v>
      </c>
      <c r="J630" s="4">
        <f>IF(F630="","",VLOOKUP(F630,Productos!$A$2:$F$182,5,FALSE))</f>
        <v>3</v>
      </c>
      <c r="K630" s="4" t="str">
        <f>IF(F630="","",VLOOKUP(F630,Productos!$A$2:$F$182,6,FALSE))</f>
        <v>Manufacturas</v>
      </c>
      <c r="L630" s="4">
        <v>2</v>
      </c>
      <c r="M630" s="4" t="s">
        <v>142</v>
      </c>
      <c r="N630" s="4">
        <f>VLOOKUP(F630,Productos!$A$2:$J$182,5)</f>
        <v>3</v>
      </c>
      <c r="O630" s="4" t="str">
        <f>VLOOKUP(F630,Productos!$A$2:$J$182,6)</f>
        <v>Manufacturas</v>
      </c>
    </row>
    <row r="631" spans="1:15">
      <c r="A631" s="4" t="s">
        <v>828</v>
      </c>
      <c r="B631" s="4" t="s">
        <v>559</v>
      </c>
      <c r="C631" s="4" t="s">
        <v>560</v>
      </c>
      <c r="D631" s="4" t="s">
        <v>561</v>
      </c>
      <c r="E631" s="4" t="s">
        <v>560</v>
      </c>
      <c r="F631" s="5">
        <v>87</v>
      </c>
      <c r="G631" s="4" t="s">
        <v>188</v>
      </c>
      <c r="H631" s="4" t="str">
        <f>IF(F631="","",VLOOKUP(F631,Productos!$A$2:$F$182,3,FALSE))</f>
        <v>3</v>
      </c>
      <c r="I631" s="4" t="str">
        <f>IF(F631="","",VLOOKUP(F631,Productos!$A$2:$F$182,4,FALSE))</f>
        <v>Otros bienes transportables, excepto productos metálicos, maquinaria y equipo</v>
      </c>
      <c r="J631" s="4">
        <f>IF(F631="","",VLOOKUP(F631,Productos!$A$2:$F$182,5,FALSE))</f>
        <v>3</v>
      </c>
      <c r="K631" s="4" t="str">
        <f>IF(F631="","",VLOOKUP(F631,Productos!$A$2:$F$182,6,FALSE))</f>
        <v>Manufacturas</v>
      </c>
      <c r="L631" s="4">
        <v>2</v>
      </c>
      <c r="M631" s="4" t="s">
        <v>142</v>
      </c>
      <c r="N631" s="4">
        <f>VLOOKUP(F631,Productos!$A$2:$J$182,5)</f>
        <v>3</v>
      </c>
      <c r="O631" s="4" t="str">
        <f>VLOOKUP(F631,Productos!$A$2:$J$182,6)</f>
        <v>Manufacturas</v>
      </c>
    </row>
    <row r="632" spans="1:15">
      <c r="A632" s="4" t="s">
        <v>829</v>
      </c>
      <c r="B632" s="4" t="s">
        <v>559</v>
      </c>
      <c r="C632" s="4" t="s">
        <v>560</v>
      </c>
      <c r="D632" s="4" t="s">
        <v>561</v>
      </c>
      <c r="E632" s="4" t="s">
        <v>560</v>
      </c>
      <c r="F632" s="5">
        <v>88</v>
      </c>
      <c r="G632" s="4" t="s">
        <v>190</v>
      </c>
      <c r="H632" s="4" t="str">
        <f>IF(F632="","",VLOOKUP(F632,Productos!$A$2:$F$182,3,FALSE))</f>
        <v>3</v>
      </c>
      <c r="I632" s="4" t="str">
        <f>IF(F632="","",VLOOKUP(F632,Productos!$A$2:$F$182,4,FALSE))</f>
        <v>Otros bienes transportables, excepto productos metálicos, maquinaria y equipo</v>
      </c>
      <c r="J632" s="4">
        <f>IF(F632="","",VLOOKUP(F632,Productos!$A$2:$F$182,5,FALSE))</f>
        <v>3</v>
      </c>
      <c r="K632" s="4" t="str">
        <f>IF(F632="","",VLOOKUP(F632,Productos!$A$2:$F$182,6,FALSE))</f>
        <v>Manufacturas</v>
      </c>
      <c r="L632" s="4">
        <v>3</v>
      </c>
      <c r="M632" s="4" t="s">
        <v>67</v>
      </c>
      <c r="N632" s="4">
        <f>VLOOKUP(F632,Productos!$A$2:$J$182,5)</f>
        <v>3</v>
      </c>
      <c r="O632" s="4" t="str">
        <f>VLOOKUP(F632,Productos!$A$2:$J$182,6)</f>
        <v>Manufacturas</v>
      </c>
    </row>
    <row r="633" spans="1:15">
      <c r="A633" s="4" t="s">
        <v>830</v>
      </c>
      <c r="B633" s="4" t="s">
        <v>559</v>
      </c>
      <c r="C633" s="4" t="s">
        <v>560</v>
      </c>
      <c r="D633" s="4" t="s">
        <v>561</v>
      </c>
      <c r="E633" s="4" t="s">
        <v>560</v>
      </c>
      <c r="F633" s="5">
        <v>89</v>
      </c>
      <c r="G633" s="4" t="s">
        <v>192</v>
      </c>
      <c r="H633" s="4" t="str">
        <f>IF(F633="","",VLOOKUP(F633,Productos!$A$2:$F$182,3,FALSE))</f>
        <v>3</v>
      </c>
      <c r="I633" s="4" t="str">
        <f>IF(F633="","",VLOOKUP(F633,Productos!$A$2:$F$182,4,FALSE))</f>
        <v>Otros bienes transportables, excepto productos metálicos, maquinaria y equipo</v>
      </c>
      <c r="J633" s="4">
        <f>IF(F633="","",VLOOKUP(F633,Productos!$A$2:$F$182,5,FALSE))</f>
        <v>3</v>
      </c>
      <c r="K633" s="4" t="str">
        <f>IF(F633="","",VLOOKUP(F633,Productos!$A$2:$F$182,6,FALSE))</f>
        <v>Manufacturas</v>
      </c>
      <c r="L633" s="4">
        <v>3</v>
      </c>
      <c r="M633" s="4" t="s">
        <v>67</v>
      </c>
      <c r="N633" s="4">
        <f>VLOOKUP(F633,Productos!$A$2:$J$182,5)</f>
        <v>3</v>
      </c>
      <c r="O633" s="4" t="str">
        <f>VLOOKUP(F633,Productos!$A$2:$J$182,6)</f>
        <v>Manufacturas</v>
      </c>
    </row>
    <row r="634" spans="1:15">
      <c r="A634" s="4" t="s">
        <v>831</v>
      </c>
      <c r="B634" s="4" t="s">
        <v>559</v>
      </c>
      <c r="C634" s="4" t="s">
        <v>560</v>
      </c>
      <c r="D634" s="4" t="s">
        <v>561</v>
      </c>
      <c r="E634" s="4" t="s">
        <v>560</v>
      </c>
      <c r="F634" s="5">
        <v>90</v>
      </c>
      <c r="G634" s="4" t="s">
        <v>194</v>
      </c>
      <c r="H634" s="4" t="str">
        <f>IF(F634="","",VLOOKUP(F634,Productos!$A$2:$F$182,3,FALSE))</f>
        <v>3</v>
      </c>
      <c r="I634" s="4" t="str">
        <f>IF(F634="","",VLOOKUP(F634,Productos!$A$2:$F$182,4,FALSE))</f>
        <v>Otros bienes transportables, excepto productos metálicos, maquinaria y equipo</v>
      </c>
      <c r="J634" s="4">
        <f>IF(F634="","",VLOOKUP(F634,Productos!$A$2:$F$182,5,FALSE))</f>
        <v>3</v>
      </c>
      <c r="K634" s="4" t="str">
        <f>IF(F634="","",VLOOKUP(F634,Productos!$A$2:$F$182,6,FALSE))</f>
        <v>Manufacturas</v>
      </c>
      <c r="L634" s="4">
        <v>3</v>
      </c>
      <c r="M634" s="4" t="s">
        <v>67</v>
      </c>
      <c r="N634" s="4">
        <f>VLOOKUP(F634,Productos!$A$2:$J$182,5)</f>
        <v>3</v>
      </c>
      <c r="O634" s="4" t="str">
        <f>VLOOKUP(F634,Productos!$A$2:$J$182,6)</f>
        <v>Manufacturas</v>
      </c>
    </row>
    <row r="635" spans="1:15">
      <c r="A635" s="4" t="s">
        <v>832</v>
      </c>
      <c r="B635" s="4" t="s">
        <v>559</v>
      </c>
      <c r="C635" s="4" t="s">
        <v>560</v>
      </c>
      <c r="D635" s="4" t="s">
        <v>561</v>
      </c>
      <c r="E635" s="4" t="s">
        <v>560</v>
      </c>
      <c r="F635" s="5">
        <v>91</v>
      </c>
      <c r="G635" s="4" t="s">
        <v>196</v>
      </c>
      <c r="H635" s="4" t="str">
        <f>IF(F635="","",VLOOKUP(F635,Productos!$A$2:$F$182,3,FALSE))</f>
        <v>3</v>
      </c>
      <c r="I635" s="4" t="str">
        <f>IF(F635="","",VLOOKUP(F635,Productos!$A$2:$F$182,4,FALSE))</f>
        <v>Otros bienes transportables, excepto productos metálicos, maquinaria y equipo</v>
      </c>
      <c r="J635" s="4">
        <f>IF(F635="","",VLOOKUP(F635,Productos!$A$2:$F$182,5,FALSE))</f>
        <v>3</v>
      </c>
      <c r="K635" s="4" t="str">
        <f>IF(F635="","",VLOOKUP(F635,Productos!$A$2:$F$182,6,FALSE))</f>
        <v>Manufacturas</v>
      </c>
      <c r="L635" s="4">
        <v>3</v>
      </c>
      <c r="M635" s="4" t="s">
        <v>67</v>
      </c>
      <c r="N635" s="4">
        <f>VLOOKUP(F635,Productos!$A$2:$J$182,5)</f>
        <v>3</v>
      </c>
      <c r="O635" s="4" t="str">
        <f>VLOOKUP(F635,Productos!$A$2:$J$182,6)</f>
        <v>Manufacturas</v>
      </c>
    </row>
    <row r="636" spans="1:15">
      <c r="A636" s="4" t="s">
        <v>833</v>
      </c>
      <c r="B636" s="4" t="s">
        <v>559</v>
      </c>
      <c r="C636" s="4" t="s">
        <v>560</v>
      </c>
      <c r="D636" s="4" t="s">
        <v>561</v>
      </c>
      <c r="E636" s="4" t="s">
        <v>560</v>
      </c>
      <c r="F636" s="5">
        <v>92</v>
      </c>
      <c r="G636" s="4" t="s">
        <v>198</v>
      </c>
      <c r="H636" s="4" t="str">
        <f>IF(F636="","",VLOOKUP(F636,Productos!$A$2:$F$182,3,FALSE))</f>
        <v>3</v>
      </c>
      <c r="I636" s="4" t="str">
        <f>IF(F636="","",VLOOKUP(F636,Productos!$A$2:$F$182,4,FALSE))</f>
        <v>Otros bienes transportables, excepto productos metálicos, maquinaria y equipo</v>
      </c>
      <c r="J636" s="4">
        <f>IF(F636="","",VLOOKUP(F636,Productos!$A$2:$F$182,5,FALSE))</f>
        <v>3</v>
      </c>
      <c r="K636" s="4" t="str">
        <f>IF(F636="","",VLOOKUP(F636,Productos!$A$2:$F$182,6,FALSE))</f>
        <v>Manufacturas</v>
      </c>
      <c r="L636" s="4">
        <v>3</v>
      </c>
      <c r="M636" s="4" t="s">
        <v>67</v>
      </c>
      <c r="N636" s="4">
        <f>VLOOKUP(F636,Productos!$A$2:$J$182,5)</f>
        <v>3</v>
      </c>
      <c r="O636" s="4" t="str">
        <f>VLOOKUP(F636,Productos!$A$2:$J$182,6)</f>
        <v>Manufacturas</v>
      </c>
    </row>
    <row r="637" spans="1:15">
      <c r="A637" s="4" t="s">
        <v>834</v>
      </c>
      <c r="B637" s="4" t="s">
        <v>559</v>
      </c>
      <c r="C637" s="4" t="s">
        <v>560</v>
      </c>
      <c r="D637" s="4" t="s">
        <v>561</v>
      </c>
      <c r="E637" s="4" t="s">
        <v>560</v>
      </c>
      <c r="F637" s="5">
        <v>93</v>
      </c>
      <c r="G637" s="4" t="s">
        <v>200</v>
      </c>
      <c r="H637" s="4" t="str">
        <f>IF(F637="","",VLOOKUP(F637,Productos!$A$2:$F$182,3,FALSE))</f>
        <v>3</v>
      </c>
      <c r="I637" s="4" t="str">
        <f>IF(F637="","",VLOOKUP(F637,Productos!$A$2:$F$182,4,FALSE))</f>
        <v>Otros bienes transportables, excepto productos metálicos, maquinaria y equipo</v>
      </c>
      <c r="J637" s="4">
        <f>IF(F637="","",VLOOKUP(F637,Productos!$A$2:$F$182,5,FALSE))</f>
        <v>3</v>
      </c>
      <c r="K637" s="4" t="str">
        <f>IF(F637="","",VLOOKUP(F637,Productos!$A$2:$F$182,6,FALSE))</f>
        <v>Manufacturas</v>
      </c>
      <c r="L637" s="4">
        <v>3</v>
      </c>
      <c r="M637" s="4" t="s">
        <v>67</v>
      </c>
      <c r="N637" s="4">
        <f>VLOOKUP(F637,Productos!$A$2:$J$182,5)</f>
        <v>3</v>
      </c>
      <c r="O637" s="4" t="str">
        <f>VLOOKUP(F637,Productos!$A$2:$J$182,6)</f>
        <v>Manufacturas</v>
      </c>
    </row>
    <row r="638" spans="1:15">
      <c r="A638" s="4" t="s">
        <v>835</v>
      </c>
      <c r="B638" s="4" t="s">
        <v>559</v>
      </c>
      <c r="C638" s="4" t="s">
        <v>560</v>
      </c>
      <c r="D638" s="4" t="s">
        <v>561</v>
      </c>
      <c r="E638" s="4" t="s">
        <v>560</v>
      </c>
      <c r="F638" s="5">
        <v>94</v>
      </c>
      <c r="G638" s="4" t="s">
        <v>202</v>
      </c>
      <c r="H638" s="4" t="str">
        <f>IF(F638="","",VLOOKUP(F638,Productos!$A$2:$F$182,3,FALSE))</f>
        <v>3</v>
      </c>
      <c r="I638" s="4" t="str">
        <f>IF(F638="","",VLOOKUP(F638,Productos!$A$2:$F$182,4,FALSE))</f>
        <v>Otros bienes transportables, excepto productos metálicos, maquinaria y equipo</v>
      </c>
      <c r="J638" s="4">
        <f>IF(F638="","",VLOOKUP(F638,Productos!$A$2:$F$182,5,FALSE))</f>
        <v>3</v>
      </c>
      <c r="K638" s="4" t="str">
        <f>IF(F638="","",VLOOKUP(F638,Productos!$A$2:$F$182,6,FALSE))</f>
        <v>Manufacturas</v>
      </c>
      <c r="L638" s="4">
        <v>3</v>
      </c>
      <c r="M638" s="4" t="s">
        <v>67</v>
      </c>
      <c r="N638" s="4">
        <f>VLOOKUP(F638,Productos!$A$2:$J$182,5)</f>
        <v>3</v>
      </c>
      <c r="O638" s="4" t="str">
        <f>VLOOKUP(F638,Productos!$A$2:$J$182,6)</f>
        <v>Manufacturas</v>
      </c>
    </row>
    <row r="639" spans="1:15">
      <c r="A639" s="4" t="s">
        <v>836</v>
      </c>
      <c r="B639" s="4" t="s">
        <v>559</v>
      </c>
      <c r="C639" s="4" t="s">
        <v>560</v>
      </c>
      <c r="D639" s="4" t="s">
        <v>561</v>
      </c>
      <c r="E639" s="4" t="s">
        <v>560</v>
      </c>
      <c r="F639" s="5">
        <v>95</v>
      </c>
      <c r="G639" s="4" t="s">
        <v>204</v>
      </c>
      <c r="H639" s="4" t="str">
        <f>IF(F639="","",VLOOKUP(F639,Productos!$A$2:$F$182,3,FALSE))</f>
        <v>3</v>
      </c>
      <c r="I639" s="4" t="str">
        <f>IF(F639="","",VLOOKUP(F639,Productos!$A$2:$F$182,4,FALSE))</f>
        <v>Otros bienes transportables, excepto productos metálicos, maquinaria y equipo</v>
      </c>
      <c r="J639" s="4">
        <f>IF(F639="","",VLOOKUP(F639,Productos!$A$2:$F$182,5,FALSE))</f>
        <v>3</v>
      </c>
      <c r="K639" s="4" t="str">
        <f>IF(F639="","",VLOOKUP(F639,Productos!$A$2:$F$182,6,FALSE))</f>
        <v>Manufacturas</v>
      </c>
      <c r="L639" s="4">
        <v>3</v>
      </c>
      <c r="M639" s="4" t="s">
        <v>67</v>
      </c>
      <c r="N639" s="4">
        <f>VLOOKUP(F639,Productos!$A$2:$J$182,5)</f>
        <v>3</v>
      </c>
      <c r="O639" s="4" t="str">
        <f>VLOOKUP(F639,Productos!$A$2:$J$182,6)</f>
        <v>Manufacturas</v>
      </c>
    </row>
    <row r="640" spans="1:15">
      <c r="A640" s="4" t="s">
        <v>837</v>
      </c>
      <c r="B640" s="4" t="s">
        <v>559</v>
      </c>
      <c r="C640" s="4" t="s">
        <v>560</v>
      </c>
      <c r="D640" s="4" t="s">
        <v>561</v>
      </c>
      <c r="E640" s="4" t="s">
        <v>560</v>
      </c>
      <c r="F640" s="5">
        <v>96</v>
      </c>
      <c r="G640" s="4" t="s">
        <v>206</v>
      </c>
      <c r="H640" s="4" t="str">
        <f>IF(F640="","",VLOOKUP(F640,Productos!$A$2:$F$182,3,FALSE))</f>
        <v>3</v>
      </c>
      <c r="I640" s="4" t="str">
        <f>IF(F640="","",VLOOKUP(F640,Productos!$A$2:$F$182,4,FALSE))</f>
        <v>Otros bienes transportables, excepto productos metálicos, maquinaria y equipo</v>
      </c>
      <c r="J640" s="4">
        <f>IF(F640="","",VLOOKUP(F640,Productos!$A$2:$F$182,5,FALSE))</f>
        <v>3</v>
      </c>
      <c r="K640" s="4" t="str">
        <f>IF(F640="","",VLOOKUP(F640,Productos!$A$2:$F$182,6,FALSE))</f>
        <v>Manufacturas</v>
      </c>
      <c r="L640" s="4">
        <v>3</v>
      </c>
      <c r="M640" s="4" t="s">
        <v>67</v>
      </c>
      <c r="N640" s="4">
        <f>VLOOKUP(F640,Productos!$A$2:$J$182,5)</f>
        <v>3</v>
      </c>
      <c r="O640" s="4" t="str">
        <f>VLOOKUP(F640,Productos!$A$2:$J$182,6)</f>
        <v>Manufacturas</v>
      </c>
    </row>
    <row r="641" spans="1:15">
      <c r="A641" s="4" t="s">
        <v>838</v>
      </c>
      <c r="B641" s="4" t="s">
        <v>559</v>
      </c>
      <c r="C641" s="4" t="s">
        <v>560</v>
      </c>
      <c r="D641" s="4" t="s">
        <v>561</v>
      </c>
      <c r="E641" s="4" t="s">
        <v>560</v>
      </c>
      <c r="F641" s="5">
        <v>97</v>
      </c>
      <c r="G641" s="4" t="s">
        <v>208</v>
      </c>
      <c r="H641" s="4" t="str">
        <f>IF(F641="","",VLOOKUP(F641,Productos!$A$2:$F$182,3,FALSE))</f>
        <v>3</v>
      </c>
      <c r="I641" s="4" t="str">
        <f>IF(F641="","",VLOOKUP(F641,Productos!$A$2:$F$182,4,FALSE))</f>
        <v>Otros bienes transportables, excepto productos metálicos, maquinaria y equipo</v>
      </c>
      <c r="J641" s="4">
        <f>IF(F641="","",VLOOKUP(F641,Productos!$A$2:$F$182,5,FALSE))</f>
        <v>3</v>
      </c>
      <c r="K641" s="4" t="str">
        <f>IF(F641="","",VLOOKUP(F641,Productos!$A$2:$F$182,6,FALSE))</f>
        <v>Manufacturas</v>
      </c>
      <c r="L641" s="4">
        <v>3</v>
      </c>
      <c r="M641" s="4" t="s">
        <v>67</v>
      </c>
      <c r="N641" s="4">
        <f>VLOOKUP(F641,Productos!$A$2:$J$182,5)</f>
        <v>3</v>
      </c>
      <c r="O641" s="4" t="str">
        <f>VLOOKUP(F641,Productos!$A$2:$J$182,6)</f>
        <v>Manufacturas</v>
      </c>
    </row>
    <row r="642" spans="1:15">
      <c r="A642" s="4" t="s">
        <v>839</v>
      </c>
      <c r="B642" s="4" t="s">
        <v>559</v>
      </c>
      <c r="C642" s="4" t="s">
        <v>560</v>
      </c>
      <c r="D642" s="4" t="s">
        <v>561</v>
      </c>
      <c r="E642" s="4" t="s">
        <v>560</v>
      </c>
      <c r="F642" s="5">
        <v>98</v>
      </c>
      <c r="G642" s="4" t="s">
        <v>210</v>
      </c>
      <c r="H642" s="4" t="str">
        <f>IF(F642="","",VLOOKUP(F642,Productos!$A$2:$F$182,3,FALSE))</f>
        <v>4</v>
      </c>
      <c r="I642" s="4" t="str">
        <f>IF(F642="","",VLOOKUP(F642,Productos!$A$2:$F$182,4,FALSE))</f>
        <v>Productos metálicos, maquinaria y equipo</v>
      </c>
      <c r="J642" s="4">
        <f>IF(F642="","",VLOOKUP(F642,Productos!$A$2:$F$182,5,FALSE))</f>
        <v>3</v>
      </c>
      <c r="K642" s="4" t="str">
        <f>IF(F642="","",VLOOKUP(F642,Productos!$A$2:$F$182,6,FALSE))</f>
        <v>Manufacturas</v>
      </c>
      <c r="L642" s="4">
        <v>3</v>
      </c>
      <c r="M642" s="4" t="s">
        <v>67</v>
      </c>
      <c r="N642" s="4">
        <f>VLOOKUP(F642,Productos!$A$2:$J$182,5)</f>
        <v>3</v>
      </c>
      <c r="O642" s="4" t="str">
        <f>VLOOKUP(F642,Productos!$A$2:$J$182,6)</f>
        <v>Manufacturas</v>
      </c>
    </row>
    <row r="643" spans="1:15">
      <c r="A643" s="4" t="s">
        <v>840</v>
      </c>
      <c r="B643" s="4" t="s">
        <v>559</v>
      </c>
      <c r="C643" s="4" t="s">
        <v>560</v>
      </c>
      <c r="D643" s="4" t="s">
        <v>561</v>
      </c>
      <c r="E643" s="4" t="s">
        <v>560</v>
      </c>
      <c r="F643" s="5">
        <v>99</v>
      </c>
      <c r="G643" s="4" t="s">
        <v>212</v>
      </c>
      <c r="H643" s="4" t="str">
        <f>IF(F643="","",VLOOKUP(F643,Productos!$A$2:$F$182,3,FALSE))</f>
        <v>4</v>
      </c>
      <c r="I643" s="4" t="str">
        <f>IF(F643="","",VLOOKUP(F643,Productos!$A$2:$F$182,4,FALSE))</f>
        <v>Productos metálicos, maquinaria y equipo</v>
      </c>
      <c r="J643" s="4">
        <f>IF(F643="","",VLOOKUP(F643,Productos!$A$2:$F$182,5,FALSE))</f>
        <v>3</v>
      </c>
      <c r="K643" s="4" t="str">
        <f>IF(F643="","",VLOOKUP(F643,Productos!$A$2:$F$182,6,FALSE))</f>
        <v>Manufacturas</v>
      </c>
      <c r="L643" s="4">
        <v>3</v>
      </c>
      <c r="M643" s="4" t="s">
        <v>67</v>
      </c>
      <c r="N643" s="4">
        <f>VLOOKUP(F643,Productos!$A$2:$J$182,5)</f>
        <v>3</v>
      </c>
      <c r="O643" s="4" t="str">
        <f>VLOOKUP(F643,Productos!$A$2:$J$182,6)</f>
        <v>Manufacturas</v>
      </c>
    </row>
    <row r="644" spans="1:15">
      <c r="A644" s="4" t="s">
        <v>841</v>
      </c>
      <c r="B644" s="4" t="s">
        <v>559</v>
      </c>
      <c r="C644" s="4" t="s">
        <v>560</v>
      </c>
      <c r="D644" s="4" t="s">
        <v>561</v>
      </c>
      <c r="E644" s="4" t="s">
        <v>560</v>
      </c>
      <c r="F644" s="5">
        <v>100</v>
      </c>
      <c r="G644" s="4" t="s">
        <v>214</v>
      </c>
      <c r="H644" s="4" t="str">
        <f>IF(F644="","",VLOOKUP(F644,Productos!$A$2:$F$182,3,FALSE))</f>
        <v>4</v>
      </c>
      <c r="I644" s="4" t="str">
        <f>IF(F644="","",VLOOKUP(F644,Productos!$A$2:$F$182,4,FALSE))</f>
        <v>Productos metálicos, maquinaria y equipo</v>
      </c>
      <c r="J644" s="4">
        <f>IF(F644="","",VLOOKUP(F644,Productos!$A$2:$F$182,5,FALSE))</f>
        <v>3</v>
      </c>
      <c r="K644" s="4" t="str">
        <f>IF(F644="","",VLOOKUP(F644,Productos!$A$2:$F$182,6,FALSE))</f>
        <v>Manufacturas</v>
      </c>
      <c r="L644" s="4">
        <v>3</v>
      </c>
      <c r="M644" s="4" t="s">
        <v>67</v>
      </c>
      <c r="N644" s="4">
        <f>VLOOKUP(F644,Productos!$A$2:$J$182,5)</f>
        <v>3</v>
      </c>
      <c r="O644" s="4" t="str">
        <f>VLOOKUP(F644,Productos!$A$2:$J$182,6)</f>
        <v>Manufacturas</v>
      </c>
    </row>
    <row r="645" spans="1:15">
      <c r="A645" s="4" t="s">
        <v>842</v>
      </c>
      <c r="B645" s="4" t="s">
        <v>559</v>
      </c>
      <c r="C645" s="4" t="s">
        <v>560</v>
      </c>
      <c r="D645" s="4" t="s">
        <v>561</v>
      </c>
      <c r="E645" s="4" t="s">
        <v>560</v>
      </c>
      <c r="F645" s="5">
        <v>101</v>
      </c>
      <c r="G645" s="4" t="s">
        <v>216</v>
      </c>
      <c r="H645" s="4" t="str">
        <f>IF(F645="","",VLOOKUP(F645,Productos!$A$2:$F$182,3,FALSE))</f>
        <v>4</v>
      </c>
      <c r="I645" s="4" t="str">
        <f>IF(F645="","",VLOOKUP(F645,Productos!$A$2:$F$182,4,FALSE))</f>
        <v>Productos metálicos, maquinaria y equipo</v>
      </c>
      <c r="J645" s="4">
        <f>IF(F645="","",VLOOKUP(F645,Productos!$A$2:$F$182,5,FALSE))</f>
        <v>3</v>
      </c>
      <c r="K645" s="4" t="str">
        <f>IF(F645="","",VLOOKUP(F645,Productos!$A$2:$F$182,6,FALSE))</f>
        <v>Manufacturas</v>
      </c>
      <c r="L645" s="4">
        <v>3</v>
      </c>
      <c r="M645" s="4" t="s">
        <v>67</v>
      </c>
      <c r="N645" s="4">
        <f>VLOOKUP(F645,Productos!$A$2:$J$182,5)</f>
        <v>3</v>
      </c>
      <c r="O645" s="4" t="str">
        <f>VLOOKUP(F645,Productos!$A$2:$J$182,6)</f>
        <v>Manufacturas</v>
      </c>
    </row>
    <row r="646" spans="1:15">
      <c r="A646" s="4" t="s">
        <v>843</v>
      </c>
      <c r="B646" s="4" t="s">
        <v>559</v>
      </c>
      <c r="C646" s="4" t="s">
        <v>560</v>
      </c>
      <c r="D646" s="4" t="s">
        <v>561</v>
      </c>
      <c r="E646" s="4" t="s">
        <v>560</v>
      </c>
      <c r="F646" s="5">
        <v>102</v>
      </c>
      <c r="G646" s="4" t="s">
        <v>218</v>
      </c>
      <c r="H646" s="4" t="str">
        <f>IF(F646="","",VLOOKUP(F646,Productos!$A$2:$F$182,3,FALSE))</f>
        <v>4</v>
      </c>
      <c r="I646" s="4" t="str">
        <f>IF(F646="","",VLOOKUP(F646,Productos!$A$2:$F$182,4,FALSE))</f>
        <v>Productos metálicos, maquinaria y equipo</v>
      </c>
      <c r="J646" s="4">
        <f>IF(F646="","",VLOOKUP(F646,Productos!$A$2:$F$182,5,FALSE))</f>
        <v>3</v>
      </c>
      <c r="K646" s="4" t="str">
        <f>IF(F646="","",VLOOKUP(F646,Productos!$A$2:$F$182,6,FALSE))</f>
        <v>Manufacturas</v>
      </c>
      <c r="L646" s="4">
        <v>3</v>
      </c>
      <c r="M646" s="4" t="s">
        <v>67</v>
      </c>
      <c r="N646" s="4">
        <f>VLOOKUP(F646,Productos!$A$2:$J$182,5)</f>
        <v>3</v>
      </c>
      <c r="O646" s="4" t="str">
        <f>VLOOKUP(F646,Productos!$A$2:$J$182,6)</f>
        <v>Manufacturas</v>
      </c>
    </row>
    <row r="647" spans="1:15">
      <c r="A647" s="4" t="s">
        <v>844</v>
      </c>
      <c r="B647" s="4" t="s">
        <v>559</v>
      </c>
      <c r="C647" s="4" t="s">
        <v>560</v>
      </c>
      <c r="D647" s="4" t="s">
        <v>561</v>
      </c>
      <c r="E647" s="4" t="s">
        <v>560</v>
      </c>
      <c r="F647" s="5">
        <v>103</v>
      </c>
      <c r="G647" s="4" t="s">
        <v>220</v>
      </c>
      <c r="H647" s="4" t="str">
        <f>IF(F647="","",VLOOKUP(F647,Productos!$A$2:$F$182,3,FALSE))</f>
        <v>4</v>
      </c>
      <c r="I647" s="4" t="str">
        <f>IF(F647="","",VLOOKUP(F647,Productos!$A$2:$F$182,4,FALSE))</f>
        <v>Productos metálicos, maquinaria y equipo</v>
      </c>
      <c r="J647" s="4">
        <f>IF(F647="","",VLOOKUP(F647,Productos!$A$2:$F$182,5,FALSE))</f>
        <v>3</v>
      </c>
      <c r="K647" s="4" t="str">
        <f>IF(F647="","",VLOOKUP(F647,Productos!$A$2:$F$182,6,FALSE))</f>
        <v>Manufacturas</v>
      </c>
      <c r="L647" s="4">
        <v>3</v>
      </c>
      <c r="M647" s="4" t="s">
        <v>67</v>
      </c>
      <c r="N647" s="4">
        <f>VLOOKUP(F647,Productos!$A$2:$J$182,5)</f>
        <v>3</v>
      </c>
      <c r="O647" s="4" t="str">
        <f>VLOOKUP(F647,Productos!$A$2:$J$182,6)</f>
        <v>Manufacturas</v>
      </c>
    </row>
    <row r="648" spans="1:15">
      <c r="A648" s="4" t="s">
        <v>845</v>
      </c>
      <c r="B648" s="4" t="s">
        <v>559</v>
      </c>
      <c r="C648" s="4" t="s">
        <v>560</v>
      </c>
      <c r="D648" s="4" t="s">
        <v>561</v>
      </c>
      <c r="E648" s="4" t="s">
        <v>560</v>
      </c>
      <c r="F648" s="5">
        <v>104</v>
      </c>
      <c r="G648" s="4" t="s">
        <v>222</v>
      </c>
      <c r="H648" s="4" t="str">
        <f>IF(F648="","",VLOOKUP(F648,Productos!$A$2:$F$182,3,FALSE))</f>
        <v>4</v>
      </c>
      <c r="I648" s="4" t="str">
        <f>IF(F648="","",VLOOKUP(F648,Productos!$A$2:$F$182,4,FALSE))</f>
        <v>Productos metálicos, maquinaria y equipo</v>
      </c>
      <c r="J648" s="4">
        <f>IF(F648="","",VLOOKUP(F648,Productos!$A$2:$F$182,5,FALSE))</f>
        <v>3</v>
      </c>
      <c r="K648" s="4" t="str">
        <f>IF(F648="","",VLOOKUP(F648,Productos!$A$2:$F$182,6,FALSE))</f>
        <v>Manufacturas</v>
      </c>
      <c r="L648" s="4">
        <v>3</v>
      </c>
      <c r="M648" s="4" t="s">
        <v>67</v>
      </c>
      <c r="N648" s="4">
        <f>VLOOKUP(F648,Productos!$A$2:$J$182,5)</f>
        <v>3</v>
      </c>
      <c r="O648" s="4" t="str">
        <f>VLOOKUP(F648,Productos!$A$2:$J$182,6)</f>
        <v>Manufacturas</v>
      </c>
    </row>
    <row r="649" spans="1:15">
      <c r="A649" s="4" t="s">
        <v>846</v>
      </c>
      <c r="B649" s="4" t="s">
        <v>559</v>
      </c>
      <c r="C649" s="4" t="s">
        <v>560</v>
      </c>
      <c r="D649" s="4" t="s">
        <v>561</v>
      </c>
      <c r="E649" s="4" t="s">
        <v>560</v>
      </c>
      <c r="F649" s="5">
        <v>105</v>
      </c>
      <c r="G649" s="4" t="s">
        <v>224</v>
      </c>
      <c r="H649" s="4" t="str">
        <f>IF(F649="","",VLOOKUP(F649,Productos!$A$2:$F$182,3,FALSE))</f>
        <v>4</v>
      </c>
      <c r="I649" s="4" t="str">
        <f>IF(F649="","",VLOOKUP(F649,Productos!$A$2:$F$182,4,FALSE))</f>
        <v>Productos metálicos, maquinaria y equipo</v>
      </c>
      <c r="J649" s="4">
        <f>IF(F649="","",VLOOKUP(F649,Productos!$A$2:$F$182,5,FALSE))</f>
        <v>3</v>
      </c>
      <c r="K649" s="4" t="str">
        <f>IF(F649="","",VLOOKUP(F649,Productos!$A$2:$F$182,6,FALSE))</f>
        <v>Manufacturas</v>
      </c>
      <c r="L649" s="4">
        <v>3</v>
      </c>
      <c r="M649" s="4" t="s">
        <v>67</v>
      </c>
      <c r="N649" s="4">
        <f>VLOOKUP(F649,Productos!$A$2:$J$182,5)</f>
        <v>3</v>
      </c>
      <c r="O649" s="4" t="str">
        <f>VLOOKUP(F649,Productos!$A$2:$J$182,6)</f>
        <v>Manufacturas</v>
      </c>
    </row>
    <row r="650" spans="1:15">
      <c r="A650" s="4" t="s">
        <v>847</v>
      </c>
      <c r="B650" s="4" t="s">
        <v>559</v>
      </c>
      <c r="C650" s="4" t="s">
        <v>560</v>
      </c>
      <c r="D650" s="4" t="s">
        <v>561</v>
      </c>
      <c r="E650" s="4" t="s">
        <v>560</v>
      </c>
      <c r="F650" s="5">
        <v>106</v>
      </c>
      <c r="G650" s="4" t="s">
        <v>226</v>
      </c>
      <c r="H650" s="4" t="str">
        <f>IF(F650="","",VLOOKUP(F650,Productos!$A$2:$F$182,3,FALSE))</f>
        <v>4</v>
      </c>
      <c r="I650" s="4" t="str">
        <f>IF(F650="","",VLOOKUP(F650,Productos!$A$2:$F$182,4,FALSE))</f>
        <v>Productos metálicos, maquinaria y equipo</v>
      </c>
      <c r="J650" s="4">
        <f>IF(F650="","",VLOOKUP(F650,Productos!$A$2:$F$182,5,FALSE))</f>
        <v>3</v>
      </c>
      <c r="K650" s="4" t="str">
        <f>IF(F650="","",VLOOKUP(F650,Productos!$A$2:$F$182,6,FALSE))</f>
        <v>Manufacturas</v>
      </c>
      <c r="L650" s="4">
        <v>3</v>
      </c>
      <c r="M650" s="4" t="s">
        <v>67</v>
      </c>
      <c r="N650" s="4">
        <f>VLOOKUP(F650,Productos!$A$2:$J$182,5)</f>
        <v>3</v>
      </c>
      <c r="O650" s="4" t="str">
        <f>VLOOKUP(F650,Productos!$A$2:$J$182,6)</f>
        <v>Manufacturas</v>
      </c>
    </row>
    <row r="651" spans="1:15">
      <c r="A651" s="4" t="s">
        <v>848</v>
      </c>
      <c r="B651" s="4" t="s">
        <v>559</v>
      </c>
      <c r="C651" s="4" t="s">
        <v>560</v>
      </c>
      <c r="D651" s="4" t="s">
        <v>561</v>
      </c>
      <c r="E651" s="4" t="s">
        <v>560</v>
      </c>
      <c r="F651" s="5">
        <v>107</v>
      </c>
      <c r="G651" s="4" t="s">
        <v>228</v>
      </c>
      <c r="H651" s="4" t="str">
        <f>IF(F651="","",VLOOKUP(F651,Productos!$A$2:$F$182,3,FALSE))</f>
        <v>4</v>
      </c>
      <c r="I651" s="4" t="str">
        <f>IF(F651="","",VLOOKUP(F651,Productos!$A$2:$F$182,4,FALSE))</f>
        <v>Productos metálicos, maquinaria y equipo</v>
      </c>
      <c r="J651" s="4">
        <f>IF(F651="","",VLOOKUP(F651,Productos!$A$2:$F$182,5,FALSE))</f>
        <v>3</v>
      </c>
      <c r="K651" s="4" t="str">
        <f>IF(F651="","",VLOOKUP(F651,Productos!$A$2:$F$182,6,FALSE))</f>
        <v>Manufacturas</v>
      </c>
      <c r="L651" s="4">
        <v>3</v>
      </c>
      <c r="M651" s="4" t="s">
        <v>67</v>
      </c>
      <c r="N651" s="4">
        <f>VLOOKUP(F651,Productos!$A$2:$J$182,5)</f>
        <v>3</v>
      </c>
      <c r="O651" s="4" t="str">
        <f>VLOOKUP(F651,Productos!$A$2:$J$182,6)</f>
        <v>Manufacturas</v>
      </c>
    </row>
    <row r="652" spans="1:15">
      <c r="A652" s="4" t="s">
        <v>849</v>
      </c>
      <c r="B652" s="4" t="s">
        <v>559</v>
      </c>
      <c r="C652" s="4" t="s">
        <v>560</v>
      </c>
      <c r="D652" s="4" t="s">
        <v>561</v>
      </c>
      <c r="E652" s="4" t="s">
        <v>560</v>
      </c>
      <c r="F652" s="5">
        <v>108</v>
      </c>
      <c r="G652" s="4" t="s">
        <v>230</v>
      </c>
      <c r="H652" s="4" t="str">
        <f>IF(F652="","",VLOOKUP(F652,Productos!$A$2:$F$182,3,FALSE))</f>
        <v>4</v>
      </c>
      <c r="I652" s="4" t="str">
        <f>IF(F652="","",VLOOKUP(F652,Productos!$A$2:$F$182,4,FALSE))</f>
        <v>Productos metálicos, maquinaria y equipo</v>
      </c>
      <c r="J652" s="4">
        <f>IF(F652="","",VLOOKUP(F652,Productos!$A$2:$F$182,5,FALSE))</f>
        <v>3</v>
      </c>
      <c r="K652" s="4" t="str">
        <f>IF(F652="","",VLOOKUP(F652,Productos!$A$2:$F$182,6,FALSE))</f>
        <v>Manufacturas</v>
      </c>
      <c r="L652" s="4">
        <v>3</v>
      </c>
      <c r="M652" s="4" t="s">
        <v>67</v>
      </c>
      <c r="N652" s="4">
        <f>VLOOKUP(F652,Productos!$A$2:$J$182,5)</f>
        <v>3</v>
      </c>
      <c r="O652" s="4" t="str">
        <f>VLOOKUP(F652,Productos!$A$2:$J$182,6)</f>
        <v>Manufacturas</v>
      </c>
    </row>
    <row r="653" spans="1:15">
      <c r="A653" s="4" t="s">
        <v>850</v>
      </c>
      <c r="B653" s="4" t="s">
        <v>559</v>
      </c>
      <c r="C653" s="4" t="s">
        <v>560</v>
      </c>
      <c r="D653" s="4" t="s">
        <v>561</v>
      </c>
      <c r="E653" s="4" t="s">
        <v>560</v>
      </c>
      <c r="F653" s="5">
        <v>109</v>
      </c>
      <c r="G653" s="4" t="s">
        <v>232</v>
      </c>
      <c r="H653" s="4" t="str">
        <f>IF(F653="","",VLOOKUP(F653,Productos!$A$2:$F$182,3,FALSE))</f>
        <v>4</v>
      </c>
      <c r="I653" s="4" t="str">
        <f>IF(F653="","",VLOOKUP(F653,Productos!$A$2:$F$182,4,FALSE))</f>
        <v>Productos metálicos, maquinaria y equipo</v>
      </c>
      <c r="J653" s="4">
        <f>IF(F653="","",VLOOKUP(F653,Productos!$A$2:$F$182,5,FALSE))</f>
        <v>3</v>
      </c>
      <c r="K653" s="4" t="str">
        <f>IF(F653="","",VLOOKUP(F653,Productos!$A$2:$F$182,6,FALSE))</f>
        <v>Manufacturas</v>
      </c>
      <c r="L653" s="4">
        <v>3</v>
      </c>
      <c r="M653" s="4" t="s">
        <v>67</v>
      </c>
      <c r="N653" s="4">
        <f>VLOOKUP(F653,Productos!$A$2:$J$182,5)</f>
        <v>3</v>
      </c>
      <c r="O653" s="4" t="str">
        <f>VLOOKUP(F653,Productos!$A$2:$J$182,6)</f>
        <v>Manufacturas</v>
      </c>
    </row>
    <row r="654" spans="1:15">
      <c r="A654" s="4" t="s">
        <v>851</v>
      </c>
      <c r="B654" s="4" t="s">
        <v>559</v>
      </c>
      <c r="C654" s="4" t="s">
        <v>560</v>
      </c>
      <c r="D654" s="4" t="s">
        <v>561</v>
      </c>
      <c r="E654" s="4" t="s">
        <v>560</v>
      </c>
      <c r="F654" s="5">
        <v>110</v>
      </c>
      <c r="G654" s="4" t="s">
        <v>234</v>
      </c>
      <c r="H654" s="4" t="str">
        <f>IF(F654="","",VLOOKUP(F654,Productos!$A$2:$F$182,3,FALSE))</f>
        <v>4</v>
      </c>
      <c r="I654" s="4" t="str">
        <f>IF(F654="","",VLOOKUP(F654,Productos!$A$2:$F$182,4,FALSE))</f>
        <v>Productos metálicos, maquinaria y equipo</v>
      </c>
      <c r="J654" s="4">
        <f>IF(F654="","",VLOOKUP(F654,Productos!$A$2:$F$182,5,FALSE))</f>
        <v>3</v>
      </c>
      <c r="K654" s="4" t="str">
        <f>IF(F654="","",VLOOKUP(F654,Productos!$A$2:$F$182,6,FALSE))</f>
        <v>Manufacturas</v>
      </c>
      <c r="L654" s="4">
        <v>3</v>
      </c>
      <c r="M654" s="4" t="s">
        <v>67</v>
      </c>
      <c r="N654" s="4">
        <f>VLOOKUP(F654,Productos!$A$2:$J$182,5)</f>
        <v>3</v>
      </c>
      <c r="O654" s="4" t="str">
        <f>VLOOKUP(F654,Productos!$A$2:$J$182,6)</f>
        <v>Manufacturas</v>
      </c>
    </row>
    <row r="655" spans="1:15">
      <c r="A655" s="4" t="s">
        <v>852</v>
      </c>
      <c r="B655" s="4" t="s">
        <v>559</v>
      </c>
      <c r="C655" s="4" t="s">
        <v>560</v>
      </c>
      <c r="D655" s="4" t="s">
        <v>561</v>
      </c>
      <c r="E655" s="4" t="s">
        <v>560</v>
      </c>
      <c r="F655" s="5">
        <v>111</v>
      </c>
      <c r="G655" s="4" t="s">
        <v>236</v>
      </c>
      <c r="H655" s="4" t="str">
        <f>IF(F655="","",VLOOKUP(F655,Productos!$A$2:$F$182,3,FALSE))</f>
        <v>4</v>
      </c>
      <c r="I655" s="4" t="str">
        <f>IF(F655="","",VLOOKUP(F655,Productos!$A$2:$F$182,4,FALSE))</f>
        <v>Productos metálicos, maquinaria y equipo</v>
      </c>
      <c r="J655" s="4">
        <f>IF(F655="","",VLOOKUP(F655,Productos!$A$2:$F$182,5,FALSE))</f>
        <v>3</v>
      </c>
      <c r="K655" s="4" t="str">
        <f>IF(F655="","",VLOOKUP(F655,Productos!$A$2:$F$182,6,FALSE))</f>
        <v>Manufacturas</v>
      </c>
      <c r="L655" s="4">
        <v>3</v>
      </c>
      <c r="M655" s="4" t="s">
        <v>67</v>
      </c>
      <c r="N655" s="4">
        <f>VLOOKUP(F655,Productos!$A$2:$J$182,5)</f>
        <v>3</v>
      </c>
      <c r="O655" s="4" t="str">
        <f>VLOOKUP(F655,Productos!$A$2:$J$182,6)</f>
        <v>Manufacturas</v>
      </c>
    </row>
    <row r="656" spans="1:15">
      <c r="A656" s="4" t="s">
        <v>853</v>
      </c>
      <c r="B656" s="4" t="s">
        <v>559</v>
      </c>
      <c r="C656" s="4" t="s">
        <v>560</v>
      </c>
      <c r="D656" s="4" t="s">
        <v>561</v>
      </c>
      <c r="E656" s="4" t="s">
        <v>560</v>
      </c>
      <c r="F656" s="5">
        <v>112</v>
      </c>
      <c r="G656" s="4" t="s">
        <v>238</v>
      </c>
      <c r="H656" s="4" t="str">
        <f>IF(F656="","",VLOOKUP(F656,Productos!$A$2:$F$182,3,FALSE))</f>
        <v>4</v>
      </c>
      <c r="I656" s="4" t="str">
        <f>IF(F656="","",VLOOKUP(F656,Productos!$A$2:$F$182,4,FALSE))</f>
        <v>Productos metálicos, maquinaria y equipo</v>
      </c>
      <c r="J656" s="4">
        <f>IF(F656="","",VLOOKUP(F656,Productos!$A$2:$F$182,5,FALSE))</f>
        <v>3</v>
      </c>
      <c r="K656" s="4" t="str">
        <f>IF(F656="","",VLOOKUP(F656,Productos!$A$2:$F$182,6,FALSE))</f>
        <v>Manufacturas</v>
      </c>
      <c r="L656" s="4">
        <v>3</v>
      </c>
      <c r="M656" s="4" t="s">
        <v>67</v>
      </c>
      <c r="N656" s="4">
        <f>VLOOKUP(F656,Productos!$A$2:$J$182,5)</f>
        <v>3</v>
      </c>
      <c r="O656" s="4" t="str">
        <f>VLOOKUP(F656,Productos!$A$2:$J$182,6)</f>
        <v>Manufacturas</v>
      </c>
    </row>
    <row r="657" spans="1:15">
      <c r="A657" s="4" t="s">
        <v>854</v>
      </c>
      <c r="B657" s="4" t="s">
        <v>559</v>
      </c>
      <c r="C657" s="4" t="s">
        <v>560</v>
      </c>
      <c r="D657" s="4" t="s">
        <v>561</v>
      </c>
      <c r="E657" s="4" t="s">
        <v>560</v>
      </c>
      <c r="F657" s="5">
        <v>113</v>
      </c>
      <c r="G657" s="4" t="s">
        <v>240</v>
      </c>
      <c r="H657" s="4" t="str">
        <f>IF(F657="","",VLOOKUP(F657,Productos!$A$2:$F$182,3,FALSE))</f>
        <v>4</v>
      </c>
      <c r="I657" s="4" t="str">
        <f>IF(F657="","",VLOOKUP(F657,Productos!$A$2:$F$182,4,FALSE))</f>
        <v>Productos metálicos, maquinaria y equipo</v>
      </c>
      <c r="J657" s="4">
        <f>IF(F657="","",VLOOKUP(F657,Productos!$A$2:$F$182,5,FALSE))</f>
        <v>3</v>
      </c>
      <c r="K657" s="4" t="str">
        <f>IF(F657="","",VLOOKUP(F657,Productos!$A$2:$F$182,6,FALSE))</f>
        <v>Manufacturas</v>
      </c>
      <c r="L657" s="4">
        <v>3</v>
      </c>
      <c r="M657" s="4" t="s">
        <v>67</v>
      </c>
      <c r="N657" s="4">
        <f>VLOOKUP(F657,Productos!$A$2:$J$182,5)</f>
        <v>3</v>
      </c>
      <c r="O657" s="4" t="str">
        <f>VLOOKUP(F657,Productos!$A$2:$J$182,6)</f>
        <v>Manufacturas</v>
      </c>
    </row>
    <row r="658" spans="1:15">
      <c r="A658" s="4" t="s">
        <v>855</v>
      </c>
      <c r="B658" s="4" t="s">
        <v>559</v>
      </c>
      <c r="C658" s="4" t="s">
        <v>560</v>
      </c>
      <c r="D658" s="4" t="s">
        <v>561</v>
      </c>
      <c r="E658" s="4" t="s">
        <v>560</v>
      </c>
      <c r="F658" s="5">
        <v>114</v>
      </c>
      <c r="G658" s="4" t="s">
        <v>242</v>
      </c>
      <c r="H658" s="4" t="str">
        <f>IF(F658="","",VLOOKUP(F658,Productos!$A$2:$F$182,3,FALSE))</f>
        <v>4</v>
      </c>
      <c r="I658" s="4" t="str">
        <f>IF(F658="","",VLOOKUP(F658,Productos!$A$2:$F$182,4,FALSE))</f>
        <v>Productos metálicos, maquinaria y equipo</v>
      </c>
      <c r="J658" s="4">
        <f>IF(F658="","",VLOOKUP(F658,Productos!$A$2:$F$182,5,FALSE))</f>
        <v>3</v>
      </c>
      <c r="K658" s="4" t="str">
        <f>IF(F658="","",VLOOKUP(F658,Productos!$A$2:$F$182,6,FALSE))</f>
        <v>Manufacturas</v>
      </c>
      <c r="L658" s="4">
        <v>3</v>
      </c>
      <c r="M658" s="4" t="s">
        <v>67</v>
      </c>
      <c r="N658" s="4">
        <f>VLOOKUP(F658,Productos!$A$2:$J$182,5)</f>
        <v>3</v>
      </c>
      <c r="O658" s="4" t="str">
        <f>VLOOKUP(F658,Productos!$A$2:$J$182,6)</f>
        <v>Manufacturas</v>
      </c>
    </row>
    <row r="659" spans="1:15">
      <c r="A659" s="4" t="s">
        <v>856</v>
      </c>
      <c r="B659" s="4" t="s">
        <v>559</v>
      </c>
      <c r="C659" s="4" t="s">
        <v>560</v>
      </c>
      <c r="D659" s="4" t="s">
        <v>561</v>
      </c>
      <c r="E659" s="4" t="s">
        <v>560</v>
      </c>
      <c r="F659" s="5">
        <v>115</v>
      </c>
      <c r="G659" s="4" t="s">
        <v>244</v>
      </c>
      <c r="H659" s="4" t="str">
        <f>IF(F659="","",VLOOKUP(F659,Productos!$A$2:$F$182,3,FALSE))</f>
        <v>4</v>
      </c>
      <c r="I659" s="4" t="str">
        <f>IF(F659="","",VLOOKUP(F659,Productos!$A$2:$F$182,4,FALSE))</f>
        <v>Productos metálicos, maquinaria y equipo</v>
      </c>
      <c r="J659" s="4">
        <f>IF(F659="","",VLOOKUP(F659,Productos!$A$2:$F$182,5,FALSE))</f>
        <v>3</v>
      </c>
      <c r="K659" s="4" t="str">
        <f>IF(F659="","",VLOOKUP(F659,Productos!$A$2:$F$182,6,FALSE))</f>
        <v>Manufacturas</v>
      </c>
      <c r="L659" s="4">
        <v>3</v>
      </c>
      <c r="M659" s="4" t="s">
        <v>67</v>
      </c>
      <c r="N659" s="4">
        <f>VLOOKUP(F659,Productos!$A$2:$J$182,5)</f>
        <v>3</v>
      </c>
      <c r="O659" s="4" t="str">
        <f>VLOOKUP(F659,Productos!$A$2:$J$182,6)</f>
        <v>Manufacturas</v>
      </c>
    </row>
    <row r="660" spans="1:15">
      <c r="A660" s="4" t="s">
        <v>857</v>
      </c>
      <c r="B660" s="4" t="s">
        <v>559</v>
      </c>
      <c r="C660" s="4" t="s">
        <v>560</v>
      </c>
      <c r="D660" s="4" t="s">
        <v>561</v>
      </c>
      <c r="E660" s="4" t="s">
        <v>560</v>
      </c>
      <c r="F660" s="5">
        <v>116</v>
      </c>
      <c r="G660" s="4" t="s">
        <v>246</v>
      </c>
      <c r="H660" s="4" t="str">
        <f>IF(F660="","",VLOOKUP(F660,Productos!$A$2:$F$182,3,FALSE))</f>
        <v>4</v>
      </c>
      <c r="I660" s="4" t="str">
        <f>IF(F660="","",VLOOKUP(F660,Productos!$A$2:$F$182,4,FALSE))</f>
        <v>Productos metálicos, maquinaria y equipo</v>
      </c>
      <c r="J660" s="4">
        <f>IF(F660="","",VLOOKUP(F660,Productos!$A$2:$F$182,5,FALSE))</f>
        <v>3</v>
      </c>
      <c r="K660" s="4" t="str">
        <f>IF(F660="","",VLOOKUP(F660,Productos!$A$2:$F$182,6,FALSE))</f>
        <v>Manufacturas</v>
      </c>
      <c r="L660" s="4">
        <v>3</v>
      </c>
      <c r="M660" s="4" t="s">
        <v>67</v>
      </c>
      <c r="N660" s="4">
        <f>VLOOKUP(F660,Productos!$A$2:$J$182,5)</f>
        <v>3</v>
      </c>
      <c r="O660" s="4" t="str">
        <f>VLOOKUP(F660,Productos!$A$2:$J$182,6)</f>
        <v>Manufacturas</v>
      </c>
    </row>
    <row r="661" spans="1:15">
      <c r="A661" s="4" t="s">
        <v>858</v>
      </c>
      <c r="B661" s="4" t="s">
        <v>559</v>
      </c>
      <c r="C661" s="4" t="s">
        <v>560</v>
      </c>
      <c r="D661" s="4" t="s">
        <v>561</v>
      </c>
      <c r="E661" s="4" t="s">
        <v>560</v>
      </c>
      <c r="F661" s="5">
        <v>117</v>
      </c>
      <c r="G661" s="4" t="s">
        <v>248</v>
      </c>
      <c r="H661" s="4" t="str">
        <f>IF(F661="","",VLOOKUP(F661,Productos!$A$2:$F$182,3,FALSE))</f>
        <v>4</v>
      </c>
      <c r="I661" s="4" t="str">
        <f>IF(F661="","",VLOOKUP(F661,Productos!$A$2:$F$182,4,FALSE))</f>
        <v>Productos metálicos, maquinaria y equipo</v>
      </c>
      <c r="J661" s="4">
        <f>IF(F661="","",VLOOKUP(F661,Productos!$A$2:$F$182,5,FALSE))</f>
        <v>3</v>
      </c>
      <c r="K661" s="4" t="str">
        <f>IF(F661="","",VLOOKUP(F661,Productos!$A$2:$F$182,6,FALSE))</f>
        <v>Manufacturas</v>
      </c>
      <c r="L661" s="4">
        <v>3</v>
      </c>
      <c r="M661" s="4" t="s">
        <v>67</v>
      </c>
      <c r="N661" s="4">
        <f>VLOOKUP(F661,Productos!$A$2:$J$182,5)</f>
        <v>3</v>
      </c>
      <c r="O661" s="4" t="str">
        <f>VLOOKUP(F661,Productos!$A$2:$J$182,6)</f>
        <v>Manufacturas</v>
      </c>
    </row>
    <row r="662" spans="1:15">
      <c r="A662" s="4" t="s">
        <v>859</v>
      </c>
      <c r="B662" s="4" t="s">
        <v>559</v>
      </c>
      <c r="C662" s="4" t="s">
        <v>560</v>
      </c>
      <c r="D662" s="4" t="s">
        <v>561</v>
      </c>
      <c r="E662" s="4" t="s">
        <v>560</v>
      </c>
      <c r="F662" s="5">
        <v>118</v>
      </c>
      <c r="G662" s="4" t="s">
        <v>250</v>
      </c>
      <c r="H662" s="4" t="str">
        <f>IF(F662="","",VLOOKUP(F662,Productos!$A$2:$F$182,3,FALSE))</f>
        <v>4</v>
      </c>
      <c r="I662" s="4" t="str">
        <f>IF(F662="","",VLOOKUP(F662,Productos!$A$2:$F$182,4,FALSE))</f>
        <v>Productos metálicos, maquinaria y equipo</v>
      </c>
      <c r="J662" s="4">
        <f>IF(F662="","",VLOOKUP(F662,Productos!$A$2:$F$182,5,FALSE))</f>
        <v>3</v>
      </c>
      <c r="K662" s="4" t="str">
        <f>IF(F662="","",VLOOKUP(F662,Productos!$A$2:$F$182,6,FALSE))</f>
        <v>Manufacturas</v>
      </c>
      <c r="L662" s="4">
        <v>3</v>
      </c>
      <c r="M662" s="4" t="s">
        <v>67</v>
      </c>
      <c r="N662" s="4">
        <f>VLOOKUP(F662,Productos!$A$2:$J$182,5)</f>
        <v>3</v>
      </c>
      <c r="O662" s="4" t="str">
        <f>VLOOKUP(F662,Productos!$A$2:$J$182,6)</f>
        <v>Manufacturas</v>
      </c>
    </row>
    <row r="663" spans="1:15">
      <c r="A663" s="4" t="s">
        <v>860</v>
      </c>
      <c r="B663" s="4" t="s">
        <v>559</v>
      </c>
      <c r="C663" s="4" t="s">
        <v>560</v>
      </c>
      <c r="D663" s="4" t="s">
        <v>561</v>
      </c>
      <c r="E663" s="4" t="s">
        <v>560</v>
      </c>
      <c r="F663" s="5">
        <v>119</v>
      </c>
      <c r="G663" s="4" t="s">
        <v>252</v>
      </c>
      <c r="H663" s="4" t="str">
        <f>IF(F663="","",VLOOKUP(F663,Productos!$A$2:$F$182,3,FALSE))</f>
        <v>1</v>
      </c>
      <c r="I663" s="4" t="str">
        <f>IF(F663="","",VLOOKUP(F663,Productos!$A$2:$F$182,4,FALSE))</f>
        <v>Minerales; electricidad, gas y agua</v>
      </c>
      <c r="J663" s="4">
        <f>IF(F663="","",VLOOKUP(F663,Productos!$A$2:$F$182,5,FALSE))</f>
        <v>4</v>
      </c>
      <c r="K663" s="4" t="str">
        <f>IF(F663="","",VLOOKUP(F663,Productos!$A$2:$F$182,6,FALSE))</f>
        <v>Servicios básicos</v>
      </c>
      <c r="L663" s="4">
        <v>3</v>
      </c>
      <c r="M663" s="4" t="s">
        <v>67</v>
      </c>
      <c r="N663" s="4">
        <f>VLOOKUP(F663,Productos!$A$2:$J$182,5)</f>
        <v>4</v>
      </c>
      <c r="O663" s="4" t="str">
        <f>VLOOKUP(F663,Productos!$A$2:$J$182,6)</f>
        <v>Servicios básicos</v>
      </c>
    </row>
    <row r="664" spans="1:15">
      <c r="A664" s="4" t="s">
        <v>861</v>
      </c>
      <c r="B664" s="4" t="s">
        <v>559</v>
      </c>
      <c r="C664" s="4" t="s">
        <v>560</v>
      </c>
      <c r="D664" s="4" t="s">
        <v>561</v>
      </c>
      <c r="E664" s="4" t="s">
        <v>560</v>
      </c>
      <c r="F664" s="5">
        <v>120</v>
      </c>
      <c r="G664" s="4" t="s">
        <v>254</v>
      </c>
      <c r="H664" s="4" t="str">
        <f>IF(F664="","",VLOOKUP(F664,Productos!$A$2:$F$182,3,FALSE))</f>
        <v>1</v>
      </c>
      <c r="I664" s="4" t="str">
        <f>IF(F664="","",VLOOKUP(F664,Productos!$A$2:$F$182,4,FALSE))</f>
        <v>Minerales; electricidad, gas y agua</v>
      </c>
      <c r="J664" s="4">
        <f>IF(F664="","",VLOOKUP(F664,Productos!$A$2:$F$182,5,FALSE))</f>
        <v>4</v>
      </c>
      <c r="K664" s="4" t="str">
        <f>IF(F664="","",VLOOKUP(F664,Productos!$A$2:$F$182,6,FALSE))</f>
        <v>Servicios básicos</v>
      </c>
      <c r="L664" s="4">
        <v>3</v>
      </c>
      <c r="M664" s="4" t="s">
        <v>67</v>
      </c>
      <c r="N664" s="4">
        <f>VLOOKUP(F664,Productos!$A$2:$J$182,5)</f>
        <v>4</v>
      </c>
      <c r="O664" s="4" t="str">
        <f>VLOOKUP(F664,Productos!$A$2:$J$182,6)</f>
        <v>Servicios básicos</v>
      </c>
    </row>
    <row r="665" spans="1:15">
      <c r="A665" s="4" t="s">
        <v>862</v>
      </c>
      <c r="B665" s="4" t="s">
        <v>559</v>
      </c>
      <c r="C665" s="4" t="s">
        <v>560</v>
      </c>
      <c r="D665" s="4" t="s">
        <v>561</v>
      </c>
      <c r="E665" s="4" t="s">
        <v>560</v>
      </c>
      <c r="F665" s="5">
        <v>121</v>
      </c>
      <c r="G665" s="4" t="s">
        <v>256</v>
      </c>
      <c r="H665" s="4" t="str">
        <f>IF(F665="","",VLOOKUP(F665,Productos!$A$2:$F$182,3,FALSE))</f>
        <v>1</v>
      </c>
      <c r="I665" s="4" t="str">
        <f>IF(F665="","",VLOOKUP(F665,Productos!$A$2:$F$182,4,FALSE))</f>
        <v>Minerales; electricidad, gas y agua</v>
      </c>
      <c r="J665" s="4">
        <f>IF(F665="","",VLOOKUP(F665,Productos!$A$2:$F$182,5,FALSE))</f>
        <v>4</v>
      </c>
      <c r="K665" s="4" t="str">
        <f>IF(F665="","",VLOOKUP(F665,Productos!$A$2:$F$182,6,FALSE))</f>
        <v>Servicios básicos</v>
      </c>
      <c r="L665" s="4">
        <v>3</v>
      </c>
      <c r="M665" s="4" t="s">
        <v>67</v>
      </c>
      <c r="N665" s="4">
        <f>VLOOKUP(F665,Productos!$A$2:$J$182,5)</f>
        <v>4</v>
      </c>
      <c r="O665" s="4" t="str">
        <f>VLOOKUP(F665,Productos!$A$2:$J$182,6)</f>
        <v>Servicios básicos</v>
      </c>
    </row>
    <row r="666" spans="1:15">
      <c r="A666" s="4" t="s">
        <v>863</v>
      </c>
      <c r="B666" s="4" t="s">
        <v>559</v>
      </c>
      <c r="C666" s="4" t="s">
        <v>560</v>
      </c>
      <c r="D666" s="4" t="s">
        <v>561</v>
      </c>
      <c r="E666" s="4" t="s">
        <v>560</v>
      </c>
      <c r="F666" s="5">
        <v>122</v>
      </c>
      <c r="G666" s="4" t="s">
        <v>258</v>
      </c>
      <c r="H666" s="4" t="str">
        <f>IF(F666="","",VLOOKUP(F666,Productos!$A$2:$F$182,3,FALSE))</f>
        <v>1</v>
      </c>
      <c r="I666" s="4" t="str">
        <f>IF(F666="","",VLOOKUP(F666,Productos!$A$2:$F$182,4,FALSE))</f>
        <v>Minerales; electricidad, gas y agua</v>
      </c>
      <c r="J666" s="4">
        <f>IF(F666="","",VLOOKUP(F666,Productos!$A$2:$F$182,5,FALSE))</f>
        <v>4</v>
      </c>
      <c r="K666" s="4" t="str">
        <f>IF(F666="","",VLOOKUP(F666,Productos!$A$2:$F$182,6,FALSE))</f>
        <v>Servicios básicos</v>
      </c>
      <c r="L666" s="4">
        <v>3</v>
      </c>
      <c r="M666" s="4" t="s">
        <v>67</v>
      </c>
      <c r="N666" s="4">
        <f>VLOOKUP(F666,Productos!$A$2:$J$182,5)</f>
        <v>4</v>
      </c>
      <c r="O666" s="4" t="str">
        <f>VLOOKUP(F666,Productos!$A$2:$J$182,6)</f>
        <v>Servicios básicos</v>
      </c>
    </row>
    <row r="667" spans="1:15">
      <c r="A667" s="4" t="s">
        <v>864</v>
      </c>
      <c r="B667" s="4" t="s">
        <v>559</v>
      </c>
      <c r="C667" s="4" t="s">
        <v>560</v>
      </c>
      <c r="D667" s="4" t="s">
        <v>561</v>
      </c>
      <c r="E667" s="4" t="s">
        <v>560</v>
      </c>
      <c r="F667" s="5">
        <v>123</v>
      </c>
      <c r="G667" s="4" t="s">
        <v>260</v>
      </c>
      <c r="H667" s="4" t="str">
        <f>IF(F667="","",VLOOKUP(F667,Productos!$A$2:$F$182,3,FALSE))</f>
        <v>1</v>
      </c>
      <c r="I667" s="4" t="str">
        <f>IF(F667="","",VLOOKUP(F667,Productos!$A$2:$F$182,4,FALSE))</f>
        <v>Minerales; electricidad, gas y agua</v>
      </c>
      <c r="J667" s="4">
        <f>IF(F667="","",VLOOKUP(F667,Productos!$A$2:$F$182,5,FALSE))</f>
        <v>4</v>
      </c>
      <c r="K667" s="4" t="str">
        <f>IF(F667="","",VLOOKUP(F667,Productos!$A$2:$F$182,6,FALSE))</f>
        <v>Servicios básicos</v>
      </c>
      <c r="L667" s="4">
        <v>2</v>
      </c>
      <c r="M667" s="4" t="s">
        <v>142</v>
      </c>
      <c r="N667" s="4">
        <f>VLOOKUP(F667,Productos!$A$2:$J$182,5)</f>
        <v>4</v>
      </c>
      <c r="O667" s="4" t="str">
        <f>VLOOKUP(F667,Productos!$A$2:$J$182,6)</f>
        <v>Servicios básicos</v>
      </c>
    </row>
    <row r="668" spans="1:15">
      <c r="A668" s="4" t="s">
        <v>865</v>
      </c>
      <c r="B668" s="4" t="s">
        <v>559</v>
      </c>
      <c r="C668" s="4" t="s">
        <v>560</v>
      </c>
      <c r="D668" s="4" t="s">
        <v>561</v>
      </c>
      <c r="E668" s="4" t="s">
        <v>560</v>
      </c>
      <c r="F668" s="5">
        <v>124</v>
      </c>
      <c r="G668" s="4" t="s">
        <v>262</v>
      </c>
      <c r="H668" s="4" t="str">
        <f>IF(F668="","",VLOOKUP(F668,Productos!$A$2:$F$182,3,FALSE))</f>
        <v>1</v>
      </c>
      <c r="I668" s="4" t="str">
        <f>IF(F668="","",VLOOKUP(F668,Productos!$A$2:$F$182,4,FALSE))</f>
        <v>Minerales; electricidad, gas y agua</v>
      </c>
      <c r="J668" s="4">
        <f>IF(F668="","",VLOOKUP(F668,Productos!$A$2:$F$182,5,FALSE))</f>
        <v>4</v>
      </c>
      <c r="K668" s="4" t="str">
        <f>IF(F668="","",VLOOKUP(F668,Productos!$A$2:$F$182,6,FALSE))</f>
        <v>Servicios básicos</v>
      </c>
      <c r="L668" s="4">
        <v>2</v>
      </c>
      <c r="M668" s="4" t="s">
        <v>142</v>
      </c>
      <c r="N668" s="4">
        <f>VLOOKUP(F668,Productos!$A$2:$J$182,5)</f>
        <v>4</v>
      </c>
      <c r="O668" s="4" t="str">
        <f>VLOOKUP(F668,Productos!$A$2:$J$182,6)</f>
        <v>Servicios básicos</v>
      </c>
    </row>
    <row r="669" spans="1:15">
      <c r="A669" s="4" t="s">
        <v>866</v>
      </c>
      <c r="B669" s="4" t="s">
        <v>559</v>
      </c>
      <c r="C669" s="4" t="s">
        <v>560</v>
      </c>
      <c r="D669" s="4" t="s">
        <v>561</v>
      </c>
      <c r="E669" s="4" t="s">
        <v>560</v>
      </c>
      <c r="F669" s="5">
        <v>125</v>
      </c>
      <c r="G669" s="4" t="s">
        <v>264</v>
      </c>
      <c r="H669" s="4" t="str">
        <f>IF(F669="","",VLOOKUP(F669,Productos!$A$2:$F$182,3,FALSE))</f>
        <v>5</v>
      </c>
      <c r="I669" s="4" t="str">
        <f>IF(F669="","",VLOOKUP(F669,Productos!$A$2:$F$182,4,FALSE))</f>
        <v>Construcciones y servicios de construcción</v>
      </c>
      <c r="J669" s="4">
        <f>IF(F669="","",VLOOKUP(F669,Productos!$A$2:$F$182,5,FALSE))</f>
        <v>5</v>
      </c>
      <c r="K669" s="4" t="str">
        <f>IF(F669="","",VLOOKUP(F669,Productos!$A$2:$F$182,6,FALSE))</f>
        <v>Construcción</v>
      </c>
      <c r="L669" s="4">
        <v>3</v>
      </c>
      <c r="M669" s="4" t="s">
        <v>67</v>
      </c>
      <c r="N669" s="4">
        <f>VLOOKUP(F669,Productos!$A$2:$J$182,5)</f>
        <v>5</v>
      </c>
      <c r="O669" s="4" t="str">
        <f>VLOOKUP(F669,Productos!$A$2:$J$182,6)</f>
        <v>Construcción</v>
      </c>
    </row>
    <row r="670" spans="1:15">
      <c r="A670" s="4" t="s">
        <v>867</v>
      </c>
      <c r="B670" s="4" t="s">
        <v>559</v>
      </c>
      <c r="C670" s="4" t="s">
        <v>560</v>
      </c>
      <c r="D670" s="4" t="s">
        <v>561</v>
      </c>
      <c r="E670" s="4" t="s">
        <v>560</v>
      </c>
      <c r="F670" s="5">
        <v>126</v>
      </c>
      <c r="G670" s="4" t="s">
        <v>266</v>
      </c>
      <c r="H670" s="4" t="str">
        <f>IF(F670="","",VLOOKUP(F670,Productos!$A$2:$F$182,3,FALSE))</f>
        <v>5</v>
      </c>
      <c r="I670" s="4" t="str">
        <f>IF(F670="","",VLOOKUP(F670,Productos!$A$2:$F$182,4,FALSE))</f>
        <v>Construcciones y servicios de construcción</v>
      </c>
      <c r="J670" s="4">
        <f>IF(F670="","",VLOOKUP(F670,Productos!$A$2:$F$182,5,FALSE))</f>
        <v>5</v>
      </c>
      <c r="K670" s="4" t="str">
        <f>IF(F670="","",VLOOKUP(F670,Productos!$A$2:$F$182,6,FALSE))</f>
        <v>Construcción</v>
      </c>
      <c r="L670" s="4">
        <v>3</v>
      </c>
      <c r="M670" s="4" t="s">
        <v>67</v>
      </c>
      <c r="N670" s="4">
        <f>VLOOKUP(F670,Productos!$A$2:$J$182,5)</f>
        <v>5</v>
      </c>
      <c r="O670" s="4" t="str">
        <f>VLOOKUP(F670,Productos!$A$2:$J$182,6)</f>
        <v>Construcción</v>
      </c>
    </row>
    <row r="671" spans="1:15">
      <c r="A671" s="4" t="s">
        <v>868</v>
      </c>
      <c r="B671" s="4" t="s">
        <v>559</v>
      </c>
      <c r="C671" s="4" t="s">
        <v>560</v>
      </c>
      <c r="D671" s="4" t="s">
        <v>561</v>
      </c>
      <c r="E671" s="4" t="s">
        <v>560</v>
      </c>
      <c r="F671" s="5">
        <v>127</v>
      </c>
      <c r="G671" s="4" t="s">
        <v>268</v>
      </c>
      <c r="H671" s="4" t="str">
        <f>IF(F671="","",VLOOKUP(F671,Productos!$A$2:$F$182,3,FALSE))</f>
        <v>5</v>
      </c>
      <c r="I671" s="4" t="str">
        <f>IF(F671="","",VLOOKUP(F671,Productos!$A$2:$F$182,4,FALSE))</f>
        <v>Construcciones y servicios de construcción</v>
      </c>
      <c r="J671" s="4">
        <f>IF(F671="","",VLOOKUP(F671,Productos!$A$2:$F$182,5,FALSE))</f>
        <v>5</v>
      </c>
      <c r="K671" s="4" t="str">
        <f>IF(F671="","",VLOOKUP(F671,Productos!$A$2:$F$182,6,FALSE))</f>
        <v>Construcción</v>
      </c>
      <c r="L671" s="4">
        <v>3</v>
      </c>
      <c r="M671" s="4" t="s">
        <v>67</v>
      </c>
      <c r="N671" s="4">
        <f>VLOOKUP(F671,Productos!$A$2:$J$182,5)</f>
        <v>5</v>
      </c>
      <c r="O671" s="4" t="str">
        <f>VLOOKUP(F671,Productos!$A$2:$J$182,6)</f>
        <v>Construcción</v>
      </c>
    </row>
    <row r="672" spans="1:15">
      <c r="A672" s="4" t="s">
        <v>869</v>
      </c>
      <c r="B672" s="4" t="s">
        <v>559</v>
      </c>
      <c r="C672" s="4" t="s">
        <v>560</v>
      </c>
      <c r="D672" s="4" t="s">
        <v>561</v>
      </c>
      <c r="E672" s="4" t="s">
        <v>560</v>
      </c>
      <c r="F672" s="5">
        <v>128</v>
      </c>
      <c r="G672" s="4" t="s">
        <v>270</v>
      </c>
      <c r="H672" s="4" t="str">
        <f>IF(F672="","",VLOOKUP(F672,Productos!$A$2:$F$182,3,FALSE))</f>
        <v>5</v>
      </c>
      <c r="I672" s="4" t="str">
        <f>IF(F672="","",VLOOKUP(F672,Productos!$A$2:$F$182,4,FALSE))</f>
        <v>Construcciones y servicios de construcción</v>
      </c>
      <c r="J672" s="4">
        <f>IF(F672="","",VLOOKUP(F672,Productos!$A$2:$F$182,5,FALSE))</f>
        <v>5</v>
      </c>
      <c r="K672" s="4" t="str">
        <f>IF(F672="","",VLOOKUP(F672,Productos!$A$2:$F$182,6,FALSE))</f>
        <v>Construcción</v>
      </c>
      <c r="L672" s="4">
        <v>3</v>
      </c>
      <c r="M672" s="4" t="s">
        <v>67</v>
      </c>
      <c r="N672" s="4">
        <f>VLOOKUP(F672,Productos!$A$2:$J$182,5)</f>
        <v>5</v>
      </c>
      <c r="O672" s="4" t="str">
        <f>VLOOKUP(F672,Productos!$A$2:$J$182,6)</f>
        <v>Construcción</v>
      </c>
    </row>
    <row r="673" spans="1:15">
      <c r="A673" s="4" t="s">
        <v>870</v>
      </c>
      <c r="B673" s="4" t="s">
        <v>559</v>
      </c>
      <c r="C673" s="4" t="s">
        <v>560</v>
      </c>
      <c r="D673" s="4" t="s">
        <v>561</v>
      </c>
      <c r="E673" s="4" t="s">
        <v>560</v>
      </c>
      <c r="F673" s="5">
        <v>129</v>
      </c>
      <c r="G673" s="4" t="s">
        <v>272</v>
      </c>
      <c r="H673" s="4" t="str">
        <f>IF(F673="","",VLOOKUP(F673,Productos!$A$2:$F$182,3,FALSE))</f>
        <v>5</v>
      </c>
      <c r="I673" s="4" t="str">
        <f>IF(F673="","",VLOOKUP(F673,Productos!$A$2:$F$182,4,FALSE))</f>
        <v>Construcciones y servicios de construcción</v>
      </c>
      <c r="J673" s="4">
        <f>IF(F673="","",VLOOKUP(F673,Productos!$A$2:$F$182,5,FALSE))</f>
        <v>5</v>
      </c>
      <c r="K673" s="4" t="str">
        <f>IF(F673="","",VLOOKUP(F673,Productos!$A$2:$F$182,6,FALSE))</f>
        <v>Construcción</v>
      </c>
      <c r="L673" s="4">
        <v>3</v>
      </c>
      <c r="M673" s="4" t="s">
        <v>67</v>
      </c>
      <c r="N673" s="4">
        <f>VLOOKUP(F673,Productos!$A$2:$J$182,5)</f>
        <v>5</v>
      </c>
      <c r="O673" s="4" t="str">
        <f>VLOOKUP(F673,Productos!$A$2:$J$182,6)</f>
        <v>Construcción</v>
      </c>
    </row>
    <row r="674" spans="1:15">
      <c r="A674" s="4" t="s">
        <v>871</v>
      </c>
      <c r="B674" s="4" t="s">
        <v>559</v>
      </c>
      <c r="C674" s="4" t="s">
        <v>560</v>
      </c>
      <c r="D674" s="4" t="s">
        <v>561</v>
      </c>
      <c r="E674" s="4" t="s">
        <v>560</v>
      </c>
      <c r="F674" s="5">
        <v>130</v>
      </c>
      <c r="G674" s="4" t="s">
        <v>274</v>
      </c>
      <c r="H674" s="4" t="str">
        <f>IF(F674="","",VLOOKUP(F674,Productos!$A$2:$F$182,3,FALSE))</f>
        <v>5</v>
      </c>
      <c r="I674" s="4" t="str">
        <f>IF(F674="","",VLOOKUP(F674,Productos!$A$2:$F$182,4,FALSE))</f>
        <v>Construcciones y servicios de construcción</v>
      </c>
      <c r="J674" s="4">
        <f>IF(F674="","",VLOOKUP(F674,Productos!$A$2:$F$182,5,FALSE))</f>
        <v>5</v>
      </c>
      <c r="K674" s="4" t="str">
        <f>IF(F674="","",VLOOKUP(F674,Productos!$A$2:$F$182,6,FALSE))</f>
        <v>Construcción</v>
      </c>
      <c r="L674" s="4">
        <v>3</v>
      </c>
      <c r="M674" s="4" t="s">
        <v>67</v>
      </c>
      <c r="N674" s="4">
        <f>VLOOKUP(F674,Productos!$A$2:$J$182,5)</f>
        <v>5</v>
      </c>
      <c r="O674" s="4" t="str">
        <f>VLOOKUP(F674,Productos!$A$2:$J$182,6)</f>
        <v>Construcción</v>
      </c>
    </row>
    <row r="675" spans="1:15">
      <c r="A675" s="4" t="s">
        <v>872</v>
      </c>
      <c r="B675" s="4" t="s">
        <v>559</v>
      </c>
      <c r="C675" s="4" t="s">
        <v>560</v>
      </c>
      <c r="D675" s="4" t="s">
        <v>561</v>
      </c>
      <c r="E675" s="4" t="s">
        <v>560</v>
      </c>
      <c r="F675" s="5">
        <v>131</v>
      </c>
      <c r="G675" s="4" t="s">
        <v>276</v>
      </c>
      <c r="H675" s="4" t="str">
        <f>IF(F675="","",VLOOKUP(F675,Productos!$A$2:$F$182,3,FALSE))</f>
        <v>5</v>
      </c>
      <c r="I675" s="4" t="str">
        <f>IF(F675="","",VLOOKUP(F675,Productos!$A$2:$F$182,4,FALSE))</f>
        <v>Construcciones y servicios de construcción</v>
      </c>
      <c r="J675" s="4">
        <f>IF(F675="","",VLOOKUP(F675,Productos!$A$2:$F$182,5,FALSE))</f>
        <v>5</v>
      </c>
      <c r="K675" s="4" t="str">
        <f>IF(F675="","",VLOOKUP(F675,Productos!$A$2:$F$182,6,FALSE))</f>
        <v>Construcción</v>
      </c>
      <c r="L675" s="4">
        <v>3</v>
      </c>
      <c r="M675" s="4" t="s">
        <v>67</v>
      </c>
      <c r="N675" s="4">
        <f>VLOOKUP(F675,Productos!$A$2:$J$182,5)</f>
        <v>5</v>
      </c>
      <c r="O675" s="4" t="str">
        <f>VLOOKUP(F675,Productos!$A$2:$J$182,6)</f>
        <v>Construcción</v>
      </c>
    </row>
    <row r="676" spans="1:15">
      <c r="A676" s="4" t="s">
        <v>873</v>
      </c>
      <c r="B676" s="4" t="s">
        <v>559</v>
      </c>
      <c r="C676" s="4" t="s">
        <v>560</v>
      </c>
      <c r="D676" s="4" t="s">
        <v>561</v>
      </c>
      <c r="E676" s="4" t="s">
        <v>560</v>
      </c>
      <c r="F676" s="5">
        <v>132</v>
      </c>
      <c r="G676" s="4" t="s">
        <v>278</v>
      </c>
      <c r="H676" s="4" t="str">
        <f>IF(F676="","",VLOOKUP(F676,Productos!$A$2:$F$182,3,FALSE))</f>
        <v>6</v>
      </c>
      <c r="I676" s="4" t="str">
        <f>IF(F676="","",VLOOKUP(F676,Productos!$A$2:$F$182,4,FALSE))</f>
        <v>Servicios comerciales de distribución; alojamiento, servicios de suministro de comidas y bebidas; servicios de transporte; y servicios de distribución de electricidad, gas y agua</v>
      </c>
      <c r="J676" s="4">
        <f>IF(F676="","",VLOOKUP(F676,Productos!$A$2:$F$182,5,FALSE))</f>
        <v>6</v>
      </c>
      <c r="K676" s="4" t="str">
        <f>IF(F676="","",VLOOKUP(F676,Productos!$A$2:$F$182,6,FALSE))</f>
        <v>Comercio</v>
      </c>
      <c r="L676" s="4">
        <v>3</v>
      </c>
      <c r="M676" s="4" t="s">
        <v>67</v>
      </c>
      <c r="N676" s="4">
        <f>VLOOKUP(F676,Productos!$A$2:$J$182,5)</f>
        <v>6</v>
      </c>
      <c r="O676" s="4" t="str">
        <f>VLOOKUP(F676,Productos!$A$2:$J$182,6)</f>
        <v>Comercio</v>
      </c>
    </row>
    <row r="677" spans="1:15">
      <c r="A677" s="4" t="s">
        <v>874</v>
      </c>
      <c r="B677" s="4" t="s">
        <v>559</v>
      </c>
      <c r="C677" s="4" t="s">
        <v>560</v>
      </c>
      <c r="D677" s="4" t="s">
        <v>561</v>
      </c>
      <c r="E677" s="4" t="s">
        <v>560</v>
      </c>
      <c r="F677" s="5">
        <v>133</v>
      </c>
      <c r="G677" s="4" t="s">
        <v>280</v>
      </c>
      <c r="H677" s="4" t="str">
        <f>IF(F677="","",VLOOKUP(F677,Productos!$A$2:$F$182,3,FALSE))</f>
        <v>6</v>
      </c>
      <c r="I677" s="4" t="str">
        <f>IF(F677="","",VLOOKUP(F677,Productos!$A$2:$F$182,4,FALSE))</f>
        <v>Servicios comerciales de distribución; alojamiento, servicios de suministro de comidas y bebidas; servicios de transporte; y servicios de distribución de electricidad, gas y agua</v>
      </c>
      <c r="J677" s="4">
        <f>IF(F677="","",VLOOKUP(F677,Productos!$A$2:$F$182,5,FALSE))</f>
        <v>6</v>
      </c>
      <c r="K677" s="4" t="str">
        <f>IF(F677="","",VLOOKUP(F677,Productos!$A$2:$F$182,6,FALSE))</f>
        <v>Comercio</v>
      </c>
      <c r="L677" s="4">
        <v>3</v>
      </c>
      <c r="M677" s="4" t="s">
        <v>67</v>
      </c>
      <c r="N677" s="4">
        <f>VLOOKUP(F677,Productos!$A$2:$J$182,5)</f>
        <v>6</v>
      </c>
      <c r="O677" s="4" t="str">
        <f>VLOOKUP(F677,Productos!$A$2:$J$182,6)</f>
        <v>Comercio</v>
      </c>
    </row>
    <row r="678" spans="1:15">
      <c r="A678" s="4" t="s">
        <v>875</v>
      </c>
      <c r="B678" s="4" t="s">
        <v>559</v>
      </c>
      <c r="C678" s="4" t="s">
        <v>560</v>
      </c>
      <c r="D678" s="4" t="s">
        <v>561</v>
      </c>
      <c r="E678" s="4" t="s">
        <v>560</v>
      </c>
      <c r="F678" s="5">
        <v>134</v>
      </c>
      <c r="G678" s="4" t="s">
        <v>282</v>
      </c>
      <c r="H678" s="4" t="str">
        <f>IF(F678="","",VLOOKUP(F678,Productos!$A$2:$F$182,3,FALSE))</f>
        <v>6</v>
      </c>
      <c r="I678" s="4" t="str">
        <f>IF(F678="","",VLOOKUP(F678,Productos!$A$2:$F$182,4,FALSE))</f>
        <v>Servicios comerciales de distribución; alojamiento, servicios de suministro de comidas y bebidas; servicios de transporte; y servicios de distribución de electricidad, gas y agua</v>
      </c>
      <c r="J678" s="4">
        <f>IF(F678="","",VLOOKUP(F678,Productos!$A$2:$F$182,5,FALSE))</f>
        <v>6</v>
      </c>
      <c r="K678" s="4" t="str">
        <f>IF(F678="","",VLOOKUP(F678,Productos!$A$2:$F$182,6,FALSE))</f>
        <v>Comercio</v>
      </c>
      <c r="L678" s="4">
        <v>3</v>
      </c>
      <c r="M678" s="4" t="s">
        <v>67</v>
      </c>
      <c r="N678" s="4">
        <f>VLOOKUP(F678,Productos!$A$2:$J$182,5)</f>
        <v>6</v>
      </c>
      <c r="O678" s="4" t="str">
        <f>VLOOKUP(F678,Productos!$A$2:$J$182,6)</f>
        <v>Comercio</v>
      </c>
    </row>
    <row r="679" spans="1:15">
      <c r="A679" s="4" t="s">
        <v>876</v>
      </c>
      <c r="B679" s="4" t="s">
        <v>559</v>
      </c>
      <c r="C679" s="4" t="s">
        <v>560</v>
      </c>
      <c r="D679" s="4" t="s">
        <v>561</v>
      </c>
      <c r="E679" s="4" t="s">
        <v>560</v>
      </c>
      <c r="F679" s="5">
        <v>135</v>
      </c>
      <c r="G679" s="4" t="s">
        <v>284</v>
      </c>
      <c r="H679" s="4" t="str">
        <f>IF(F679="","",VLOOKUP(F679,Productos!$A$2:$F$182,3,FALSE))</f>
        <v>6</v>
      </c>
      <c r="I679" s="4" t="str">
        <f>IF(F679="","",VLOOKUP(F679,Productos!$A$2:$F$182,4,FALSE))</f>
        <v>Servicios comerciales de distribución; alojamiento, servicios de suministro de comidas y bebidas; servicios de transporte; y servicios de distribución de electricidad, gas y agua</v>
      </c>
      <c r="J679" s="4">
        <f>IF(F679="","",VLOOKUP(F679,Productos!$A$2:$F$182,5,FALSE))</f>
        <v>6</v>
      </c>
      <c r="K679" s="4" t="str">
        <f>IF(F679="","",VLOOKUP(F679,Productos!$A$2:$F$182,6,FALSE))</f>
        <v>Comercio</v>
      </c>
      <c r="L679" s="4">
        <v>3</v>
      </c>
      <c r="M679" s="4" t="s">
        <v>67</v>
      </c>
      <c r="N679" s="4">
        <f>VLOOKUP(F679,Productos!$A$2:$J$182,5)</f>
        <v>6</v>
      </c>
      <c r="O679" s="4" t="str">
        <f>VLOOKUP(F679,Productos!$A$2:$J$182,6)</f>
        <v>Comercio</v>
      </c>
    </row>
    <row r="680" spans="1:15">
      <c r="A680" s="4" t="s">
        <v>877</v>
      </c>
      <c r="B680" s="4" t="s">
        <v>559</v>
      </c>
      <c r="C680" s="4" t="s">
        <v>560</v>
      </c>
      <c r="D680" s="4" t="s">
        <v>561</v>
      </c>
      <c r="E680" s="4" t="s">
        <v>560</v>
      </c>
      <c r="F680" s="5">
        <v>136</v>
      </c>
      <c r="G680" s="4" t="s">
        <v>286</v>
      </c>
      <c r="H680" s="4" t="str">
        <f>IF(F680="","",VLOOKUP(F680,Productos!$A$2:$F$182,3,FALSE))</f>
        <v>6</v>
      </c>
      <c r="I680" s="4" t="str">
        <f>IF(F680="","",VLOOKUP(F680,Productos!$A$2:$F$182,4,FALSE))</f>
        <v>Servicios comerciales de distribución; alojamiento, servicios de suministro de comidas y bebidas; servicios de transporte; y servicios de distribución de electricidad, gas y agua</v>
      </c>
      <c r="J680" s="4">
        <f>IF(F680="","",VLOOKUP(F680,Productos!$A$2:$F$182,5,FALSE))</f>
        <v>7</v>
      </c>
      <c r="K680" s="4" t="str">
        <f>IF(F680="","",VLOOKUP(F680,Productos!$A$2:$F$182,6,FALSE))</f>
        <v>Otros servicios</v>
      </c>
      <c r="L680" s="4">
        <v>3</v>
      </c>
      <c r="M680" s="4" t="s">
        <v>67</v>
      </c>
      <c r="N680" s="4">
        <f>VLOOKUP(F680,Productos!$A$2:$J$182,5)</f>
        <v>7</v>
      </c>
      <c r="O680" s="4" t="str">
        <f>VLOOKUP(F680,Productos!$A$2:$J$182,6)</f>
        <v>Otros servicios</v>
      </c>
    </row>
    <row r="681" spans="1:15">
      <c r="A681" s="4" t="s">
        <v>878</v>
      </c>
      <c r="B681" s="4" t="s">
        <v>559</v>
      </c>
      <c r="C681" s="4" t="s">
        <v>560</v>
      </c>
      <c r="D681" s="4" t="s">
        <v>561</v>
      </c>
      <c r="E681" s="4" t="s">
        <v>560</v>
      </c>
      <c r="F681" s="5">
        <v>137</v>
      </c>
      <c r="G681" s="4" t="s">
        <v>288</v>
      </c>
      <c r="H681" s="4" t="str">
        <f>IF(F681="","",VLOOKUP(F681,Productos!$A$2:$F$182,3,FALSE))</f>
        <v>6</v>
      </c>
      <c r="I681" s="4" t="str">
        <f>IF(F681="","",VLOOKUP(F681,Productos!$A$2:$F$182,4,FALSE))</f>
        <v>Servicios comerciales de distribución; alojamiento, servicios de suministro de comidas y bebidas; servicios de transporte; y servicios de distribución de electricidad, gas y agua</v>
      </c>
      <c r="J681" s="4">
        <f>IF(F681="","",VLOOKUP(F681,Productos!$A$2:$F$182,5,FALSE))</f>
        <v>7</v>
      </c>
      <c r="K681" s="4" t="str">
        <f>IF(F681="","",VLOOKUP(F681,Productos!$A$2:$F$182,6,FALSE))</f>
        <v>Otros servicios</v>
      </c>
      <c r="L681" s="4">
        <v>3</v>
      </c>
      <c r="M681" s="4" t="s">
        <v>67</v>
      </c>
      <c r="N681" s="4">
        <f>VLOOKUP(F681,Productos!$A$2:$J$182,5)</f>
        <v>7</v>
      </c>
      <c r="O681" s="4" t="str">
        <f>VLOOKUP(F681,Productos!$A$2:$J$182,6)</f>
        <v>Otros servicios</v>
      </c>
    </row>
    <row r="682" spans="1:15">
      <c r="A682" s="4" t="s">
        <v>879</v>
      </c>
      <c r="B682" s="4" t="s">
        <v>559</v>
      </c>
      <c r="C682" s="4" t="s">
        <v>560</v>
      </c>
      <c r="D682" s="4" t="s">
        <v>561</v>
      </c>
      <c r="E682" s="4" t="s">
        <v>560</v>
      </c>
      <c r="F682" s="5">
        <v>138</v>
      </c>
      <c r="G682" s="4" t="s">
        <v>290</v>
      </c>
      <c r="H682" s="4" t="str">
        <f>IF(F682="","",VLOOKUP(F682,Productos!$A$2:$F$182,3,FALSE))</f>
        <v>6</v>
      </c>
      <c r="I682" s="4" t="str">
        <f>IF(F682="","",VLOOKUP(F682,Productos!$A$2:$F$182,4,FALSE))</f>
        <v>Servicios comerciales de distribución; alojamiento, servicios de suministro de comidas y bebidas; servicios de transporte; y servicios de distribución de electricidad, gas y agua</v>
      </c>
      <c r="J682" s="4">
        <f>IF(F682="","",VLOOKUP(F682,Productos!$A$2:$F$182,5,FALSE))</f>
        <v>7</v>
      </c>
      <c r="K682" s="4" t="str">
        <f>IF(F682="","",VLOOKUP(F682,Productos!$A$2:$F$182,6,FALSE))</f>
        <v>Otros servicios</v>
      </c>
      <c r="L682" s="4">
        <v>2</v>
      </c>
      <c r="M682" s="4" t="s">
        <v>142</v>
      </c>
      <c r="N682" s="4">
        <f>VLOOKUP(F682,Productos!$A$2:$J$182,5)</f>
        <v>7</v>
      </c>
      <c r="O682" s="4" t="str">
        <f>VLOOKUP(F682,Productos!$A$2:$J$182,6)</f>
        <v>Otros servicios</v>
      </c>
    </row>
    <row r="683" spans="1:15">
      <c r="A683" s="4" t="s">
        <v>880</v>
      </c>
      <c r="B683" s="4" t="s">
        <v>559</v>
      </c>
      <c r="C683" s="4" t="s">
        <v>560</v>
      </c>
      <c r="D683" s="4" t="s">
        <v>561</v>
      </c>
      <c r="E683" s="4" t="s">
        <v>560</v>
      </c>
      <c r="F683" s="5">
        <v>139</v>
      </c>
      <c r="G683" s="4" t="s">
        <v>292</v>
      </c>
      <c r="H683" s="4" t="str">
        <f>IF(F683="","",VLOOKUP(F683,Productos!$A$2:$F$182,3,FALSE))</f>
        <v>6</v>
      </c>
      <c r="I683" s="4" t="str">
        <f>IF(F683="","",VLOOKUP(F683,Productos!$A$2:$F$182,4,FALSE))</f>
        <v>Servicios comerciales de distribución; alojamiento, servicios de suministro de comidas y bebidas; servicios de transporte; y servicios de distribución de electricidad, gas y agua</v>
      </c>
      <c r="J683" s="4">
        <f>IF(F683="","",VLOOKUP(F683,Productos!$A$2:$F$182,5,FALSE))</f>
        <v>7</v>
      </c>
      <c r="K683" s="4" t="str">
        <f>IF(F683="","",VLOOKUP(F683,Productos!$A$2:$F$182,6,FALSE))</f>
        <v>Otros servicios</v>
      </c>
      <c r="L683" s="4">
        <v>3</v>
      </c>
      <c r="M683" s="4" t="s">
        <v>67</v>
      </c>
      <c r="N683" s="4">
        <f>VLOOKUP(F683,Productos!$A$2:$J$182,5)</f>
        <v>7</v>
      </c>
      <c r="O683" s="4" t="str">
        <f>VLOOKUP(F683,Productos!$A$2:$J$182,6)</f>
        <v>Otros servicios</v>
      </c>
    </row>
    <row r="684" spans="1:15">
      <c r="A684" s="4" t="s">
        <v>881</v>
      </c>
      <c r="B684" s="4" t="s">
        <v>559</v>
      </c>
      <c r="C684" s="4" t="s">
        <v>560</v>
      </c>
      <c r="D684" s="4" t="s">
        <v>561</v>
      </c>
      <c r="E684" s="4" t="s">
        <v>560</v>
      </c>
      <c r="F684" s="5">
        <v>140</v>
      </c>
      <c r="G684" s="4" t="s">
        <v>294</v>
      </c>
      <c r="H684" s="4" t="str">
        <f>IF(F684="","",VLOOKUP(F684,Productos!$A$2:$F$182,3,FALSE))</f>
        <v>6</v>
      </c>
      <c r="I684" s="4" t="str">
        <f>IF(F684="","",VLOOKUP(F684,Productos!$A$2:$F$182,4,FALSE))</f>
        <v>Servicios comerciales de distribución; alojamiento, servicios de suministro de comidas y bebidas; servicios de transporte; y servicios de distribución de electricidad, gas y agua</v>
      </c>
      <c r="J684" s="4">
        <f>IF(F684="","",VLOOKUP(F684,Productos!$A$2:$F$182,5,FALSE))</f>
        <v>7</v>
      </c>
      <c r="K684" s="4" t="str">
        <f>IF(F684="","",VLOOKUP(F684,Productos!$A$2:$F$182,6,FALSE))</f>
        <v>Otros servicios</v>
      </c>
      <c r="L684" s="4">
        <v>3</v>
      </c>
      <c r="M684" s="4" t="s">
        <v>67</v>
      </c>
      <c r="N684" s="4">
        <f>VLOOKUP(F684,Productos!$A$2:$J$182,5)</f>
        <v>7</v>
      </c>
      <c r="O684" s="4" t="str">
        <f>VLOOKUP(F684,Productos!$A$2:$J$182,6)</f>
        <v>Otros servicios</v>
      </c>
    </row>
    <row r="685" spans="1:15">
      <c r="A685" s="4" t="s">
        <v>882</v>
      </c>
      <c r="B685" s="4" t="s">
        <v>559</v>
      </c>
      <c r="C685" s="4" t="s">
        <v>560</v>
      </c>
      <c r="D685" s="4" t="s">
        <v>561</v>
      </c>
      <c r="E685" s="4" t="s">
        <v>560</v>
      </c>
      <c r="F685" s="5">
        <v>141</v>
      </c>
      <c r="G685" s="4" t="s">
        <v>296</v>
      </c>
      <c r="H685" s="4" t="str">
        <f>IF(F685="","",VLOOKUP(F685,Productos!$A$2:$F$182,3,FALSE))</f>
        <v>6</v>
      </c>
      <c r="I685" s="4" t="str">
        <f>IF(F685="","",VLOOKUP(F685,Productos!$A$2:$F$182,4,FALSE))</f>
        <v>Servicios comerciales de distribución; alojamiento, servicios de suministro de comidas y bebidas; servicios de transporte; y servicios de distribución de electricidad, gas y agua</v>
      </c>
      <c r="J685" s="4">
        <f>IF(F685="","",VLOOKUP(F685,Productos!$A$2:$F$182,5,FALSE))</f>
        <v>7</v>
      </c>
      <c r="K685" s="4" t="str">
        <f>IF(F685="","",VLOOKUP(F685,Productos!$A$2:$F$182,6,FALSE))</f>
        <v>Otros servicios</v>
      </c>
      <c r="L685" s="4">
        <v>3</v>
      </c>
      <c r="M685" s="4" t="s">
        <v>67</v>
      </c>
      <c r="N685" s="4">
        <f>VLOOKUP(F685,Productos!$A$2:$J$182,5)</f>
        <v>7</v>
      </c>
      <c r="O685" s="4" t="str">
        <f>VLOOKUP(F685,Productos!$A$2:$J$182,6)</f>
        <v>Otros servicios</v>
      </c>
    </row>
    <row r="686" spans="1:15">
      <c r="A686" s="4" t="s">
        <v>883</v>
      </c>
      <c r="B686" s="4" t="s">
        <v>559</v>
      </c>
      <c r="C686" s="4" t="s">
        <v>560</v>
      </c>
      <c r="D686" s="4" t="s">
        <v>561</v>
      </c>
      <c r="E686" s="4" t="s">
        <v>560</v>
      </c>
      <c r="F686" s="5">
        <v>142</v>
      </c>
      <c r="G686" s="4" t="s">
        <v>298</v>
      </c>
      <c r="H686" s="4" t="str">
        <f>IF(F686="","",VLOOKUP(F686,Productos!$A$2:$F$182,3,FALSE))</f>
        <v>6</v>
      </c>
      <c r="I686" s="4" t="str">
        <f>IF(F686="","",VLOOKUP(F686,Productos!$A$2:$F$182,4,FALSE))</f>
        <v>Servicios comerciales de distribución; alojamiento, servicios de suministro de comidas y bebidas; servicios de transporte; y servicios de distribución de electricidad, gas y agua</v>
      </c>
      <c r="J686" s="4">
        <f>IF(F686="","",VLOOKUP(F686,Productos!$A$2:$F$182,5,FALSE))</f>
        <v>7</v>
      </c>
      <c r="K686" s="4" t="str">
        <f>IF(F686="","",VLOOKUP(F686,Productos!$A$2:$F$182,6,FALSE))</f>
        <v>Otros servicios</v>
      </c>
      <c r="L686" s="4">
        <v>3</v>
      </c>
      <c r="M686" s="4" t="s">
        <v>67</v>
      </c>
      <c r="N686" s="4">
        <f>VLOOKUP(F686,Productos!$A$2:$J$182,5)</f>
        <v>7</v>
      </c>
      <c r="O686" s="4" t="str">
        <f>VLOOKUP(F686,Productos!$A$2:$J$182,6)</f>
        <v>Otros servicios</v>
      </c>
    </row>
    <row r="687" spans="1:15">
      <c r="A687" s="4" t="s">
        <v>884</v>
      </c>
      <c r="B687" s="4" t="s">
        <v>559</v>
      </c>
      <c r="C687" s="4" t="s">
        <v>560</v>
      </c>
      <c r="D687" s="4" t="s">
        <v>561</v>
      </c>
      <c r="E687" s="4" t="s">
        <v>560</v>
      </c>
      <c r="F687" s="5">
        <v>143</v>
      </c>
      <c r="G687" s="4" t="s">
        <v>300</v>
      </c>
      <c r="H687" s="4" t="str">
        <f>IF(F687="","",VLOOKUP(F687,Productos!$A$2:$F$182,3,FALSE))</f>
        <v>6</v>
      </c>
      <c r="I687" s="4" t="str">
        <f>IF(F687="","",VLOOKUP(F687,Productos!$A$2:$F$182,4,FALSE))</f>
        <v>Servicios comerciales de distribución; alojamiento, servicios de suministro de comidas y bebidas; servicios de transporte; y servicios de distribución de electricidad, gas y agua</v>
      </c>
      <c r="J687" s="4">
        <f>IF(F687="","",VLOOKUP(F687,Productos!$A$2:$F$182,5,FALSE))</f>
        <v>7</v>
      </c>
      <c r="K687" s="4" t="str">
        <f>IF(F687="","",VLOOKUP(F687,Productos!$A$2:$F$182,6,FALSE))</f>
        <v>Otros servicios</v>
      </c>
      <c r="L687" s="4">
        <v>3</v>
      </c>
      <c r="M687" s="4" t="s">
        <v>67</v>
      </c>
      <c r="N687" s="4">
        <f>VLOOKUP(F687,Productos!$A$2:$J$182,5)</f>
        <v>7</v>
      </c>
      <c r="O687" s="4" t="str">
        <f>VLOOKUP(F687,Productos!$A$2:$J$182,6)</f>
        <v>Otros servicios</v>
      </c>
    </row>
    <row r="688" spans="1:15">
      <c r="A688" s="4" t="s">
        <v>885</v>
      </c>
      <c r="B688" s="4" t="s">
        <v>559</v>
      </c>
      <c r="C688" s="4" t="s">
        <v>560</v>
      </c>
      <c r="D688" s="4" t="s">
        <v>561</v>
      </c>
      <c r="E688" s="4" t="s">
        <v>560</v>
      </c>
      <c r="F688" s="5">
        <v>144</v>
      </c>
      <c r="G688" s="4" t="s">
        <v>302</v>
      </c>
      <c r="H688" s="4" t="str">
        <f>IF(F688="","",VLOOKUP(F688,Productos!$A$2:$F$182,3,FALSE))</f>
        <v>6</v>
      </c>
      <c r="I688" s="4" t="str">
        <f>IF(F688="","",VLOOKUP(F688,Productos!$A$2:$F$182,4,FALSE))</f>
        <v>Servicios comerciales de distribución; alojamiento, servicios de suministro de comidas y bebidas; servicios de transporte; y servicios de distribución de electricidad, gas y agua</v>
      </c>
      <c r="J688" s="4">
        <f>IF(F688="","",VLOOKUP(F688,Productos!$A$2:$F$182,5,FALSE))</f>
        <v>7</v>
      </c>
      <c r="K688" s="4" t="str">
        <f>IF(F688="","",VLOOKUP(F688,Productos!$A$2:$F$182,6,FALSE))</f>
        <v>Otros servicios</v>
      </c>
      <c r="L688" s="4">
        <v>3</v>
      </c>
      <c r="M688" s="4" t="s">
        <v>67</v>
      </c>
      <c r="N688" s="4">
        <f>VLOOKUP(F688,Productos!$A$2:$J$182,5)</f>
        <v>7</v>
      </c>
      <c r="O688" s="4" t="str">
        <f>VLOOKUP(F688,Productos!$A$2:$J$182,6)</f>
        <v>Otros servicios</v>
      </c>
    </row>
    <row r="689" spans="1:15">
      <c r="A689" s="4" t="s">
        <v>886</v>
      </c>
      <c r="B689" s="4" t="s">
        <v>559</v>
      </c>
      <c r="C689" s="4" t="s">
        <v>560</v>
      </c>
      <c r="D689" s="4" t="s">
        <v>561</v>
      </c>
      <c r="E689" s="4" t="s">
        <v>560</v>
      </c>
      <c r="F689" s="5">
        <v>145</v>
      </c>
      <c r="G689" s="4" t="s">
        <v>304</v>
      </c>
      <c r="H689" s="4" t="str">
        <f>IF(F689="","",VLOOKUP(F689,Productos!$A$2:$F$182,3,FALSE))</f>
        <v>6</v>
      </c>
      <c r="I689" s="4" t="str">
        <f>IF(F689="","",VLOOKUP(F689,Productos!$A$2:$F$182,4,FALSE))</f>
        <v>Servicios comerciales de distribución; alojamiento, servicios de suministro de comidas y bebidas; servicios de transporte; y servicios de distribución de electricidad, gas y agua</v>
      </c>
      <c r="J689" s="4">
        <f>IF(F689="","",VLOOKUP(F689,Productos!$A$2:$F$182,5,FALSE))</f>
        <v>7</v>
      </c>
      <c r="K689" s="4" t="str">
        <f>IF(F689="","",VLOOKUP(F689,Productos!$A$2:$F$182,6,FALSE))</f>
        <v>Otros servicios</v>
      </c>
      <c r="L689" s="4">
        <v>3</v>
      </c>
      <c r="M689" s="4" t="s">
        <v>67</v>
      </c>
      <c r="N689" s="4">
        <f>VLOOKUP(F689,Productos!$A$2:$J$182,5)</f>
        <v>7</v>
      </c>
      <c r="O689" s="4" t="str">
        <f>VLOOKUP(F689,Productos!$A$2:$J$182,6)</f>
        <v>Otros servicios</v>
      </c>
    </row>
    <row r="690" spans="1:15">
      <c r="A690" s="4" t="s">
        <v>887</v>
      </c>
      <c r="B690" s="4" t="s">
        <v>559</v>
      </c>
      <c r="C690" s="4" t="s">
        <v>560</v>
      </c>
      <c r="D690" s="4" t="s">
        <v>561</v>
      </c>
      <c r="E690" s="4" t="s">
        <v>560</v>
      </c>
      <c r="F690" s="5">
        <v>146</v>
      </c>
      <c r="G690" s="4" t="s">
        <v>306</v>
      </c>
      <c r="H690" s="4" t="str">
        <f>IF(F690="","",VLOOKUP(F690,Productos!$A$2:$F$182,3,FALSE))</f>
        <v>6</v>
      </c>
      <c r="I690" s="4" t="str">
        <f>IF(F690="","",VLOOKUP(F690,Productos!$A$2:$F$182,4,FALSE))</f>
        <v>Servicios comerciales de distribución; alojamiento, servicios de suministro de comidas y bebidas; servicios de transporte; y servicios de distribución de electricidad, gas y agua</v>
      </c>
      <c r="J690" s="4">
        <f>IF(F690="","",VLOOKUP(F690,Productos!$A$2:$F$182,5,FALSE))</f>
        <v>7</v>
      </c>
      <c r="K690" s="4" t="str">
        <f>IF(F690="","",VLOOKUP(F690,Productos!$A$2:$F$182,6,FALSE))</f>
        <v>Otros servicios</v>
      </c>
      <c r="L690" s="4">
        <v>3</v>
      </c>
      <c r="M690" s="4" t="s">
        <v>67</v>
      </c>
      <c r="N690" s="4">
        <f>VLOOKUP(F690,Productos!$A$2:$J$182,5)</f>
        <v>7</v>
      </c>
      <c r="O690" s="4" t="str">
        <f>VLOOKUP(F690,Productos!$A$2:$J$182,6)</f>
        <v>Otros servicios</v>
      </c>
    </row>
    <row r="691" spans="1:15">
      <c r="A691" s="4" t="s">
        <v>888</v>
      </c>
      <c r="B691" s="4" t="s">
        <v>559</v>
      </c>
      <c r="C691" s="4" t="s">
        <v>560</v>
      </c>
      <c r="D691" s="4" t="s">
        <v>561</v>
      </c>
      <c r="E691" s="4" t="s">
        <v>560</v>
      </c>
      <c r="F691" s="5">
        <v>147</v>
      </c>
      <c r="G691" s="4" t="s">
        <v>308</v>
      </c>
      <c r="H691" s="4" t="str">
        <f>IF(F691="","",VLOOKUP(F691,Productos!$A$2:$F$182,3,FALSE))</f>
        <v>6</v>
      </c>
      <c r="I691" s="4" t="str">
        <f>IF(F691="","",VLOOKUP(F691,Productos!$A$2:$F$182,4,FALSE))</f>
        <v>Servicios comerciales de distribución; alojamiento, servicios de suministro de comidas y bebidas; servicios de transporte; y servicios de distribución de electricidad, gas y agua</v>
      </c>
      <c r="J691" s="4">
        <f>IF(F691="","",VLOOKUP(F691,Productos!$A$2:$F$182,5,FALSE))</f>
        <v>7</v>
      </c>
      <c r="K691" s="4" t="str">
        <f>IF(F691="","",VLOOKUP(F691,Productos!$A$2:$F$182,6,FALSE))</f>
        <v>Otros servicios</v>
      </c>
      <c r="L691" s="4">
        <v>3</v>
      </c>
      <c r="M691" s="4" t="s">
        <v>67</v>
      </c>
      <c r="N691" s="4">
        <f>VLOOKUP(F691,Productos!$A$2:$J$182,5)</f>
        <v>7</v>
      </c>
      <c r="O691" s="4" t="str">
        <f>VLOOKUP(F691,Productos!$A$2:$J$182,6)</f>
        <v>Otros servicios</v>
      </c>
    </row>
    <row r="692" spans="1:15">
      <c r="A692" s="4" t="s">
        <v>889</v>
      </c>
      <c r="B692" s="4" t="s">
        <v>559</v>
      </c>
      <c r="C692" s="4" t="s">
        <v>560</v>
      </c>
      <c r="D692" s="4" t="s">
        <v>561</v>
      </c>
      <c r="E692" s="4" t="s">
        <v>560</v>
      </c>
      <c r="F692" s="5">
        <v>148</v>
      </c>
      <c r="G692" s="4" t="s">
        <v>310</v>
      </c>
      <c r="H692" s="4" t="str">
        <f>IF(F692="","",VLOOKUP(F692,Productos!$A$2:$F$182,3,FALSE))</f>
        <v>6</v>
      </c>
      <c r="I692" s="4" t="str">
        <f>IF(F692="","",VLOOKUP(F692,Productos!$A$2:$F$182,4,FALSE))</f>
        <v>Servicios comerciales de distribución; alojamiento, servicios de suministro de comidas y bebidas; servicios de transporte; y servicios de distribución de electricidad, gas y agua</v>
      </c>
      <c r="J692" s="4">
        <f>IF(F692="","",VLOOKUP(F692,Productos!$A$2:$F$182,5,FALSE))</f>
        <v>7</v>
      </c>
      <c r="K692" s="4" t="str">
        <f>IF(F692="","",VLOOKUP(F692,Productos!$A$2:$F$182,6,FALSE))</f>
        <v>Otros servicios</v>
      </c>
      <c r="L692" s="4">
        <v>3</v>
      </c>
      <c r="M692" s="4" t="s">
        <v>67</v>
      </c>
      <c r="N692" s="4">
        <f>VLOOKUP(F692,Productos!$A$2:$J$182,5)</f>
        <v>7</v>
      </c>
      <c r="O692" s="4" t="str">
        <f>VLOOKUP(F692,Productos!$A$2:$J$182,6)</f>
        <v>Otros servicios</v>
      </c>
    </row>
    <row r="693" spans="1:15">
      <c r="A693" s="4" t="s">
        <v>890</v>
      </c>
      <c r="B693" s="4" t="s">
        <v>559</v>
      </c>
      <c r="C693" s="4" t="s">
        <v>560</v>
      </c>
      <c r="D693" s="4" t="s">
        <v>561</v>
      </c>
      <c r="E693" s="4" t="s">
        <v>560</v>
      </c>
      <c r="F693" s="5">
        <v>149</v>
      </c>
      <c r="G693" s="4" t="s">
        <v>312</v>
      </c>
      <c r="H693" s="4" t="str">
        <f>IF(F693="","",VLOOKUP(F693,Productos!$A$2:$F$182,3,FALSE))</f>
        <v>6</v>
      </c>
      <c r="I693" s="4" t="str">
        <f>IF(F693="","",VLOOKUP(F693,Productos!$A$2:$F$182,4,FALSE))</f>
        <v>Servicios comerciales de distribución; alojamiento, servicios de suministro de comidas y bebidas; servicios de transporte; y servicios de distribución de electricidad, gas y agua</v>
      </c>
      <c r="J693" s="4">
        <f>IF(F693="","",VLOOKUP(F693,Productos!$A$2:$F$182,5,FALSE))</f>
        <v>7</v>
      </c>
      <c r="K693" s="4" t="str">
        <f>IF(F693="","",VLOOKUP(F693,Productos!$A$2:$F$182,6,FALSE))</f>
        <v>Otros servicios</v>
      </c>
      <c r="L693" s="4">
        <v>3</v>
      </c>
      <c r="M693" s="4" t="s">
        <v>67</v>
      </c>
      <c r="N693" s="4">
        <f>VLOOKUP(F693,Productos!$A$2:$J$182,5)</f>
        <v>7</v>
      </c>
      <c r="O693" s="4" t="str">
        <f>VLOOKUP(F693,Productos!$A$2:$J$182,6)</f>
        <v>Otros servicios</v>
      </c>
    </row>
    <row r="694" spans="1:15">
      <c r="A694" s="4" t="s">
        <v>891</v>
      </c>
      <c r="B694" s="4" t="s">
        <v>559</v>
      </c>
      <c r="C694" s="4" t="s">
        <v>560</v>
      </c>
      <c r="D694" s="4" t="s">
        <v>561</v>
      </c>
      <c r="E694" s="4" t="s">
        <v>560</v>
      </c>
      <c r="F694" s="5">
        <v>150</v>
      </c>
      <c r="G694" s="4" t="s">
        <v>314</v>
      </c>
      <c r="H694" s="4" t="str">
        <f>IF(F694="","",VLOOKUP(F694,Productos!$A$2:$F$182,3,FALSE))</f>
        <v>6</v>
      </c>
      <c r="I694" s="4" t="str">
        <f>IF(F694="","",VLOOKUP(F694,Productos!$A$2:$F$182,4,FALSE))</f>
        <v>Servicios comerciales de distribución; alojamiento, servicios de suministro de comidas y bebidas; servicios de transporte; y servicios de distribución de electricidad, gas y agua</v>
      </c>
      <c r="J694" s="4">
        <f>IF(F694="","",VLOOKUP(F694,Productos!$A$2:$F$182,5,FALSE))</f>
        <v>7</v>
      </c>
      <c r="K694" s="4" t="str">
        <f>IF(F694="","",VLOOKUP(F694,Productos!$A$2:$F$182,6,FALSE))</f>
        <v>Otros servicios</v>
      </c>
      <c r="L694" s="4">
        <v>3</v>
      </c>
      <c r="M694" s="4" t="s">
        <v>67</v>
      </c>
      <c r="N694" s="4">
        <f>VLOOKUP(F694,Productos!$A$2:$J$182,5)</f>
        <v>7</v>
      </c>
      <c r="O694" s="4" t="str">
        <f>VLOOKUP(F694,Productos!$A$2:$J$182,6)</f>
        <v>Otros servicios</v>
      </c>
    </row>
    <row r="695" spans="1:15">
      <c r="A695" s="4" t="s">
        <v>892</v>
      </c>
      <c r="B695" s="4" t="s">
        <v>559</v>
      </c>
      <c r="C695" s="4" t="s">
        <v>560</v>
      </c>
      <c r="D695" s="4" t="s">
        <v>561</v>
      </c>
      <c r="E695" s="4" t="s">
        <v>560</v>
      </c>
      <c r="F695" s="5">
        <v>151</v>
      </c>
      <c r="G695" s="4" t="s">
        <v>316</v>
      </c>
      <c r="H695" s="4" t="str">
        <f>IF(F695="","",VLOOKUP(F695,Productos!$A$2:$F$182,3,FALSE))</f>
        <v>6</v>
      </c>
      <c r="I695" s="4" t="str">
        <f>IF(F695="","",VLOOKUP(F695,Productos!$A$2:$F$182,4,FALSE))</f>
        <v>Servicios comerciales de distribución; alojamiento, servicios de suministro de comidas y bebidas; servicios de transporte; y servicios de distribución de electricidad, gas y agua</v>
      </c>
      <c r="J695" s="4">
        <f>IF(F695="","",VLOOKUP(F695,Productos!$A$2:$F$182,5,FALSE))</f>
        <v>7</v>
      </c>
      <c r="K695" s="4" t="str">
        <f>IF(F695="","",VLOOKUP(F695,Productos!$A$2:$F$182,6,FALSE))</f>
        <v>Otros servicios</v>
      </c>
      <c r="L695" s="4">
        <v>3</v>
      </c>
      <c r="M695" s="4" t="s">
        <v>67</v>
      </c>
      <c r="N695" s="4">
        <f>VLOOKUP(F695,Productos!$A$2:$J$182,5)</f>
        <v>7</v>
      </c>
      <c r="O695" s="4" t="str">
        <f>VLOOKUP(F695,Productos!$A$2:$J$182,6)</f>
        <v>Otros servicios</v>
      </c>
    </row>
    <row r="696" spans="1:15">
      <c r="A696" s="4" t="s">
        <v>893</v>
      </c>
      <c r="B696" s="4" t="s">
        <v>559</v>
      </c>
      <c r="C696" s="4" t="s">
        <v>560</v>
      </c>
      <c r="D696" s="4" t="s">
        <v>561</v>
      </c>
      <c r="E696" s="4" t="s">
        <v>560</v>
      </c>
      <c r="F696" s="5">
        <v>152</v>
      </c>
      <c r="G696" s="4" t="s">
        <v>318</v>
      </c>
      <c r="H696" s="4" t="str">
        <f>IF(F696="","",VLOOKUP(F696,Productos!$A$2:$F$182,3,FALSE))</f>
        <v>6</v>
      </c>
      <c r="I696" s="4" t="str">
        <f>IF(F696="","",VLOOKUP(F696,Productos!$A$2:$F$182,4,FALSE))</f>
        <v>Servicios comerciales de distribución; alojamiento, servicios de suministro de comidas y bebidas; servicios de transporte; y servicios de distribución de electricidad, gas y agua</v>
      </c>
      <c r="J696" s="4">
        <f>IF(F696="","",VLOOKUP(F696,Productos!$A$2:$F$182,5,FALSE))</f>
        <v>7</v>
      </c>
      <c r="K696" s="4" t="str">
        <f>IF(F696="","",VLOOKUP(F696,Productos!$A$2:$F$182,6,FALSE))</f>
        <v>Otros servicios</v>
      </c>
      <c r="L696" s="4">
        <v>3</v>
      </c>
      <c r="M696" s="4" t="s">
        <v>67</v>
      </c>
      <c r="N696" s="4">
        <f>VLOOKUP(F696,Productos!$A$2:$J$182,5)</f>
        <v>7</v>
      </c>
      <c r="O696" s="4" t="str">
        <f>VLOOKUP(F696,Productos!$A$2:$J$182,6)</f>
        <v>Otros servicios</v>
      </c>
    </row>
    <row r="697" spans="1:15">
      <c r="A697" s="4" t="s">
        <v>894</v>
      </c>
      <c r="B697" s="4" t="s">
        <v>559</v>
      </c>
      <c r="C697" s="4" t="s">
        <v>560</v>
      </c>
      <c r="D697" s="4" t="s">
        <v>561</v>
      </c>
      <c r="E697" s="4" t="s">
        <v>560</v>
      </c>
      <c r="F697" s="5">
        <v>153</v>
      </c>
      <c r="G697" s="4" t="s">
        <v>320</v>
      </c>
      <c r="H697" s="4" t="str">
        <f>IF(F697="","",VLOOKUP(F697,Productos!$A$2:$F$182,3,FALSE))</f>
        <v>6</v>
      </c>
      <c r="I697" s="4" t="str">
        <f>IF(F697="","",VLOOKUP(F697,Productos!$A$2:$F$182,4,FALSE))</f>
        <v>Servicios comerciales de distribución; alojamiento, servicios de suministro de comidas y bebidas; servicios de transporte; y servicios de distribución de electricidad, gas y agua</v>
      </c>
      <c r="J697" s="4">
        <f>IF(F697="","",VLOOKUP(F697,Productos!$A$2:$F$182,5,FALSE))</f>
        <v>7</v>
      </c>
      <c r="K697" s="4" t="str">
        <f>IF(F697="","",VLOOKUP(F697,Productos!$A$2:$F$182,6,FALSE))</f>
        <v>Otros servicios</v>
      </c>
      <c r="L697" s="4">
        <v>3</v>
      </c>
      <c r="M697" s="4" t="s">
        <v>67</v>
      </c>
      <c r="N697" s="4">
        <f>VLOOKUP(F697,Productos!$A$2:$J$182,5)</f>
        <v>7</v>
      </c>
      <c r="O697" s="4" t="str">
        <f>VLOOKUP(F697,Productos!$A$2:$J$182,6)</f>
        <v>Otros servicios</v>
      </c>
    </row>
    <row r="698" spans="1:15">
      <c r="A698" s="4" t="s">
        <v>895</v>
      </c>
      <c r="B698" s="4" t="s">
        <v>559</v>
      </c>
      <c r="C698" s="4" t="s">
        <v>560</v>
      </c>
      <c r="D698" s="4" t="s">
        <v>561</v>
      </c>
      <c r="E698" s="4" t="s">
        <v>560</v>
      </c>
      <c r="F698" s="5">
        <v>154</v>
      </c>
      <c r="G698" s="4" t="s">
        <v>322</v>
      </c>
      <c r="H698" s="4" t="str">
        <f>IF(F698="","",VLOOKUP(F698,Productos!$A$2:$F$182,3,FALSE))</f>
        <v>6</v>
      </c>
      <c r="I698" s="4" t="str">
        <f>IF(F698="","",VLOOKUP(F698,Productos!$A$2:$F$182,4,FALSE))</f>
        <v>Servicios comerciales de distribución; alojamiento, servicios de suministro de comidas y bebidas; servicios de transporte; y servicios de distribución de electricidad, gas y agua</v>
      </c>
      <c r="J698" s="4">
        <f>IF(F698="","",VLOOKUP(F698,Productos!$A$2:$F$182,5,FALSE))</f>
        <v>7</v>
      </c>
      <c r="K698" s="4" t="str">
        <f>IF(F698="","",VLOOKUP(F698,Productos!$A$2:$F$182,6,FALSE))</f>
        <v>Otros servicios</v>
      </c>
      <c r="L698" s="4">
        <v>3</v>
      </c>
      <c r="M698" s="4" t="s">
        <v>67</v>
      </c>
      <c r="N698" s="4">
        <f>VLOOKUP(F698,Productos!$A$2:$J$182,5)</f>
        <v>7</v>
      </c>
      <c r="O698" s="4" t="str">
        <f>VLOOKUP(F698,Productos!$A$2:$J$182,6)</f>
        <v>Otros servicios</v>
      </c>
    </row>
    <row r="699" spans="1:15">
      <c r="A699" s="4" t="s">
        <v>896</v>
      </c>
      <c r="B699" s="4" t="s">
        <v>559</v>
      </c>
      <c r="C699" s="4" t="s">
        <v>560</v>
      </c>
      <c r="D699" s="4" t="s">
        <v>561</v>
      </c>
      <c r="E699" s="4" t="s">
        <v>560</v>
      </c>
      <c r="F699" s="5">
        <v>155</v>
      </c>
      <c r="G699" s="4" t="s">
        <v>324</v>
      </c>
      <c r="H699" s="4" t="str">
        <f>IF(F699="","",VLOOKUP(F699,Productos!$A$2:$F$182,3,FALSE))</f>
        <v>6</v>
      </c>
      <c r="I699" s="4" t="str">
        <f>IF(F699="","",VLOOKUP(F699,Productos!$A$2:$F$182,4,FALSE))</f>
        <v>Servicios comerciales de distribución; alojamiento, servicios de suministro de comidas y bebidas; servicios de transporte; y servicios de distribución de electricidad, gas y agua</v>
      </c>
      <c r="J699" s="4">
        <f>IF(F699="","",VLOOKUP(F699,Productos!$A$2:$F$182,5,FALSE))</f>
        <v>7</v>
      </c>
      <c r="K699" s="4" t="str">
        <f>IF(F699="","",VLOOKUP(F699,Productos!$A$2:$F$182,6,FALSE))</f>
        <v>Otros servicios</v>
      </c>
      <c r="L699" s="4">
        <v>3</v>
      </c>
      <c r="M699" s="4" t="s">
        <v>67</v>
      </c>
      <c r="N699" s="4">
        <f>VLOOKUP(F699,Productos!$A$2:$J$182,5)</f>
        <v>7</v>
      </c>
      <c r="O699" s="4" t="str">
        <f>VLOOKUP(F699,Productos!$A$2:$J$182,6)</f>
        <v>Otros servicios</v>
      </c>
    </row>
    <row r="700" spans="1:15">
      <c r="A700" s="4" t="s">
        <v>897</v>
      </c>
      <c r="B700" s="4" t="s">
        <v>559</v>
      </c>
      <c r="C700" s="4" t="s">
        <v>560</v>
      </c>
      <c r="D700" s="4" t="s">
        <v>561</v>
      </c>
      <c r="E700" s="4" t="s">
        <v>560</v>
      </c>
      <c r="F700" s="5">
        <v>156</v>
      </c>
      <c r="G700" s="4" t="s">
        <v>326</v>
      </c>
      <c r="H700" s="4" t="str">
        <f>IF(F700="","",VLOOKUP(F700,Productos!$A$2:$F$182,3,FALSE))</f>
        <v>6</v>
      </c>
      <c r="I700" s="4" t="str">
        <f>IF(F700="","",VLOOKUP(F700,Productos!$A$2:$F$182,4,FALSE))</f>
        <v>Servicios comerciales de distribución; alojamiento, servicios de suministro de comidas y bebidas; servicios de transporte; y servicios de distribución de electricidad, gas y agua</v>
      </c>
      <c r="J700" s="4">
        <f>IF(F700="","",VLOOKUP(F700,Productos!$A$2:$F$182,5,FALSE))</f>
        <v>7</v>
      </c>
      <c r="K700" s="4" t="str">
        <f>IF(F700="","",VLOOKUP(F700,Productos!$A$2:$F$182,6,FALSE))</f>
        <v>Otros servicios</v>
      </c>
      <c r="L700" s="4">
        <v>3</v>
      </c>
      <c r="M700" s="4" t="s">
        <v>67</v>
      </c>
      <c r="N700" s="4">
        <f>VLOOKUP(F700,Productos!$A$2:$J$182,5)</f>
        <v>7</v>
      </c>
      <c r="O700" s="4" t="str">
        <f>VLOOKUP(F700,Productos!$A$2:$J$182,6)</f>
        <v>Otros servicios</v>
      </c>
    </row>
    <row r="701" spans="1:15">
      <c r="A701" s="4" t="s">
        <v>898</v>
      </c>
      <c r="B701" s="4" t="s">
        <v>559</v>
      </c>
      <c r="C701" s="4" t="s">
        <v>560</v>
      </c>
      <c r="D701" s="4" t="s">
        <v>561</v>
      </c>
      <c r="E701" s="4" t="s">
        <v>560</v>
      </c>
      <c r="F701" s="5">
        <v>157</v>
      </c>
      <c r="G701" s="4" t="s">
        <v>328</v>
      </c>
      <c r="H701" s="4" t="str">
        <f>IF(F701="","",VLOOKUP(F701,Productos!$A$2:$F$182,3,FALSE))</f>
        <v>7</v>
      </c>
      <c r="I701" s="4" t="str">
        <f>IF(F701="","",VLOOKUP(F701,Productos!$A$2:$F$182,4,FALSE))</f>
        <v>Servicios financieros y servicios conexos; servicios inmobiliarios; y servicios de alquiler y arrendamiento</v>
      </c>
      <c r="J701" s="4">
        <f>IF(F701="","",VLOOKUP(F701,Productos!$A$2:$F$182,5,FALSE))</f>
        <v>7</v>
      </c>
      <c r="K701" s="4" t="str">
        <f>IF(F701="","",VLOOKUP(F701,Productos!$A$2:$F$182,6,FALSE))</f>
        <v>Otros servicios</v>
      </c>
      <c r="L701" s="4">
        <v>3</v>
      </c>
      <c r="M701" s="4" t="s">
        <v>67</v>
      </c>
      <c r="N701" s="4">
        <f>VLOOKUP(F701,Productos!$A$2:$J$182,5)</f>
        <v>7</v>
      </c>
      <c r="O701" s="4" t="str">
        <f>VLOOKUP(F701,Productos!$A$2:$J$182,6)</f>
        <v>Otros servicios</v>
      </c>
    </row>
    <row r="702" spans="1:15">
      <c r="A702" s="4" t="s">
        <v>899</v>
      </c>
      <c r="B702" s="4" t="s">
        <v>559</v>
      </c>
      <c r="C702" s="4" t="s">
        <v>560</v>
      </c>
      <c r="D702" s="4" t="s">
        <v>561</v>
      </c>
      <c r="E702" s="4" t="s">
        <v>560</v>
      </c>
      <c r="F702" s="5">
        <v>158</v>
      </c>
      <c r="G702" s="4" t="s">
        <v>330</v>
      </c>
      <c r="H702" s="4" t="str">
        <f>IF(F702="","",VLOOKUP(F702,Productos!$A$2:$F$182,3,FALSE))</f>
        <v>7</v>
      </c>
      <c r="I702" s="4" t="str">
        <f>IF(F702="","",VLOOKUP(F702,Productos!$A$2:$F$182,4,FALSE))</f>
        <v>Servicios financieros y servicios conexos; servicios inmobiliarios; y servicios de alquiler y arrendamiento</v>
      </c>
      <c r="J702" s="4">
        <f>IF(F702="","",VLOOKUP(F702,Productos!$A$2:$F$182,5,FALSE))</f>
        <v>7</v>
      </c>
      <c r="K702" s="4" t="str">
        <f>IF(F702="","",VLOOKUP(F702,Productos!$A$2:$F$182,6,FALSE))</f>
        <v>Otros servicios</v>
      </c>
      <c r="L702" s="4">
        <v>3</v>
      </c>
      <c r="M702" s="4" t="s">
        <v>67</v>
      </c>
      <c r="N702" s="4">
        <f>VLOOKUP(F702,Productos!$A$2:$J$182,5)</f>
        <v>7</v>
      </c>
      <c r="O702" s="4" t="str">
        <f>VLOOKUP(F702,Productos!$A$2:$J$182,6)</f>
        <v>Otros servicios</v>
      </c>
    </row>
    <row r="703" spans="1:15">
      <c r="A703" s="4" t="s">
        <v>900</v>
      </c>
      <c r="B703" s="4" t="s">
        <v>559</v>
      </c>
      <c r="C703" s="4" t="s">
        <v>560</v>
      </c>
      <c r="D703" s="4" t="s">
        <v>561</v>
      </c>
      <c r="E703" s="4" t="s">
        <v>560</v>
      </c>
      <c r="F703" s="5">
        <v>159</v>
      </c>
      <c r="G703" s="4" t="s">
        <v>332</v>
      </c>
      <c r="H703" s="4" t="str">
        <f>IF(F703="","",VLOOKUP(F703,Productos!$A$2:$F$182,3,FALSE))</f>
        <v>7</v>
      </c>
      <c r="I703" s="4" t="str">
        <f>IF(F703="","",VLOOKUP(F703,Productos!$A$2:$F$182,4,FALSE))</f>
        <v>Servicios financieros y servicios conexos; servicios inmobiliarios; y servicios de alquiler y arrendamiento</v>
      </c>
      <c r="J703" s="4">
        <f>IF(F703="","",VLOOKUP(F703,Productos!$A$2:$F$182,5,FALSE))</f>
        <v>7</v>
      </c>
      <c r="K703" s="4" t="str">
        <f>IF(F703="","",VLOOKUP(F703,Productos!$A$2:$F$182,6,FALSE))</f>
        <v>Otros servicios</v>
      </c>
      <c r="L703" s="4">
        <v>3</v>
      </c>
      <c r="M703" s="4" t="s">
        <v>67</v>
      </c>
      <c r="N703" s="4">
        <f>VLOOKUP(F703,Productos!$A$2:$J$182,5)</f>
        <v>7</v>
      </c>
      <c r="O703" s="4" t="str">
        <f>VLOOKUP(F703,Productos!$A$2:$J$182,6)</f>
        <v>Otros servicios</v>
      </c>
    </row>
    <row r="704" spans="1:15">
      <c r="A704" s="4" t="s">
        <v>901</v>
      </c>
      <c r="B704" s="4" t="s">
        <v>559</v>
      </c>
      <c r="C704" s="4" t="s">
        <v>560</v>
      </c>
      <c r="D704" s="4" t="s">
        <v>561</v>
      </c>
      <c r="E704" s="4" t="s">
        <v>560</v>
      </c>
      <c r="F704" s="5">
        <v>160</v>
      </c>
      <c r="G704" s="4" t="s">
        <v>334</v>
      </c>
      <c r="H704" s="4" t="str">
        <f>IF(F704="","",VLOOKUP(F704,Productos!$A$2:$F$182,3,FALSE))</f>
        <v>7</v>
      </c>
      <c r="I704" s="4" t="str">
        <f>IF(F704="","",VLOOKUP(F704,Productos!$A$2:$F$182,4,FALSE))</f>
        <v>Servicios financieros y servicios conexos; servicios inmobiliarios; y servicios de alquiler y arrendamiento</v>
      </c>
      <c r="J704" s="4">
        <f>IF(F704="","",VLOOKUP(F704,Productos!$A$2:$F$182,5,FALSE))</f>
        <v>7</v>
      </c>
      <c r="K704" s="4" t="str">
        <f>IF(F704="","",VLOOKUP(F704,Productos!$A$2:$F$182,6,FALSE))</f>
        <v>Otros servicios</v>
      </c>
      <c r="L704" s="4">
        <v>3</v>
      </c>
      <c r="M704" s="4" t="s">
        <v>67</v>
      </c>
      <c r="N704" s="4">
        <f>VLOOKUP(F704,Productos!$A$2:$J$182,5)</f>
        <v>7</v>
      </c>
      <c r="O704" s="4" t="str">
        <f>VLOOKUP(F704,Productos!$A$2:$J$182,6)</f>
        <v>Otros servicios</v>
      </c>
    </row>
    <row r="705" spans="1:15">
      <c r="A705" s="4" t="s">
        <v>902</v>
      </c>
      <c r="B705" s="4" t="s">
        <v>559</v>
      </c>
      <c r="C705" s="4" t="s">
        <v>560</v>
      </c>
      <c r="D705" s="4" t="s">
        <v>561</v>
      </c>
      <c r="E705" s="4" t="s">
        <v>560</v>
      </c>
      <c r="F705" s="5">
        <v>161</v>
      </c>
      <c r="G705" s="4" t="s">
        <v>336</v>
      </c>
      <c r="H705" s="4" t="str">
        <f>IF(F705="","",VLOOKUP(F705,Productos!$A$2:$F$182,3,FALSE))</f>
        <v>7</v>
      </c>
      <c r="I705" s="4" t="str">
        <f>IF(F705="","",VLOOKUP(F705,Productos!$A$2:$F$182,4,FALSE))</f>
        <v>Servicios financieros y servicios conexos; servicios inmobiliarios; y servicios de alquiler y arrendamiento</v>
      </c>
      <c r="J705" s="4">
        <f>IF(F705="","",VLOOKUP(F705,Productos!$A$2:$F$182,5,FALSE))</f>
        <v>7</v>
      </c>
      <c r="K705" s="4" t="str">
        <f>IF(F705="","",VLOOKUP(F705,Productos!$A$2:$F$182,6,FALSE))</f>
        <v>Otros servicios</v>
      </c>
      <c r="L705" s="4">
        <v>3</v>
      </c>
      <c r="M705" s="4" t="s">
        <v>67</v>
      </c>
      <c r="N705" s="4">
        <f>VLOOKUP(F705,Productos!$A$2:$J$182,5)</f>
        <v>7</v>
      </c>
      <c r="O705" s="4" t="str">
        <f>VLOOKUP(F705,Productos!$A$2:$J$182,6)</f>
        <v>Otros servicios</v>
      </c>
    </row>
    <row r="706" spans="1:15">
      <c r="A706" s="4" t="s">
        <v>903</v>
      </c>
      <c r="B706" s="4" t="s">
        <v>559</v>
      </c>
      <c r="C706" s="4" t="s">
        <v>560</v>
      </c>
      <c r="D706" s="4" t="s">
        <v>561</v>
      </c>
      <c r="E706" s="4" t="s">
        <v>560</v>
      </c>
      <c r="F706" s="5">
        <v>162</v>
      </c>
      <c r="G706" s="4" t="s">
        <v>338</v>
      </c>
      <c r="H706" s="4" t="str">
        <f>IF(F706="","",VLOOKUP(F706,Productos!$A$2:$F$182,3,FALSE))</f>
        <v>7</v>
      </c>
      <c r="I706" s="4" t="str">
        <f>IF(F706="","",VLOOKUP(F706,Productos!$A$2:$F$182,4,FALSE))</f>
        <v>Servicios financieros y servicios conexos; servicios inmobiliarios; y servicios de alquiler y arrendamiento</v>
      </c>
      <c r="J706" s="4">
        <f>IF(F706="","",VLOOKUP(F706,Productos!$A$2:$F$182,5,FALSE))</f>
        <v>7</v>
      </c>
      <c r="K706" s="4" t="str">
        <f>IF(F706="","",VLOOKUP(F706,Productos!$A$2:$F$182,6,FALSE))</f>
        <v>Otros servicios</v>
      </c>
      <c r="L706" s="4">
        <v>3</v>
      </c>
      <c r="M706" s="4" t="s">
        <v>67</v>
      </c>
      <c r="N706" s="4">
        <f>VLOOKUP(F706,Productos!$A$2:$J$182,5)</f>
        <v>7</v>
      </c>
      <c r="O706" s="4" t="str">
        <f>VLOOKUP(F706,Productos!$A$2:$J$182,6)</f>
        <v>Otros servicios</v>
      </c>
    </row>
    <row r="707" spans="1:15">
      <c r="A707" s="4" t="s">
        <v>904</v>
      </c>
      <c r="B707" s="4" t="s">
        <v>559</v>
      </c>
      <c r="C707" s="4" t="s">
        <v>560</v>
      </c>
      <c r="D707" s="4" t="s">
        <v>561</v>
      </c>
      <c r="E707" s="4" t="s">
        <v>560</v>
      </c>
      <c r="F707" s="5">
        <v>163</v>
      </c>
      <c r="G707" s="4" t="s">
        <v>340</v>
      </c>
      <c r="H707" s="4" t="str">
        <f>IF(F707="","",VLOOKUP(F707,Productos!$A$2:$F$182,3,FALSE))</f>
        <v>7</v>
      </c>
      <c r="I707" s="4" t="str">
        <f>IF(F707="","",VLOOKUP(F707,Productos!$A$2:$F$182,4,FALSE))</f>
        <v>Servicios financieros y servicios conexos; servicios inmobiliarios; y servicios de alquiler y arrendamiento</v>
      </c>
      <c r="J707" s="4">
        <f>IF(F707="","",VLOOKUP(F707,Productos!$A$2:$F$182,5,FALSE))</f>
        <v>7</v>
      </c>
      <c r="K707" s="4" t="str">
        <f>IF(F707="","",VLOOKUP(F707,Productos!$A$2:$F$182,6,FALSE))</f>
        <v>Otros servicios</v>
      </c>
      <c r="L707" s="4">
        <v>3</v>
      </c>
      <c r="M707" s="4" t="s">
        <v>67</v>
      </c>
      <c r="N707" s="4">
        <f>VLOOKUP(F707,Productos!$A$2:$J$182,5)</f>
        <v>7</v>
      </c>
      <c r="O707" s="4" t="str">
        <f>VLOOKUP(F707,Productos!$A$2:$J$182,6)</f>
        <v>Otros servicios</v>
      </c>
    </row>
    <row r="708" spans="1:15">
      <c r="A708" s="4" t="s">
        <v>905</v>
      </c>
      <c r="B708" s="4" t="s">
        <v>559</v>
      </c>
      <c r="C708" s="4" t="s">
        <v>560</v>
      </c>
      <c r="D708" s="4" t="s">
        <v>561</v>
      </c>
      <c r="E708" s="4" t="s">
        <v>560</v>
      </c>
      <c r="F708" s="5">
        <v>164</v>
      </c>
      <c r="G708" s="4" t="s">
        <v>342</v>
      </c>
      <c r="H708" s="4" t="str">
        <f>IF(F708="","",VLOOKUP(F708,Productos!$A$2:$F$182,3,FALSE))</f>
        <v>8</v>
      </c>
      <c r="I708" s="4" t="str">
        <f>IF(F708="","",VLOOKUP(F708,Productos!$A$2:$F$182,4,FALSE))</f>
        <v>Servicios prestados a las empresas y servicios de producción</v>
      </c>
      <c r="J708" s="4">
        <f>IF(F708="","",VLOOKUP(F708,Productos!$A$2:$F$182,5,FALSE))</f>
        <v>7</v>
      </c>
      <c r="K708" s="4" t="str">
        <f>IF(F708="","",VLOOKUP(F708,Productos!$A$2:$F$182,6,FALSE))</f>
        <v>Otros servicios</v>
      </c>
      <c r="L708" s="4">
        <v>3</v>
      </c>
      <c r="M708" s="4" t="s">
        <v>67</v>
      </c>
      <c r="N708" s="4">
        <f>VLOOKUP(F708,Productos!$A$2:$J$182,5)</f>
        <v>7</v>
      </c>
      <c r="O708" s="4" t="str">
        <f>VLOOKUP(F708,Productos!$A$2:$J$182,6)</f>
        <v>Otros servicios</v>
      </c>
    </row>
    <row r="709" spans="1:15">
      <c r="A709" s="4" t="s">
        <v>906</v>
      </c>
      <c r="B709" s="4" t="s">
        <v>559</v>
      </c>
      <c r="C709" s="4" t="s">
        <v>560</v>
      </c>
      <c r="D709" s="4" t="s">
        <v>561</v>
      </c>
      <c r="E709" s="4" t="s">
        <v>560</v>
      </c>
      <c r="F709" s="5">
        <v>165</v>
      </c>
      <c r="G709" s="4" t="s">
        <v>344</v>
      </c>
      <c r="H709" s="4" t="str">
        <f>IF(F709="","",VLOOKUP(F709,Productos!$A$2:$F$182,3,FALSE))</f>
        <v>8</v>
      </c>
      <c r="I709" s="4" t="str">
        <f>IF(F709="","",VLOOKUP(F709,Productos!$A$2:$F$182,4,FALSE))</f>
        <v>Servicios prestados a las empresas y servicios de producción</v>
      </c>
      <c r="J709" s="4">
        <f>IF(F709="","",VLOOKUP(F709,Productos!$A$2:$F$182,5,FALSE))</f>
        <v>7</v>
      </c>
      <c r="K709" s="4" t="str">
        <f>IF(F709="","",VLOOKUP(F709,Productos!$A$2:$F$182,6,FALSE))</f>
        <v>Otros servicios</v>
      </c>
      <c r="L709" s="4">
        <v>3</v>
      </c>
      <c r="M709" s="4" t="s">
        <v>67</v>
      </c>
      <c r="N709" s="4">
        <f>VLOOKUP(F709,Productos!$A$2:$J$182,5)</f>
        <v>7</v>
      </c>
      <c r="O709" s="4" t="str">
        <f>VLOOKUP(F709,Productos!$A$2:$J$182,6)</f>
        <v>Otros servicios</v>
      </c>
    </row>
    <row r="710" spans="1:15">
      <c r="A710" s="4" t="s">
        <v>907</v>
      </c>
      <c r="B710" s="4" t="s">
        <v>559</v>
      </c>
      <c r="C710" s="4" t="s">
        <v>560</v>
      </c>
      <c r="D710" s="4" t="s">
        <v>561</v>
      </c>
      <c r="E710" s="4" t="s">
        <v>560</v>
      </c>
      <c r="F710" s="5">
        <v>166</v>
      </c>
      <c r="G710" s="4" t="s">
        <v>346</v>
      </c>
      <c r="H710" s="4" t="str">
        <f>IF(F710="","",VLOOKUP(F710,Productos!$A$2:$F$182,3,FALSE))</f>
        <v>8</v>
      </c>
      <c r="I710" s="4" t="str">
        <f>IF(F710="","",VLOOKUP(F710,Productos!$A$2:$F$182,4,FALSE))</f>
        <v>Servicios prestados a las empresas y servicios de producción</v>
      </c>
      <c r="J710" s="4">
        <f>IF(F710="","",VLOOKUP(F710,Productos!$A$2:$F$182,5,FALSE))</f>
        <v>7</v>
      </c>
      <c r="K710" s="4" t="str">
        <f>IF(F710="","",VLOOKUP(F710,Productos!$A$2:$F$182,6,FALSE))</f>
        <v>Otros servicios</v>
      </c>
      <c r="L710" s="4">
        <v>3</v>
      </c>
      <c r="M710" s="4" t="s">
        <v>67</v>
      </c>
      <c r="N710" s="4">
        <f>VLOOKUP(F710,Productos!$A$2:$J$182,5)</f>
        <v>7</v>
      </c>
      <c r="O710" s="4" t="str">
        <f>VLOOKUP(F710,Productos!$A$2:$J$182,6)</f>
        <v>Otros servicios</v>
      </c>
    </row>
    <row r="711" spans="1:15">
      <c r="A711" s="4" t="s">
        <v>908</v>
      </c>
      <c r="B711" s="4" t="s">
        <v>559</v>
      </c>
      <c r="C711" s="4" t="s">
        <v>560</v>
      </c>
      <c r="D711" s="4" t="s">
        <v>561</v>
      </c>
      <c r="E711" s="4" t="s">
        <v>560</v>
      </c>
      <c r="F711" s="5">
        <v>167</v>
      </c>
      <c r="G711" s="4" t="s">
        <v>348</v>
      </c>
      <c r="H711" s="4" t="str">
        <f>IF(F711="","",VLOOKUP(F711,Productos!$A$2:$F$182,3,FALSE))</f>
        <v>8</v>
      </c>
      <c r="I711" s="4" t="str">
        <f>IF(F711="","",VLOOKUP(F711,Productos!$A$2:$F$182,4,FALSE))</f>
        <v>Servicios prestados a las empresas y servicios de producción</v>
      </c>
      <c r="J711" s="4">
        <f>IF(F711="","",VLOOKUP(F711,Productos!$A$2:$F$182,5,FALSE))</f>
        <v>7</v>
      </c>
      <c r="K711" s="4" t="str">
        <f>IF(F711="","",VLOOKUP(F711,Productos!$A$2:$F$182,6,FALSE))</f>
        <v>Otros servicios</v>
      </c>
      <c r="L711" s="4">
        <v>2</v>
      </c>
      <c r="M711" s="4" t="s">
        <v>142</v>
      </c>
      <c r="N711" s="4">
        <f>VLOOKUP(F711,Productos!$A$2:$J$182,5)</f>
        <v>7</v>
      </c>
      <c r="O711" s="4" t="str">
        <f>VLOOKUP(F711,Productos!$A$2:$J$182,6)</f>
        <v>Otros servicios</v>
      </c>
    </row>
    <row r="712" spans="1:15">
      <c r="A712" s="4" t="s">
        <v>909</v>
      </c>
      <c r="B712" s="4" t="s">
        <v>559</v>
      </c>
      <c r="C712" s="4" t="s">
        <v>560</v>
      </c>
      <c r="D712" s="4" t="s">
        <v>561</v>
      </c>
      <c r="E712" s="4" t="s">
        <v>560</v>
      </c>
      <c r="F712" s="5">
        <v>168</v>
      </c>
      <c r="G712" s="4" t="s">
        <v>350</v>
      </c>
      <c r="H712" s="4" t="str">
        <f>IF(F712="","",VLOOKUP(F712,Productos!$A$2:$F$182,3,FALSE))</f>
        <v>8</v>
      </c>
      <c r="I712" s="4" t="str">
        <f>IF(F712="","",VLOOKUP(F712,Productos!$A$2:$F$182,4,FALSE))</f>
        <v>Servicios prestados a las empresas y servicios de producción</v>
      </c>
      <c r="J712" s="4">
        <f>IF(F712="","",VLOOKUP(F712,Productos!$A$2:$F$182,5,FALSE))</f>
        <v>7</v>
      </c>
      <c r="K712" s="4" t="str">
        <f>IF(F712="","",VLOOKUP(F712,Productos!$A$2:$F$182,6,FALSE))</f>
        <v>Otros servicios</v>
      </c>
      <c r="L712" s="4">
        <v>3</v>
      </c>
      <c r="M712" s="4" t="s">
        <v>67</v>
      </c>
      <c r="N712" s="4">
        <f>VLOOKUP(F712,Productos!$A$2:$J$182,5)</f>
        <v>7</v>
      </c>
      <c r="O712" s="4" t="str">
        <f>VLOOKUP(F712,Productos!$A$2:$J$182,6)</f>
        <v>Otros servicios</v>
      </c>
    </row>
    <row r="713" spans="1:15">
      <c r="A713" s="4" t="s">
        <v>910</v>
      </c>
      <c r="B713" s="4" t="s">
        <v>559</v>
      </c>
      <c r="C713" s="4" t="s">
        <v>560</v>
      </c>
      <c r="D713" s="4" t="s">
        <v>561</v>
      </c>
      <c r="E713" s="4" t="s">
        <v>560</v>
      </c>
      <c r="F713" s="5">
        <v>169</v>
      </c>
      <c r="G713" s="4" t="s">
        <v>352</v>
      </c>
      <c r="H713" s="4" t="str">
        <f>IF(F713="","",VLOOKUP(F713,Productos!$A$2:$F$182,3,FALSE))</f>
        <v>8</v>
      </c>
      <c r="I713" s="4" t="str">
        <f>IF(F713="","",VLOOKUP(F713,Productos!$A$2:$F$182,4,FALSE))</f>
        <v>Servicios prestados a las empresas y servicios de producción</v>
      </c>
      <c r="J713" s="4">
        <f>IF(F713="","",VLOOKUP(F713,Productos!$A$2:$F$182,5,FALSE))</f>
        <v>7</v>
      </c>
      <c r="K713" s="4" t="str">
        <f>IF(F713="","",VLOOKUP(F713,Productos!$A$2:$F$182,6,FALSE))</f>
        <v>Otros servicios</v>
      </c>
      <c r="L713" s="4">
        <v>3</v>
      </c>
      <c r="M713" s="4" t="s">
        <v>67</v>
      </c>
      <c r="N713" s="4">
        <f>VLOOKUP(F713,Productos!$A$2:$J$182,5)</f>
        <v>7</v>
      </c>
      <c r="O713" s="4" t="str">
        <f>VLOOKUP(F713,Productos!$A$2:$J$182,6)</f>
        <v>Otros servicios</v>
      </c>
    </row>
    <row r="714" spans="1:15">
      <c r="A714" s="4" t="s">
        <v>911</v>
      </c>
      <c r="B714" s="4" t="s">
        <v>559</v>
      </c>
      <c r="C714" s="4" t="s">
        <v>560</v>
      </c>
      <c r="D714" s="4" t="s">
        <v>561</v>
      </c>
      <c r="E714" s="4" t="s">
        <v>560</v>
      </c>
      <c r="F714" s="5">
        <v>170</v>
      </c>
      <c r="G714" s="4" t="s">
        <v>354</v>
      </c>
      <c r="H714" s="4" t="str">
        <f>IF(F714="","",VLOOKUP(F714,Productos!$A$2:$F$182,3,FALSE))</f>
        <v>8</v>
      </c>
      <c r="I714" s="4" t="str">
        <f>IF(F714="","",VLOOKUP(F714,Productos!$A$2:$F$182,4,FALSE))</f>
        <v>Servicios prestados a las empresas y servicios de producción</v>
      </c>
      <c r="J714" s="4">
        <f>IF(F714="","",VLOOKUP(F714,Productos!$A$2:$F$182,5,FALSE))</f>
        <v>7</v>
      </c>
      <c r="K714" s="4" t="str">
        <f>IF(F714="","",VLOOKUP(F714,Productos!$A$2:$F$182,6,FALSE))</f>
        <v>Otros servicios</v>
      </c>
      <c r="L714" s="4">
        <v>3</v>
      </c>
      <c r="M714" s="4" t="s">
        <v>67</v>
      </c>
      <c r="N714" s="4">
        <f>VLOOKUP(F714,Productos!$A$2:$J$182,5)</f>
        <v>7</v>
      </c>
      <c r="O714" s="4" t="str">
        <f>VLOOKUP(F714,Productos!$A$2:$J$182,6)</f>
        <v>Otros servicios</v>
      </c>
    </row>
    <row r="715" spans="1:15">
      <c r="A715" s="4" t="s">
        <v>912</v>
      </c>
      <c r="B715" s="4" t="s">
        <v>559</v>
      </c>
      <c r="C715" s="4" t="s">
        <v>560</v>
      </c>
      <c r="D715" s="4" t="s">
        <v>561</v>
      </c>
      <c r="E715" s="4" t="s">
        <v>560</v>
      </c>
      <c r="F715" s="5">
        <v>171</v>
      </c>
      <c r="G715" s="4" t="s">
        <v>356</v>
      </c>
      <c r="H715" s="4" t="str">
        <f>IF(F715="","",VLOOKUP(F715,Productos!$A$2:$F$182,3,FALSE))</f>
        <v>9</v>
      </c>
      <c r="I715" s="4" t="str">
        <f>IF(F715="","",VLOOKUP(F715,Productos!$A$2:$F$182,4,FALSE))</f>
        <v>Servicios para la comunidad, sociales y personales</v>
      </c>
      <c r="J715" s="4">
        <f>IF(F715="","",VLOOKUP(F715,Productos!$A$2:$F$182,5,FALSE))</f>
        <v>7</v>
      </c>
      <c r="K715" s="4" t="str">
        <f>IF(F715="","",VLOOKUP(F715,Productos!$A$2:$F$182,6,FALSE))</f>
        <v>Otros servicios</v>
      </c>
      <c r="L715" s="4">
        <v>3</v>
      </c>
      <c r="M715" s="4" t="s">
        <v>67</v>
      </c>
      <c r="N715" s="4">
        <f>VLOOKUP(F715,Productos!$A$2:$J$182,5)</f>
        <v>7</v>
      </c>
      <c r="O715" s="4" t="str">
        <f>VLOOKUP(F715,Productos!$A$2:$J$182,6)</f>
        <v>Otros servicios</v>
      </c>
    </row>
    <row r="716" spans="1:15">
      <c r="A716" s="4" t="s">
        <v>913</v>
      </c>
      <c r="B716" s="4" t="s">
        <v>559</v>
      </c>
      <c r="C716" s="4" t="s">
        <v>560</v>
      </c>
      <c r="D716" s="4" t="s">
        <v>561</v>
      </c>
      <c r="E716" s="4" t="s">
        <v>560</v>
      </c>
      <c r="F716" s="5">
        <v>172</v>
      </c>
      <c r="G716" s="4" t="s">
        <v>358</v>
      </c>
      <c r="H716" s="4" t="str">
        <f>IF(F716="","",VLOOKUP(F716,Productos!$A$2:$F$182,3,FALSE))</f>
        <v>9</v>
      </c>
      <c r="I716" s="4" t="str">
        <f>IF(F716="","",VLOOKUP(F716,Productos!$A$2:$F$182,4,FALSE))</f>
        <v>Servicios para la comunidad, sociales y personales</v>
      </c>
      <c r="J716" s="4">
        <f>IF(F716="","",VLOOKUP(F716,Productos!$A$2:$F$182,5,FALSE))</f>
        <v>7</v>
      </c>
      <c r="K716" s="4" t="str">
        <f>IF(F716="","",VLOOKUP(F716,Productos!$A$2:$F$182,6,FALSE))</f>
        <v>Otros servicios</v>
      </c>
      <c r="L716" s="4">
        <v>3</v>
      </c>
      <c r="M716" s="4" t="s">
        <v>67</v>
      </c>
      <c r="N716" s="4">
        <f>VLOOKUP(F716,Productos!$A$2:$J$182,5)</f>
        <v>7</v>
      </c>
      <c r="O716" s="4" t="str">
        <f>VLOOKUP(F716,Productos!$A$2:$J$182,6)</f>
        <v>Otros servicios</v>
      </c>
    </row>
    <row r="717" spans="1:15">
      <c r="A717" s="4" t="s">
        <v>914</v>
      </c>
      <c r="B717" s="4" t="s">
        <v>559</v>
      </c>
      <c r="C717" s="4" t="s">
        <v>560</v>
      </c>
      <c r="D717" s="4" t="s">
        <v>561</v>
      </c>
      <c r="E717" s="4" t="s">
        <v>560</v>
      </c>
      <c r="F717" s="5">
        <v>173</v>
      </c>
      <c r="G717" s="4" t="s">
        <v>360</v>
      </c>
      <c r="H717" s="4" t="str">
        <f>IF(F717="","",VLOOKUP(F717,Productos!$A$2:$F$182,3,FALSE))</f>
        <v>9</v>
      </c>
      <c r="I717" s="4" t="str">
        <f>IF(F717="","",VLOOKUP(F717,Productos!$A$2:$F$182,4,FALSE))</f>
        <v>Servicios para la comunidad, sociales y personales</v>
      </c>
      <c r="J717" s="4">
        <f>IF(F717="","",VLOOKUP(F717,Productos!$A$2:$F$182,5,FALSE))</f>
        <v>7</v>
      </c>
      <c r="K717" s="4" t="str">
        <f>IF(F717="","",VLOOKUP(F717,Productos!$A$2:$F$182,6,FALSE))</f>
        <v>Otros servicios</v>
      </c>
      <c r="L717" s="4">
        <v>3</v>
      </c>
      <c r="M717" s="4" t="s">
        <v>67</v>
      </c>
      <c r="N717" s="4">
        <f>VLOOKUP(F717,Productos!$A$2:$J$182,5)</f>
        <v>7</v>
      </c>
      <c r="O717" s="4" t="str">
        <f>VLOOKUP(F717,Productos!$A$2:$J$182,6)</f>
        <v>Otros servicios</v>
      </c>
    </row>
    <row r="718" spans="1:15">
      <c r="A718" s="4" t="s">
        <v>915</v>
      </c>
      <c r="B718" s="4" t="s">
        <v>559</v>
      </c>
      <c r="C718" s="4" t="s">
        <v>560</v>
      </c>
      <c r="D718" s="4" t="s">
        <v>561</v>
      </c>
      <c r="E718" s="4" t="s">
        <v>560</v>
      </c>
      <c r="F718" s="5">
        <v>174</v>
      </c>
      <c r="G718" s="4" t="s">
        <v>362</v>
      </c>
      <c r="H718" s="4" t="str">
        <f>IF(F718="","",VLOOKUP(F718,Productos!$A$2:$F$182,3,FALSE))</f>
        <v>9</v>
      </c>
      <c r="I718" s="4" t="str">
        <f>IF(F718="","",VLOOKUP(F718,Productos!$A$2:$F$182,4,FALSE))</f>
        <v>Servicios para la comunidad, sociales y personales</v>
      </c>
      <c r="J718" s="4">
        <f>IF(F718="","",VLOOKUP(F718,Productos!$A$2:$F$182,5,FALSE))</f>
        <v>7</v>
      </c>
      <c r="K718" s="4" t="str">
        <f>IF(F718="","",VLOOKUP(F718,Productos!$A$2:$F$182,6,FALSE))</f>
        <v>Otros servicios</v>
      </c>
      <c r="L718" s="4">
        <v>3</v>
      </c>
      <c r="M718" s="4" t="s">
        <v>67</v>
      </c>
      <c r="N718" s="4">
        <f>VLOOKUP(F718,Productos!$A$2:$J$182,5)</f>
        <v>7</v>
      </c>
      <c r="O718" s="4" t="str">
        <f>VLOOKUP(F718,Productos!$A$2:$J$182,6)</f>
        <v>Otros servicios</v>
      </c>
    </row>
    <row r="719" spans="1:15">
      <c r="A719" s="4" t="s">
        <v>916</v>
      </c>
      <c r="B719" s="4" t="s">
        <v>559</v>
      </c>
      <c r="C719" s="4" t="s">
        <v>560</v>
      </c>
      <c r="D719" s="4" t="s">
        <v>561</v>
      </c>
      <c r="E719" s="4" t="s">
        <v>560</v>
      </c>
      <c r="F719" s="5">
        <v>175</v>
      </c>
      <c r="G719" s="4" t="s">
        <v>364</v>
      </c>
      <c r="H719" s="4" t="str">
        <f>IF(F719="","",VLOOKUP(F719,Productos!$A$2:$F$182,3,FALSE))</f>
        <v>9</v>
      </c>
      <c r="I719" s="4" t="str">
        <f>IF(F719="","",VLOOKUP(F719,Productos!$A$2:$F$182,4,FALSE))</f>
        <v>Servicios para la comunidad, sociales y personales</v>
      </c>
      <c r="J719" s="4">
        <f>IF(F719="","",VLOOKUP(F719,Productos!$A$2:$F$182,5,FALSE))</f>
        <v>7</v>
      </c>
      <c r="K719" s="4" t="str">
        <f>IF(F719="","",VLOOKUP(F719,Productos!$A$2:$F$182,6,FALSE))</f>
        <v>Otros servicios</v>
      </c>
      <c r="L719" s="4">
        <v>3</v>
      </c>
      <c r="M719" s="4" t="s">
        <v>67</v>
      </c>
      <c r="N719" s="4">
        <f>VLOOKUP(F719,Productos!$A$2:$J$182,5)</f>
        <v>7</v>
      </c>
      <c r="O719" s="4" t="str">
        <f>VLOOKUP(F719,Productos!$A$2:$J$182,6)</f>
        <v>Otros servicios</v>
      </c>
    </row>
    <row r="720" spans="1:15">
      <c r="A720" s="4" t="s">
        <v>917</v>
      </c>
      <c r="B720" s="4" t="s">
        <v>559</v>
      </c>
      <c r="C720" s="4" t="s">
        <v>560</v>
      </c>
      <c r="D720" s="4" t="s">
        <v>561</v>
      </c>
      <c r="E720" s="4" t="s">
        <v>560</v>
      </c>
      <c r="F720" s="5">
        <v>176</v>
      </c>
      <c r="G720" s="4" t="s">
        <v>366</v>
      </c>
      <c r="H720" s="4" t="str">
        <f>IF(F720="","",VLOOKUP(F720,Productos!$A$2:$F$182,3,FALSE))</f>
        <v>9</v>
      </c>
      <c r="I720" s="4" t="str">
        <f>IF(F720="","",VLOOKUP(F720,Productos!$A$2:$F$182,4,FALSE))</f>
        <v>Servicios para la comunidad, sociales y personales</v>
      </c>
      <c r="J720" s="4">
        <f>IF(F720="","",VLOOKUP(F720,Productos!$A$2:$F$182,5,FALSE))</f>
        <v>7</v>
      </c>
      <c r="K720" s="4" t="str">
        <f>IF(F720="","",VLOOKUP(F720,Productos!$A$2:$F$182,6,FALSE))</f>
        <v>Otros servicios</v>
      </c>
      <c r="L720" s="4">
        <v>3</v>
      </c>
      <c r="M720" s="4" t="s">
        <v>67</v>
      </c>
      <c r="N720" s="4">
        <f>VLOOKUP(F720,Productos!$A$2:$J$182,5)</f>
        <v>7</v>
      </c>
      <c r="O720" s="4" t="str">
        <f>VLOOKUP(F720,Productos!$A$2:$J$182,6)</f>
        <v>Otros servicios</v>
      </c>
    </row>
    <row r="721" spans="1:15">
      <c r="A721" s="4" t="s">
        <v>918</v>
      </c>
      <c r="B721" s="4" t="s">
        <v>559</v>
      </c>
      <c r="C721" s="4" t="s">
        <v>560</v>
      </c>
      <c r="D721" s="4" t="s">
        <v>561</v>
      </c>
      <c r="E721" s="4" t="s">
        <v>560</v>
      </c>
      <c r="F721" s="5">
        <v>177</v>
      </c>
      <c r="G721" s="4" t="s">
        <v>368</v>
      </c>
      <c r="H721" s="4" t="str">
        <f>IF(F721="","",VLOOKUP(F721,Productos!$A$2:$F$182,3,FALSE))</f>
        <v>9</v>
      </c>
      <c r="I721" s="4" t="str">
        <f>IF(F721="","",VLOOKUP(F721,Productos!$A$2:$F$182,4,FALSE))</f>
        <v>Servicios para la comunidad, sociales y personales</v>
      </c>
      <c r="J721" s="4">
        <f>IF(F721="","",VLOOKUP(F721,Productos!$A$2:$F$182,5,FALSE))</f>
        <v>7</v>
      </c>
      <c r="K721" s="4" t="str">
        <f>IF(F721="","",VLOOKUP(F721,Productos!$A$2:$F$182,6,FALSE))</f>
        <v>Otros servicios</v>
      </c>
      <c r="L721" s="4">
        <v>3</v>
      </c>
      <c r="M721" s="4" t="s">
        <v>67</v>
      </c>
      <c r="N721" s="4">
        <f>VLOOKUP(F721,Productos!$A$2:$J$182,5)</f>
        <v>7</v>
      </c>
      <c r="O721" s="4" t="str">
        <f>VLOOKUP(F721,Productos!$A$2:$J$182,6)</f>
        <v>Otros servicios</v>
      </c>
    </row>
    <row r="722" spans="1:15">
      <c r="A722" s="4" t="s">
        <v>919</v>
      </c>
      <c r="B722" s="4" t="s">
        <v>559</v>
      </c>
      <c r="C722" s="4" t="s">
        <v>560</v>
      </c>
      <c r="D722" s="4" t="s">
        <v>561</v>
      </c>
      <c r="E722" s="4" t="s">
        <v>560</v>
      </c>
      <c r="F722" s="5">
        <v>178</v>
      </c>
      <c r="G722" s="4" t="s">
        <v>370</v>
      </c>
      <c r="H722" s="4" t="str">
        <f>IF(F722="","",VLOOKUP(F722,Productos!$A$2:$F$182,3,FALSE))</f>
        <v>9</v>
      </c>
      <c r="I722" s="4" t="str">
        <f>IF(F722="","",VLOOKUP(F722,Productos!$A$2:$F$182,4,FALSE))</f>
        <v>Servicios para la comunidad, sociales y personales</v>
      </c>
      <c r="J722" s="4">
        <f>IF(F722="","",VLOOKUP(F722,Productos!$A$2:$F$182,5,FALSE))</f>
        <v>7</v>
      </c>
      <c r="K722" s="4" t="str">
        <f>IF(F722="","",VLOOKUP(F722,Productos!$A$2:$F$182,6,FALSE))</f>
        <v>Otros servicios</v>
      </c>
      <c r="L722" s="4">
        <v>3</v>
      </c>
      <c r="M722" s="4" t="s">
        <v>67</v>
      </c>
      <c r="N722" s="4">
        <f>VLOOKUP(F722,Productos!$A$2:$J$182,5)</f>
        <v>7</v>
      </c>
      <c r="O722" s="4" t="str">
        <f>VLOOKUP(F722,Productos!$A$2:$J$182,6)</f>
        <v>Otros servicios</v>
      </c>
    </row>
    <row r="723" spans="1:15">
      <c r="A723" s="4" t="s">
        <v>920</v>
      </c>
      <c r="B723" s="4" t="s">
        <v>559</v>
      </c>
      <c r="C723" s="4" t="s">
        <v>560</v>
      </c>
      <c r="D723" s="4" t="s">
        <v>561</v>
      </c>
      <c r="E723" s="4" t="s">
        <v>560</v>
      </c>
      <c r="F723" s="5">
        <v>179</v>
      </c>
      <c r="G723" s="4" t="s">
        <v>372</v>
      </c>
      <c r="H723" s="4" t="str">
        <f>IF(F723="","",VLOOKUP(F723,Productos!$A$2:$F$182,3,FALSE))</f>
        <v>9</v>
      </c>
      <c r="I723" s="4" t="str">
        <f>IF(F723="","",VLOOKUP(F723,Productos!$A$2:$F$182,4,FALSE))</f>
        <v>Servicios para la comunidad, sociales y personales</v>
      </c>
      <c r="J723" s="4">
        <f>IF(F723="","",VLOOKUP(F723,Productos!$A$2:$F$182,5,FALSE))</f>
        <v>7</v>
      </c>
      <c r="K723" s="4" t="str">
        <f>IF(F723="","",VLOOKUP(F723,Productos!$A$2:$F$182,6,FALSE))</f>
        <v>Otros servicios</v>
      </c>
      <c r="L723" s="4">
        <v>3</v>
      </c>
      <c r="M723" s="4" t="s">
        <v>67</v>
      </c>
      <c r="N723" s="4">
        <f>VLOOKUP(F723,Productos!$A$2:$J$182,5)</f>
        <v>7</v>
      </c>
      <c r="O723" s="4" t="str">
        <f>VLOOKUP(F723,Productos!$A$2:$J$182,6)</f>
        <v>Otros servicios</v>
      </c>
    </row>
    <row r="724" spans="1:15">
      <c r="A724" s="4" t="s">
        <v>921</v>
      </c>
      <c r="B724" s="4" t="s">
        <v>559</v>
      </c>
      <c r="C724" s="4" t="s">
        <v>560</v>
      </c>
      <c r="D724" s="4" t="s">
        <v>561</v>
      </c>
      <c r="E724" s="4" t="s">
        <v>560</v>
      </c>
      <c r="F724" s="5">
        <v>180</v>
      </c>
      <c r="G724" s="4" t="s">
        <v>374</v>
      </c>
      <c r="H724" s="4" t="str">
        <f>IF(F724="","",VLOOKUP(F724,Productos!$A$2:$F$182,3,FALSE))</f>
        <v>9</v>
      </c>
      <c r="I724" s="4" t="str">
        <f>IF(F724="","",VLOOKUP(F724,Productos!$A$2:$F$182,4,FALSE))</f>
        <v>Servicios para la comunidad, sociales y personales</v>
      </c>
      <c r="J724" s="4">
        <f>IF(F724="","",VLOOKUP(F724,Productos!$A$2:$F$182,5,FALSE))</f>
        <v>7</v>
      </c>
      <c r="K724" s="4" t="str">
        <f>IF(F724="","",VLOOKUP(F724,Productos!$A$2:$F$182,6,FALSE))</f>
        <v>Otros servicios</v>
      </c>
      <c r="L724" s="4">
        <v>3</v>
      </c>
      <c r="M724" s="4" t="s">
        <v>67</v>
      </c>
      <c r="N724" s="4">
        <f>VLOOKUP(F724,Productos!$A$2:$J$182,5)</f>
        <v>7</v>
      </c>
      <c r="O724" s="4" t="str">
        <f>VLOOKUP(F724,Productos!$A$2:$J$182,6)</f>
        <v>Otros servicios</v>
      </c>
    </row>
    <row r="725" spans="1:15">
      <c r="A725" s="4" t="s">
        <v>922</v>
      </c>
      <c r="B725" s="4" t="s">
        <v>559</v>
      </c>
      <c r="C725" s="4" t="s">
        <v>560</v>
      </c>
      <c r="D725" s="4" t="s">
        <v>561</v>
      </c>
      <c r="E725" s="4" t="s">
        <v>560</v>
      </c>
      <c r="F725" s="5">
        <v>181</v>
      </c>
      <c r="G725" s="4" t="s">
        <v>376</v>
      </c>
      <c r="H725" s="4" t="str">
        <f>IF(F725="","",VLOOKUP(F725,Productos!$A$2:$F$182,3,FALSE))</f>
        <v>9</v>
      </c>
      <c r="I725" s="4" t="str">
        <f>IF(F725="","",VLOOKUP(F725,Productos!$A$2:$F$182,4,FALSE))</f>
        <v>Servicios para la comunidad, sociales y personales</v>
      </c>
      <c r="J725" s="4">
        <f>IF(F725="","",VLOOKUP(F725,Productos!$A$2:$F$182,5,FALSE))</f>
        <v>7</v>
      </c>
      <c r="K725" s="4" t="str">
        <f>IF(F725="","",VLOOKUP(F725,Productos!$A$2:$F$182,6,FALSE))</f>
        <v>Otros servicios</v>
      </c>
      <c r="L725" s="4">
        <v>3</v>
      </c>
      <c r="M725" s="4" t="s">
        <v>67</v>
      </c>
      <c r="N725" s="4">
        <f>VLOOKUP(F725,Productos!$A$2:$J$182,5)</f>
        <v>7</v>
      </c>
      <c r="O725" s="4" t="str">
        <f>VLOOKUP(F725,Productos!$A$2:$J$182,6)</f>
        <v>Otros servicios</v>
      </c>
    </row>
    <row r="726" spans="1:15">
      <c r="A726" s="2" t="s">
        <v>923</v>
      </c>
      <c r="B726" s="2" t="s">
        <v>924</v>
      </c>
      <c r="C726" s="2" t="s">
        <v>925</v>
      </c>
      <c r="D726" s="2" t="s">
        <v>926</v>
      </c>
      <c r="E726" s="2" t="s">
        <v>927</v>
      </c>
      <c r="F726" s="2"/>
      <c r="G726" s="2"/>
      <c r="H726" s="2" t="str">
        <f>IF(F726="","",VLOOKUP(F726,Productos!$A$2:$F$182,3,FALSE))</f>
        <v/>
      </c>
      <c r="I726" s="2" t="str">
        <f>IF(F726="","",VLOOKUP(F726,Productos!$A$2:$F$182,4,FALSE))</f>
        <v/>
      </c>
      <c r="J726" s="2" t="str">
        <f>IF(F726="","",VLOOKUP(F726,Productos!$A$2:$F$182,5,FALSE))</f>
        <v/>
      </c>
      <c r="K726" s="2" t="str">
        <f>IF(F726="","",VLOOKUP(F726,Productos!$A$2:$F$182,6,FALSE))</f>
        <v/>
      </c>
      <c r="L726" s="2"/>
      <c r="M726" s="2"/>
      <c r="N726" s="2"/>
      <c r="O726" s="2"/>
    </row>
    <row r="727" spans="1:15">
      <c r="A727" s="2" t="s">
        <v>928</v>
      </c>
      <c r="B727" s="2"/>
      <c r="C727" s="2"/>
      <c r="D727" s="2"/>
      <c r="E727" s="2"/>
      <c r="F727" s="2"/>
      <c r="G727" s="2"/>
      <c r="H727" s="2" t="str">
        <f>IF(F727="","",VLOOKUP(F727,Productos!$A$2:$F$182,3,FALSE))</f>
        <v/>
      </c>
      <c r="I727" s="2" t="str">
        <f>IF(F727="","",VLOOKUP(F727,Productos!$A$2:$F$182,4,FALSE))</f>
        <v/>
      </c>
      <c r="J727" s="2" t="str">
        <f>IF(F727="","",VLOOKUP(F727,Productos!$A$2:$F$182,5,FALSE))</f>
        <v/>
      </c>
      <c r="K727" s="2" t="str">
        <f>IF(F727="","",VLOOKUP(F727,Productos!$A$2:$F$182,6,FALSE))</f>
        <v/>
      </c>
      <c r="L727" s="2"/>
      <c r="M727" s="2"/>
      <c r="N727" s="2"/>
      <c r="O727" s="2"/>
    </row>
    <row r="728" spans="1:15">
      <c r="A728" s="2" t="s">
        <v>929</v>
      </c>
      <c r="B728" s="2"/>
      <c r="C728" s="2"/>
      <c r="D728" s="2"/>
      <c r="E728" s="2"/>
      <c r="F728" s="2"/>
      <c r="G728" s="2"/>
      <c r="H728" s="2" t="str">
        <f>IF(F728="","",VLOOKUP(F728,Productos!$A$2:$F$182,3,FALSE))</f>
        <v/>
      </c>
      <c r="I728" s="2" t="str">
        <f>IF(F728="","",VLOOKUP(F728,Productos!$A$2:$F$182,4,FALSE))</f>
        <v/>
      </c>
      <c r="J728" s="2" t="str">
        <f>IF(F728="","",VLOOKUP(F728,Productos!$A$2:$F$182,5,FALSE))</f>
        <v/>
      </c>
      <c r="K728" s="2" t="str">
        <f>IF(F728="","",VLOOKUP(F728,Productos!$A$2:$F$182,6,FALSE))</f>
        <v/>
      </c>
      <c r="L728" s="2"/>
      <c r="M728" s="2"/>
      <c r="N728" s="2"/>
      <c r="O728" s="2"/>
    </row>
    <row r="729" spans="1:15">
      <c r="A729" s="2" t="s">
        <v>930</v>
      </c>
      <c r="B729" s="2" t="s">
        <v>924</v>
      </c>
      <c r="C729" s="2" t="s">
        <v>925</v>
      </c>
      <c r="D729" s="2" t="s">
        <v>931</v>
      </c>
      <c r="E729" s="2" t="s">
        <v>932</v>
      </c>
      <c r="F729" s="2"/>
      <c r="G729" s="2"/>
      <c r="H729" s="2" t="str">
        <f>IF(F729="","",VLOOKUP(F729,Productos!$A$2:$F$182,3,FALSE))</f>
        <v/>
      </c>
      <c r="I729" s="2" t="str">
        <f>IF(F729="","",VLOOKUP(F729,Productos!$A$2:$F$182,4,FALSE))</f>
        <v/>
      </c>
      <c r="J729" s="2" t="str">
        <f>IF(F729="","",VLOOKUP(F729,Productos!$A$2:$F$182,5,FALSE))</f>
        <v/>
      </c>
      <c r="K729" s="2" t="str">
        <f>IF(F729="","",VLOOKUP(F729,Productos!$A$2:$F$182,6,FALSE))</f>
        <v/>
      </c>
      <c r="L729" s="2"/>
      <c r="M729" s="2"/>
      <c r="N729" s="2"/>
      <c r="O729" s="2"/>
    </row>
    <row r="730" spans="1:15">
      <c r="A730" s="2" t="s">
        <v>933</v>
      </c>
      <c r="B730" s="2"/>
      <c r="C730" s="2"/>
      <c r="D730" s="2"/>
      <c r="E730" s="2"/>
      <c r="F730" s="2"/>
      <c r="G730" s="2"/>
      <c r="H730" s="2" t="str">
        <f>IF(F730="","",VLOOKUP(F730,Productos!$A$2:$F$182,3,FALSE))</f>
        <v/>
      </c>
      <c r="I730" s="2" t="str">
        <f>IF(F730="","",VLOOKUP(F730,Productos!$A$2:$F$182,4,FALSE))</f>
        <v/>
      </c>
      <c r="J730" s="2" t="str">
        <f>IF(F730="","",VLOOKUP(F730,Productos!$A$2:$F$182,5,FALSE))</f>
        <v/>
      </c>
      <c r="K730" s="2" t="str">
        <f>IF(F730="","",VLOOKUP(F730,Productos!$A$2:$F$182,6,FALSE))</f>
        <v/>
      </c>
      <c r="L730" s="2"/>
      <c r="M730" s="2"/>
      <c r="N730" s="2"/>
      <c r="O730" s="2"/>
    </row>
    <row r="731" spans="1:15">
      <c r="A731" s="2" t="s">
        <v>934</v>
      </c>
      <c r="B731" s="2"/>
      <c r="C731" s="2"/>
      <c r="D731" s="2"/>
      <c r="E731" s="2"/>
      <c r="F731" s="2"/>
      <c r="G731" s="2"/>
      <c r="H731" s="2" t="str">
        <f>IF(F731="","",VLOOKUP(F731,Productos!$A$2:$F$182,3,FALSE))</f>
        <v/>
      </c>
      <c r="I731" s="2" t="str">
        <f>IF(F731="","",VLOOKUP(F731,Productos!$A$2:$F$182,4,FALSE))</f>
        <v/>
      </c>
      <c r="J731" s="2" t="str">
        <f>IF(F731="","",VLOOKUP(F731,Productos!$A$2:$F$182,5,FALSE))</f>
        <v/>
      </c>
      <c r="K731" s="2" t="str">
        <f>IF(F731="","",VLOOKUP(F731,Productos!$A$2:$F$182,6,FALSE))</f>
        <v/>
      </c>
      <c r="L731" s="2"/>
      <c r="M731" s="2"/>
      <c r="N731" s="2"/>
      <c r="O731" s="2"/>
    </row>
    <row r="732" spans="1:15">
      <c r="A732" s="2" t="s">
        <v>935</v>
      </c>
      <c r="B732" s="2" t="s">
        <v>924</v>
      </c>
      <c r="C732" s="2" t="s">
        <v>925</v>
      </c>
      <c r="D732" s="2" t="s">
        <v>936</v>
      </c>
      <c r="E732" s="2" t="s">
        <v>937</v>
      </c>
      <c r="F732" s="2"/>
      <c r="G732" s="2"/>
      <c r="H732" s="2" t="str">
        <f>IF(F732="","",VLOOKUP(F732,Productos!$A$2:$F$182,3,FALSE))</f>
        <v/>
      </c>
      <c r="I732" s="2" t="str">
        <f>IF(F732="","",VLOOKUP(F732,Productos!$A$2:$F$182,4,FALSE))</f>
        <v/>
      </c>
      <c r="J732" s="2" t="str">
        <f>IF(F732="","",VLOOKUP(F732,Productos!$A$2:$F$182,5,FALSE))</f>
        <v/>
      </c>
      <c r="K732" s="2" t="str">
        <f>IF(F732="","",VLOOKUP(F732,Productos!$A$2:$F$182,6,FALSE))</f>
        <v/>
      </c>
      <c r="L732" s="2"/>
      <c r="M732" s="2"/>
      <c r="N732" s="2"/>
      <c r="O732" s="2"/>
    </row>
    <row r="733" spans="1:15">
      <c r="A733" s="2" t="s">
        <v>938</v>
      </c>
      <c r="B733" s="2"/>
      <c r="C733" s="2"/>
      <c r="D733" s="2"/>
      <c r="E733" s="2"/>
      <c r="F733" s="2"/>
      <c r="G733" s="2"/>
      <c r="H733" s="2" t="str">
        <f>IF(F733="","",VLOOKUP(F733,Productos!$A$2:$F$182,3,FALSE))</f>
        <v/>
      </c>
      <c r="I733" s="2" t="str">
        <f>IF(F733="","",VLOOKUP(F733,Productos!$A$2:$F$182,4,FALSE))</f>
        <v/>
      </c>
      <c r="J733" s="2" t="str">
        <f>IF(F733="","",VLOOKUP(F733,Productos!$A$2:$F$182,5,FALSE))</f>
        <v/>
      </c>
      <c r="K733" s="2" t="str">
        <f>IF(F733="","",VLOOKUP(F733,Productos!$A$2:$F$182,6,FALSE))</f>
        <v/>
      </c>
      <c r="L733" s="2"/>
      <c r="M733" s="2"/>
      <c r="N733" s="2"/>
      <c r="O733" s="2"/>
    </row>
    <row r="734" spans="1:15">
      <c r="A734" s="2" t="s">
        <v>939</v>
      </c>
      <c r="B734" s="2"/>
      <c r="C734" s="2"/>
      <c r="D734" s="2"/>
      <c r="E734" s="2"/>
      <c r="F734" s="2"/>
      <c r="G734" s="2"/>
      <c r="H734" s="2" t="str">
        <f>IF(F734="","",VLOOKUP(F734,Productos!$A$2:$F$182,3,FALSE))</f>
        <v/>
      </c>
      <c r="I734" s="2" t="str">
        <f>IF(F734="","",VLOOKUP(F734,Productos!$A$2:$F$182,4,FALSE))</f>
        <v/>
      </c>
      <c r="J734" s="2" t="str">
        <f>IF(F734="","",VLOOKUP(F734,Productos!$A$2:$F$182,5,FALSE))</f>
        <v/>
      </c>
      <c r="K734" s="2" t="str">
        <f>IF(F734="","",VLOOKUP(F734,Productos!$A$2:$F$182,6,FALSE))</f>
        <v/>
      </c>
      <c r="L734" s="2"/>
      <c r="M734" s="2"/>
      <c r="N734" s="2"/>
      <c r="O734" s="2"/>
    </row>
    <row r="735" spans="1:15">
      <c r="A735" s="2" t="s">
        <v>940</v>
      </c>
      <c r="B735" s="2" t="s">
        <v>924</v>
      </c>
      <c r="C735" s="2" t="s">
        <v>925</v>
      </c>
      <c r="D735" s="2" t="s">
        <v>941</v>
      </c>
      <c r="E735" s="2" t="s">
        <v>942</v>
      </c>
      <c r="F735" s="2"/>
      <c r="G735" s="2"/>
      <c r="H735" s="2" t="str">
        <f>IF(F735="","",VLOOKUP(F735,Productos!$A$2:$F$182,3,FALSE))</f>
        <v/>
      </c>
      <c r="I735" s="2" t="str">
        <f>IF(F735="","",VLOOKUP(F735,Productos!$A$2:$F$182,4,FALSE))</f>
        <v/>
      </c>
      <c r="J735" s="2" t="str">
        <f>IF(F735="","",VLOOKUP(F735,Productos!$A$2:$F$182,5,FALSE))</f>
        <v/>
      </c>
      <c r="K735" s="2" t="str">
        <f>IF(F735="","",VLOOKUP(F735,Productos!$A$2:$F$182,6,FALSE))</f>
        <v/>
      </c>
      <c r="L735" s="2"/>
      <c r="M735" s="2"/>
      <c r="N735" s="2"/>
      <c r="O735" s="2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63"/>
  <sheetViews>
    <sheetView zoomScale="95" zoomScaleNormal="95" workbookViewId="0">
      <selection activeCell="E1" sqref="E1"/>
    </sheetView>
  </sheetViews>
  <sheetFormatPr baseColWidth="10" defaultColWidth="12" defaultRowHeight="13.15"/>
  <cols>
    <col min="1" max="2" width="10" customWidth="1"/>
    <col min="3" max="3" width="38.42578125" bestFit="1" customWidth="1"/>
    <col min="4" max="4" width="25.85546875" bestFit="1" customWidth="1"/>
    <col min="5" max="5" width="19.5" bestFit="1" customWidth="1"/>
    <col min="6" max="6" width="10.5" bestFit="1" customWidth="1"/>
    <col min="7" max="7" width="26.92578125" customWidth="1"/>
    <col min="8" max="8" width="56.7109375" customWidth="1"/>
    <col min="9" max="9" width="14.140625" customWidth="1"/>
    <col min="10" max="10" width="77.140625" customWidth="1"/>
    <col min="11" max="11" width="26.78515625" customWidth="1"/>
    <col min="12" max="12" width="58" customWidth="1"/>
    <col min="13" max="13" width="31.5" customWidth="1"/>
    <col min="14" max="14" width="22.28515625" customWidth="1"/>
  </cols>
  <sheetData>
    <row r="1" spans="1:16">
      <c r="A1" s="14" t="s">
        <v>943</v>
      </c>
      <c r="B1" s="14" t="s">
        <v>944</v>
      </c>
      <c r="C1" t="s">
        <v>947</v>
      </c>
      <c r="D1" s="14" t="s">
        <v>1734</v>
      </c>
      <c r="E1" s="14" t="s">
        <v>1735</v>
      </c>
      <c r="F1" s="14" t="s">
        <v>1738</v>
      </c>
      <c r="G1" s="14" t="s">
        <v>1739</v>
      </c>
      <c r="H1" t="s">
        <v>952</v>
      </c>
      <c r="I1" t="s">
        <v>1731</v>
      </c>
      <c r="J1" s="14" t="s">
        <v>953</v>
      </c>
      <c r="K1" t="s">
        <v>955</v>
      </c>
      <c r="L1" t="s">
        <v>956</v>
      </c>
      <c r="M1" t="s">
        <v>957</v>
      </c>
      <c r="N1" t="s">
        <v>958</v>
      </c>
      <c r="O1" t="s">
        <v>959</v>
      </c>
      <c r="P1" t="s">
        <v>960</v>
      </c>
    </row>
    <row r="2" spans="1:16">
      <c r="A2" s="2" t="s">
        <v>961</v>
      </c>
      <c r="B2" s="2">
        <v>1</v>
      </c>
      <c r="C2" s="2" t="str">
        <f>IF(B2="","",VLOOKUP(B2,'Transacciones CHL'!$A$2:$B$14,2,FALSE))</f>
        <v>Producción bruta precio básico</v>
      </c>
      <c r="D2" s="2">
        <f>IF(B2="","",VLOOKUP(B2,'Transacciones CHL'!$A$2:$F$14,3,FALSE))</f>
        <v>1</v>
      </c>
      <c r="E2" s="2" t="str">
        <f>IF(B2="","",VLOOKUP(B2,'Transacciones CHL'!$A$2:$F$14,4,FALSE))</f>
        <v>Producción / Consumo intermedio</v>
      </c>
      <c r="F2" s="2">
        <f>IF(B2="","",VLOOKUP(B2,'Transacciones CHL'!$A$2:$F$14,5,FALSE))</f>
        <v>1</v>
      </c>
      <c r="G2" s="2" t="str">
        <f>IF(B2="","",VLOOKUP(B2,'Transacciones CHL'!$A$2:$F$14,6,FALSE))</f>
        <v>Producción / Consumo intermedio</v>
      </c>
      <c r="H2" s="2" t="s">
        <v>965</v>
      </c>
      <c r="I2" s="2" t="s">
        <v>966</v>
      </c>
      <c r="J2" s="2" t="s">
        <v>967</v>
      </c>
      <c r="K2" s="2" t="s">
        <v>968</v>
      </c>
      <c r="L2" s="2" t="s">
        <v>969</v>
      </c>
      <c r="M2" s="2">
        <v>1</v>
      </c>
      <c r="N2" s="2" t="s">
        <v>14</v>
      </c>
      <c r="O2" s="15">
        <v>2</v>
      </c>
      <c r="P2" s="15" t="s">
        <v>970</v>
      </c>
    </row>
    <row r="3" spans="1:16">
      <c r="A3" s="2" t="s">
        <v>971</v>
      </c>
      <c r="B3" s="2">
        <v>1</v>
      </c>
      <c r="C3" s="2" t="str">
        <f>IF(B3="","",VLOOKUP(B3,'Transacciones CHL'!$A$2:$B$14,2,FALSE))</f>
        <v>Producción bruta precio básico</v>
      </c>
      <c r="D3" s="2">
        <f>IF(B3="","",VLOOKUP(B3,'Transacciones CHL'!$A$2:$F$14,3,FALSE))</f>
        <v>1</v>
      </c>
      <c r="E3" s="2" t="str">
        <f>IF(B3="","",VLOOKUP(B3,'Transacciones CHL'!$A$2:$F$14,4,FALSE))</f>
        <v>Producción / Consumo intermedio</v>
      </c>
      <c r="F3" s="2">
        <f>IF(B3="","",VLOOKUP(B3,'Transacciones CHL'!$A$2:$F$14,5,FALSE))</f>
        <v>1</v>
      </c>
      <c r="G3" s="2" t="str">
        <f>IF(B3="","",VLOOKUP(B3,'Transacciones CHL'!$A$2:$F$14,6,FALSE))</f>
        <v>Producción / Consumo intermedio</v>
      </c>
      <c r="H3" s="2" t="s">
        <v>972</v>
      </c>
      <c r="I3" s="2" t="s">
        <v>966</v>
      </c>
      <c r="J3" s="2" t="s">
        <v>967</v>
      </c>
      <c r="K3" s="2" t="s">
        <v>968</v>
      </c>
      <c r="L3" s="2" t="s">
        <v>969</v>
      </c>
      <c r="M3" s="2">
        <v>1</v>
      </c>
      <c r="N3" s="2" t="s">
        <v>14</v>
      </c>
      <c r="O3" s="15">
        <v>2</v>
      </c>
      <c r="P3" s="15" t="s">
        <v>970</v>
      </c>
    </row>
    <row r="4" spans="1:16">
      <c r="A4" s="2" t="s">
        <v>973</v>
      </c>
      <c r="B4" s="2">
        <v>1</v>
      </c>
      <c r="C4" s="2" t="str">
        <f>IF(B4="","",VLOOKUP(B4,'Transacciones CHL'!$A$2:$B$14,2,FALSE))</f>
        <v>Producción bruta precio básico</v>
      </c>
      <c r="D4" s="2">
        <f>IF(B4="","",VLOOKUP(B4,'Transacciones CHL'!$A$2:$F$14,3,FALSE))</f>
        <v>1</v>
      </c>
      <c r="E4" s="2" t="str">
        <f>IF(B4="","",VLOOKUP(B4,'Transacciones CHL'!$A$2:$F$14,4,FALSE))</f>
        <v>Producción / Consumo intermedio</v>
      </c>
      <c r="F4" s="2">
        <f>IF(B4="","",VLOOKUP(B4,'Transacciones CHL'!$A$2:$F$14,5,FALSE))</f>
        <v>1</v>
      </c>
      <c r="G4" s="2" t="str">
        <f>IF(B4="","",VLOOKUP(B4,'Transacciones CHL'!$A$2:$F$14,6,FALSE))</f>
        <v>Producción / Consumo intermedio</v>
      </c>
      <c r="H4" s="2" t="s">
        <v>974</v>
      </c>
      <c r="I4" s="2" t="s">
        <v>966</v>
      </c>
      <c r="J4" s="2" t="s">
        <v>967</v>
      </c>
      <c r="K4" s="2" t="s">
        <v>968</v>
      </c>
      <c r="L4" s="2" t="s">
        <v>969</v>
      </c>
      <c r="M4" s="2">
        <v>1</v>
      </c>
      <c r="N4" s="2" t="s">
        <v>14</v>
      </c>
      <c r="O4" s="15">
        <v>2</v>
      </c>
      <c r="P4" s="15" t="s">
        <v>970</v>
      </c>
    </row>
    <row r="5" spans="1:16">
      <c r="A5" s="2" t="s">
        <v>975</v>
      </c>
      <c r="B5" s="2">
        <v>1</v>
      </c>
      <c r="C5" s="2" t="str">
        <f>IF(B5="","",VLOOKUP(B5,'Transacciones CHL'!$A$2:$B$14,2,FALSE))</f>
        <v>Producción bruta precio básico</v>
      </c>
      <c r="D5" s="2">
        <f>IF(B5="","",VLOOKUP(B5,'Transacciones CHL'!$A$2:$F$14,3,FALSE))</f>
        <v>1</v>
      </c>
      <c r="E5" s="2" t="str">
        <f>IF(B5="","",VLOOKUP(B5,'Transacciones CHL'!$A$2:$F$14,4,FALSE))</f>
        <v>Producción / Consumo intermedio</v>
      </c>
      <c r="F5" s="2">
        <f>IF(B5="","",VLOOKUP(B5,'Transacciones CHL'!$A$2:$F$14,5,FALSE))</f>
        <v>1</v>
      </c>
      <c r="G5" s="2" t="str">
        <f>IF(B5="","",VLOOKUP(B5,'Transacciones CHL'!$A$2:$F$14,6,FALSE))</f>
        <v>Producción / Consumo intermedio</v>
      </c>
      <c r="H5" s="2" t="s">
        <v>976</v>
      </c>
      <c r="I5" s="2" t="s">
        <v>966</v>
      </c>
      <c r="J5" s="2" t="s">
        <v>967</v>
      </c>
      <c r="K5" s="2" t="s">
        <v>968</v>
      </c>
      <c r="L5" s="2" t="s">
        <v>969</v>
      </c>
      <c r="M5" s="2">
        <v>1</v>
      </c>
      <c r="N5" s="2" t="s">
        <v>14</v>
      </c>
      <c r="O5" s="15">
        <v>2</v>
      </c>
      <c r="P5" s="15" t="s">
        <v>970</v>
      </c>
    </row>
    <row r="6" spans="1:16">
      <c r="A6" s="2" t="s">
        <v>977</v>
      </c>
      <c r="B6" s="2">
        <v>1</v>
      </c>
      <c r="C6" s="2" t="str">
        <f>IF(B6="","",VLOOKUP(B6,'Transacciones CHL'!$A$2:$B$14,2,FALSE))</f>
        <v>Producción bruta precio básico</v>
      </c>
      <c r="D6" s="2">
        <f>IF(B6="","",VLOOKUP(B6,'Transacciones CHL'!$A$2:$F$14,3,FALSE))</f>
        <v>1</v>
      </c>
      <c r="E6" s="2" t="str">
        <f>IF(B6="","",VLOOKUP(B6,'Transacciones CHL'!$A$2:$F$14,4,FALSE))</f>
        <v>Producción / Consumo intermedio</v>
      </c>
      <c r="F6" s="2">
        <f>IF(B6="","",VLOOKUP(B6,'Transacciones CHL'!$A$2:$F$14,5,FALSE))</f>
        <v>1</v>
      </c>
      <c r="G6" s="2" t="str">
        <f>IF(B6="","",VLOOKUP(B6,'Transacciones CHL'!$A$2:$F$14,6,FALSE))</f>
        <v>Producción / Consumo intermedio</v>
      </c>
      <c r="H6" s="2" t="s">
        <v>978</v>
      </c>
      <c r="I6" s="2" t="s">
        <v>966</v>
      </c>
      <c r="J6" s="2" t="s">
        <v>967</v>
      </c>
      <c r="K6" s="2" t="s">
        <v>968</v>
      </c>
      <c r="L6" s="2" t="s">
        <v>969</v>
      </c>
      <c r="M6" s="2">
        <v>1</v>
      </c>
      <c r="N6" s="2" t="s">
        <v>14</v>
      </c>
      <c r="O6" s="15">
        <v>2</v>
      </c>
      <c r="P6" s="15" t="s">
        <v>970</v>
      </c>
    </row>
    <row r="7" spans="1:16">
      <c r="A7" s="2" t="s">
        <v>979</v>
      </c>
      <c r="B7" s="2">
        <v>1</v>
      </c>
      <c r="C7" s="2" t="str">
        <f>IF(B7="","",VLOOKUP(B7,'Transacciones CHL'!$A$2:$B$14,2,FALSE))</f>
        <v>Producción bruta precio básico</v>
      </c>
      <c r="D7" s="2">
        <f>IF(B7="","",VLOOKUP(B7,'Transacciones CHL'!$A$2:$F$14,3,FALSE))</f>
        <v>1</v>
      </c>
      <c r="E7" s="2" t="str">
        <f>IF(B7="","",VLOOKUP(B7,'Transacciones CHL'!$A$2:$F$14,4,FALSE))</f>
        <v>Producción / Consumo intermedio</v>
      </c>
      <c r="F7" s="2">
        <f>IF(B7="","",VLOOKUP(B7,'Transacciones CHL'!$A$2:$F$14,5,FALSE))</f>
        <v>1</v>
      </c>
      <c r="G7" s="2" t="str">
        <f>IF(B7="","",VLOOKUP(B7,'Transacciones CHL'!$A$2:$F$14,6,FALSE))</f>
        <v>Producción / Consumo intermedio</v>
      </c>
      <c r="H7" s="2" t="s">
        <v>980</v>
      </c>
      <c r="I7" s="2" t="s">
        <v>966</v>
      </c>
      <c r="J7" s="2" t="s">
        <v>967</v>
      </c>
      <c r="K7" s="2" t="s">
        <v>968</v>
      </c>
      <c r="L7" s="2" t="s">
        <v>969</v>
      </c>
      <c r="M7" s="2">
        <v>1</v>
      </c>
      <c r="N7" s="2" t="s">
        <v>14</v>
      </c>
      <c r="O7" s="15">
        <v>2</v>
      </c>
      <c r="P7" s="15" t="s">
        <v>970</v>
      </c>
    </row>
    <row r="8" spans="1:16">
      <c r="A8" s="2" t="s">
        <v>981</v>
      </c>
      <c r="B8" s="2">
        <v>1</v>
      </c>
      <c r="C8" s="2" t="str">
        <f>IF(B8="","",VLOOKUP(B8,'Transacciones CHL'!$A$2:$B$14,2,FALSE))</f>
        <v>Producción bruta precio básico</v>
      </c>
      <c r="D8" s="2">
        <f>IF(B8="","",VLOOKUP(B8,'Transacciones CHL'!$A$2:$F$14,3,FALSE))</f>
        <v>1</v>
      </c>
      <c r="E8" s="2" t="str">
        <f>IF(B8="","",VLOOKUP(B8,'Transacciones CHL'!$A$2:$F$14,4,FALSE))</f>
        <v>Producción / Consumo intermedio</v>
      </c>
      <c r="F8" s="2">
        <f>IF(B8="","",VLOOKUP(B8,'Transacciones CHL'!$A$2:$F$14,5,FALSE))</f>
        <v>1</v>
      </c>
      <c r="G8" s="2" t="str">
        <f>IF(B8="","",VLOOKUP(B8,'Transacciones CHL'!$A$2:$F$14,6,FALSE))</f>
        <v>Producción / Consumo intermedio</v>
      </c>
      <c r="H8" s="2" t="s">
        <v>982</v>
      </c>
      <c r="I8" s="2" t="s">
        <v>966</v>
      </c>
      <c r="J8" s="2" t="s">
        <v>967</v>
      </c>
      <c r="K8" s="2" t="s">
        <v>968</v>
      </c>
      <c r="L8" s="2" t="s">
        <v>969</v>
      </c>
      <c r="M8" s="2">
        <v>1</v>
      </c>
      <c r="N8" s="2" t="s">
        <v>14</v>
      </c>
      <c r="O8" s="15">
        <v>2</v>
      </c>
      <c r="P8" s="15" t="s">
        <v>970</v>
      </c>
    </row>
    <row r="9" spans="1:16">
      <c r="A9" s="2" t="s">
        <v>983</v>
      </c>
      <c r="B9" s="2">
        <v>1</v>
      </c>
      <c r="C9" s="2" t="str">
        <f>IF(B9="","",VLOOKUP(B9,'Transacciones CHL'!$A$2:$B$14,2,FALSE))</f>
        <v>Producción bruta precio básico</v>
      </c>
      <c r="D9" s="2">
        <f>IF(B9="","",VLOOKUP(B9,'Transacciones CHL'!$A$2:$F$14,3,FALSE))</f>
        <v>1</v>
      </c>
      <c r="E9" s="2" t="str">
        <f>IF(B9="","",VLOOKUP(B9,'Transacciones CHL'!$A$2:$F$14,4,FALSE))</f>
        <v>Producción / Consumo intermedio</v>
      </c>
      <c r="F9" s="2">
        <f>IF(B9="","",VLOOKUP(B9,'Transacciones CHL'!$A$2:$F$14,5,FALSE))</f>
        <v>1</v>
      </c>
      <c r="G9" s="2" t="str">
        <f>IF(B9="","",VLOOKUP(B9,'Transacciones CHL'!$A$2:$F$14,6,FALSE))</f>
        <v>Producción / Consumo intermedio</v>
      </c>
      <c r="H9" s="2" t="s">
        <v>984</v>
      </c>
      <c r="I9" s="2" t="s">
        <v>966</v>
      </c>
      <c r="J9" s="2" t="s">
        <v>967</v>
      </c>
      <c r="K9" s="2" t="s">
        <v>968</v>
      </c>
      <c r="L9" s="2" t="s">
        <v>969</v>
      </c>
      <c r="M9" s="2">
        <v>1</v>
      </c>
      <c r="N9" s="2" t="s">
        <v>14</v>
      </c>
      <c r="O9" s="15">
        <v>2</v>
      </c>
      <c r="P9" s="15" t="s">
        <v>970</v>
      </c>
    </row>
    <row r="10" spans="1:16">
      <c r="A10" s="2" t="s">
        <v>985</v>
      </c>
      <c r="B10" s="2">
        <v>1</v>
      </c>
      <c r="C10" s="2" t="str">
        <f>IF(B10="","",VLOOKUP(B10,'Transacciones CHL'!$A$2:$B$14,2,FALSE))</f>
        <v>Producción bruta precio básico</v>
      </c>
      <c r="D10" s="2">
        <f>IF(B10="","",VLOOKUP(B10,'Transacciones CHL'!$A$2:$F$14,3,FALSE))</f>
        <v>1</v>
      </c>
      <c r="E10" s="2" t="str">
        <f>IF(B10="","",VLOOKUP(B10,'Transacciones CHL'!$A$2:$F$14,4,FALSE))</f>
        <v>Producción / Consumo intermedio</v>
      </c>
      <c r="F10" s="2">
        <f>IF(B10="","",VLOOKUP(B10,'Transacciones CHL'!$A$2:$F$14,5,FALSE))</f>
        <v>1</v>
      </c>
      <c r="G10" s="2" t="str">
        <f>IF(B10="","",VLOOKUP(B10,'Transacciones CHL'!$A$2:$F$14,6,FALSE))</f>
        <v>Producción / Consumo intermedio</v>
      </c>
      <c r="H10" s="2" t="s">
        <v>986</v>
      </c>
      <c r="I10" s="2" t="s">
        <v>966</v>
      </c>
      <c r="J10" s="2" t="s">
        <v>967</v>
      </c>
      <c r="K10" s="2" t="s">
        <v>968</v>
      </c>
      <c r="L10" s="2" t="s">
        <v>969</v>
      </c>
      <c r="M10" s="2">
        <v>1</v>
      </c>
      <c r="N10" s="2" t="s">
        <v>14</v>
      </c>
      <c r="O10" s="15">
        <v>2</v>
      </c>
      <c r="P10" s="15" t="s">
        <v>970</v>
      </c>
    </row>
    <row r="11" spans="1:16">
      <c r="A11" s="2" t="s">
        <v>987</v>
      </c>
      <c r="B11" s="2">
        <v>1</v>
      </c>
      <c r="C11" s="2" t="str">
        <f>IF(B11="","",VLOOKUP(B11,'Transacciones CHL'!$A$2:$B$14,2,FALSE))</f>
        <v>Producción bruta precio básico</v>
      </c>
      <c r="D11" s="2">
        <f>IF(B11="","",VLOOKUP(B11,'Transacciones CHL'!$A$2:$F$14,3,FALSE))</f>
        <v>1</v>
      </c>
      <c r="E11" s="2" t="str">
        <f>IF(B11="","",VLOOKUP(B11,'Transacciones CHL'!$A$2:$F$14,4,FALSE))</f>
        <v>Producción / Consumo intermedio</v>
      </c>
      <c r="F11" s="2">
        <f>IF(B11="","",VLOOKUP(B11,'Transacciones CHL'!$A$2:$F$14,5,FALSE))</f>
        <v>1</v>
      </c>
      <c r="G11" s="2" t="str">
        <f>IF(B11="","",VLOOKUP(B11,'Transacciones CHL'!$A$2:$F$14,6,FALSE))</f>
        <v>Producción / Consumo intermedio</v>
      </c>
      <c r="H11" s="2" t="s">
        <v>988</v>
      </c>
      <c r="I11" s="2" t="s">
        <v>966</v>
      </c>
      <c r="J11" s="2" t="s">
        <v>967</v>
      </c>
      <c r="K11" s="2" t="s">
        <v>968</v>
      </c>
      <c r="L11" s="2" t="s">
        <v>969</v>
      </c>
      <c r="M11" s="2">
        <v>1</v>
      </c>
      <c r="N11" s="2" t="s">
        <v>14</v>
      </c>
      <c r="O11" s="15">
        <v>2</v>
      </c>
      <c r="P11" s="15" t="s">
        <v>970</v>
      </c>
    </row>
    <row r="12" spans="1:16">
      <c r="A12" s="2" t="s">
        <v>989</v>
      </c>
      <c r="B12" s="2">
        <v>1</v>
      </c>
      <c r="C12" s="2" t="str">
        <f>IF(B12="","",VLOOKUP(B12,'Transacciones CHL'!$A$2:$B$14,2,FALSE))</f>
        <v>Producción bruta precio básico</v>
      </c>
      <c r="D12" s="2">
        <f>IF(B12="","",VLOOKUP(B12,'Transacciones CHL'!$A$2:$F$14,3,FALSE))</f>
        <v>1</v>
      </c>
      <c r="E12" s="2" t="str">
        <f>IF(B12="","",VLOOKUP(B12,'Transacciones CHL'!$A$2:$F$14,4,FALSE))</f>
        <v>Producción / Consumo intermedio</v>
      </c>
      <c r="F12" s="2">
        <f>IF(B12="","",VLOOKUP(B12,'Transacciones CHL'!$A$2:$F$14,5,FALSE))</f>
        <v>1</v>
      </c>
      <c r="G12" s="2" t="str">
        <f>IF(B12="","",VLOOKUP(B12,'Transacciones CHL'!$A$2:$F$14,6,FALSE))</f>
        <v>Producción / Consumo intermedio</v>
      </c>
      <c r="H12" s="2" t="s">
        <v>990</v>
      </c>
      <c r="I12" s="2" t="s">
        <v>966</v>
      </c>
      <c r="J12" s="2" t="s">
        <v>967</v>
      </c>
      <c r="K12" s="2" t="s">
        <v>968</v>
      </c>
      <c r="L12" s="2" t="s">
        <v>969</v>
      </c>
      <c r="M12" s="2">
        <v>1</v>
      </c>
      <c r="N12" s="2" t="s">
        <v>14</v>
      </c>
      <c r="O12" s="15">
        <v>2</v>
      </c>
      <c r="P12" s="15" t="s">
        <v>970</v>
      </c>
    </row>
    <row r="13" spans="1:16">
      <c r="A13" s="2" t="s">
        <v>991</v>
      </c>
      <c r="B13" s="2">
        <v>1</v>
      </c>
      <c r="C13" s="2" t="str">
        <f>IF(B13="","",VLOOKUP(B13,'Transacciones CHL'!$A$2:$B$14,2,FALSE))</f>
        <v>Producción bruta precio básico</v>
      </c>
      <c r="D13" s="2">
        <f>IF(B13="","",VLOOKUP(B13,'Transacciones CHL'!$A$2:$F$14,3,FALSE))</f>
        <v>1</v>
      </c>
      <c r="E13" s="2" t="str">
        <f>IF(B13="","",VLOOKUP(B13,'Transacciones CHL'!$A$2:$F$14,4,FALSE))</f>
        <v>Producción / Consumo intermedio</v>
      </c>
      <c r="F13" s="2">
        <f>IF(B13="","",VLOOKUP(B13,'Transacciones CHL'!$A$2:$F$14,5,FALSE))</f>
        <v>1</v>
      </c>
      <c r="G13" s="2" t="str">
        <f>IF(B13="","",VLOOKUP(B13,'Transacciones CHL'!$A$2:$F$14,6,FALSE))</f>
        <v>Producción / Consumo intermedio</v>
      </c>
      <c r="H13" s="2" t="s">
        <v>992</v>
      </c>
      <c r="I13" s="2" t="s">
        <v>966</v>
      </c>
      <c r="J13" s="2" t="s">
        <v>967</v>
      </c>
      <c r="K13" s="2" t="s">
        <v>968</v>
      </c>
      <c r="L13" s="2" t="s">
        <v>969</v>
      </c>
      <c r="M13" s="2">
        <v>1</v>
      </c>
      <c r="N13" s="2" t="s">
        <v>14</v>
      </c>
      <c r="O13" s="15">
        <v>2</v>
      </c>
      <c r="P13" s="15" t="s">
        <v>970</v>
      </c>
    </row>
    <row r="14" spans="1:16">
      <c r="A14" s="2" t="s">
        <v>993</v>
      </c>
      <c r="B14" s="2">
        <v>1</v>
      </c>
      <c r="C14" s="2" t="str">
        <f>IF(B14="","",VLOOKUP(B14,'Transacciones CHL'!$A$2:$B$14,2,FALSE))</f>
        <v>Producción bruta precio básico</v>
      </c>
      <c r="D14" s="2">
        <f>IF(B14="","",VLOOKUP(B14,'Transacciones CHL'!$A$2:$F$14,3,FALSE))</f>
        <v>1</v>
      </c>
      <c r="E14" s="2" t="str">
        <f>IF(B14="","",VLOOKUP(B14,'Transacciones CHL'!$A$2:$F$14,4,FALSE))</f>
        <v>Producción / Consumo intermedio</v>
      </c>
      <c r="F14" s="2">
        <f>IF(B14="","",VLOOKUP(B14,'Transacciones CHL'!$A$2:$F$14,5,FALSE))</f>
        <v>1</v>
      </c>
      <c r="G14" s="2" t="str">
        <f>IF(B14="","",VLOOKUP(B14,'Transacciones CHL'!$A$2:$F$14,6,FALSE))</f>
        <v>Producción / Consumo intermedio</v>
      </c>
      <c r="H14" s="2" t="s">
        <v>994</v>
      </c>
      <c r="I14" s="2" t="s">
        <v>995</v>
      </c>
      <c r="J14" s="2" t="s">
        <v>996</v>
      </c>
      <c r="K14" s="2" t="s">
        <v>997</v>
      </c>
      <c r="L14" s="2" t="s">
        <v>998</v>
      </c>
      <c r="M14" s="2">
        <v>3</v>
      </c>
      <c r="N14" s="2" t="s">
        <v>67</v>
      </c>
      <c r="O14" s="15">
        <v>2</v>
      </c>
      <c r="P14" s="15" t="s">
        <v>970</v>
      </c>
    </row>
    <row r="15" spans="1:16">
      <c r="A15" s="2" t="s">
        <v>999</v>
      </c>
      <c r="B15" s="2">
        <v>1</v>
      </c>
      <c r="C15" s="2" t="str">
        <f>IF(B15="","",VLOOKUP(B15,'Transacciones CHL'!$A$2:$B$14,2,FALSE))</f>
        <v>Producción bruta precio básico</v>
      </c>
      <c r="D15" s="2">
        <f>IF(B15="","",VLOOKUP(B15,'Transacciones CHL'!$A$2:$F$14,3,FALSE))</f>
        <v>1</v>
      </c>
      <c r="E15" s="2" t="str">
        <f>IF(B15="","",VLOOKUP(B15,'Transacciones CHL'!$A$2:$F$14,4,FALSE))</f>
        <v>Producción / Consumo intermedio</v>
      </c>
      <c r="F15" s="2">
        <f>IF(B15="","",VLOOKUP(B15,'Transacciones CHL'!$A$2:$F$14,5,FALSE))</f>
        <v>1</v>
      </c>
      <c r="G15" s="2" t="str">
        <f>IF(B15="","",VLOOKUP(B15,'Transacciones CHL'!$A$2:$F$14,6,FALSE))</f>
        <v>Producción / Consumo intermedio</v>
      </c>
      <c r="H15" s="2" t="s">
        <v>1000</v>
      </c>
      <c r="I15" s="2" t="s">
        <v>995</v>
      </c>
      <c r="J15" s="2" t="s">
        <v>996</v>
      </c>
      <c r="K15" s="2" t="s">
        <v>997</v>
      </c>
      <c r="L15" s="2" t="s">
        <v>998</v>
      </c>
      <c r="M15" s="2">
        <v>3</v>
      </c>
      <c r="N15" s="2" t="s">
        <v>67</v>
      </c>
      <c r="O15" s="15">
        <v>2</v>
      </c>
      <c r="P15" s="15" t="s">
        <v>970</v>
      </c>
    </row>
    <row r="16" spans="1:16">
      <c r="A16" s="2" t="s">
        <v>1001</v>
      </c>
      <c r="B16" s="2">
        <v>1</v>
      </c>
      <c r="C16" s="2" t="str">
        <f>IF(B16="","",VLOOKUP(B16,'Transacciones CHL'!$A$2:$B$14,2,FALSE))</f>
        <v>Producción bruta precio básico</v>
      </c>
      <c r="D16" s="2">
        <f>IF(B16="","",VLOOKUP(B16,'Transacciones CHL'!$A$2:$F$14,3,FALSE))</f>
        <v>1</v>
      </c>
      <c r="E16" s="2" t="str">
        <f>IF(B16="","",VLOOKUP(B16,'Transacciones CHL'!$A$2:$F$14,4,FALSE))</f>
        <v>Producción / Consumo intermedio</v>
      </c>
      <c r="F16" s="2">
        <f>IF(B16="","",VLOOKUP(B16,'Transacciones CHL'!$A$2:$F$14,5,FALSE))</f>
        <v>1</v>
      </c>
      <c r="G16" s="2" t="str">
        <f>IF(B16="","",VLOOKUP(B16,'Transacciones CHL'!$A$2:$F$14,6,FALSE))</f>
        <v>Producción / Consumo intermedio</v>
      </c>
      <c r="H16" s="2" t="s">
        <v>1002</v>
      </c>
      <c r="I16" s="2" t="s">
        <v>995</v>
      </c>
      <c r="J16" s="2" t="s">
        <v>996</v>
      </c>
      <c r="K16" s="2" t="s">
        <v>997</v>
      </c>
      <c r="L16" s="2" t="s">
        <v>998</v>
      </c>
      <c r="M16" s="2">
        <v>3</v>
      </c>
      <c r="N16" s="2" t="s">
        <v>67</v>
      </c>
      <c r="O16" s="15">
        <v>2</v>
      </c>
      <c r="P16" s="15" t="s">
        <v>970</v>
      </c>
    </row>
    <row r="17" spans="1:16">
      <c r="A17" s="2" t="s">
        <v>1003</v>
      </c>
      <c r="B17" s="2">
        <v>1</v>
      </c>
      <c r="C17" s="2" t="str">
        <f>IF(B17="","",VLOOKUP(B17,'Transacciones CHL'!$A$2:$B$14,2,FALSE))</f>
        <v>Producción bruta precio básico</v>
      </c>
      <c r="D17" s="2">
        <f>IF(B17="","",VLOOKUP(B17,'Transacciones CHL'!$A$2:$F$14,3,FALSE))</f>
        <v>1</v>
      </c>
      <c r="E17" s="2" t="str">
        <f>IF(B17="","",VLOOKUP(B17,'Transacciones CHL'!$A$2:$F$14,4,FALSE))</f>
        <v>Producción / Consumo intermedio</v>
      </c>
      <c r="F17" s="2">
        <f>IF(B17="","",VLOOKUP(B17,'Transacciones CHL'!$A$2:$F$14,5,FALSE))</f>
        <v>1</v>
      </c>
      <c r="G17" s="2" t="str">
        <f>IF(B17="","",VLOOKUP(B17,'Transacciones CHL'!$A$2:$F$14,6,FALSE))</f>
        <v>Producción / Consumo intermedio</v>
      </c>
      <c r="H17" s="2" t="s">
        <v>1004</v>
      </c>
      <c r="I17" s="2" t="s">
        <v>995</v>
      </c>
      <c r="J17" s="2" t="s">
        <v>996</v>
      </c>
      <c r="K17" s="2" t="s">
        <v>997</v>
      </c>
      <c r="L17" s="2" t="s">
        <v>998</v>
      </c>
      <c r="M17" s="2">
        <v>3</v>
      </c>
      <c r="N17" s="2" t="s">
        <v>67</v>
      </c>
      <c r="O17" s="15">
        <v>2</v>
      </c>
      <c r="P17" s="15" t="s">
        <v>970</v>
      </c>
    </row>
    <row r="18" spans="1:16">
      <c r="A18" s="2" t="s">
        <v>1005</v>
      </c>
      <c r="B18" s="2">
        <v>1</v>
      </c>
      <c r="C18" s="2" t="str">
        <f>IF(B18="","",VLOOKUP(B18,'Transacciones CHL'!$A$2:$B$14,2,FALSE))</f>
        <v>Producción bruta precio básico</v>
      </c>
      <c r="D18" s="2">
        <f>IF(B18="","",VLOOKUP(B18,'Transacciones CHL'!$A$2:$F$14,3,FALSE))</f>
        <v>1</v>
      </c>
      <c r="E18" s="2" t="str">
        <f>IF(B18="","",VLOOKUP(B18,'Transacciones CHL'!$A$2:$F$14,4,FALSE))</f>
        <v>Producción / Consumo intermedio</v>
      </c>
      <c r="F18" s="2">
        <f>IF(B18="","",VLOOKUP(B18,'Transacciones CHL'!$A$2:$F$14,5,FALSE))</f>
        <v>1</v>
      </c>
      <c r="G18" s="2" t="str">
        <f>IF(B18="","",VLOOKUP(B18,'Transacciones CHL'!$A$2:$F$14,6,FALSE))</f>
        <v>Producción / Consumo intermedio</v>
      </c>
      <c r="H18" s="2" t="s">
        <v>1006</v>
      </c>
      <c r="I18" s="2" t="s">
        <v>995</v>
      </c>
      <c r="J18" s="2" t="s">
        <v>996</v>
      </c>
      <c r="K18" s="2" t="s">
        <v>997</v>
      </c>
      <c r="L18" s="2" t="s">
        <v>998</v>
      </c>
      <c r="M18" s="2">
        <v>3</v>
      </c>
      <c r="N18" s="2" t="s">
        <v>67</v>
      </c>
      <c r="O18" s="15">
        <v>2</v>
      </c>
      <c r="P18" s="15" t="s">
        <v>970</v>
      </c>
    </row>
    <row r="19" spans="1:16">
      <c r="A19" s="2" t="s">
        <v>1007</v>
      </c>
      <c r="B19" s="2">
        <v>1</v>
      </c>
      <c r="C19" s="2" t="str">
        <f>IF(B19="","",VLOOKUP(B19,'Transacciones CHL'!$A$2:$B$14,2,FALSE))</f>
        <v>Producción bruta precio básico</v>
      </c>
      <c r="D19" s="2">
        <f>IF(B19="","",VLOOKUP(B19,'Transacciones CHL'!$A$2:$F$14,3,FALSE))</f>
        <v>1</v>
      </c>
      <c r="E19" s="2" t="str">
        <f>IF(B19="","",VLOOKUP(B19,'Transacciones CHL'!$A$2:$F$14,4,FALSE))</f>
        <v>Producción / Consumo intermedio</v>
      </c>
      <c r="F19" s="2">
        <f>IF(B19="","",VLOOKUP(B19,'Transacciones CHL'!$A$2:$F$14,5,FALSE))</f>
        <v>1</v>
      </c>
      <c r="G19" s="2" t="str">
        <f>IF(B19="","",VLOOKUP(B19,'Transacciones CHL'!$A$2:$F$14,6,FALSE))</f>
        <v>Producción / Consumo intermedio</v>
      </c>
      <c r="H19" s="2" t="s">
        <v>1008</v>
      </c>
      <c r="I19" s="2" t="s">
        <v>995</v>
      </c>
      <c r="J19" s="2" t="s">
        <v>996</v>
      </c>
      <c r="K19" s="2" t="s">
        <v>997</v>
      </c>
      <c r="L19" s="2" t="s">
        <v>998</v>
      </c>
      <c r="M19" s="2">
        <v>3</v>
      </c>
      <c r="N19" s="2" t="s">
        <v>67</v>
      </c>
      <c r="O19" s="15">
        <v>2</v>
      </c>
      <c r="P19" s="15" t="s">
        <v>970</v>
      </c>
    </row>
    <row r="20" spans="1:16">
      <c r="A20" s="2" t="s">
        <v>1009</v>
      </c>
      <c r="B20" s="2">
        <v>1</v>
      </c>
      <c r="C20" s="2" t="str">
        <f>IF(B20="","",VLOOKUP(B20,'Transacciones CHL'!$A$2:$B$14,2,FALSE))</f>
        <v>Producción bruta precio básico</v>
      </c>
      <c r="D20" s="2">
        <f>IF(B20="","",VLOOKUP(B20,'Transacciones CHL'!$A$2:$F$14,3,FALSE))</f>
        <v>1</v>
      </c>
      <c r="E20" s="2" t="str">
        <f>IF(B20="","",VLOOKUP(B20,'Transacciones CHL'!$A$2:$F$14,4,FALSE))</f>
        <v>Producción / Consumo intermedio</v>
      </c>
      <c r="F20" s="2">
        <f>IF(B20="","",VLOOKUP(B20,'Transacciones CHL'!$A$2:$F$14,5,FALSE))</f>
        <v>1</v>
      </c>
      <c r="G20" s="2" t="str">
        <f>IF(B20="","",VLOOKUP(B20,'Transacciones CHL'!$A$2:$F$14,6,FALSE))</f>
        <v>Producción / Consumo intermedio</v>
      </c>
      <c r="H20" s="2" t="s">
        <v>1010</v>
      </c>
      <c r="I20" s="2" t="s">
        <v>1011</v>
      </c>
      <c r="J20" s="2" t="s">
        <v>1012</v>
      </c>
      <c r="K20" s="2" t="s">
        <v>1013</v>
      </c>
      <c r="L20" s="2" t="s">
        <v>1014</v>
      </c>
      <c r="M20" s="2">
        <v>1</v>
      </c>
      <c r="N20" s="2" t="s">
        <v>14</v>
      </c>
      <c r="O20" s="15">
        <v>2</v>
      </c>
      <c r="P20" s="15" t="s">
        <v>970</v>
      </c>
    </row>
    <row r="21" spans="1:16">
      <c r="A21" s="2" t="s">
        <v>1015</v>
      </c>
      <c r="B21" s="2">
        <v>1</v>
      </c>
      <c r="C21" s="2" t="str">
        <f>IF(B21="","",VLOOKUP(B21,'Transacciones CHL'!$A$2:$B$14,2,FALSE))</f>
        <v>Producción bruta precio básico</v>
      </c>
      <c r="D21" s="2">
        <f>IF(B21="","",VLOOKUP(B21,'Transacciones CHL'!$A$2:$F$14,3,FALSE))</f>
        <v>1</v>
      </c>
      <c r="E21" s="2" t="str">
        <f>IF(B21="","",VLOOKUP(B21,'Transacciones CHL'!$A$2:$F$14,4,FALSE))</f>
        <v>Producción / Consumo intermedio</v>
      </c>
      <c r="F21" s="2">
        <f>IF(B21="","",VLOOKUP(B21,'Transacciones CHL'!$A$2:$F$14,5,FALSE))</f>
        <v>1</v>
      </c>
      <c r="G21" s="2" t="str">
        <f>IF(B21="","",VLOOKUP(B21,'Transacciones CHL'!$A$2:$F$14,6,FALSE))</f>
        <v>Producción / Consumo intermedio</v>
      </c>
      <c r="H21" s="2" t="s">
        <v>1016</v>
      </c>
      <c r="I21" s="2" t="s">
        <v>1011</v>
      </c>
      <c r="J21" s="2" t="s">
        <v>1012</v>
      </c>
      <c r="K21" s="2" t="s">
        <v>1013</v>
      </c>
      <c r="L21" s="2" t="s">
        <v>1014</v>
      </c>
      <c r="M21" s="2">
        <v>1</v>
      </c>
      <c r="N21" s="2" t="s">
        <v>14</v>
      </c>
      <c r="O21" s="15">
        <v>2</v>
      </c>
      <c r="P21" s="15" t="s">
        <v>970</v>
      </c>
    </row>
    <row r="22" spans="1:16">
      <c r="A22" s="2" t="s">
        <v>1017</v>
      </c>
      <c r="B22" s="2">
        <v>1</v>
      </c>
      <c r="C22" s="2" t="str">
        <f>IF(B22="","",VLOOKUP(B22,'Transacciones CHL'!$A$2:$B$14,2,FALSE))</f>
        <v>Producción bruta precio básico</v>
      </c>
      <c r="D22" s="2">
        <f>IF(B22="","",VLOOKUP(B22,'Transacciones CHL'!$A$2:$F$14,3,FALSE))</f>
        <v>1</v>
      </c>
      <c r="E22" s="2" t="str">
        <f>IF(B22="","",VLOOKUP(B22,'Transacciones CHL'!$A$2:$F$14,4,FALSE))</f>
        <v>Producción / Consumo intermedio</v>
      </c>
      <c r="F22" s="2">
        <f>IF(B22="","",VLOOKUP(B22,'Transacciones CHL'!$A$2:$F$14,5,FALSE))</f>
        <v>1</v>
      </c>
      <c r="G22" s="2" t="str">
        <f>IF(B22="","",VLOOKUP(B22,'Transacciones CHL'!$A$2:$F$14,6,FALSE))</f>
        <v>Producción / Consumo intermedio</v>
      </c>
      <c r="H22" s="2" t="s">
        <v>1018</v>
      </c>
      <c r="I22" s="2" t="s">
        <v>1011</v>
      </c>
      <c r="J22" s="2" t="s">
        <v>1012</v>
      </c>
      <c r="K22" s="2" t="s">
        <v>1013</v>
      </c>
      <c r="L22" s="2" t="s">
        <v>1014</v>
      </c>
      <c r="M22" s="2">
        <v>1</v>
      </c>
      <c r="N22" s="2" t="s">
        <v>14</v>
      </c>
      <c r="O22" s="15">
        <v>2</v>
      </c>
      <c r="P22" s="15" t="s">
        <v>970</v>
      </c>
    </row>
    <row r="23" spans="1:16">
      <c r="A23" s="2" t="s">
        <v>1019</v>
      </c>
      <c r="B23" s="2">
        <v>1</v>
      </c>
      <c r="C23" s="2" t="str">
        <f>IF(B23="","",VLOOKUP(B23,'Transacciones CHL'!$A$2:$B$14,2,FALSE))</f>
        <v>Producción bruta precio básico</v>
      </c>
      <c r="D23" s="2">
        <f>IF(B23="","",VLOOKUP(B23,'Transacciones CHL'!$A$2:$F$14,3,FALSE))</f>
        <v>1</v>
      </c>
      <c r="E23" s="2" t="str">
        <f>IF(B23="","",VLOOKUP(B23,'Transacciones CHL'!$A$2:$F$14,4,FALSE))</f>
        <v>Producción / Consumo intermedio</v>
      </c>
      <c r="F23" s="2">
        <f>IF(B23="","",VLOOKUP(B23,'Transacciones CHL'!$A$2:$F$14,5,FALSE))</f>
        <v>1</v>
      </c>
      <c r="G23" s="2" t="str">
        <f>IF(B23="","",VLOOKUP(B23,'Transacciones CHL'!$A$2:$F$14,6,FALSE))</f>
        <v>Producción / Consumo intermedio</v>
      </c>
      <c r="H23" s="2" t="s">
        <v>1020</v>
      </c>
      <c r="I23" s="2" t="s">
        <v>1011</v>
      </c>
      <c r="J23" s="2" t="s">
        <v>1012</v>
      </c>
      <c r="K23" s="2" t="s">
        <v>1013</v>
      </c>
      <c r="L23" s="2" t="s">
        <v>1014</v>
      </c>
      <c r="M23" s="2">
        <v>1</v>
      </c>
      <c r="N23" s="2" t="s">
        <v>14</v>
      </c>
      <c r="O23" s="15">
        <v>2</v>
      </c>
      <c r="P23" s="15" t="s">
        <v>970</v>
      </c>
    </row>
    <row r="24" spans="1:16">
      <c r="A24" s="2" t="s">
        <v>1021</v>
      </c>
      <c r="B24" s="2">
        <v>1</v>
      </c>
      <c r="C24" s="2" t="str">
        <f>IF(B24="","",VLOOKUP(B24,'Transacciones CHL'!$A$2:$B$14,2,FALSE))</f>
        <v>Producción bruta precio básico</v>
      </c>
      <c r="D24" s="2">
        <f>IF(B24="","",VLOOKUP(B24,'Transacciones CHL'!$A$2:$F$14,3,FALSE))</f>
        <v>1</v>
      </c>
      <c r="E24" s="2" t="str">
        <f>IF(B24="","",VLOOKUP(B24,'Transacciones CHL'!$A$2:$F$14,4,FALSE))</f>
        <v>Producción / Consumo intermedio</v>
      </c>
      <c r="F24" s="2">
        <f>IF(B24="","",VLOOKUP(B24,'Transacciones CHL'!$A$2:$F$14,5,FALSE))</f>
        <v>1</v>
      </c>
      <c r="G24" s="2" t="str">
        <f>IF(B24="","",VLOOKUP(B24,'Transacciones CHL'!$A$2:$F$14,6,FALSE))</f>
        <v>Producción / Consumo intermedio</v>
      </c>
      <c r="H24" s="2" t="s">
        <v>1022</v>
      </c>
      <c r="I24" s="2" t="s">
        <v>1011</v>
      </c>
      <c r="J24" s="2" t="s">
        <v>1012</v>
      </c>
      <c r="K24" s="2" t="s">
        <v>1013</v>
      </c>
      <c r="L24" s="2" t="s">
        <v>1014</v>
      </c>
      <c r="M24" s="2">
        <v>1</v>
      </c>
      <c r="N24" s="2" t="s">
        <v>14</v>
      </c>
      <c r="O24" s="15">
        <v>2</v>
      </c>
      <c r="P24" s="15" t="s">
        <v>970</v>
      </c>
    </row>
    <row r="25" spans="1:16">
      <c r="A25" s="2" t="s">
        <v>1023</v>
      </c>
      <c r="B25" s="2">
        <v>1</v>
      </c>
      <c r="C25" s="2" t="str">
        <f>IF(B25="","",VLOOKUP(B25,'Transacciones CHL'!$A$2:$B$14,2,FALSE))</f>
        <v>Producción bruta precio básico</v>
      </c>
      <c r="D25" s="2">
        <f>IF(B25="","",VLOOKUP(B25,'Transacciones CHL'!$A$2:$F$14,3,FALSE))</f>
        <v>1</v>
      </c>
      <c r="E25" s="2" t="str">
        <f>IF(B25="","",VLOOKUP(B25,'Transacciones CHL'!$A$2:$F$14,4,FALSE))</f>
        <v>Producción / Consumo intermedio</v>
      </c>
      <c r="F25" s="2">
        <f>IF(B25="","",VLOOKUP(B25,'Transacciones CHL'!$A$2:$F$14,5,FALSE))</f>
        <v>1</v>
      </c>
      <c r="G25" s="2" t="str">
        <f>IF(B25="","",VLOOKUP(B25,'Transacciones CHL'!$A$2:$F$14,6,FALSE))</f>
        <v>Producción / Consumo intermedio</v>
      </c>
      <c r="H25" s="2" t="s">
        <v>1024</v>
      </c>
      <c r="I25" s="2" t="s">
        <v>1011</v>
      </c>
      <c r="J25" s="2" t="s">
        <v>1012</v>
      </c>
      <c r="K25" s="2" t="s">
        <v>1013</v>
      </c>
      <c r="L25" s="2" t="s">
        <v>1014</v>
      </c>
      <c r="M25" s="2">
        <v>1</v>
      </c>
      <c r="N25" s="2" t="s">
        <v>14</v>
      </c>
      <c r="O25" s="15">
        <v>2</v>
      </c>
      <c r="P25" s="15" t="s">
        <v>970</v>
      </c>
    </row>
    <row r="26" spans="1:16">
      <c r="A26" s="2" t="s">
        <v>1025</v>
      </c>
      <c r="B26" s="2">
        <v>1</v>
      </c>
      <c r="C26" s="2" t="str">
        <f>IF(B26="","",VLOOKUP(B26,'Transacciones CHL'!$A$2:$B$14,2,FALSE))</f>
        <v>Producción bruta precio básico</v>
      </c>
      <c r="D26" s="2">
        <f>IF(B26="","",VLOOKUP(B26,'Transacciones CHL'!$A$2:$F$14,3,FALSE))</f>
        <v>1</v>
      </c>
      <c r="E26" s="2" t="str">
        <f>IF(B26="","",VLOOKUP(B26,'Transacciones CHL'!$A$2:$F$14,4,FALSE))</f>
        <v>Producción / Consumo intermedio</v>
      </c>
      <c r="F26" s="2">
        <f>IF(B26="","",VLOOKUP(B26,'Transacciones CHL'!$A$2:$F$14,5,FALSE))</f>
        <v>1</v>
      </c>
      <c r="G26" s="2" t="str">
        <f>IF(B26="","",VLOOKUP(B26,'Transacciones CHL'!$A$2:$F$14,6,FALSE))</f>
        <v>Producción / Consumo intermedio</v>
      </c>
      <c r="H26" s="2" t="s">
        <v>1026</v>
      </c>
      <c r="I26" s="2" t="s">
        <v>1011</v>
      </c>
      <c r="J26" s="2" t="s">
        <v>1012</v>
      </c>
      <c r="K26" s="2" t="s">
        <v>1013</v>
      </c>
      <c r="L26" s="2" t="s">
        <v>1014</v>
      </c>
      <c r="M26" s="2">
        <v>1</v>
      </c>
      <c r="N26" s="2" t="s">
        <v>14</v>
      </c>
      <c r="O26" s="15">
        <v>2</v>
      </c>
      <c r="P26" s="15" t="s">
        <v>970</v>
      </c>
    </row>
    <row r="27" spans="1:16">
      <c r="A27" s="2" t="s">
        <v>1027</v>
      </c>
      <c r="B27" s="2">
        <v>1</v>
      </c>
      <c r="C27" s="2" t="str">
        <f>IF(B27="","",VLOOKUP(B27,'Transacciones CHL'!$A$2:$B$14,2,FALSE))</f>
        <v>Producción bruta precio básico</v>
      </c>
      <c r="D27" s="2">
        <f>IF(B27="","",VLOOKUP(B27,'Transacciones CHL'!$A$2:$F$14,3,FALSE))</f>
        <v>1</v>
      </c>
      <c r="E27" s="2" t="str">
        <f>IF(B27="","",VLOOKUP(B27,'Transacciones CHL'!$A$2:$F$14,4,FALSE))</f>
        <v>Producción / Consumo intermedio</v>
      </c>
      <c r="F27" s="2">
        <f>IF(B27="","",VLOOKUP(B27,'Transacciones CHL'!$A$2:$F$14,5,FALSE))</f>
        <v>1</v>
      </c>
      <c r="G27" s="2" t="str">
        <f>IF(B27="","",VLOOKUP(B27,'Transacciones CHL'!$A$2:$F$14,6,FALSE))</f>
        <v>Producción / Consumo intermedio</v>
      </c>
      <c r="H27" s="2" t="s">
        <v>1028</v>
      </c>
      <c r="I27" s="2" t="s">
        <v>1011</v>
      </c>
      <c r="J27" s="2" t="s">
        <v>1012</v>
      </c>
      <c r="K27" s="2" t="s">
        <v>1013</v>
      </c>
      <c r="L27" s="2" t="s">
        <v>1014</v>
      </c>
      <c r="M27" s="2">
        <v>1</v>
      </c>
      <c r="N27" s="2" t="s">
        <v>14</v>
      </c>
      <c r="O27" s="15">
        <v>2</v>
      </c>
      <c r="P27" s="15" t="s">
        <v>970</v>
      </c>
    </row>
    <row r="28" spans="1:16">
      <c r="A28" s="2" t="s">
        <v>1029</v>
      </c>
      <c r="B28" s="2">
        <v>1</v>
      </c>
      <c r="C28" s="2" t="str">
        <f>IF(B28="","",VLOOKUP(B28,'Transacciones CHL'!$A$2:$B$14,2,FALSE))</f>
        <v>Producción bruta precio básico</v>
      </c>
      <c r="D28" s="2">
        <f>IF(B28="","",VLOOKUP(B28,'Transacciones CHL'!$A$2:$F$14,3,FALSE))</f>
        <v>1</v>
      </c>
      <c r="E28" s="2" t="str">
        <f>IF(B28="","",VLOOKUP(B28,'Transacciones CHL'!$A$2:$F$14,4,FALSE))</f>
        <v>Producción / Consumo intermedio</v>
      </c>
      <c r="F28" s="2">
        <f>IF(B28="","",VLOOKUP(B28,'Transacciones CHL'!$A$2:$F$14,5,FALSE))</f>
        <v>1</v>
      </c>
      <c r="G28" s="2" t="str">
        <f>IF(B28="","",VLOOKUP(B28,'Transacciones CHL'!$A$2:$F$14,6,FALSE))</f>
        <v>Producción / Consumo intermedio</v>
      </c>
      <c r="H28" s="2" t="s">
        <v>1030</v>
      </c>
      <c r="I28" s="2" t="s">
        <v>1011</v>
      </c>
      <c r="J28" s="2" t="s">
        <v>1012</v>
      </c>
      <c r="K28" s="2" t="s">
        <v>1013</v>
      </c>
      <c r="L28" s="2" t="s">
        <v>1014</v>
      </c>
      <c r="M28" s="2">
        <v>1</v>
      </c>
      <c r="N28" s="2" t="s">
        <v>14</v>
      </c>
      <c r="O28" s="15">
        <v>2</v>
      </c>
      <c r="P28" s="15" t="s">
        <v>970</v>
      </c>
    </row>
    <row r="29" spans="1:16">
      <c r="A29" s="2" t="s">
        <v>1031</v>
      </c>
      <c r="B29" s="2">
        <v>1</v>
      </c>
      <c r="C29" s="2" t="str">
        <f>IF(B29="","",VLOOKUP(B29,'Transacciones CHL'!$A$2:$B$14,2,FALSE))</f>
        <v>Producción bruta precio básico</v>
      </c>
      <c r="D29" s="2">
        <f>IF(B29="","",VLOOKUP(B29,'Transacciones CHL'!$A$2:$F$14,3,FALSE))</f>
        <v>1</v>
      </c>
      <c r="E29" s="2" t="str">
        <f>IF(B29="","",VLOOKUP(B29,'Transacciones CHL'!$A$2:$F$14,4,FALSE))</f>
        <v>Producción / Consumo intermedio</v>
      </c>
      <c r="F29" s="2">
        <f>IF(B29="","",VLOOKUP(B29,'Transacciones CHL'!$A$2:$F$14,5,FALSE))</f>
        <v>1</v>
      </c>
      <c r="G29" s="2" t="str">
        <f>IF(B29="","",VLOOKUP(B29,'Transacciones CHL'!$A$2:$F$14,6,FALSE))</f>
        <v>Producción / Consumo intermedio</v>
      </c>
      <c r="H29" s="2" t="s">
        <v>1032</v>
      </c>
      <c r="I29" s="2" t="s">
        <v>1011</v>
      </c>
      <c r="J29" s="2" t="s">
        <v>1012</v>
      </c>
      <c r="K29" s="2" t="s">
        <v>1013</v>
      </c>
      <c r="L29" s="2" t="s">
        <v>1014</v>
      </c>
      <c r="M29" s="2">
        <v>1</v>
      </c>
      <c r="N29" s="2" t="s">
        <v>14</v>
      </c>
      <c r="O29" s="15">
        <v>2</v>
      </c>
      <c r="P29" s="15" t="s">
        <v>970</v>
      </c>
    </row>
    <row r="30" spans="1:16">
      <c r="A30" s="2" t="s">
        <v>1033</v>
      </c>
      <c r="B30" s="2">
        <v>1</v>
      </c>
      <c r="C30" s="2" t="str">
        <f>IF(B30="","",VLOOKUP(B30,'Transacciones CHL'!$A$2:$B$14,2,FALSE))</f>
        <v>Producción bruta precio básico</v>
      </c>
      <c r="D30" s="2">
        <f>IF(B30="","",VLOOKUP(B30,'Transacciones CHL'!$A$2:$F$14,3,FALSE))</f>
        <v>1</v>
      </c>
      <c r="E30" s="2" t="str">
        <f>IF(B30="","",VLOOKUP(B30,'Transacciones CHL'!$A$2:$F$14,4,FALSE))</f>
        <v>Producción / Consumo intermedio</v>
      </c>
      <c r="F30" s="2">
        <f>IF(B30="","",VLOOKUP(B30,'Transacciones CHL'!$A$2:$F$14,5,FALSE))</f>
        <v>1</v>
      </c>
      <c r="G30" s="2" t="str">
        <f>IF(B30="","",VLOOKUP(B30,'Transacciones CHL'!$A$2:$F$14,6,FALSE))</f>
        <v>Producción / Consumo intermedio</v>
      </c>
      <c r="H30" s="2" t="s">
        <v>1034</v>
      </c>
      <c r="I30" s="2" t="s">
        <v>1011</v>
      </c>
      <c r="J30" s="2" t="s">
        <v>1012</v>
      </c>
      <c r="K30" s="2" t="s">
        <v>1013</v>
      </c>
      <c r="L30" s="2" t="s">
        <v>1014</v>
      </c>
      <c r="M30" s="2">
        <v>1</v>
      </c>
      <c r="N30" s="2" t="s">
        <v>14</v>
      </c>
      <c r="O30" s="15">
        <v>2</v>
      </c>
      <c r="P30" s="15" t="s">
        <v>970</v>
      </c>
    </row>
    <row r="31" spans="1:16">
      <c r="A31" s="2" t="s">
        <v>1035</v>
      </c>
      <c r="B31" s="2">
        <v>1</v>
      </c>
      <c r="C31" s="2" t="str">
        <f>IF(B31="","",VLOOKUP(B31,'Transacciones CHL'!$A$2:$B$14,2,FALSE))</f>
        <v>Producción bruta precio básico</v>
      </c>
      <c r="D31" s="2">
        <f>IF(B31="","",VLOOKUP(B31,'Transacciones CHL'!$A$2:$F$14,3,FALSE))</f>
        <v>1</v>
      </c>
      <c r="E31" s="2" t="str">
        <f>IF(B31="","",VLOOKUP(B31,'Transacciones CHL'!$A$2:$F$14,4,FALSE))</f>
        <v>Producción / Consumo intermedio</v>
      </c>
      <c r="F31" s="2">
        <f>IF(B31="","",VLOOKUP(B31,'Transacciones CHL'!$A$2:$F$14,5,FALSE))</f>
        <v>1</v>
      </c>
      <c r="G31" s="2" t="str">
        <f>IF(B31="","",VLOOKUP(B31,'Transacciones CHL'!$A$2:$F$14,6,FALSE))</f>
        <v>Producción / Consumo intermedio</v>
      </c>
      <c r="H31" s="2" t="s">
        <v>1036</v>
      </c>
      <c r="I31" s="2" t="s">
        <v>1011</v>
      </c>
      <c r="J31" s="2" t="s">
        <v>1012</v>
      </c>
      <c r="K31" s="2" t="s">
        <v>1013</v>
      </c>
      <c r="L31" s="2" t="s">
        <v>1014</v>
      </c>
      <c r="M31" s="2">
        <v>1</v>
      </c>
      <c r="N31" s="2" t="s">
        <v>14</v>
      </c>
      <c r="O31" s="15">
        <v>2</v>
      </c>
      <c r="P31" s="15" t="s">
        <v>970</v>
      </c>
    </row>
    <row r="32" spans="1:16">
      <c r="A32" s="2" t="s">
        <v>1037</v>
      </c>
      <c r="B32" s="2">
        <v>1</v>
      </c>
      <c r="C32" s="2" t="str">
        <f>IF(B32="","",VLOOKUP(B32,'Transacciones CHL'!$A$2:$B$14,2,FALSE))</f>
        <v>Producción bruta precio básico</v>
      </c>
      <c r="D32" s="2">
        <f>IF(B32="","",VLOOKUP(B32,'Transacciones CHL'!$A$2:$F$14,3,FALSE))</f>
        <v>1</v>
      </c>
      <c r="E32" s="2" t="str">
        <f>IF(B32="","",VLOOKUP(B32,'Transacciones CHL'!$A$2:$F$14,4,FALSE))</f>
        <v>Producción / Consumo intermedio</v>
      </c>
      <c r="F32" s="2">
        <f>IF(B32="","",VLOOKUP(B32,'Transacciones CHL'!$A$2:$F$14,5,FALSE))</f>
        <v>1</v>
      </c>
      <c r="G32" s="2" t="str">
        <f>IF(B32="","",VLOOKUP(B32,'Transacciones CHL'!$A$2:$F$14,6,FALSE))</f>
        <v>Producción / Consumo intermedio</v>
      </c>
      <c r="H32" s="2" t="s">
        <v>1038</v>
      </c>
      <c r="I32" s="2" t="s">
        <v>1011</v>
      </c>
      <c r="J32" s="2" t="s">
        <v>1012</v>
      </c>
      <c r="K32" s="2" t="s">
        <v>1013</v>
      </c>
      <c r="L32" s="2" t="s">
        <v>1014</v>
      </c>
      <c r="M32" s="2">
        <v>1</v>
      </c>
      <c r="N32" s="2" t="s">
        <v>14</v>
      </c>
      <c r="O32" s="15">
        <v>2</v>
      </c>
      <c r="P32" s="15" t="s">
        <v>970</v>
      </c>
    </row>
    <row r="33" spans="1:16">
      <c r="A33" s="2" t="s">
        <v>1039</v>
      </c>
      <c r="B33" s="2">
        <v>1</v>
      </c>
      <c r="C33" s="2" t="str">
        <f>IF(B33="","",VLOOKUP(B33,'Transacciones CHL'!$A$2:$B$14,2,FALSE))</f>
        <v>Producción bruta precio básico</v>
      </c>
      <c r="D33" s="2">
        <f>IF(B33="","",VLOOKUP(B33,'Transacciones CHL'!$A$2:$F$14,3,FALSE))</f>
        <v>1</v>
      </c>
      <c r="E33" s="2" t="str">
        <f>IF(B33="","",VLOOKUP(B33,'Transacciones CHL'!$A$2:$F$14,4,FALSE))</f>
        <v>Producción / Consumo intermedio</v>
      </c>
      <c r="F33" s="2">
        <f>IF(B33="","",VLOOKUP(B33,'Transacciones CHL'!$A$2:$F$14,5,FALSE))</f>
        <v>1</v>
      </c>
      <c r="G33" s="2" t="str">
        <f>IF(B33="","",VLOOKUP(B33,'Transacciones CHL'!$A$2:$F$14,6,FALSE))</f>
        <v>Producción / Consumo intermedio</v>
      </c>
      <c r="H33" s="2" t="s">
        <v>1040</v>
      </c>
      <c r="I33" s="2" t="s">
        <v>1011</v>
      </c>
      <c r="J33" s="2" t="s">
        <v>1012</v>
      </c>
      <c r="K33" s="2" t="s">
        <v>1013</v>
      </c>
      <c r="L33" s="2" t="s">
        <v>1014</v>
      </c>
      <c r="M33" s="2">
        <v>1</v>
      </c>
      <c r="N33" s="2" t="s">
        <v>14</v>
      </c>
      <c r="O33" s="15">
        <v>2</v>
      </c>
      <c r="P33" s="15" t="s">
        <v>970</v>
      </c>
    </row>
    <row r="34" spans="1:16">
      <c r="A34" s="2" t="s">
        <v>1041</v>
      </c>
      <c r="B34" s="2">
        <v>1</v>
      </c>
      <c r="C34" s="2" t="str">
        <f>IF(B34="","",VLOOKUP(B34,'Transacciones CHL'!$A$2:$B$14,2,FALSE))</f>
        <v>Producción bruta precio básico</v>
      </c>
      <c r="D34" s="2">
        <f>IF(B34="","",VLOOKUP(B34,'Transacciones CHL'!$A$2:$F$14,3,FALSE))</f>
        <v>1</v>
      </c>
      <c r="E34" s="2" t="str">
        <f>IF(B34="","",VLOOKUP(B34,'Transacciones CHL'!$A$2:$F$14,4,FALSE))</f>
        <v>Producción / Consumo intermedio</v>
      </c>
      <c r="F34" s="2">
        <f>IF(B34="","",VLOOKUP(B34,'Transacciones CHL'!$A$2:$F$14,5,FALSE))</f>
        <v>1</v>
      </c>
      <c r="G34" s="2" t="str">
        <f>IF(B34="","",VLOOKUP(B34,'Transacciones CHL'!$A$2:$F$14,6,FALSE))</f>
        <v>Producción / Consumo intermedio</v>
      </c>
      <c r="H34" s="2" t="s">
        <v>1042</v>
      </c>
      <c r="I34" s="2" t="s">
        <v>1011</v>
      </c>
      <c r="J34" s="2" t="s">
        <v>1012</v>
      </c>
      <c r="K34" s="2" t="s">
        <v>1013</v>
      </c>
      <c r="L34" s="2" t="s">
        <v>1014</v>
      </c>
      <c r="M34" s="2">
        <v>1</v>
      </c>
      <c r="N34" s="2" t="s">
        <v>14</v>
      </c>
      <c r="O34" s="15">
        <v>2</v>
      </c>
      <c r="P34" s="15" t="s">
        <v>970</v>
      </c>
    </row>
    <row r="35" spans="1:16">
      <c r="A35" s="2" t="s">
        <v>1043</v>
      </c>
      <c r="B35" s="2">
        <v>1</v>
      </c>
      <c r="C35" s="2" t="str">
        <f>IF(B35="","",VLOOKUP(B35,'Transacciones CHL'!$A$2:$B$14,2,FALSE))</f>
        <v>Producción bruta precio básico</v>
      </c>
      <c r="D35" s="2">
        <f>IF(B35="","",VLOOKUP(B35,'Transacciones CHL'!$A$2:$F$14,3,FALSE))</f>
        <v>1</v>
      </c>
      <c r="E35" s="2" t="str">
        <f>IF(B35="","",VLOOKUP(B35,'Transacciones CHL'!$A$2:$F$14,4,FALSE))</f>
        <v>Producción / Consumo intermedio</v>
      </c>
      <c r="F35" s="2">
        <f>IF(B35="","",VLOOKUP(B35,'Transacciones CHL'!$A$2:$F$14,5,FALSE))</f>
        <v>1</v>
      </c>
      <c r="G35" s="2" t="str">
        <f>IF(B35="","",VLOOKUP(B35,'Transacciones CHL'!$A$2:$F$14,6,FALSE))</f>
        <v>Producción / Consumo intermedio</v>
      </c>
      <c r="H35" s="2" t="s">
        <v>1044</v>
      </c>
      <c r="I35" s="2" t="s">
        <v>1011</v>
      </c>
      <c r="J35" s="2" t="s">
        <v>1012</v>
      </c>
      <c r="K35" s="2" t="s">
        <v>1013</v>
      </c>
      <c r="L35" s="2" t="s">
        <v>1014</v>
      </c>
      <c r="M35" s="2">
        <v>1</v>
      </c>
      <c r="N35" s="2" t="s">
        <v>14</v>
      </c>
      <c r="O35" s="15">
        <v>2</v>
      </c>
      <c r="P35" s="15" t="s">
        <v>970</v>
      </c>
    </row>
    <row r="36" spans="1:16">
      <c r="A36" s="2" t="s">
        <v>1045</v>
      </c>
      <c r="B36" s="2">
        <v>1</v>
      </c>
      <c r="C36" s="2" t="str">
        <f>IF(B36="","",VLOOKUP(B36,'Transacciones CHL'!$A$2:$B$14,2,FALSE))</f>
        <v>Producción bruta precio básico</v>
      </c>
      <c r="D36" s="2">
        <f>IF(B36="","",VLOOKUP(B36,'Transacciones CHL'!$A$2:$F$14,3,FALSE))</f>
        <v>1</v>
      </c>
      <c r="E36" s="2" t="str">
        <f>IF(B36="","",VLOOKUP(B36,'Transacciones CHL'!$A$2:$F$14,4,FALSE))</f>
        <v>Producción / Consumo intermedio</v>
      </c>
      <c r="F36" s="2">
        <f>IF(B36="","",VLOOKUP(B36,'Transacciones CHL'!$A$2:$F$14,5,FALSE))</f>
        <v>1</v>
      </c>
      <c r="G36" s="2" t="str">
        <f>IF(B36="","",VLOOKUP(B36,'Transacciones CHL'!$A$2:$F$14,6,FALSE))</f>
        <v>Producción / Consumo intermedio</v>
      </c>
      <c r="H36" s="2" t="s">
        <v>1046</v>
      </c>
      <c r="I36" s="2" t="s">
        <v>1011</v>
      </c>
      <c r="J36" s="2" t="s">
        <v>1012</v>
      </c>
      <c r="K36" s="2" t="s">
        <v>1013</v>
      </c>
      <c r="L36" s="2" t="s">
        <v>1014</v>
      </c>
      <c r="M36" s="2">
        <v>2</v>
      </c>
      <c r="N36" s="2" t="s">
        <v>142</v>
      </c>
      <c r="O36" s="15">
        <v>2</v>
      </c>
      <c r="P36" s="15" t="s">
        <v>970</v>
      </c>
    </row>
    <row r="37" spans="1:16">
      <c r="A37" s="2" t="s">
        <v>1047</v>
      </c>
      <c r="B37" s="2">
        <v>1</v>
      </c>
      <c r="C37" s="2" t="str">
        <f>IF(B37="","",VLOOKUP(B37,'Transacciones CHL'!$A$2:$B$14,2,FALSE))</f>
        <v>Producción bruta precio básico</v>
      </c>
      <c r="D37" s="2">
        <f>IF(B37="","",VLOOKUP(B37,'Transacciones CHL'!$A$2:$F$14,3,FALSE))</f>
        <v>1</v>
      </c>
      <c r="E37" s="2" t="str">
        <f>IF(B37="","",VLOOKUP(B37,'Transacciones CHL'!$A$2:$F$14,4,FALSE))</f>
        <v>Producción / Consumo intermedio</v>
      </c>
      <c r="F37" s="2">
        <f>IF(B37="","",VLOOKUP(B37,'Transacciones CHL'!$A$2:$F$14,5,FALSE))</f>
        <v>1</v>
      </c>
      <c r="G37" s="2" t="str">
        <f>IF(B37="","",VLOOKUP(B37,'Transacciones CHL'!$A$2:$F$14,6,FALSE))</f>
        <v>Producción / Consumo intermedio</v>
      </c>
      <c r="H37" s="2" t="s">
        <v>1048</v>
      </c>
      <c r="I37" s="2" t="s">
        <v>1011</v>
      </c>
      <c r="J37" s="2" t="s">
        <v>1012</v>
      </c>
      <c r="K37" s="2" t="s">
        <v>1013</v>
      </c>
      <c r="L37" s="2" t="s">
        <v>1014</v>
      </c>
      <c r="M37" s="2">
        <v>2</v>
      </c>
      <c r="N37" s="2" t="s">
        <v>142</v>
      </c>
      <c r="O37" s="15">
        <v>2</v>
      </c>
      <c r="P37" s="15" t="s">
        <v>970</v>
      </c>
    </row>
    <row r="38" spans="1:16">
      <c r="A38" s="2" t="s">
        <v>1049</v>
      </c>
      <c r="B38" s="2">
        <v>1</v>
      </c>
      <c r="C38" s="2" t="str">
        <f>IF(B38="","",VLOOKUP(B38,'Transacciones CHL'!$A$2:$B$14,2,FALSE))</f>
        <v>Producción bruta precio básico</v>
      </c>
      <c r="D38" s="2">
        <f>IF(B38="","",VLOOKUP(B38,'Transacciones CHL'!$A$2:$F$14,3,FALSE))</f>
        <v>1</v>
      </c>
      <c r="E38" s="2" t="str">
        <f>IF(B38="","",VLOOKUP(B38,'Transacciones CHL'!$A$2:$F$14,4,FALSE))</f>
        <v>Producción / Consumo intermedio</v>
      </c>
      <c r="F38" s="2">
        <f>IF(B38="","",VLOOKUP(B38,'Transacciones CHL'!$A$2:$F$14,5,FALSE))</f>
        <v>1</v>
      </c>
      <c r="G38" s="2" t="str">
        <f>IF(B38="","",VLOOKUP(B38,'Transacciones CHL'!$A$2:$F$14,6,FALSE))</f>
        <v>Producción / Consumo intermedio</v>
      </c>
      <c r="H38" s="2" t="s">
        <v>1050</v>
      </c>
      <c r="I38" s="2" t="s">
        <v>1011</v>
      </c>
      <c r="J38" s="2" t="s">
        <v>1012</v>
      </c>
      <c r="K38" s="2" t="s">
        <v>1013</v>
      </c>
      <c r="L38" s="2" t="s">
        <v>1014</v>
      </c>
      <c r="M38" s="2">
        <v>1</v>
      </c>
      <c r="N38" s="2" t="s">
        <v>14</v>
      </c>
      <c r="O38" s="15">
        <v>2</v>
      </c>
      <c r="P38" s="15" t="s">
        <v>970</v>
      </c>
    </row>
    <row r="39" spans="1:16">
      <c r="A39" s="2" t="s">
        <v>1051</v>
      </c>
      <c r="B39" s="2">
        <v>1</v>
      </c>
      <c r="C39" s="2" t="str">
        <f>IF(B39="","",VLOOKUP(B39,'Transacciones CHL'!$A$2:$B$14,2,FALSE))</f>
        <v>Producción bruta precio básico</v>
      </c>
      <c r="D39" s="2">
        <f>IF(B39="","",VLOOKUP(B39,'Transacciones CHL'!$A$2:$F$14,3,FALSE))</f>
        <v>1</v>
      </c>
      <c r="E39" s="2" t="str">
        <f>IF(B39="","",VLOOKUP(B39,'Transacciones CHL'!$A$2:$F$14,4,FALSE))</f>
        <v>Producción / Consumo intermedio</v>
      </c>
      <c r="F39" s="2">
        <f>IF(B39="","",VLOOKUP(B39,'Transacciones CHL'!$A$2:$F$14,5,FALSE))</f>
        <v>1</v>
      </c>
      <c r="G39" s="2" t="str">
        <f>IF(B39="","",VLOOKUP(B39,'Transacciones CHL'!$A$2:$F$14,6,FALSE))</f>
        <v>Producción / Consumo intermedio</v>
      </c>
      <c r="H39" s="2" t="s">
        <v>1052</v>
      </c>
      <c r="I39" s="2" t="s">
        <v>1011</v>
      </c>
      <c r="J39" s="2" t="s">
        <v>1012</v>
      </c>
      <c r="K39" s="2" t="s">
        <v>1013</v>
      </c>
      <c r="L39" s="2" t="s">
        <v>1014</v>
      </c>
      <c r="M39" s="2">
        <v>2</v>
      </c>
      <c r="N39" s="2" t="s">
        <v>142</v>
      </c>
      <c r="O39" s="15">
        <v>2</v>
      </c>
      <c r="P39" s="15" t="s">
        <v>970</v>
      </c>
    </row>
    <row r="40" spans="1:16">
      <c r="A40" s="2" t="s">
        <v>1053</v>
      </c>
      <c r="B40" s="2">
        <v>1</v>
      </c>
      <c r="C40" s="2" t="str">
        <f>IF(B40="","",VLOOKUP(B40,'Transacciones CHL'!$A$2:$B$14,2,FALSE))</f>
        <v>Producción bruta precio básico</v>
      </c>
      <c r="D40" s="2">
        <f>IF(B40="","",VLOOKUP(B40,'Transacciones CHL'!$A$2:$F$14,3,FALSE))</f>
        <v>1</v>
      </c>
      <c r="E40" s="2" t="str">
        <f>IF(B40="","",VLOOKUP(B40,'Transacciones CHL'!$A$2:$F$14,4,FALSE))</f>
        <v>Producción / Consumo intermedio</v>
      </c>
      <c r="F40" s="2">
        <f>IF(B40="","",VLOOKUP(B40,'Transacciones CHL'!$A$2:$F$14,5,FALSE))</f>
        <v>1</v>
      </c>
      <c r="G40" s="2" t="str">
        <f>IF(B40="","",VLOOKUP(B40,'Transacciones CHL'!$A$2:$F$14,6,FALSE))</f>
        <v>Producción / Consumo intermedio</v>
      </c>
      <c r="H40" s="2" t="s">
        <v>1054</v>
      </c>
      <c r="I40" s="2" t="s">
        <v>1011</v>
      </c>
      <c r="J40" s="2" t="s">
        <v>1012</v>
      </c>
      <c r="K40" s="2" t="s">
        <v>1013</v>
      </c>
      <c r="L40" s="2" t="s">
        <v>1014</v>
      </c>
      <c r="M40" s="2">
        <v>1</v>
      </c>
      <c r="N40" s="2" t="s">
        <v>14</v>
      </c>
      <c r="O40" s="15">
        <v>2</v>
      </c>
      <c r="P40" s="15" t="s">
        <v>970</v>
      </c>
    </row>
    <row r="41" spans="1:16">
      <c r="A41" s="2" t="s">
        <v>1055</v>
      </c>
      <c r="B41" s="2">
        <v>1</v>
      </c>
      <c r="C41" s="2" t="str">
        <f>IF(B41="","",VLOOKUP(B41,'Transacciones CHL'!$A$2:$B$14,2,FALSE))</f>
        <v>Producción bruta precio básico</v>
      </c>
      <c r="D41" s="2">
        <f>IF(B41="","",VLOOKUP(B41,'Transacciones CHL'!$A$2:$F$14,3,FALSE))</f>
        <v>1</v>
      </c>
      <c r="E41" s="2" t="str">
        <f>IF(B41="","",VLOOKUP(B41,'Transacciones CHL'!$A$2:$F$14,4,FALSE))</f>
        <v>Producción / Consumo intermedio</v>
      </c>
      <c r="F41" s="2">
        <f>IF(B41="","",VLOOKUP(B41,'Transacciones CHL'!$A$2:$F$14,5,FALSE))</f>
        <v>1</v>
      </c>
      <c r="G41" s="2" t="str">
        <f>IF(B41="","",VLOOKUP(B41,'Transacciones CHL'!$A$2:$F$14,6,FALSE))</f>
        <v>Producción / Consumo intermedio</v>
      </c>
      <c r="H41" s="2" t="s">
        <v>1056</v>
      </c>
      <c r="I41" s="2" t="s">
        <v>1011</v>
      </c>
      <c r="J41" s="2" t="s">
        <v>1012</v>
      </c>
      <c r="K41" s="2" t="s">
        <v>1013</v>
      </c>
      <c r="L41" s="2" t="s">
        <v>1014</v>
      </c>
      <c r="M41" s="2">
        <v>1</v>
      </c>
      <c r="N41" s="2" t="s">
        <v>14</v>
      </c>
      <c r="O41" s="15">
        <v>2</v>
      </c>
      <c r="P41" s="15" t="s">
        <v>970</v>
      </c>
    </row>
    <row r="42" spans="1:16">
      <c r="A42" s="2" t="s">
        <v>1057</v>
      </c>
      <c r="B42" s="2">
        <v>1</v>
      </c>
      <c r="C42" s="2" t="str">
        <f>IF(B42="","",VLOOKUP(B42,'Transacciones CHL'!$A$2:$B$14,2,FALSE))</f>
        <v>Producción bruta precio básico</v>
      </c>
      <c r="D42" s="2">
        <f>IF(B42="","",VLOOKUP(B42,'Transacciones CHL'!$A$2:$F$14,3,FALSE))</f>
        <v>1</v>
      </c>
      <c r="E42" s="2" t="str">
        <f>IF(B42="","",VLOOKUP(B42,'Transacciones CHL'!$A$2:$F$14,4,FALSE))</f>
        <v>Producción / Consumo intermedio</v>
      </c>
      <c r="F42" s="2">
        <f>IF(B42="","",VLOOKUP(B42,'Transacciones CHL'!$A$2:$F$14,5,FALSE))</f>
        <v>1</v>
      </c>
      <c r="G42" s="2" t="str">
        <f>IF(B42="","",VLOOKUP(B42,'Transacciones CHL'!$A$2:$F$14,6,FALSE))</f>
        <v>Producción / Consumo intermedio</v>
      </c>
      <c r="H42" s="2" t="s">
        <v>1058</v>
      </c>
      <c r="I42" s="2" t="s">
        <v>1011</v>
      </c>
      <c r="J42" s="2" t="s">
        <v>1012</v>
      </c>
      <c r="K42" s="2" t="s">
        <v>1013</v>
      </c>
      <c r="L42" s="2" t="s">
        <v>1014</v>
      </c>
      <c r="M42" s="2">
        <v>1</v>
      </c>
      <c r="N42" s="2" t="s">
        <v>14</v>
      </c>
      <c r="O42" s="15">
        <v>2</v>
      </c>
      <c r="P42" s="15" t="s">
        <v>970</v>
      </c>
    </row>
    <row r="43" spans="1:16">
      <c r="A43" s="2" t="s">
        <v>1059</v>
      </c>
      <c r="B43" s="2">
        <v>1</v>
      </c>
      <c r="C43" s="2" t="str">
        <f>IF(B43="","",VLOOKUP(B43,'Transacciones CHL'!$A$2:$B$14,2,FALSE))</f>
        <v>Producción bruta precio básico</v>
      </c>
      <c r="D43" s="2">
        <f>IF(B43="","",VLOOKUP(B43,'Transacciones CHL'!$A$2:$F$14,3,FALSE))</f>
        <v>1</v>
      </c>
      <c r="E43" s="2" t="str">
        <f>IF(B43="","",VLOOKUP(B43,'Transacciones CHL'!$A$2:$F$14,4,FALSE))</f>
        <v>Producción / Consumo intermedio</v>
      </c>
      <c r="F43" s="2">
        <f>IF(B43="","",VLOOKUP(B43,'Transacciones CHL'!$A$2:$F$14,5,FALSE))</f>
        <v>1</v>
      </c>
      <c r="G43" s="2" t="str">
        <f>IF(B43="","",VLOOKUP(B43,'Transacciones CHL'!$A$2:$F$14,6,FALSE))</f>
        <v>Producción / Consumo intermedio</v>
      </c>
      <c r="H43" s="2" t="s">
        <v>1060</v>
      </c>
      <c r="I43" s="2" t="s">
        <v>1011</v>
      </c>
      <c r="J43" s="2" t="s">
        <v>1012</v>
      </c>
      <c r="K43" s="2" t="s">
        <v>1013</v>
      </c>
      <c r="L43" s="2" t="s">
        <v>1014</v>
      </c>
      <c r="M43" s="2">
        <v>1</v>
      </c>
      <c r="N43" s="2" t="s">
        <v>14</v>
      </c>
      <c r="O43" s="15">
        <v>2</v>
      </c>
      <c r="P43" s="15" t="s">
        <v>970</v>
      </c>
    </row>
    <row r="44" spans="1:16">
      <c r="A44" s="2" t="s">
        <v>1061</v>
      </c>
      <c r="B44" s="2">
        <v>1</v>
      </c>
      <c r="C44" s="2" t="str">
        <f>IF(B44="","",VLOOKUP(B44,'Transacciones CHL'!$A$2:$B$14,2,FALSE))</f>
        <v>Producción bruta precio básico</v>
      </c>
      <c r="D44" s="2">
        <f>IF(B44="","",VLOOKUP(B44,'Transacciones CHL'!$A$2:$F$14,3,FALSE))</f>
        <v>1</v>
      </c>
      <c r="E44" s="2" t="str">
        <f>IF(B44="","",VLOOKUP(B44,'Transacciones CHL'!$A$2:$F$14,4,FALSE))</f>
        <v>Producción / Consumo intermedio</v>
      </c>
      <c r="F44" s="2">
        <f>IF(B44="","",VLOOKUP(B44,'Transacciones CHL'!$A$2:$F$14,5,FALSE))</f>
        <v>1</v>
      </c>
      <c r="G44" s="2" t="str">
        <f>IF(B44="","",VLOOKUP(B44,'Transacciones CHL'!$A$2:$F$14,6,FALSE))</f>
        <v>Producción / Consumo intermedio</v>
      </c>
      <c r="H44" s="2" t="s">
        <v>1062</v>
      </c>
      <c r="I44" s="2" t="s">
        <v>1011</v>
      </c>
      <c r="J44" s="2" t="s">
        <v>1012</v>
      </c>
      <c r="K44" s="2" t="s">
        <v>1013</v>
      </c>
      <c r="L44" s="2" t="s">
        <v>1014</v>
      </c>
      <c r="M44" s="2">
        <v>2</v>
      </c>
      <c r="N44" s="2" t="s">
        <v>142</v>
      </c>
      <c r="O44" s="15">
        <v>2</v>
      </c>
      <c r="P44" s="15" t="s">
        <v>970</v>
      </c>
    </row>
    <row r="45" spans="1:16">
      <c r="A45" s="2" t="s">
        <v>1063</v>
      </c>
      <c r="B45" s="2">
        <v>1</v>
      </c>
      <c r="C45" s="2" t="str">
        <f>IF(B45="","",VLOOKUP(B45,'Transacciones CHL'!$A$2:$B$14,2,FALSE))</f>
        <v>Producción bruta precio básico</v>
      </c>
      <c r="D45" s="2">
        <f>IF(B45="","",VLOOKUP(B45,'Transacciones CHL'!$A$2:$F$14,3,FALSE))</f>
        <v>1</v>
      </c>
      <c r="E45" s="2" t="str">
        <f>IF(B45="","",VLOOKUP(B45,'Transacciones CHL'!$A$2:$F$14,4,FALSE))</f>
        <v>Producción / Consumo intermedio</v>
      </c>
      <c r="F45" s="2">
        <f>IF(B45="","",VLOOKUP(B45,'Transacciones CHL'!$A$2:$F$14,5,FALSE))</f>
        <v>1</v>
      </c>
      <c r="G45" s="2" t="str">
        <f>IF(B45="","",VLOOKUP(B45,'Transacciones CHL'!$A$2:$F$14,6,FALSE))</f>
        <v>Producción / Consumo intermedio</v>
      </c>
      <c r="H45" s="2" t="s">
        <v>1064</v>
      </c>
      <c r="I45" s="2" t="s">
        <v>1011</v>
      </c>
      <c r="J45" s="2" t="s">
        <v>1012</v>
      </c>
      <c r="K45" s="2" t="s">
        <v>1013</v>
      </c>
      <c r="L45" s="2" t="s">
        <v>1014</v>
      </c>
      <c r="M45" s="2">
        <v>3</v>
      </c>
      <c r="N45" s="2" t="s">
        <v>67</v>
      </c>
      <c r="O45" s="15">
        <v>1</v>
      </c>
      <c r="P45" s="15" t="s">
        <v>1065</v>
      </c>
    </row>
    <row r="46" spans="1:16">
      <c r="A46" s="2" t="s">
        <v>1066</v>
      </c>
      <c r="B46" s="2">
        <v>1</v>
      </c>
      <c r="C46" s="2" t="str">
        <f>IF(B46="","",VLOOKUP(B46,'Transacciones CHL'!$A$2:$B$14,2,FALSE))</f>
        <v>Producción bruta precio básico</v>
      </c>
      <c r="D46" s="2">
        <f>IF(B46="","",VLOOKUP(B46,'Transacciones CHL'!$A$2:$F$14,3,FALSE))</f>
        <v>1</v>
      </c>
      <c r="E46" s="2" t="str">
        <f>IF(B46="","",VLOOKUP(B46,'Transacciones CHL'!$A$2:$F$14,4,FALSE))</f>
        <v>Producción / Consumo intermedio</v>
      </c>
      <c r="F46" s="2">
        <f>IF(B46="","",VLOOKUP(B46,'Transacciones CHL'!$A$2:$F$14,5,FALSE))</f>
        <v>1</v>
      </c>
      <c r="G46" s="2" t="str">
        <f>IF(B46="","",VLOOKUP(B46,'Transacciones CHL'!$A$2:$F$14,6,FALSE))</f>
        <v>Producción / Consumo intermedio</v>
      </c>
      <c r="H46" s="2" t="s">
        <v>1067</v>
      </c>
      <c r="I46" s="2" t="s">
        <v>1011</v>
      </c>
      <c r="J46" s="2" t="s">
        <v>1012</v>
      </c>
      <c r="K46" s="2" t="s">
        <v>1013</v>
      </c>
      <c r="L46" s="2" t="s">
        <v>1014</v>
      </c>
      <c r="M46" s="2">
        <v>3</v>
      </c>
      <c r="N46" s="2" t="s">
        <v>67</v>
      </c>
      <c r="O46" s="15">
        <v>2</v>
      </c>
      <c r="P46" s="15" t="s">
        <v>970</v>
      </c>
    </row>
    <row r="47" spans="1:16">
      <c r="A47" s="2" t="s">
        <v>1068</v>
      </c>
      <c r="B47" s="2">
        <v>1</v>
      </c>
      <c r="C47" s="2" t="str">
        <f>IF(B47="","",VLOOKUP(B47,'Transacciones CHL'!$A$2:$B$14,2,FALSE))</f>
        <v>Producción bruta precio básico</v>
      </c>
      <c r="D47" s="2">
        <f>IF(B47="","",VLOOKUP(B47,'Transacciones CHL'!$A$2:$F$14,3,FALSE))</f>
        <v>1</v>
      </c>
      <c r="E47" s="2" t="str">
        <f>IF(B47="","",VLOOKUP(B47,'Transacciones CHL'!$A$2:$F$14,4,FALSE))</f>
        <v>Producción / Consumo intermedio</v>
      </c>
      <c r="F47" s="2">
        <f>IF(B47="","",VLOOKUP(B47,'Transacciones CHL'!$A$2:$F$14,5,FALSE))</f>
        <v>1</v>
      </c>
      <c r="G47" s="2" t="str">
        <f>IF(B47="","",VLOOKUP(B47,'Transacciones CHL'!$A$2:$F$14,6,FALSE))</f>
        <v>Producción / Consumo intermedio</v>
      </c>
      <c r="H47" s="2" t="s">
        <v>1069</v>
      </c>
      <c r="I47" s="2" t="s">
        <v>1011</v>
      </c>
      <c r="J47" s="2" t="s">
        <v>1012</v>
      </c>
      <c r="K47" s="2" t="s">
        <v>1013</v>
      </c>
      <c r="L47" s="2" t="s">
        <v>1014</v>
      </c>
      <c r="M47" s="2">
        <v>2</v>
      </c>
      <c r="N47" s="2" t="s">
        <v>142</v>
      </c>
      <c r="O47" s="15">
        <v>2</v>
      </c>
      <c r="P47" s="15" t="s">
        <v>970</v>
      </c>
    </row>
    <row r="48" spans="1:16">
      <c r="A48" s="2" t="s">
        <v>1070</v>
      </c>
      <c r="B48" s="2">
        <v>1</v>
      </c>
      <c r="C48" s="2" t="str">
        <f>IF(B48="","",VLOOKUP(B48,'Transacciones CHL'!$A$2:$B$14,2,FALSE))</f>
        <v>Producción bruta precio básico</v>
      </c>
      <c r="D48" s="2">
        <f>IF(B48="","",VLOOKUP(B48,'Transacciones CHL'!$A$2:$F$14,3,FALSE))</f>
        <v>1</v>
      </c>
      <c r="E48" s="2" t="str">
        <f>IF(B48="","",VLOOKUP(B48,'Transacciones CHL'!$A$2:$F$14,4,FALSE))</f>
        <v>Producción / Consumo intermedio</v>
      </c>
      <c r="F48" s="2">
        <f>IF(B48="","",VLOOKUP(B48,'Transacciones CHL'!$A$2:$F$14,5,FALSE))</f>
        <v>1</v>
      </c>
      <c r="G48" s="2" t="str">
        <f>IF(B48="","",VLOOKUP(B48,'Transacciones CHL'!$A$2:$F$14,6,FALSE))</f>
        <v>Producción / Consumo intermedio</v>
      </c>
      <c r="H48" s="2" t="s">
        <v>1071</v>
      </c>
      <c r="I48" s="2" t="s">
        <v>1011</v>
      </c>
      <c r="J48" s="2" t="s">
        <v>1012</v>
      </c>
      <c r="K48" s="2" t="s">
        <v>1013</v>
      </c>
      <c r="L48" s="2" t="s">
        <v>1014</v>
      </c>
      <c r="M48" s="2">
        <v>3</v>
      </c>
      <c r="N48" s="2" t="s">
        <v>67</v>
      </c>
      <c r="O48" s="15">
        <v>2</v>
      </c>
      <c r="P48" s="15" t="s">
        <v>970</v>
      </c>
    </row>
    <row r="49" spans="1:16">
      <c r="A49" s="2" t="s">
        <v>1072</v>
      </c>
      <c r="B49" s="2">
        <v>1</v>
      </c>
      <c r="C49" s="2" t="str">
        <f>IF(B49="","",VLOOKUP(B49,'Transacciones CHL'!$A$2:$B$14,2,FALSE))</f>
        <v>Producción bruta precio básico</v>
      </c>
      <c r="D49" s="2">
        <f>IF(B49="","",VLOOKUP(B49,'Transacciones CHL'!$A$2:$F$14,3,FALSE))</f>
        <v>1</v>
      </c>
      <c r="E49" s="2" t="str">
        <f>IF(B49="","",VLOOKUP(B49,'Transacciones CHL'!$A$2:$F$14,4,FALSE))</f>
        <v>Producción / Consumo intermedio</v>
      </c>
      <c r="F49" s="2">
        <f>IF(B49="","",VLOOKUP(B49,'Transacciones CHL'!$A$2:$F$14,5,FALSE))</f>
        <v>1</v>
      </c>
      <c r="G49" s="2" t="str">
        <f>IF(B49="","",VLOOKUP(B49,'Transacciones CHL'!$A$2:$F$14,6,FALSE))</f>
        <v>Producción / Consumo intermedio</v>
      </c>
      <c r="H49" s="2" t="s">
        <v>1073</v>
      </c>
      <c r="I49" s="2" t="s">
        <v>1011</v>
      </c>
      <c r="J49" s="2" t="s">
        <v>1012</v>
      </c>
      <c r="K49" s="2" t="s">
        <v>1013</v>
      </c>
      <c r="L49" s="2" t="s">
        <v>1014</v>
      </c>
      <c r="M49" s="2">
        <v>2</v>
      </c>
      <c r="N49" s="2" t="s">
        <v>142</v>
      </c>
      <c r="O49" s="15">
        <v>2</v>
      </c>
      <c r="P49" s="15" t="s">
        <v>970</v>
      </c>
    </row>
    <row r="50" spans="1:16">
      <c r="A50" s="2" t="s">
        <v>1074</v>
      </c>
      <c r="B50" s="2">
        <v>1</v>
      </c>
      <c r="C50" s="2" t="str">
        <f>IF(B50="","",VLOOKUP(B50,'Transacciones CHL'!$A$2:$B$14,2,FALSE))</f>
        <v>Producción bruta precio básico</v>
      </c>
      <c r="D50" s="2">
        <f>IF(B50="","",VLOOKUP(B50,'Transacciones CHL'!$A$2:$F$14,3,FALSE))</f>
        <v>1</v>
      </c>
      <c r="E50" s="2" t="str">
        <f>IF(B50="","",VLOOKUP(B50,'Transacciones CHL'!$A$2:$F$14,4,FALSE))</f>
        <v>Producción / Consumo intermedio</v>
      </c>
      <c r="F50" s="2">
        <f>IF(B50="","",VLOOKUP(B50,'Transacciones CHL'!$A$2:$F$14,5,FALSE))</f>
        <v>1</v>
      </c>
      <c r="G50" s="2" t="str">
        <f>IF(B50="","",VLOOKUP(B50,'Transacciones CHL'!$A$2:$F$14,6,FALSE))</f>
        <v>Producción / Consumo intermedio</v>
      </c>
      <c r="H50" s="2" t="s">
        <v>1075</v>
      </c>
      <c r="I50" s="2" t="s">
        <v>1011</v>
      </c>
      <c r="J50" s="2" t="s">
        <v>1012</v>
      </c>
      <c r="K50" s="2" t="s">
        <v>1013</v>
      </c>
      <c r="L50" s="2" t="s">
        <v>1014</v>
      </c>
      <c r="M50" s="2">
        <v>2</v>
      </c>
      <c r="N50" s="2" t="s">
        <v>142</v>
      </c>
      <c r="O50" s="15">
        <v>2</v>
      </c>
      <c r="P50" s="15" t="s">
        <v>970</v>
      </c>
    </row>
    <row r="51" spans="1:16">
      <c r="A51" s="2" t="s">
        <v>1076</v>
      </c>
      <c r="B51" s="2">
        <v>1</v>
      </c>
      <c r="C51" s="2" t="str">
        <f>IF(B51="","",VLOOKUP(B51,'Transacciones CHL'!$A$2:$B$14,2,FALSE))</f>
        <v>Producción bruta precio básico</v>
      </c>
      <c r="D51" s="2">
        <f>IF(B51="","",VLOOKUP(B51,'Transacciones CHL'!$A$2:$F$14,3,FALSE))</f>
        <v>1</v>
      </c>
      <c r="E51" s="2" t="str">
        <f>IF(B51="","",VLOOKUP(B51,'Transacciones CHL'!$A$2:$F$14,4,FALSE))</f>
        <v>Producción / Consumo intermedio</v>
      </c>
      <c r="F51" s="2">
        <f>IF(B51="","",VLOOKUP(B51,'Transacciones CHL'!$A$2:$F$14,5,FALSE))</f>
        <v>1</v>
      </c>
      <c r="G51" s="2" t="str">
        <f>IF(B51="","",VLOOKUP(B51,'Transacciones CHL'!$A$2:$F$14,6,FALSE))</f>
        <v>Producción / Consumo intermedio</v>
      </c>
      <c r="H51" s="2" t="s">
        <v>1077</v>
      </c>
      <c r="I51" s="2" t="s">
        <v>1011</v>
      </c>
      <c r="J51" s="2" t="s">
        <v>1012</v>
      </c>
      <c r="K51" s="2" t="s">
        <v>1013</v>
      </c>
      <c r="L51" s="2" t="s">
        <v>1014</v>
      </c>
      <c r="M51" s="2">
        <v>3</v>
      </c>
      <c r="N51" s="2" t="s">
        <v>67</v>
      </c>
      <c r="O51" s="15">
        <v>2</v>
      </c>
      <c r="P51" s="15" t="s">
        <v>970</v>
      </c>
    </row>
    <row r="52" spans="1:16">
      <c r="A52" s="2" t="s">
        <v>1078</v>
      </c>
      <c r="B52" s="2">
        <v>1</v>
      </c>
      <c r="C52" s="2" t="str">
        <f>IF(B52="","",VLOOKUP(B52,'Transacciones CHL'!$A$2:$B$14,2,FALSE))</f>
        <v>Producción bruta precio básico</v>
      </c>
      <c r="D52" s="2">
        <f>IF(B52="","",VLOOKUP(B52,'Transacciones CHL'!$A$2:$F$14,3,FALSE))</f>
        <v>1</v>
      </c>
      <c r="E52" s="2" t="str">
        <f>IF(B52="","",VLOOKUP(B52,'Transacciones CHL'!$A$2:$F$14,4,FALSE))</f>
        <v>Producción / Consumo intermedio</v>
      </c>
      <c r="F52" s="2">
        <f>IF(B52="","",VLOOKUP(B52,'Transacciones CHL'!$A$2:$F$14,5,FALSE))</f>
        <v>1</v>
      </c>
      <c r="G52" s="2" t="str">
        <f>IF(B52="","",VLOOKUP(B52,'Transacciones CHL'!$A$2:$F$14,6,FALSE))</f>
        <v>Producción / Consumo intermedio</v>
      </c>
      <c r="H52" s="2" t="s">
        <v>1079</v>
      </c>
      <c r="I52" s="2" t="s">
        <v>1011</v>
      </c>
      <c r="J52" s="2" t="s">
        <v>1012</v>
      </c>
      <c r="K52" s="2" t="s">
        <v>1013</v>
      </c>
      <c r="L52" s="2" t="s">
        <v>1014</v>
      </c>
      <c r="M52" s="2">
        <v>3</v>
      </c>
      <c r="N52" s="2" t="s">
        <v>67</v>
      </c>
      <c r="O52" s="15">
        <v>2</v>
      </c>
      <c r="P52" s="15" t="s">
        <v>970</v>
      </c>
    </row>
    <row r="53" spans="1:16">
      <c r="A53" s="2" t="s">
        <v>1080</v>
      </c>
      <c r="B53" s="2">
        <v>1</v>
      </c>
      <c r="C53" s="2" t="str">
        <f>IF(B53="","",VLOOKUP(B53,'Transacciones CHL'!$A$2:$B$14,2,FALSE))</f>
        <v>Producción bruta precio básico</v>
      </c>
      <c r="D53" s="2">
        <f>IF(B53="","",VLOOKUP(B53,'Transacciones CHL'!$A$2:$F$14,3,FALSE))</f>
        <v>1</v>
      </c>
      <c r="E53" s="2" t="str">
        <f>IF(B53="","",VLOOKUP(B53,'Transacciones CHL'!$A$2:$F$14,4,FALSE))</f>
        <v>Producción / Consumo intermedio</v>
      </c>
      <c r="F53" s="2">
        <f>IF(B53="","",VLOOKUP(B53,'Transacciones CHL'!$A$2:$F$14,5,FALSE))</f>
        <v>1</v>
      </c>
      <c r="G53" s="2" t="str">
        <f>IF(B53="","",VLOOKUP(B53,'Transacciones CHL'!$A$2:$F$14,6,FALSE))</f>
        <v>Producción / Consumo intermedio</v>
      </c>
      <c r="H53" s="2" t="s">
        <v>1081</v>
      </c>
      <c r="I53" s="2" t="s">
        <v>1011</v>
      </c>
      <c r="J53" s="2" t="s">
        <v>1012</v>
      </c>
      <c r="K53" s="2" t="s">
        <v>1013</v>
      </c>
      <c r="L53" s="2" t="s">
        <v>1014</v>
      </c>
      <c r="M53" s="2">
        <v>3</v>
      </c>
      <c r="N53" s="2" t="s">
        <v>67</v>
      </c>
      <c r="O53" s="15">
        <v>2</v>
      </c>
      <c r="P53" s="15" t="s">
        <v>970</v>
      </c>
    </row>
    <row r="54" spans="1:16">
      <c r="A54" s="2" t="s">
        <v>1082</v>
      </c>
      <c r="B54" s="2">
        <v>1</v>
      </c>
      <c r="C54" s="2" t="str">
        <f>IF(B54="","",VLOOKUP(B54,'Transacciones CHL'!$A$2:$B$14,2,FALSE))</f>
        <v>Producción bruta precio básico</v>
      </c>
      <c r="D54" s="2">
        <f>IF(B54="","",VLOOKUP(B54,'Transacciones CHL'!$A$2:$F$14,3,FALSE))</f>
        <v>1</v>
      </c>
      <c r="E54" s="2" t="str">
        <f>IF(B54="","",VLOOKUP(B54,'Transacciones CHL'!$A$2:$F$14,4,FALSE))</f>
        <v>Producción / Consumo intermedio</v>
      </c>
      <c r="F54" s="2">
        <f>IF(B54="","",VLOOKUP(B54,'Transacciones CHL'!$A$2:$F$14,5,FALSE))</f>
        <v>1</v>
      </c>
      <c r="G54" s="2" t="str">
        <f>IF(B54="","",VLOOKUP(B54,'Transacciones CHL'!$A$2:$F$14,6,FALSE))</f>
        <v>Producción / Consumo intermedio</v>
      </c>
      <c r="H54" s="2" t="s">
        <v>1083</v>
      </c>
      <c r="I54" s="2" t="s">
        <v>1011</v>
      </c>
      <c r="J54" s="2" t="s">
        <v>1012</v>
      </c>
      <c r="K54" s="2" t="s">
        <v>1013</v>
      </c>
      <c r="L54" s="2" t="s">
        <v>1014</v>
      </c>
      <c r="M54" s="2">
        <v>3</v>
      </c>
      <c r="N54" s="2" t="s">
        <v>67</v>
      </c>
      <c r="O54" s="15">
        <v>2</v>
      </c>
      <c r="P54" s="15" t="s">
        <v>970</v>
      </c>
    </row>
    <row r="55" spans="1:16">
      <c r="A55" s="2" t="s">
        <v>1084</v>
      </c>
      <c r="B55" s="2">
        <v>1</v>
      </c>
      <c r="C55" s="2" t="str">
        <f>IF(B55="","",VLOOKUP(B55,'Transacciones CHL'!$A$2:$B$14,2,FALSE))</f>
        <v>Producción bruta precio básico</v>
      </c>
      <c r="D55" s="2">
        <f>IF(B55="","",VLOOKUP(B55,'Transacciones CHL'!$A$2:$F$14,3,FALSE))</f>
        <v>1</v>
      </c>
      <c r="E55" s="2" t="str">
        <f>IF(B55="","",VLOOKUP(B55,'Transacciones CHL'!$A$2:$F$14,4,FALSE))</f>
        <v>Producción / Consumo intermedio</v>
      </c>
      <c r="F55" s="2">
        <f>IF(B55="","",VLOOKUP(B55,'Transacciones CHL'!$A$2:$F$14,5,FALSE))</f>
        <v>1</v>
      </c>
      <c r="G55" s="2" t="str">
        <f>IF(B55="","",VLOOKUP(B55,'Transacciones CHL'!$A$2:$F$14,6,FALSE))</f>
        <v>Producción / Consumo intermedio</v>
      </c>
      <c r="H55" s="2" t="s">
        <v>1085</v>
      </c>
      <c r="I55" s="2" t="s">
        <v>1011</v>
      </c>
      <c r="J55" s="2" t="s">
        <v>1012</v>
      </c>
      <c r="K55" s="2" t="s">
        <v>1013</v>
      </c>
      <c r="L55" s="2" t="s">
        <v>1014</v>
      </c>
      <c r="M55" s="2">
        <v>3</v>
      </c>
      <c r="N55" s="2" t="s">
        <v>67</v>
      </c>
      <c r="O55" s="15">
        <v>2</v>
      </c>
      <c r="P55" s="15" t="s">
        <v>970</v>
      </c>
    </row>
    <row r="56" spans="1:16">
      <c r="A56" s="2" t="s">
        <v>1086</v>
      </c>
      <c r="B56" s="2">
        <v>1</v>
      </c>
      <c r="C56" s="2" t="str">
        <f>IF(B56="","",VLOOKUP(B56,'Transacciones CHL'!$A$2:$B$14,2,FALSE))</f>
        <v>Producción bruta precio básico</v>
      </c>
      <c r="D56" s="2">
        <f>IF(B56="","",VLOOKUP(B56,'Transacciones CHL'!$A$2:$F$14,3,FALSE))</f>
        <v>1</v>
      </c>
      <c r="E56" s="2" t="str">
        <f>IF(B56="","",VLOOKUP(B56,'Transacciones CHL'!$A$2:$F$14,4,FALSE))</f>
        <v>Producción / Consumo intermedio</v>
      </c>
      <c r="F56" s="2">
        <f>IF(B56="","",VLOOKUP(B56,'Transacciones CHL'!$A$2:$F$14,5,FALSE))</f>
        <v>1</v>
      </c>
      <c r="G56" s="2" t="str">
        <f>IF(B56="","",VLOOKUP(B56,'Transacciones CHL'!$A$2:$F$14,6,FALSE))</f>
        <v>Producción / Consumo intermedio</v>
      </c>
      <c r="H56" s="2" t="s">
        <v>1087</v>
      </c>
      <c r="I56" s="2" t="s">
        <v>1011</v>
      </c>
      <c r="J56" s="2" t="s">
        <v>1012</v>
      </c>
      <c r="K56" s="2" t="s">
        <v>1013</v>
      </c>
      <c r="L56" s="2" t="s">
        <v>1014</v>
      </c>
      <c r="M56" s="2">
        <v>3</v>
      </c>
      <c r="N56" s="2" t="s">
        <v>67</v>
      </c>
      <c r="O56" s="15">
        <v>2</v>
      </c>
      <c r="P56" s="15" t="s">
        <v>970</v>
      </c>
    </row>
    <row r="57" spans="1:16">
      <c r="A57" s="2" t="s">
        <v>1088</v>
      </c>
      <c r="B57" s="2">
        <v>1</v>
      </c>
      <c r="C57" s="2" t="str">
        <f>IF(B57="","",VLOOKUP(B57,'Transacciones CHL'!$A$2:$B$14,2,FALSE))</f>
        <v>Producción bruta precio básico</v>
      </c>
      <c r="D57" s="2">
        <f>IF(B57="","",VLOOKUP(B57,'Transacciones CHL'!$A$2:$F$14,3,FALSE))</f>
        <v>1</v>
      </c>
      <c r="E57" s="2" t="str">
        <f>IF(B57="","",VLOOKUP(B57,'Transacciones CHL'!$A$2:$F$14,4,FALSE))</f>
        <v>Producción / Consumo intermedio</v>
      </c>
      <c r="F57" s="2">
        <f>IF(B57="","",VLOOKUP(B57,'Transacciones CHL'!$A$2:$F$14,5,FALSE))</f>
        <v>1</v>
      </c>
      <c r="G57" s="2" t="str">
        <f>IF(B57="","",VLOOKUP(B57,'Transacciones CHL'!$A$2:$F$14,6,FALSE))</f>
        <v>Producción / Consumo intermedio</v>
      </c>
      <c r="H57" s="2" t="s">
        <v>1089</v>
      </c>
      <c r="I57" s="2" t="s">
        <v>1011</v>
      </c>
      <c r="J57" s="2" t="s">
        <v>1012</v>
      </c>
      <c r="K57" s="2" t="s">
        <v>1013</v>
      </c>
      <c r="L57" s="2" t="s">
        <v>1014</v>
      </c>
      <c r="M57" s="2">
        <v>3</v>
      </c>
      <c r="N57" s="2" t="s">
        <v>67</v>
      </c>
      <c r="O57" s="15">
        <v>2</v>
      </c>
      <c r="P57" s="15" t="s">
        <v>970</v>
      </c>
    </row>
    <row r="58" spans="1:16">
      <c r="A58" s="2" t="s">
        <v>1090</v>
      </c>
      <c r="B58" s="2">
        <v>1</v>
      </c>
      <c r="C58" s="2" t="str">
        <f>IF(B58="","",VLOOKUP(B58,'Transacciones CHL'!$A$2:$B$14,2,FALSE))</f>
        <v>Producción bruta precio básico</v>
      </c>
      <c r="D58" s="2">
        <f>IF(B58="","",VLOOKUP(B58,'Transacciones CHL'!$A$2:$F$14,3,FALSE))</f>
        <v>1</v>
      </c>
      <c r="E58" s="2" t="str">
        <f>IF(B58="","",VLOOKUP(B58,'Transacciones CHL'!$A$2:$F$14,4,FALSE))</f>
        <v>Producción / Consumo intermedio</v>
      </c>
      <c r="F58" s="2">
        <f>IF(B58="","",VLOOKUP(B58,'Transacciones CHL'!$A$2:$F$14,5,FALSE))</f>
        <v>1</v>
      </c>
      <c r="G58" s="2" t="str">
        <f>IF(B58="","",VLOOKUP(B58,'Transacciones CHL'!$A$2:$F$14,6,FALSE))</f>
        <v>Producción / Consumo intermedio</v>
      </c>
      <c r="H58" s="2" t="s">
        <v>1091</v>
      </c>
      <c r="I58" s="2" t="s">
        <v>1011</v>
      </c>
      <c r="J58" s="2" t="s">
        <v>1012</v>
      </c>
      <c r="K58" s="2" t="s">
        <v>1013</v>
      </c>
      <c r="L58" s="2" t="s">
        <v>1014</v>
      </c>
      <c r="M58" s="2">
        <v>3</v>
      </c>
      <c r="N58" s="2" t="s">
        <v>67</v>
      </c>
      <c r="O58" s="15">
        <v>2</v>
      </c>
      <c r="P58" s="15" t="s">
        <v>970</v>
      </c>
    </row>
    <row r="59" spans="1:16">
      <c r="A59" s="2" t="s">
        <v>1092</v>
      </c>
      <c r="B59" s="2">
        <v>1</v>
      </c>
      <c r="C59" s="2" t="str">
        <f>IF(B59="","",VLOOKUP(B59,'Transacciones CHL'!$A$2:$B$14,2,FALSE))</f>
        <v>Producción bruta precio básico</v>
      </c>
      <c r="D59" s="2">
        <f>IF(B59="","",VLOOKUP(B59,'Transacciones CHL'!$A$2:$F$14,3,FALSE))</f>
        <v>1</v>
      </c>
      <c r="E59" s="2" t="str">
        <f>IF(B59="","",VLOOKUP(B59,'Transacciones CHL'!$A$2:$F$14,4,FALSE))</f>
        <v>Producción / Consumo intermedio</v>
      </c>
      <c r="F59" s="2">
        <f>IF(B59="","",VLOOKUP(B59,'Transacciones CHL'!$A$2:$F$14,5,FALSE))</f>
        <v>1</v>
      </c>
      <c r="G59" s="2" t="str">
        <f>IF(B59="","",VLOOKUP(B59,'Transacciones CHL'!$A$2:$F$14,6,FALSE))</f>
        <v>Producción / Consumo intermedio</v>
      </c>
      <c r="H59" s="2" t="s">
        <v>1093</v>
      </c>
      <c r="I59" s="2" t="s">
        <v>1011</v>
      </c>
      <c r="J59" s="2" t="s">
        <v>1012</v>
      </c>
      <c r="K59" s="2" t="s">
        <v>1013</v>
      </c>
      <c r="L59" s="2" t="s">
        <v>1014</v>
      </c>
      <c r="M59" s="2">
        <v>3</v>
      </c>
      <c r="N59" s="2" t="s">
        <v>67</v>
      </c>
      <c r="O59" s="15">
        <v>2</v>
      </c>
      <c r="P59" s="15" t="s">
        <v>970</v>
      </c>
    </row>
    <row r="60" spans="1:16">
      <c r="A60" s="2" t="s">
        <v>1094</v>
      </c>
      <c r="B60" s="2">
        <v>1</v>
      </c>
      <c r="C60" s="2" t="str">
        <f>IF(B60="","",VLOOKUP(B60,'Transacciones CHL'!$A$2:$B$14,2,FALSE))</f>
        <v>Producción bruta precio básico</v>
      </c>
      <c r="D60" s="2">
        <f>IF(B60="","",VLOOKUP(B60,'Transacciones CHL'!$A$2:$F$14,3,FALSE))</f>
        <v>1</v>
      </c>
      <c r="E60" s="2" t="str">
        <f>IF(B60="","",VLOOKUP(B60,'Transacciones CHL'!$A$2:$F$14,4,FALSE))</f>
        <v>Producción / Consumo intermedio</v>
      </c>
      <c r="F60" s="2">
        <f>IF(B60="","",VLOOKUP(B60,'Transacciones CHL'!$A$2:$F$14,5,FALSE))</f>
        <v>1</v>
      </c>
      <c r="G60" s="2" t="str">
        <f>IF(B60="","",VLOOKUP(B60,'Transacciones CHL'!$A$2:$F$14,6,FALSE))</f>
        <v>Producción / Consumo intermedio</v>
      </c>
      <c r="H60" s="2" t="s">
        <v>1095</v>
      </c>
      <c r="I60" s="2" t="s">
        <v>1011</v>
      </c>
      <c r="J60" s="2" t="s">
        <v>1012</v>
      </c>
      <c r="K60" s="2" t="s">
        <v>1013</v>
      </c>
      <c r="L60" s="2" t="s">
        <v>1014</v>
      </c>
      <c r="M60" s="2">
        <v>3</v>
      </c>
      <c r="N60" s="2" t="s">
        <v>67</v>
      </c>
      <c r="O60" s="15">
        <v>2</v>
      </c>
      <c r="P60" s="15" t="s">
        <v>970</v>
      </c>
    </row>
    <row r="61" spans="1:16">
      <c r="A61" s="2" t="s">
        <v>1096</v>
      </c>
      <c r="B61" s="2">
        <v>1</v>
      </c>
      <c r="C61" s="2" t="str">
        <f>IF(B61="","",VLOOKUP(B61,'Transacciones CHL'!$A$2:$B$14,2,FALSE))</f>
        <v>Producción bruta precio básico</v>
      </c>
      <c r="D61" s="2">
        <f>IF(B61="","",VLOOKUP(B61,'Transacciones CHL'!$A$2:$F$14,3,FALSE))</f>
        <v>1</v>
      </c>
      <c r="E61" s="2" t="str">
        <f>IF(B61="","",VLOOKUP(B61,'Transacciones CHL'!$A$2:$F$14,4,FALSE))</f>
        <v>Producción / Consumo intermedio</v>
      </c>
      <c r="F61" s="2">
        <f>IF(B61="","",VLOOKUP(B61,'Transacciones CHL'!$A$2:$F$14,5,FALSE))</f>
        <v>1</v>
      </c>
      <c r="G61" s="2" t="str">
        <f>IF(B61="","",VLOOKUP(B61,'Transacciones CHL'!$A$2:$F$14,6,FALSE))</f>
        <v>Producción / Consumo intermedio</v>
      </c>
      <c r="H61" s="2" t="s">
        <v>1097</v>
      </c>
      <c r="I61" s="2" t="s">
        <v>1011</v>
      </c>
      <c r="J61" s="2" t="s">
        <v>1012</v>
      </c>
      <c r="K61" s="2" t="s">
        <v>1013</v>
      </c>
      <c r="L61" s="2" t="s">
        <v>1014</v>
      </c>
      <c r="M61" s="2">
        <v>3</v>
      </c>
      <c r="N61" s="2" t="s">
        <v>67</v>
      </c>
      <c r="O61" s="15">
        <v>1</v>
      </c>
      <c r="P61" s="15" t="s">
        <v>1065</v>
      </c>
    </row>
    <row r="62" spans="1:16">
      <c r="A62" s="2" t="s">
        <v>1098</v>
      </c>
      <c r="B62" s="2">
        <v>1</v>
      </c>
      <c r="C62" s="2" t="str">
        <f>IF(B62="","",VLOOKUP(B62,'Transacciones CHL'!$A$2:$B$14,2,FALSE))</f>
        <v>Producción bruta precio básico</v>
      </c>
      <c r="D62" s="2">
        <f>IF(B62="","",VLOOKUP(B62,'Transacciones CHL'!$A$2:$F$14,3,FALSE))</f>
        <v>1</v>
      </c>
      <c r="E62" s="2" t="str">
        <f>IF(B62="","",VLOOKUP(B62,'Transacciones CHL'!$A$2:$F$14,4,FALSE))</f>
        <v>Producción / Consumo intermedio</v>
      </c>
      <c r="F62" s="2">
        <f>IF(B62="","",VLOOKUP(B62,'Transacciones CHL'!$A$2:$F$14,5,FALSE))</f>
        <v>1</v>
      </c>
      <c r="G62" s="2" t="str">
        <f>IF(B62="","",VLOOKUP(B62,'Transacciones CHL'!$A$2:$F$14,6,FALSE))</f>
        <v>Producción / Consumo intermedio</v>
      </c>
      <c r="H62" s="2" t="s">
        <v>1099</v>
      </c>
      <c r="I62" s="2" t="s">
        <v>1011</v>
      </c>
      <c r="J62" s="2" t="s">
        <v>1012</v>
      </c>
      <c r="K62" s="2" t="s">
        <v>1013</v>
      </c>
      <c r="L62" s="2" t="s">
        <v>1014</v>
      </c>
      <c r="M62" s="2">
        <v>3</v>
      </c>
      <c r="N62" s="2" t="s">
        <v>67</v>
      </c>
      <c r="O62" s="15">
        <v>2</v>
      </c>
      <c r="P62" s="15" t="s">
        <v>970</v>
      </c>
    </row>
    <row r="63" spans="1:16">
      <c r="A63" s="2" t="s">
        <v>1100</v>
      </c>
      <c r="B63" s="2">
        <v>1</v>
      </c>
      <c r="C63" s="2" t="str">
        <f>IF(B63="","",VLOOKUP(B63,'Transacciones CHL'!$A$2:$B$14,2,FALSE))</f>
        <v>Producción bruta precio básico</v>
      </c>
      <c r="D63" s="2">
        <f>IF(B63="","",VLOOKUP(B63,'Transacciones CHL'!$A$2:$F$14,3,FALSE))</f>
        <v>1</v>
      </c>
      <c r="E63" s="2" t="str">
        <f>IF(B63="","",VLOOKUP(B63,'Transacciones CHL'!$A$2:$F$14,4,FALSE))</f>
        <v>Producción / Consumo intermedio</v>
      </c>
      <c r="F63" s="2">
        <f>IF(B63="","",VLOOKUP(B63,'Transacciones CHL'!$A$2:$F$14,5,FALSE))</f>
        <v>1</v>
      </c>
      <c r="G63" s="2" t="str">
        <f>IF(B63="","",VLOOKUP(B63,'Transacciones CHL'!$A$2:$F$14,6,FALSE))</f>
        <v>Producción / Consumo intermedio</v>
      </c>
      <c r="H63" s="2" t="s">
        <v>1101</v>
      </c>
      <c r="I63" s="2" t="s">
        <v>1011</v>
      </c>
      <c r="J63" s="2" t="s">
        <v>1012</v>
      </c>
      <c r="K63" s="2" t="s">
        <v>1013</v>
      </c>
      <c r="L63" s="2" t="s">
        <v>1014</v>
      </c>
      <c r="M63" s="2">
        <v>3</v>
      </c>
      <c r="N63" s="2" t="s">
        <v>67</v>
      </c>
      <c r="O63" s="15">
        <v>2</v>
      </c>
      <c r="P63" s="15" t="s">
        <v>970</v>
      </c>
    </row>
    <row r="64" spans="1:16">
      <c r="A64" s="2" t="s">
        <v>1102</v>
      </c>
      <c r="B64" s="2">
        <v>1</v>
      </c>
      <c r="C64" s="2" t="str">
        <f>IF(B64="","",VLOOKUP(B64,'Transacciones CHL'!$A$2:$B$14,2,FALSE))</f>
        <v>Producción bruta precio básico</v>
      </c>
      <c r="D64" s="2">
        <f>IF(B64="","",VLOOKUP(B64,'Transacciones CHL'!$A$2:$F$14,3,FALSE))</f>
        <v>1</v>
      </c>
      <c r="E64" s="2" t="str">
        <f>IF(B64="","",VLOOKUP(B64,'Transacciones CHL'!$A$2:$F$14,4,FALSE))</f>
        <v>Producción / Consumo intermedio</v>
      </c>
      <c r="F64" s="2">
        <f>IF(B64="","",VLOOKUP(B64,'Transacciones CHL'!$A$2:$F$14,5,FALSE))</f>
        <v>1</v>
      </c>
      <c r="G64" s="2" t="str">
        <f>IF(B64="","",VLOOKUP(B64,'Transacciones CHL'!$A$2:$F$14,6,FALSE))</f>
        <v>Producción / Consumo intermedio</v>
      </c>
      <c r="H64" s="2" t="s">
        <v>1103</v>
      </c>
      <c r="I64" s="2" t="s">
        <v>1011</v>
      </c>
      <c r="J64" s="2" t="s">
        <v>1012</v>
      </c>
      <c r="K64" s="2" t="s">
        <v>1013</v>
      </c>
      <c r="L64" s="2" t="s">
        <v>1014</v>
      </c>
      <c r="M64" s="2">
        <v>3</v>
      </c>
      <c r="N64" s="2" t="s">
        <v>67</v>
      </c>
      <c r="O64" s="15">
        <v>1</v>
      </c>
      <c r="P64" s="15" t="s">
        <v>1065</v>
      </c>
    </row>
    <row r="65" spans="1:16">
      <c r="A65" s="2" t="s">
        <v>1104</v>
      </c>
      <c r="B65" s="2">
        <v>1</v>
      </c>
      <c r="C65" s="2" t="str">
        <f>IF(B65="","",VLOOKUP(B65,'Transacciones CHL'!$A$2:$B$14,2,FALSE))</f>
        <v>Producción bruta precio básico</v>
      </c>
      <c r="D65" s="2">
        <f>IF(B65="","",VLOOKUP(B65,'Transacciones CHL'!$A$2:$F$14,3,FALSE))</f>
        <v>1</v>
      </c>
      <c r="E65" s="2" t="str">
        <f>IF(B65="","",VLOOKUP(B65,'Transacciones CHL'!$A$2:$F$14,4,FALSE))</f>
        <v>Producción / Consumo intermedio</v>
      </c>
      <c r="F65" s="2">
        <f>IF(B65="","",VLOOKUP(B65,'Transacciones CHL'!$A$2:$F$14,5,FALSE))</f>
        <v>1</v>
      </c>
      <c r="G65" s="2" t="str">
        <f>IF(B65="","",VLOOKUP(B65,'Transacciones CHL'!$A$2:$F$14,6,FALSE))</f>
        <v>Producción / Consumo intermedio</v>
      </c>
      <c r="H65" s="2" t="s">
        <v>1105</v>
      </c>
      <c r="I65" s="2" t="s">
        <v>1106</v>
      </c>
      <c r="J65" s="2" t="s">
        <v>1107</v>
      </c>
      <c r="K65" s="2" t="s">
        <v>1108</v>
      </c>
      <c r="L65" s="2" t="s">
        <v>1109</v>
      </c>
      <c r="M65" s="2">
        <v>3</v>
      </c>
      <c r="N65" s="2" t="s">
        <v>67</v>
      </c>
      <c r="O65" s="15">
        <v>2</v>
      </c>
      <c r="P65" s="15" t="s">
        <v>970</v>
      </c>
    </row>
    <row r="66" spans="1:16">
      <c r="A66" s="2" t="s">
        <v>1110</v>
      </c>
      <c r="B66" s="2">
        <v>1</v>
      </c>
      <c r="C66" s="2" t="str">
        <f>IF(B66="","",VLOOKUP(B66,'Transacciones CHL'!$A$2:$B$14,2,FALSE))</f>
        <v>Producción bruta precio básico</v>
      </c>
      <c r="D66" s="2">
        <f>IF(B66="","",VLOOKUP(B66,'Transacciones CHL'!$A$2:$F$14,3,FALSE))</f>
        <v>1</v>
      </c>
      <c r="E66" s="2" t="str">
        <f>IF(B66="","",VLOOKUP(B66,'Transacciones CHL'!$A$2:$F$14,4,FALSE))</f>
        <v>Producción / Consumo intermedio</v>
      </c>
      <c r="F66" s="2">
        <f>IF(B66="","",VLOOKUP(B66,'Transacciones CHL'!$A$2:$F$14,5,FALSE))</f>
        <v>1</v>
      </c>
      <c r="G66" s="2" t="str">
        <f>IF(B66="","",VLOOKUP(B66,'Transacciones CHL'!$A$2:$F$14,6,FALSE))</f>
        <v>Producción / Consumo intermedio</v>
      </c>
      <c r="H66" s="2" t="s">
        <v>1111</v>
      </c>
      <c r="I66" s="2" t="s">
        <v>1106</v>
      </c>
      <c r="J66" s="2" t="s">
        <v>1107</v>
      </c>
      <c r="K66" s="2" t="s">
        <v>1108</v>
      </c>
      <c r="L66" s="2" t="s">
        <v>1109</v>
      </c>
      <c r="M66" s="2">
        <v>3</v>
      </c>
      <c r="N66" s="2" t="s">
        <v>67</v>
      </c>
      <c r="O66" s="15">
        <v>2</v>
      </c>
      <c r="P66" s="15" t="s">
        <v>970</v>
      </c>
    </row>
    <row r="67" spans="1:16">
      <c r="A67" s="2" t="s">
        <v>1112</v>
      </c>
      <c r="B67" s="2">
        <v>1</v>
      </c>
      <c r="C67" s="2" t="str">
        <f>IF(B67="","",VLOOKUP(B67,'Transacciones CHL'!$A$2:$B$14,2,FALSE))</f>
        <v>Producción bruta precio básico</v>
      </c>
      <c r="D67" s="2">
        <f>IF(B67="","",VLOOKUP(B67,'Transacciones CHL'!$A$2:$F$14,3,FALSE))</f>
        <v>1</v>
      </c>
      <c r="E67" s="2" t="str">
        <f>IF(B67="","",VLOOKUP(B67,'Transacciones CHL'!$A$2:$F$14,4,FALSE))</f>
        <v>Producción / Consumo intermedio</v>
      </c>
      <c r="F67" s="2">
        <f>IF(B67="","",VLOOKUP(B67,'Transacciones CHL'!$A$2:$F$14,5,FALSE))</f>
        <v>1</v>
      </c>
      <c r="G67" s="2" t="str">
        <f>IF(B67="","",VLOOKUP(B67,'Transacciones CHL'!$A$2:$F$14,6,FALSE))</f>
        <v>Producción / Consumo intermedio</v>
      </c>
      <c r="H67" s="2" t="s">
        <v>1113</v>
      </c>
      <c r="I67" s="2" t="s">
        <v>1106</v>
      </c>
      <c r="J67" s="2" t="s">
        <v>1107</v>
      </c>
      <c r="K67" s="2" t="s">
        <v>1108</v>
      </c>
      <c r="L67" s="2" t="s">
        <v>1109</v>
      </c>
      <c r="M67" s="2">
        <v>3</v>
      </c>
      <c r="N67" s="2" t="s">
        <v>67</v>
      </c>
      <c r="O67" s="15">
        <v>2</v>
      </c>
      <c r="P67" s="15" t="s">
        <v>970</v>
      </c>
    </row>
    <row r="68" spans="1:16">
      <c r="A68" s="2" t="s">
        <v>1114</v>
      </c>
      <c r="B68" s="2">
        <v>1</v>
      </c>
      <c r="C68" s="2" t="str">
        <f>IF(B68="","",VLOOKUP(B68,'Transacciones CHL'!$A$2:$B$14,2,FALSE))</f>
        <v>Producción bruta precio básico</v>
      </c>
      <c r="D68" s="2">
        <f>IF(B68="","",VLOOKUP(B68,'Transacciones CHL'!$A$2:$F$14,3,FALSE))</f>
        <v>1</v>
      </c>
      <c r="E68" s="2" t="str">
        <f>IF(B68="","",VLOOKUP(B68,'Transacciones CHL'!$A$2:$F$14,4,FALSE))</f>
        <v>Producción / Consumo intermedio</v>
      </c>
      <c r="F68" s="2">
        <f>IF(B68="","",VLOOKUP(B68,'Transacciones CHL'!$A$2:$F$14,5,FALSE))</f>
        <v>1</v>
      </c>
      <c r="G68" s="2" t="str">
        <f>IF(B68="","",VLOOKUP(B68,'Transacciones CHL'!$A$2:$F$14,6,FALSE))</f>
        <v>Producción / Consumo intermedio</v>
      </c>
      <c r="H68" s="2" t="s">
        <v>1115</v>
      </c>
      <c r="I68" s="2" t="s">
        <v>1106</v>
      </c>
      <c r="J68" s="2" t="s">
        <v>1107</v>
      </c>
      <c r="K68" s="2" t="s">
        <v>1108</v>
      </c>
      <c r="L68" s="2" t="s">
        <v>1109</v>
      </c>
      <c r="M68" s="2">
        <v>3</v>
      </c>
      <c r="N68" s="2" t="s">
        <v>67</v>
      </c>
      <c r="O68" s="15">
        <v>2</v>
      </c>
      <c r="P68" s="15" t="s">
        <v>970</v>
      </c>
    </row>
    <row r="69" spans="1:16">
      <c r="A69" s="2" t="s">
        <v>1116</v>
      </c>
      <c r="B69" s="2">
        <v>1</v>
      </c>
      <c r="C69" s="2" t="str">
        <f>IF(B69="","",VLOOKUP(B69,'Transacciones CHL'!$A$2:$B$14,2,FALSE))</f>
        <v>Producción bruta precio básico</v>
      </c>
      <c r="D69" s="2">
        <f>IF(B69="","",VLOOKUP(B69,'Transacciones CHL'!$A$2:$F$14,3,FALSE))</f>
        <v>1</v>
      </c>
      <c r="E69" s="2" t="str">
        <f>IF(B69="","",VLOOKUP(B69,'Transacciones CHL'!$A$2:$F$14,4,FALSE))</f>
        <v>Producción / Consumo intermedio</v>
      </c>
      <c r="F69" s="2">
        <f>IF(B69="","",VLOOKUP(B69,'Transacciones CHL'!$A$2:$F$14,5,FALSE))</f>
        <v>1</v>
      </c>
      <c r="G69" s="2" t="str">
        <f>IF(B69="","",VLOOKUP(B69,'Transacciones CHL'!$A$2:$F$14,6,FALSE))</f>
        <v>Producción / Consumo intermedio</v>
      </c>
      <c r="H69" s="2" t="s">
        <v>1117</v>
      </c>
      <c r="I69" s="2" t="s">
        <v>1118</v>
      </c>
      <c r="J69" s="2" t="s">
        <v>1119</v>
      </c>
      <c r="K69" s="2" t="s">
        <v>1117</v>
      </c>
      <c r="L69" s="2" t="s">
        <v>1120</v>
      </c>
      <c r="M69" s="2">
        <v>2</v>
      </c>
      <c r="N69" s="2" t="s">
        <v>142</v>
      </c>
      <c r="O69" s="15">
        <v>2</v>
      </c>
      <c r="P69" s="15" t="s">
        <v>970</v>
      </c>
    </row>
    <row r="70" spans="1:16">
      <c r="A70" s="2" t="s">
        <v>1121</v>
      </c>
      <c r="B70" s="2">
        <v>1</v>
      </c>
      <c r="C70" s="2" t="str">
        <f>IF(B70="","",VLOOKUP(B70,'Transacciones CHL'!$A$2:$B$14,2,FALSE))</f>
        <v>Producción bruta precio básico</v>
      </c>
      <c r="D70" s="2">
        <f>IF(B70="","",VLOOKUP(B70,'Transacciones CHL'!$A$2:$F$14,3,FALSE))</f>
        <v>1</v>
      </c>
      <c r="E70" s="2" t="str">
        <f>IF(B70="","",VLOOKUP(B70,'Transacciones CHL'!$A$2:$F$14,4,FALSE))</f>
        <v>Producción / Consumo intermedio</v>
      </c>
      <c r="F70" s="2">
        <f>IF(B70="","",VLOOKUP(B70,'Transacciones CHL'!$A$2:$F$14,5,FALSE))</f>
        <v>1</v>
      </c>
      <c r="G70" s="2" t="str">
        <f>IF(B70="","",VLOOKUP(B70,'Transacciones CHL'!$A$2:$F$14,6,FALSE))</f>
        <v>Producción / Consumo intermedio</v>
      </c>
      <c r="H70" s="2" t="s">
        <v>1122</v>
      </c>
      <c r="I70" s="2" t="s">
        <v>1118</v>
      </c>
      <c r="J70" s="2" t="s">
        <v>1119</v>
      </c>
      <c r="K70" s="2" t="s">
        <v>1117</v>
      </c>
      <c r="L70" s="2" t="s">
        <v>1120</v>
      </c>
      <c r="M70" s="2">
        <v>2</v>
      </c>
      <c r="N70" s="2" t="s">
        <v>142</v>
      </c>
      <c r="O70" s="15">
        <v>2</v>
      </c>
      <c r="P70" s="15" t="s">
        <v>970</v>
      </c>
    </row>
    <row r="71" spans="1:16">
      <c r="A71" s="2" t="s">
        <v>1123</v>
      </c>
      <c r="B71" s="2">
        <v>1</v>
      </c>
      <c r="C71" s="2" t="str">
        <f>IF(B71="","",VLOOKUP(B71,'Transacciones CHL'!$A$2:$B$14,2,FALSE))</f>
        <v>Producción bruta precio básico</v>
      </c>
      <c r="D71" s="2">
        <f>IF(B71="","",VLOOKUP(B71,'Transacciones CHL'!$A$2:$F$14,3,FALSE))</f>
        <v>1</v>
      </c>
      <c r="E71" s="2" t="str">
        <f>IF(B71="","",VLOOKUP(B71,'Transacciones CHL'!$A$2:$F$14,4,FALSE))</f>
        <v>Producción / Consumo intermedio</v>
      </c>
      <c r="F71" s="2">
        <f>IF(B71="","",VLOOKUP(B71,'Transacciones CHL'!$A$2:$F$14,5,FALSE))</f>
        <v>1</v>
      </c>
      <c r="G71" s="2" t="str">
        <f>IF(B71="","",VLOOKUP(B71,'Transacciones CHL'!$A$2:$F$14,6,FALSE))</f>
        <v>Producción / Consumo intermedio</v>
      </c>
      <c r="H71" s="2" t="s">
        <v>1124</v>
      </c>
      <c r="I71" s="2" t="s">
        <v>1125</v>
      </c>
      <c r="J71" s="2" t="s">
        <v>1126</v>
      </c>
      <c r="K71" s="2" t="s">
        <v>1126</v>
      </c>
      <c r="L71" s="2" t="s">
        <v>1127</v>
      </c>
      <c r="M71" s="2">
        <v>3</v>
      </c>
      <c r="N71" s="2" t="s">
        <v>67</v>
      </c>
      <c r="O71" s="15">
        <v>2</v>
      </c>
      <c r="P71" s="15" t="s">
        <v>970</v>
      </c>
    </row>
    <row r="72" spans="1:16">
      <c r="A72" s="2" t="s">
        <v>1128</v>
      </c>
      <c r="B72" s="2">
        <v>1</v>
      </c>
      <c r="C72" s="2" t="str">
        <f>IF(B72="","",VLOOKUP(B72,'Transacciones CHL'!$A$2:$B$14,2,FALSE))</f>
        <v>Producción bruta precio básico</v>
      </c>
      <c r="D72" s="2">
        <f>IF(B72="","",VLOOKUP(B72,'Transacciones CHL'!$A$2:$F$14,3,FALSE))</f>
        <v>1</v>
      </c>
      <c r="E72" s="2" t="str">
        <f>IF(B72="","",VLOOKUP(B72,'Transacciones CHL'!$A$2:$F$14,4,FALSE))</f>
        <v>Producción / Consumo intermedio</v>
      </c>
      <c r="F72" s="2">
        <f>IF(B72="","",VLOOKUP(B72,'Transacciones CHL'!$A$2:$F$14,5,FALSE))</f>
        <v>1</v>
      </c>
      <c r="G72" s="2" t="str">
        <f>IF(B72="","",VLOOKUP(B72,'Transacciones CHL'!$A$2:$F$14,6,FALSE))</f>
        <v>Producción / Consumo intermedio</v>
      </c>
      <c r="H72" s="2" t="s">
        <v>1129</v>
      </c>
      <c r="I72" s="2" t="s">
        <v>1125</v>
      </c>
      <c r="J72" s="2" t="s">
        <v>1126</v>
      </c>
      <c r="K72" s="2" t="s">
        <v>1126</v>
      </c>
      <c r="L72" s="2" t="s">
        <v>1127</v>
      </c>
      <c r="M72" s="2">
        <v>3</v>
      </c>
      <c r="N72" s="2" t="s">
        <v>67</v>
      </c>
      <c r="O72" s="15">
        <v>2</v>
      </c>
      <c r="P72" s="15" t="s">
        <v>970</v>
      </c>
    </row>
    <row r="73" spans="1:16">
      <c r="A73" s="2" t="s">
        <v>1130</v>
      </c>
      <c r="B73" s="2">
        <v>1</v>
      </c>
      <c r="C73" s="2" t="str">
        <f>IF(B73="","",VLOOKUP(B73,'Transacciones CHL'!$A$2:$B$14,2,FALSE))</f>
        <v>Producción bruta precio básico</v>
      </c>
      <c r="D73" s="2">
        <f>IF(B73="","",VLOOKUP(B73,'Transacciones CHL'!$A$2:$F$14,3,FALSE))</f>
        <v>1</v>
      </c>
      <c r="E73" s="2" t="str">
        <f>IF(B73="","",VLOOKUP(B73,'Transacciones CHL'!$A$2:$F$14,4,FALSE))</f>
        <v>Producción / Consumo intermedio</v>
      </c>
      <c r="F73" s="2">
        <f>IF(B73="","",VLOOKUP(B73,'Transacciones CHL'!$A$2:$F$14,5,FALSE))</f>
        <v>1</v>
      </c>
      <c r="G73" s="2" t="str">
        <f>IF(B73="","",VLOOKUP(B73,'Transacciones CHL'!$A$2:$F$14,6,FALSE))</f>
        <v>Producción / Consumo intermedio</v>
      </c>
      <c r="H73" s="2" t="s">
        <v>1131</v>
      </c>
      <c r="I73" s="2" t="s">
        <v>1125</v>
      </c>
      <c r="J73" s="2" t="s">
        <v>1126</v>
      </c>
      <c r="K73" s="2" t="s">
        <v>1126</v>
      </c>
      <c r="L73" s="2" t="s">
        <v>1127</v>
      </c>
      <c r="M73" s="2">
        <v>3</v>
      </c>
      <c r="N73" s="2" t="s">
        <v>67</v>
      </c>
      <c r="O73" s="15">
        <v>2</v>
      </c>
      <c r="P73" s="15" t="s">
        <v>970</v>
      </c>
    </row>
    <row r="74" spans="1:16">
      <c r="A74" s="2" t="s">
        <v>1132</v>
      </c>
      <c r="B74" s="2">
        <v>1</v>
      </c>
      <c r="C74" s="2" t="str">
        <f>IF(B74="","",VLOOKUP(B74,'Transacciones CHL'!$A$2:$B$14,2,FALSE))</f>
        <v>Producción bruta precio básico</v>
      </c>
      <c r="D74" s="2">
        <f>IF(B74="","",VLOOKUP(B74,'Transacciones CHL'!$A$2:$F$14,3,FALSE))</f>
        <v>1</v>
      </c>
      <c r="E74" s="2" t="str">
        <f>IF(B74="","",VLOOKUP(B74,'Transacciones CHL'!$A$2:$F$14,4,FALSE))</f>
        <v>Producción / Consumo intermedio</v>
      </c>
      <c r="F74" s="2">
        <f>IF(B74="","",VLOOKUP(B74,'Transacciones CHL'!$A$2:$F$14,5,FALSE))</f>
        <v>1</v>
      </c>
      <c r="G74" s="2" t="str">
        <f>IF(B74="","",VLOOKUP(B74,'Transacciones CHL'!$A$2:$F$14,6,FALSE))</f>
        <v>Producción / Consumo intermedio</v>
      </c>
      <c r="H74" s="2" t="s">
        <v>1133</v>
      </c>
      <c r="I74" s="2" t="s">
        <v>1125</v>
      </c>
      <c r="J74" s="2" t="s">
        <v>1126</v>
      </c>
      <c r="K74" s="2" t="s">
        <v>1126</v>
      </c>
      <c r="L74" s="2" t="s">
        <v>1127</v>
      </c>
      <c r="M74" s="2">
        <v>3</v>
      </c>
      <c r="N74" s="2" t="s">
        <v>67</v>
      </c>
      <c r="O74" s="15">
        <v>2</v>
      </c>
      <c r="P74" s="15" t="s">
        <v>970</v>
      </c>
    </row>
    <row r="75" spans="1:16">
      <c r="A75" s="2" t="s">
        <v>1134</v>
      </c>
      <c r="B75" s="2">
        <v>1</v>
      </c>
      <c r="C75" s="2" t="str">
        <f>IF(B75="","",VLOOKUP(B75,'Transacciones CHL'!$A$2:$B$14,2,FALSE))</f>
        <v>Producción bruta precio básico</v>
      </c>
      <c r="D75" s="2">
        <f>IF(B75="","",VLOOKUP(B75,'Transacciones CHL'!$A$2:$F$14,3,FALSE))</f>
        <v>1</v>
      </c>
      <c r="E75" s="2" t="str">
        <f>IF(B75="","",VLOOKUP(B75,'Transacciones CHL'!$A$2:$F$14,4,FALSE))</f>
        <v>Producción / Consumo intermedio</v>
      </c>
      <c r="F75" s="2">
        <f>IF(B75="","",VLOOKUP(B75,'Transacciones CHL'!$A$2:$F$14,5,FALSE))</f>
        <v>1</v>
      </c>
      <c r="G75" s="2" t="str">
        <f>IF(B75="","",VLOOKUP(B75,'Transacciones CHL'!$A$2:$F$14,6,FALSE))</f>
        <v>Producción / Consumo intermedio</v>
      </c>
      <c r="H75" s="2" t="s">
        <v>1135</v>
      </c>
      <c r="I75" s="2" t="s">
        <v>1136</v>
      </c>
      <c r="J75" s="2" t="s">
        <v>1137</v>
      </c>
      <c r="K75" s="2" t="s">
        <v>1138</v>
      </c>
      <c r="L75" s="2" t="s">
        <v>1139</v>
      </c>
      <c r="M75" s="2">
        <v>3</v>
      </c>
      <c r="N75" s="2" t="s">
        <v>67</v>
      </c>
      <c r="O75" s="15">
        <v>2</v>
      </c>
      <c r="P75" s="15" t="s">
        <v>970</v>
      </c>
    </row>
    <row r="76" spans="1:16">
      <c r="A76" s="2" t="s">
        <v>1140</v>
      </c>
      <c r="B76" s="2">
        <v>1</v>
      </c>
      <c r="C76" s="2" t="str">
        <f>IF(B76="","",VLOOKUP(B76,'Transacciones CHL'!$A$2:$B$14,2,FALSE))</f>
        <v>Producción bruta precio básico</v>
      </c>
      <c r="D76" s="2">
        <f>IF(B76="","",VLOOKUP(B76,'Transacciones CHL'!$A$2:$F$14,3,FALSE))</f>
        <v>1</v>
      </c>
      <c r="E76" s="2" t="str">
        <f>IF(B76="","",VLOOKUP(B76,'Transacciones CHL'!$A$2:$F$14,4,FALSE))</f>
        <v>Producción / Consumo intermedio</v>
      </c>
      <c r="F76" s="2">
        <f>IF(B76="","",VLOOKUP(B76,'Transacciones CHL'!$A$2:$F$14,5,FALSE))</f>
        <v>1</v>
      </c>
      <c r="G76" s="2" t="str">
        <f>IF(B76="","",VLOOKUP(B76,'Transacciones CHL'!$A$2:$F$14,6,FALSE))</f>
        <v>Producción / Consumo intermedio</v>
      </c>
      <c r="H76" s="2" t="s">
        <v>1141</v>
      </c>
      <c r="I76" s="2" t="s">
        <v>1136</v>
      </c>
      <c r="J76" s="2" t="s">
        <v>1137</v>
      </c>
      <c r="K76" s="2" t="s">
        <v>1138</v>
      </c>
      <c r="L76" s="2" t="s">
        <v>1139</v>
      </c>
      <c r="M76" s="2">
        <v>3</v>
      </c>
      <c r="N76" s="2" t="s">
        <v>67</v>
      </c>
      <c r="O76" s="15">
        <v>2</v>
      </c>
      <c r="P76" s="15" t="s">
        <v>970</v>
      </c>
    </row>
    <row r="77" spans="1:16">
      <c r="A77" s="2" t="s">
        <v>1142</v>
      </c>
      <c r="B77" s="2">
        <v>1</v>
      </c>
      <c r="C77" s="2" t="str">
        <f>IF(B77="","",VLOOKUP(B77,'Transacciones CHL'!$A$2:$B$14,2,FALSE))</f>
        <v>Producción bruta precio básico</v>
      </c>
      <c r="D77" s="2">
        <f>IF(B77="","",VLOOKUP(B77,'Transacciones CHL'!$A$2:$F$14,3,FALSE))</f>
        <v>1</v>
      </c>
      <c r="E77" s="2" t="str">
        <f>IF(B77="","",VLOOKUP(B77,'Transacciones CHL'!$A$2:$F$14,4,FALSE))</f>
        <v>Producción / Consumo intermedio</v>
      </c>
      <c r="F77" s="2">
        <f>IF(B77="","",VLOOKUP(B77,'Transacciones CHL'!$A$2:$F$14,5,FALSE))</f>
        <v>1</v>
      </c>
      <c r="G77" s="2" t="str">
        <f>IF(B77="","",VLOOKUP(B77,'Transacciones CHL'!$A$2:$F$14,6,FALSE))</f>
        <v>Producción / Consumo intermedio</v>
      </c>
      <c r="H77" s="2" t="s">
        <v>1143</v>
      </c>
      <c r="I77" s="2" t="s">
        <v>1136</v>
      </c>
      <c r="J77" s="2" t="s">
        <v>1137</v>
      </c>
      <c r="K77" s="2" t="s">
        <v>1138</v>
      </c>
      <c r="L77" s="2" t="s">
        <v>1139</v>
      </c>
      <c r="M77" s="2">
        <v>3</v>
      </c>
      <c r="N77" s="2" t="s">
        <v>67</v>
      </c>
      <c r="O77" s="15">
        <v>1</v>
      </c>
      <c r="P77" s="15" t="s">
        <v>1065</v>
      </c>
    </row>
    <row r="78" spans="1:16">
      <c r="A78" s="2" t="s">
        <v>1144</v>
      </c>
      <c r="B78" s="2">
        <v>1</v>
      </c>
      <c r="C78" s="2" t="str">
        <f>IF(B78="","",VLOOKUP(B78,'Transacciones CHL'!$A$2:$B$14,2,FALSE))</f>
        <v>Producción bruta precio básico</v>
      </c>
      <c r="D78" s="2">
        <f>IF(B78="","",VLOOKUP(B78,'Transacciones CHL'!$A$2:$F$14,3,FALSE))</f>
        <v>1</v>
      </c>
      <c r="E78" s="2" t="str">
        <f>IF(B78="","",VLOOKUP(B78,'Transacciones CHL'!$A$2:$F$14,4,FALSE))</f>
        <v>Producción / Consumo intermedio</v>
      </c>
      <c r="F78" s="2">
        <f>IF(B78="","",VLOOKUP(B78,'Transacciones CHL'!$A$2:$F$14,5,FALSE))</f>
        <v>1</v>
      </c>
      <c r="G78" s="2" t="str">
        <f>IF(B78="","",VLOOKUP(B78,'Transacciones CHL'!$A$2:$F$14,6,FALSE))</f>
        <v>Producción / Consumo intermedio</v>
      </c>
      <c r="H78" s="2" t="s">
        <v>1145</v>
      </c>
      <c r="I78" s="2" t="s">
        <v>1146</v>
      </c>
      <c r="J78" s="2" t="s">
        <v>1147</v>
      </c>
      <c r="K78" s="2" t="s">
        <v>1148</v>
      </c>
      <c r="L78" s="2" t="s">
        <v>1149</v>
      </c>
      <c r="M78" s="2">
        <v>3</v>
      </c>
      <c r="N78" s="2" t="s">
        <v>67</v>
      </c>
      <c r="O78" s="15">
        <v>2</v>
      </c>
      <c r="P78" s="15" t="s">
        <v>970</v>
      </c>
    </row>
    <row r="79" spans="1:16">
      <c r="A79" s="2" t="s">
        <v>1150</v>
      </c>
      <c r="B79" s="2">
        <v>1</v>
      </c>
      <c r="C79" s="2" t="str">
        <f>IF(B79="","",VLOOKUP(B79,'Transacciones CHL'!$A$2:$B$14,2,FALSE))</f>
        <v>Producción bruta precio básico</v>
      </c>
      <c r="D79" s="2">
        <f>IF(B79="","",VLOOKUP(B79,'Transacciones CHL'!$A$2:$F$14,3,FALSE))</f>
        <v>1</v>
      </c>
      <c r="E79" s="2" t="str">
        <f>IF(B79="","",VLOOKUP(B79,'Transacciones CHL'!$A$2:$F$14,4,FALSE))</f>
        <v>Producción / Consumo intermedio</v>
      </c>
      <c r="F79" s="2">
        <f>IF(B79="","",VLOOKUP(B79,'Transacciones CHL'!$A$2:$F$14,5,FALSE))</f>
        <v>1</v>
      </c>
      <c r="G79" s="2" t="str">
        <f>IF(B79="","",VLOOKUP(B79,'Transacciones CHL'!$A$2:$F$14,6,FALSE))</f>
        <v>Producción / Consumo intermedio</v>
      </c>
      <c r="H79" s="2" t="s">
        <v>1151</v>
      </c>
      <c r="I79" s="2" t="s">
        <v>1146</v>
      </c>
      <c r="J79" s="2" t="s">
        <v>1147</v>
      </c>
      <c r="K79" s="2" t="s">
        <v>1148</v>
      </c>
      <c r="L79" s="2" t="s">
        <v>1149</v>
      </c>
      <c r="M79" s="2">
        <v>2</v>
      </c>
      <c r="N79" s="2" t="s">
        <v>142</v>
      </c>
      <c r="O79" s="15">
        <v>2</v>
      </c>
      <c r="P79" s="15" t="s">
        <v>970</v>
      </c>
    </row>
    <row r="80" spans="1:16">
      <c r="A80" s="2" t="s">
        <v>1152</v>
      </c>
      <c r="B80" s="2">
        <v>1</v>
      </c>
      <c r="C80" s="2" t="str">
        <f>IF(B80="","",VLOOKUP(B80,'Transacciones CHL'!$A$2:$B$14,2,FALSE))</f>
        <v>Producción bruta precio básico</v>
      </c>
      <c r="D80" s="2">
        <f>IF(B80="","",VLOOKUP(B80,'Transacciones CHL'!$A$2:$F$14,3,FALSE))</f>
        <v>1</v>
      </c>
      <c r="E80" s="2" t="str">
        <f>IF(B80="","",VLOOKUP(B80,'Transacciones CHL'!$A$2:$F$14,4,FALSE))</f>
        <v>Producción / Consumo intermedio</v>
      </c>
      <c r="F80" s="2">
        <f>IF(B80="","",VLOOKUP(B80,'Transacciones CHL'!$A$2:$F$14,5,FALSE))</f>
        <v>1</v>
      </c>
      <c r="G80" s="2" t="str">
        <f>IF(B80="","",VLOOKUP(B80,'Transacciones CHL'!$A$2:$F$14,6,FALSE))</f>
        <v>Producción / Consumo intermedio</v>
      </c>
      <c r="H80" s="2" t="s">
        <v>1153</v>
      </c>
      <c r="I80" s="2" t="s">
        <v>1154</v>
      </c>
      <c r="J80" s="2" t="s">
        <v>1155</v>
      </c>
      <c r="K80" s="2" t="s">
        <v>1155</v>
      </c>
      <c r="L80" s="2" t="s">
        <v>1156</v>
      </c>
      <c r="M80" s="2">
        <v>3</v>
      </c>
      <c r="N80" s="2" t="s">
        <v>67</v>
      </c>
      <c r="O80" s="15">
        <v>2</v>
      </c>
      <c r="P80" s="15" t="s">
        <v>970</v>
      </c>
    </row>
    <row r="81" spans="1:16">
      <c r="A81" s="2" t="s">
        <v>1157</v>
      </c>
      <c r="B81" s="2">
        <v>1</v>
      </c>
      <c r="C81" s="2" t="str">
        <f>IF(B81="","",VLOOKUP(B81,'Transacciones CHL'!$A$2:$B$14,2,FALSE))</f>
        <v>Producción bruta precio básico</v>
      </c>
      <c r="D81" s="2">
        <f>IF(B81="","",VLOOKUP(B81,'Transacciones CHL'!$A$2:$F$14,3,FALSE))</f>
        <v>1</v>
      </c>
      <c r="E81" s="2" t="str">
        <f>IF(B81="","",VLOOKUP(B81,'Transacciones CHL'!$A$2:$F$14,4,FALSE))</f>
        <v>Producción / Consumo intermedio</v>
      </c>
      <c r="F81" s="2">
        <f>IF(B81="","",VLOOKUP(B81,'Transacciones CHL'!$A$2:$F$14,5,FALSE))</f>
        <v>1</v>
      </c>
      <c r="G81" s="2" t="str">
        <f>IF(B81="","",VLOOKUP(B81,'Transacciones CHL'!$A$2:$F$14,6,FALSE))</f>
        <v>Producción / Consumo intermedio</v>
      </c>
      <c r="H81" s="2" t="s">
        <v>1158</v>
      </c>
      <c r="I81" s="2" t="s">
        <v>1154</v>
      </c>
      <c r="J81" s="2" t="s">
        <v>1155</v>
      </c>
      <c r="K81" s="2" t="s">
        <v>1155</v>
      </c>
      <c r="L81" s="2" t="s">
        <v>1156</v>
      </c>
      <c r="M81" s="2">
        <v>3</v>
      </c>
      <c r="N81" s="2" t="s">
        <v>67</v>
      </c>
      <c r="O81" s="15">
        <v>2</v>
      </c>
      <c r="P81" s="15" t="s">
        <v>970</v>
      </c>
    </row>
    <row r="82" spans="1:16">
      <c r="A82" s="2" t="s">
        <v>1159</v>
      </c>
      <c r="B82" s="2">
        <v>1</v>
      </c>
      <c r="C82" s="2" t="str">
        <f>IF(B82="","",VLOOKUP(B82,'Transacciones CHL'!$A$2:$B$14,2,FALSE))</f>
        <v>Producción bruta precio básico</v>
      </c>
      <c r="D82" s="2">
        <f>IF(B82="","",VLOOKUP(B82,'Transacciones CHL'!$A$2:$F$14,3,FALSE))</f>
        <v>1</v>
      </c>
      <c r="E82" s="2" t="str">
        <f>IF(B82="","",VLOOKUP(B82,'Transacciones CHL'!$A$2:$F$14,4,FALSE))</f>
        <v>Producción / Consumo intermedio</v>
      </c>
      <c r="F82" s="2">
        <f>IF(B82="","",VLOOKUP(B82,'Transacciones CHL'!$A$2:$F$14,5,FALSE))</f>
        <v>1</v>
      </c>
      <c r="G82" s="2" t="str">
        <f>IF(B82="","",VLOOKUP(B82,'Transacciones CHL'!$A$2:$F$14,6,FALSE))</f>
        <v>Producción / Consumo intermedio</v>
      </c>
      <c r="H82" s="2" t="s">
        <v>1160</v>
      </c>
      <c r="I82" s="2" t="s">
        <v>1154</v>
      </c>
      <c r="J82" s="2" t="s">
        <v>1155</v>
      </c>
      <c r="K82" s="2" t="s">
        <v>1155</v>
      </c>
      <c r="L82" s="2" t="s">
        <v>1156</v>
      </c>
      <c r="M82" s="2">
        <v>3</v>
      </c>
      <c r="N82" s="2" t="s">
        <v>67</v>
      </c>
      <c r="O82" s="15">
        <v>2</v>
      </c>
      <c r="P82" s="15" t="s">
        <v>970</v>
      </c>
    </row>
    <row r="83" spans="1:16">
      <c r="A83" s="2" t="s">
        <v>1161</v>
      </c>
      <c r="B83" s="2">
        <v>1</v>
      </c>
      <c r="C83" s="2" t="str">
        <f>IF(B83="","",VLOOKUP(B83,'Transacciones CHL'!$A$2:$B$14,2,FALSE))</f>
        <v>Producción bruta precio básico</v>
      </c>
      <c r="D83" s="2">
        <f>IF(B83="","",VLOOKUP(B83,'Transacciones CHL'!$A$2:$F$14,3,FALSE))</f>
        <v>1</v>
      </c>
      <c r="E83" s="2" t="str">
        <f>IF(B83="","",VLOOKUP(B83,'Transacciones CHL'!$A$2:$F$14,4,FALSE))</f>
        <v>Producción / Consumo intermedio</v>
      </c>
      <c r="F83" s="2">
        <f>IF(B83="","",VLOOKUP(B83,'Transacciones CHL'!$A$2:$F$14,5,FALSE))</f>
        <v>1</v>
      </c>
      <c r="G83" s="2" t="str">
        <f>IF(B83="","",VLOOKUP(B83,'Transacciones CHL'!$A$2:$F$14,6,FALSE))</f>
        <v>Producción / Consumo intermedio</v>
      </c>
      <c r="H83" s="2" t="s">
        <v>298</v>
      </c>
      <c r="I83" s="2" t="s">
        <v>1154</v>
      </c>
      <c r="J83" s="2" t="s">
        <v>1155</v>
      </c>
      <c r="K83" s="2" t="s">
        <v>1155</v>
      </c>
      <c r="L83" s="2" t="s">
        <v>1156</v>
      </c>
      <c r="M83" s="2">
        <v>3</v>
      </c>
      <c r="N83" s="2" t="s">
        <v>67</v>
      </c>
      <c r="O83" s="15">
        <v>2</v>
      </c>
      <c r="P83" s="15" t="s">
        <v>970</v>
      </c>
    </row>
    <row r="84" spans="1:16">
      <c r="A84" s="2" t="s">
        <v>1162</v>
      </c>
      <c r="B84" s="2">
        <v>1</v>
      </c>
      <c r="C84" s="2" t="str">
        <f>IF(B84="","",VLOOKUP(B84,'Transacciones CHL'!$A$2:$B$14,2,FALSE))</f>
        <v>Producción bruta precio básico</v>
      </c>
      <c r="D84" s="2">
        <f>IF(B84="","",VLOOKUP(B84,'Transacciones CHL'!$A$2:$F$14,3,FALSE))</f>
        <v>1</v>
      </c>
      <c r="E84" s="2" t="str">
        <f>IF(B84="","",VLOOKUP(B84,'Transacciones CHL'!$A$2:$F$14,4,FALSE))</f>
        <v>Producción / Consumo intermedio</v>
      </c>
      <c r="F84" s="2">
        <f>IF(B84="","",VLOOKUP(B84,'Transacciones CHL'!$A$2:$F$14,5,FALSE))</f>
        <v>1</v>
      </c>
      <c r="G84" s="2" t="str">
        <f>IF(B84="","",VLOOKUP(B84,'Transacciones CHL'!$A$2:$F$14,6,FALSE))</f>
        <v>Producción / Consumo intermedio</v>
      </c>
      <c r="H84" s="2" t="s">
        <v>1163</v>
      </c>
      <c r="I84" s="2" t="s">
        <v>1154</v>
      </c>
      <c r="J84" s="2" t="s">
        <v>1155</v>
      </c>
      <c r="K84" s="2" t="s">
        <v>1155</v>
      </c>
      <c r="L84" s="2" t="s">
        <v>1156</v>
      </c>
      <c r="M84" s="2">
        <v>3</v>
      </c>
      <c r="N84" s="2" t="s">
        <v>67</v>
      </c>
      <c r="O84" s="15">
        <v>2</v>
      </c>
      <c r="P84" s="15" t="s">
        <v>970</v>
      </c>
    </row>
    <row r="85" spans="1:16">
      <c r="A85" s="2" t="s">
        <v>1164</v>
      </c>
      <c r="B85" s="2">
        <v>1</v>
      </c>
      <c r="C85" s="2" t="str">
        <f>IF(B85="","",VLOOKUP(B85,'Transacciones CHL'!$A$2:$B$14,2,FALSE))</f>
        <v>Producción bruta precio básico</v>
      </c>
      <c r="D85" s="2">
        <f>IF(B85="","",VLOOKUP(B85,'Transacciones CHL'!$A$2:$F$14,3,FALSE))</f>
        <v>1</v>
      </c>
      <c r="E85" s="2" t="str">
        <f>IF(B85="","",VLOOKUP(B85,'Transacciones CHL'!$A$2:$F$14,4,FALSE))</f>
        <v>Producción / Consumo intermedio</v>
      </c>
      <c r="F85" s="2">
        <f>IF(B85="","",VLOOKUP(B85,'Transacciones CHL'!$A$2:$F$14,5,FALSE))</f>
        <v>1</v>
      </c>
      <c r="G85" s="2" t="str">
        <f>IF(B85="","",VLOOKUP(B85,'Transacciones CHL'!$A$2:$F$14,6,FALSE))</f>
        <v>Producción / Consumo intermedio</v>
      </c>
      <c r="H85" s="2" t="s">
        <v>1165</v>
      </c>
      <c r="I85" s="2" t="s">
        <v>1154</v>
      </c>
      <c r="J85" s="2" t="s">
        <v>1155</v>
      </c>
      <c r="K85" s="2" t="s">
        <v>1155</v>
      </c>
      <c r="L85" s="2" t="s">
        <v>1156</v>
      </c>
      <c r="M85" s="2">
        <v>3</v>
      </c>
      <c r="N85" s="2" t="s">
        <v>67</v>
      </c>
      <c r="O85" s="15">
        <v>2</v>
      </c>
      <c r="P85" s="15" t="s">
        <v>970</v>
      </c>
    </row>
    <row r="86" spans="1:16">
      <c r="A86" s="2" t="s">
        <v>1166</v>
      </c>
      <c r="B86" s="2">
        <v>1</v>
      </c>
      <c r="C86" s="2" t="str">
        <f>IF(B86="","",VLOOKUP(B86,'Transacciones CHL'!$A$2:$B$14,2,FALSE))</f>
        <v>Producción bruta precio básico</v>
      </c>
      <c r="D86" s="2">
        <f>IF(B86="","",VLOOKUP(B86,'Transacciones CHL'!$A$2:$F$14,3,FALSE))</f>
        <v>1</v>
      </c>
      <c r="E86" s="2" t="str">
        <f>IF(B86="","",VLOOKUP(B86,'Transacciones CHL'!$A$2:$F$14,4,FALSE))</f>
        <v>Producción / Consumo intermedio</v>
      </c>
      <c r="F86" s="2">
        <f>IF(B86="","",VLOOKUP(B86,'Transacciones CHL'!$A$2:$F$14,5,FALSE))</f>
        <v>1</v>
      </c>
      <c r="G86" s="2" t="str">
        <f>IF(B86="","",VLOOKUP(B86,'Transacciones CHL'!$A$2:$F$14,6,FALSE))</f>
        <v>Producción / Consumo intermedio</v>
      </c>
      <c r="H86" s="2" t="s">
        <v>1167</v>
      </c>
      <c r="I86" s="2" t="s">
        <v>1154</v>
      </c>
      <c r="J86" s="2" t="s">
        <v>1155</v>
      </c>
      <c r="K86" s="2" t="s">
        <v>1155</v>
      </c>
      <c r="L86" s="2" t="s">
        <v>1156</v>
      </c>
      <c r="M86" s="2">
        <v>3</v>
      </c>
      <c r="N86" s="2" t="s">
        <v>67</v>
      </c>
      <c r="O86" s="15">
        <v>2</v>
      </c>
      <c r="P86" s="15" t="s">
        <v>970</v>
      </c>
    </row>
    <row r="87" spans="1:16">
      <c r="A87" s="2" t="s">
        <v>1168</v>
      </c>
      <c r="B87" s="2">
        <v>1</v>
      </c>
      <c r="C87" s="2" t="str">
        <f>IF(B87="","",VLOOKUP(B87,'Transacciones CHL'!$A$2:$B$14,2,FALSE))</f>
        <v>Producción bruta precio básico</v>
      </c>
      <c r="D87" s="2">
        <f>IF(B87="","",VLOOKUP(B87,'Transacciones CHL'!$A$2:$F$14,3,FALSE))</f>
        <v>1</v>
      </c>
      <c r="E87" s="2" t="str">
        <f>IF(B87="","",VLOOKUP(B87,'Transacciones CHL'!$A$2:$F$14,4,FALSE))</f>
        <v>Producción / Consumo intermedio</v>
      </c>
      <c r="F87" s="2">
        <f>IF(B87="","",VLOOKUP(B87,'Transacciones CHL'!$A$2:$F$14,5,FALSE))</f>
        <v>1</v>
      </c>
      <c r="G87" s="2" t="str">
        <f>IF(B87="","",VLOOKUP(B87,'Transacciones CHL'!$A$2:$F$14,6,FALSE))</f>
        <v>Producción / Consumo intermedio</v>
      </c>
      <c r="H87" s="2" t="s">
        <v>1169</v>
      </c>
      <c r="I87" s="2" t="s">
        <v>1154</v>
      </c>
      <c r="J87" s="2" t="s">
        <v>1155</v>
      </c>
      <c r="K87" s="2" t="s">
        <v>1155</v>
      </c>
      <c r="L87" s="2" t="s">
        <v>1156</v>
      </c>
      <c r="M87" s="2">
        <v>3</v>
      </c>
      <c r="N87" s="2" t="s">
        <v>67</v>
      </c>
      <c r="O87" s="15">
        <v>2</v>
      </c>
      <c r="P87" s="15" t="s">
        <v>970</v>
      </c>
    </row>
    <row r="88" spans="1:16">
      <c r="A88" s="2" t="s">
        <v>1170</v>
      </c>
      <c r="B88" s="2">
        <v>1</v>
      </c>
      <c r="C88" s="2" t="str">
        <f>IF(B88="","",VLOOKUP(B88,'Transacciones CHL'!$A$2:$B$14,2,FALSE))</f>
        <v>Producción bruta precio básico</v>
      </c>
      <c r="D88" s="2">
        <f>IF(B88="","",VLOOKUP(B88,'Transacciones CHL'!$A$2:$F$14,3,FALSE))</f>
        <v>1</v>
      </c>
      <c r="E88" s="2" t="str">
        <f>IF(B88="","",VLOOKUP(B88,'Transacciones CHL'!$A$2:$F$14,4,FALSE))</f>
        <v>Producción / Consumo intermedio</v>
      </c>
      <c r="F88" s="2">
        <f>IF(B88="","",VLOOKUP(B88,'Transacciones CHL'!$A$2:$F$14,5,FALSE))</f>
        <v>1</v>
      </c>
      <c r="G88" s="2" t="str">
        <f>IF(B88="","",VLOOKUP(B88,'Transacciones CHL'!$A$2:$F$14,6,FALSE))</f>
        <v>Producción / Consumo intermedio</v>
      </c>
      <c r="H88" s="2" t="s">
        <v>1171</v>
      </c>
      <c r="I88" s="2" t="s">
        <v>1154</v>
      </c>
      <c r="J88" s="2" t="s">
        <v>1155</v>
      </c>
      <c r="K88" s="2" t="s">
        <v>1155</v>
      </c>
      <c r="L88" s="2" t="s">
        <v>1156</v>
      </c>
      <c r="M88" s="2">
        <v>3</v>
      </c>
      <c r="N88" s="2" t="s">
        <v>67</v>
      </c>
      <c r="O88" s="15">
        <v>2</v>
      </c>
      <c r="P88" s="15" t="s">
        <v>970</v>
      </c>
    </row>
    <row r="89" spans="1:16">
      <c r="A89" s="2" t="s">
        <v>1172</v>
      </c>
      <c r="B89" s="2">
        <v>1</v>
      </c>
      <c r="C89" s="2" t="str">
        <f>IF(B89="","",VLOOKUP(B89,'Transacciones CHL'!$A$2:$B$14,2,FALSE))</f>
        <v>Producción bruta precio básico</v>
      </c>
      <c r="D89" s="2">
        <f>IF(B89="","",VLOOKUP(B89,'Transacciones CHL'!$A$2:$F$14,3,FALSE))</f>
        <v>1</v>
      </c>
      <c r="E89" s="2" t="str">
        <f>IF(B89="","",VLOOKUP(B89,'Transacciones CHL'!$A$2:$F$14,4,FALSE))</f>
        <v>Producción / Consumo intermedio</v>
      </c>
      <c r="F89" s="2">
        <f>IF(B89="","",VLOOKUP(B89,'Transacciones CHL'!$A$2:$F$14,5,FALSE))</f>
        <v>1</v>
      </c>
      <c r="G89" s="2" t="str">
        <f>IF(B89="","",VLOOKUP(B89,'Transacciones CHL'!$A$2:$F$14,6,FALSE))</f>
        <v>Producción / Consumo intermedio</v>
      </c>
      <c r="H89" s="2" t="s">
        <v>1173</v>
      </c>
      <c r="I89" s="2" t="s">
        <v>1174</v>
      </c>
      <c r="J89" s="2" t="s">
        <v>1175</v>
      </c>
      <c r="K89" s="2" t="s">
        <v>1175</v>
      </c>
      <c r="L89" s="2" t="s">
        <v>1176</v>
      </c>
      <c r="M89" s="2">
        <v>3</v>
      </c>
      <c r="N89" s="2" t="s">
        <v>67</v>
      </c>
      <c r="O89" s="15">
        <v>2</v>
      </c>
      <c r="P89" s="15" t="s">
        <v>970</v>
      </c>
    </row>
    <row r="90" spans="1:16">
      <c r="A90" s="2" t="s">
        <v>1177</v>
      </c>
      <c r="B90" s="2">
        <v>1</v>
      </c>
      <c r="C90" s="2" t="str">
        <f>IF(B90="","",VLOOKUP(B90,'Transacciones CHL'!$A$2:$B$14,2,FALSE))</f>
        <v>Producción bruta precio básico</v>
      </c>
      <c r="D90" s="2">
        <f>IF(B90="","",VLOOKUP(B90,'Transacciones CHL'!$A$2:$F$14,3,FALSE))</f>
        <v>1</v>
      </c>
      <c r="E90" s="2" t="str">
        <f>IF(B90="","",VLOOKUP(B90,'Transacciones CHL'!$A$2:$F$14,4,FALSE))</f>
        <v>Producción / Consumo intermedio</v>
      </c>
      <c r="F90" s="2">
        <f>IF(B90="","",VLOOKUP(B90,'Transacciones CHL'!$A$2:$F$14,5,FALSE))</f>
        <v>1</v>
      </c>
      <c r="G90" s="2" t="str">
        <f>IF(B90="","",VLOOKUP(B90,'Transacciones CHL'!$A$2:$F$14,6,FALSE))</f>
        <v>Producción / Consumo intermedio</v>
      </c>
      <c r="H90" s="2" t="s">
        <v>1178</v>
      </c>
      <c r="I90" s="2" t="s">
        <v>1174</v>
      </c>
      <c r="J90" s="2" t="s">
        <v>1175</v>
      </c>
      <c r="K90" s="2" t="s">
        <v>1175</v>
      </c>
      <c r="L90" s="2" t="s">
        <v>1176</v>
      </c>
      <c r="M90" s="2">
        <v>3</v>
      </c>
      <c r="N90" s="2" t="s">
        <v>67</v>
      </c>
      <c r="O90" s="15">
        <v>2</v>
      </c>
      <c r="P90" s="15" t="s">
        <v>970</v>
      </c>
    </row>
    <row r="91" spans="1:16">
      <c r="A91" s="2" t="s">
        <v>1179</v>
      </c>
      <c r="B91" s="2">
        <v>1</v>
      </c>
      <c r="C91" s="2" t="str">
        <f>IF(B91="","",VLOOKUP(B91,'Transacciones CHL'!$A$2:$B$14,2,FALSE))</f>
        <v>Producción bruta precio básico</v>
      </c>
      <c r="D91" s="2">
        <f>IF(B91="","",VLOOKUP(B91,'Transacciones CHL'!$A$2:$F$14,3,FALSE))</f>
        <v>1</v>
      </c>
      <c r="E91" s="2" t="str">
        <f>IF(B91="","",VLOOKUP(B91,'Transacciones CHL'!$A$2:$F$14,4,FALSE))</f>
        <v>Producción / Consumo intermedio</v>
      </c>
      <c r="F91" s="2">
        <f>IF(B91="","",VLOOKUP(B91,'Transacciones CHL'!$A$2:$F$14,5,FALSE))</f>
        <v>1</v>
      </c>
      <c r="G91" s="2" t="str">
        <f>IF(B91="","",VLOOKUP(B91,'Transacciones CHL'!$A$2:$F$14,6,FALSE))</f>
        <v>Producción / Consumo intermedio</v>
      </c>
      <c r="H91" s="2" t="s">
        <v>1180</v>
      </c>
      <c r="I91" s="2" t="s">
        <v>1174</v>
      </c>
      <c r="J91" s="2" t="s">
        <v>1175</v>
      </c>
      <c r="K91" s="2" t="s">
        <v>1175</v>
      </c>
      <c r="L91" s="2" t="s">
        <v>1176</v>
      </c>
      <c r="M91" s="2">
        <v>3</v>
      </c>
      <c r="N91" s="2" t="s">
        <v>67</v>
      </c>
      <c r="O91" s="15">
        <v>2</v>
      </c>
      <c r="P91" s="15" t="s">
        <v>970</v>
      </c>
    </row>
    <row r="92" spans="1:16">
      <c r="A92" s="2" t="s">
        <v>1181</v>
      </c>
      <c r="B92" s="2">
        <v>1</v>
      </c>
      <c r="C92" s="2" t="str">
        <f>IF(B92="","",VLOOKUP(B92,'Transacciones CHL'!$A$2:$B$14,2,FALSE))</f>
        <v>Producción bruta precio básico</v>
      </c>
      <c r="D92" s="2">
        <f>IF(B92="","",VLOOKUP(B92,'Transacciones CHL'!$A$2:$F$14,3,FALSE))</f>
        <v>1</v>
      </c>
      <c r="E92" s="2" t="str">
        <f>IF(B92="","",VLOOKUP(B92,'Transacciones CHL'!$A$2:$F$14,4,FALSE))</f>
        <v>Producción / Consumo intermedio</v>
      </c>
      <c r="F92" s="2">
        <f>IF(B92="","",VLOOKUP(B92,'Transacciones CHL'!$A$2:$F$14,5,FALSE))</f>
        <v>1</v>
      </c>
      <c r="G92" s="2" t="str">
        <f>IF(B92="","",VLOOKUP(B92,'Transacciones CHL'!$A$2:$F$14,6,FALSE))</f>
        <v>Producción / Consumo intermedio</v>
      </c>
      <c r="H92" s="2" t="s">
        <v>1182</v>
      </c>
      <c r="I92" s="2" t="s">
        <v>1174</v>
      </c>
      <c r="J92" s="2" t="s">
        <v>1175</v>
      </c>
      <c r="K92" s="2" t="s">
        <v>1175</v>
      </c>
      <c r="L92" s="2" t="s">
        <v>1176</v>
      </c>
      <c r="M92" s="2">
        <v>3</v>
      </c>
      <c r="N92" s="2" t="s">
        <v>67</v>
      </c>
      <c r="O92" s="15">
        <v>1</v>
      </c>
      <c r="P92" s="15" t="s">
        <v>1065</v>
      </c>
    </row>
    <row r="93" spans="1:16">
      <c r="A93" s="2" t="s">
        <v>1183</v>
      </c>
      <c r="B93" s="2">
        <v>1</v>
      </c>
      <c r="C93" s="2" t="str">
        <f>IF(B93="","",VLOOKUP(B93,'Transacciones CHL'!$A$2:$B$14,2,FALSE))</f>
        <v>Producción bruta precio básico</v>
      </c>
      <c r="D93" s="2">
        <f>IF(B93="","",VLOOKUP(B93,'Transacciones CHL'!$A$2:$F$14,3,FALSE))</f>
        <v>1</v>
      </c>
      <c r="E93" s="2" t="str">
        <f>IF(B93="","",VLOOKUP(B93,'Transacciones CHL'!$A$2:$F$14,4,FALSE))</f>
        <v>Producción / Consumo intermedio</v>
      </c>
      <c r="F93" s="2">
        <f>IF(B93="","",VLOOKUP(B93,'Transacciones CHL'!$A$2:$F$14,5,FALSE))</f>
        <v>1</v>
      </c>
      <c r="G93" s="2" t="str">
        <f>IF(B93="","",VLOOKUP(B93,'Transacciones CHL'!$A$2:$F$14,6,FALSE))</f>
        <v>Producción / Consumo intermedio</v>
      </c>
      <c r="H93" s="2" t="s">
        <v>1184</v>
      </c>
      <c r="I93" s="2" t="s">
        <v>1174</v>
      </c>
      <c r="J93" s="2" t="s">
        <v>1175</v>
      </c>
      <c r="K93" s="2" t="s">
        <v>1175</v>
      </c>
      <c r="L93" s="2" t="s">
        <v>1176</v>
      </c>
      <c r="M93" s="2">
        <v>3</v>
      </c>
      <c r="N93" s="2" t="s">
        <v>67</v>
      </c>
      <c r="O93" s="15">
        <v>2</v>
      </c>
      <c r="P93" s="15" t="s">
        <v>970</v>
      </c>
    </row>
    <row r="94" spans="1:16">
      <c r="A94" s="2" t="s">
        <v>1185</v>
      </c>
      <c r="B94" s="2">
        <v>1</v>
      </c>
      <c r="C94" s="2" t="str">
        <f>IF(B94="","",VLOOKUP(B94,'Transacciones CHL'!$A$2:$B$14,2,FALSE))</f>
        <v>Producción bruta precio básico</v>
      </c>
      <c r="D94" s="2">
        <f>IF(B94="","",VLOOKUP(B94,'Transacciones CHL'!$A$2:$F$14,3,FALSE))</f>
        <v>1</v>
      </c>
      <c r="E94" s="2" t="str">
        <f>IF(B94="","",VLOOKUP(B94,'Transacciones CHL'!$A$2:$F$14,4,FALSE))</f>
        <v>Producción / Consumo intermedio</v>
      </c>
      <c r="F94" s="2">
        <f>IF(B94="","",VLOOKUP(B94,'Transacciones CHL'!$A$2:$F$14,5,FALSE))</f>
        <v>1</v>
      </c>
      <c r="G94" s="2" t="str">
        <f>IF(B94="","",VLOOKUP(B94,'Transacciones CHL'!$A$2:$F$14,6,FALSE))</f>
        <v>Producción / Consumo intermedio</v>
      </c>
      <c r="H94" s="2" t="s">
        <v>1186</v>
      </c>
      <c r="I94" s="2" t="s">
        <v>1174</v>
      </c>
      <c r="J94" s="2" t="s">
        <v>1175</v>
      </c>
      <c r="K94" s="2" t="s">
        <v>1175</v>
      </c>
      <c r="L94" s="2" t="s">
        <v>1176</v>
      </c>
      <c r="M94" s="2">
        <v>3</v>
      </c>
      <c r="N94" s="2" t="s">
        <v>67</v>
      </c>
      <c r="O94" s="15">
        <v>1</v>
      </c>
      <c r="P94" s="15" t="s">
        <v>1065</v>
      </c>
    </row>
    <row r="95" spans="1:16">
      <c r="A95" s="2" t="s">
        <v>1187</v>
      </c>
      <c r="B95" s="2">
        <v>1</v>
      </c>
      <c r="C95" s="2" t="str">
        <f>IF(B95="","",VLOOKUP(B95,'Transacciones CHL'!$A$2:$B$14,2,FALSE))</f>
        <v>Producción bruta precio básico</v>
      </c>
      <c r="D95" s="2">
        <f>IF(B95="","",VLOOKUP(B95,'Transacciones CHL'!$A$2:$F$14,3,FALSE))</f>
        <v>1</v>
      </c>
      <c r="E95" s="2" t="str">
        <f>IF(B95="","",VLOOKUP(B95,'Transacciones CHL'!$A$2:$F$14,4,FALSE))</f>
        <v>Producción / Consumo intermedio</v>
      </c>
      <c r="F95" s="2">
        <f>IF(B95="","",VLOOKUP(B95,'Transacciones CHL'!$A$2:$F$14,5,FALSE))</f>
        <v>1</v>
      </c>
      <c r="G95" s="2" t="str">
        <f>IF(B95="","",VLOOKUP(B95,'Transacciones CHL'!$A$2:$F$14,6,FALSE))</f>
        <v>Producción / Consumo intermedio</v>
      </c>
      <c r="H95" s="2" t="s">
        <v>1188</v>
      </c>
      <c r="I95" s="2" t="s">
        <v>1189</v>
      </c>
      <c r="J95" s="2" t="s">
        <v>1190</v>
      </c>
      <c r="K95" s="2" t="s">
        <v>1191</v>
      </c>
      <c r="L95" s="2" t="s">
        <v>1192</v>
      </c>
      <c r="M95" s="2">
        <v>3</v>
      </c>
      <c r="N95" s="2" t="s">
        <v>67</v>
      </c>
      <c r="O95" s="15">
        <v>2</v>
      </c>
      <c r="P95" s="15" t="s">
        <v>970</v>
      </c>
    </row>
    <row r="96" spans="1:16">
      <c r="A96" s="2" t="s">
        <v>1193</v>
      </c>
      <c r="B96" s="2">
        <v>1</v>
      </c>
      <c r="C96" s="2" t="str">
        <f>IF(B96="","",VLOOKUP(B96,'Transacciones CHL'!$A$2:$B$14,2,FALSE))</f>
        <v>Producción bruta precio básico</v>
      </c>
      <c r="D96" s="2">
        <f>IF(B96="","",VLOOKUP(B96,'Transacciones CHL'!$A$2:$F$14,3,FALSE))</f>
        <v>1</v>
      </c>
      <c r="E96" s="2" t="str">
        <f>IF(B96="","",VLOOKUP(B96,'Transacciones CHL'!$A$2:$F$14,4,FALSE))</f>
        <v>Producción / Consumo intermedio</v>
      </c>
      <c r="F96" s="2">
        <f>IF(B96="","",VLOOKUP(B96,'Transacciones CHL'!$A$2:$F$14,5,FALSE))</f>
        <v>1</v>
      </c>
      <c r="G96" s="2" t="str">
        <f>IF(B96="","",VLOOKUP(B96,'Transacciones CHL'!$A$2:$F$14,6,FALSE))</f>
        <v>Producción / Consumo intermedio</v>
      </c>
      <c r="H96" s="2" t="s">
        <v>1194</v>
      </c>
      <c r="I96" s="2" t="s">
        <v>1189</v>
      </c>
      <c r="J96" s="2" t="s">
        <v>1190</v>
      </c>
      <c r="K96" s="2" t="s">
        <v>1191</v>
      </c>
      <c r="L96" s="2" t="s">
        <v>1192</v>
      </c>
      <c r="M96" s="2">
        <v>3</v>
      </c>
      <c r="N96" s="2" t="s">
        <v>67</v>
      </c>
      <c r="O96" s="15">
        <v>2</v>
      </c>
      <c r="P96" s="15" t="s">
        <v>970</v>
      </c>
    </row>
    <row r="97" spans="1:16">
      <c r="A97" s="2" t="s">
        <v>1195</v>
      </c>
      <c r="B97" s="2">
        <v>1</v>
      </c>
      <c r="C97" s="2" t="str">
        <f>IF(B97="","",VLOOKUP(B97,'Transacciones CHL'!$A$2:$B$14,2,FALSE))</f>
        <v>Producción bruta precio básico</v>
      </c>
      <c r="D97" s="2">
        <f>IF(B97="","",VLOOKUP(B97,'Transacciones CHL'!$A$2:$F$14,3,FALSE))</f>
        <v>1</v>
      </c>
      <c r="E97" s="2" t="str">
        <f>IF(B97="","",VLOOKUP(B97,'Transacciones CHL'!$A$2:$F$14,4,FALSE))</f>
        <v>Producción / Consumo intermedio</v>
      </c>
      <c r="F97" s="2">
        <f>IF(B97="","",VLOOKUP(B97,'Transacciones CHL'!$A$2:$F$14,5,FALSE))</f>
        <v>1</v>
      </c>
      <c r="G97" s="2" t="str">
        <f>IF(B97="","",VLOOKUP(B97,'Transacciones CHL'!$A$2:$F$14,6,FALSE))</f>
        <v>Producción / Consumo intermedio</v>
      </c>
      <c r="H97" s="2" t="s">
        <v>1196</v>
      </c>
      <c r="I97" s="2" t="s">
        <v>1189</v>
      </c>
      <c r="J97" s="2" t="s">
        <v>1190</v>
      </c>
      <c r="K97" s="2" t="s">
        <v>1191</v>
      </c>
      <c r="L97" s="2" t="s">
        <v>1192</v>
      </c>
      <c r="M97" s="2">
        <v>3</v>
      </c>
      <c r="N97" s="2" t="s">
        <v>67</v>
      </c>
      <c r="O97" s="15">
        <v>2</v>
      </c>
      <c r="P97" s="15" t="s">
        <v>970</v>
      </c>
    </row>
    <row r="98" spans="1:16">
      <c r="A98" s="2" t="s">
        <v>1197</v>
      </c>
      <c r="B98" s="2">
        <v>1</v>
      </c>
      <c r="C98" s="2" t="str">
        <f>IF(B98="","",VLOOKUP(B98,'Transacciones CHL'!$A$2:$B$14,2,FALSE))</f>
        <v>Producción bruta precio básico</v>
      </c>
      <c r="D98" s="2">
        <f>IF(B98="","",VLOOKUP(B98,'Transacciones CHL'!$A$2:$F$14,3,FALSE))</f>
        <v>1</v>
      </c>
      <c r="E98" s="2" t="str">
        <f>IF(B98="","",VLOOKUP(B98,'Transacciones CHL'!$A$2:$F$14,4,FALSE))</f>
        <v>Producción / Consumo intermedio</v>
      </c>
      <c r="F98" s="2">
        <f>IF(B98="","",VLOOKUP(B98,'Transacciones CHL'!$A$2:$F$14,5,FALSE))</f>
        <v>1</v>
      </c>
      <c r="G98" s="2" t="str">
        <f>IF(B98="","",VLOOKUP(B98,'Transacciones CHL'!$A$2:$F$14,6,FALSE))</f>
        <v>Producción / Consumo intermedio</v>
      </c>
      <c r="H98" s="2" t="s">
        <v>1198</v>
      </c>
      <c r="I98" s="2" t="s">
        <v>1199</v>
      </c>
      <c r="J98" s="2" t="s">
        <v>1198</v>
      </c>
      <c r="K98" s="2" t="s">
        <v>1200</v>
      </c>
      <c r="L98" s="2" t="s">
        <v>1201</v>
      </c>
      <c r="M98" s="2">
        <v>3</v>
      </c>
      <c r="N98" s="2" t="s">
        <v>67</v>
      </c>
      <c r="O98" s="15">
        <v>2</v>
      </c>
      <c r="P98" s="15" t="s">
        <v>970</v>
      </c>
    </row>
    <row r="99" spans="1:16">
      <c r="A99" s="2" t="s">
        <v>1202</v>
      </c>
      <c r="B99" s="2">
        <v>1</v>
      </c>
      <c r="C99" s="2" t="str">
        <f>IF(B99="","",VLOOKUP(B99,'Transacciones CHL'!$A$2:$B$14,2,FALSE))</f>
        <v>Producción bruta precio básico</v>
      </c>
      <c r="D99" s="2">
        <f>IF(B99="","",VLOOKUP(B99,'Transacciones CHL'!$A$2:$F$14,3,FALSE))</f>
        <v>1</v>
      </c>
      <c r="E99" s="2" t="str">
        <f>IF(B99="","",VLOOKUP(B99,'Transacciones CHL'!$A$2:$F$14,4,FALSE))</f>
        <v>Producción / Consumo intermedio</v>
      </c>
      <c r="F99" s="2">
        <f>IF(B99="","",VLOOKUP(B99,'Transacciones CHL'!$A$2:$F$14,5,FALSE))</f>
        <v>1</v>
      </c>
      <c r="G99" s="2" t="str">
        <f>IF(B99="","",VLOOKUP(B99,'Transacciones CHL'!$A$2:$F$14,6,FALSE))</f>
        <v>Producción / Consumo intermedio</v>
      </c>
      <c r="H99" s="2" t="s">
        <v>340</v>
      </c>
      <c r="I99" s="2" t="s">
        <v>1199</v>
      </c>
      <c r="J99" s="2" t="s">
        <v>1198</v>
      </c>
      <c r="K99" s="2" t="s">
        <v>1200</v>
      </c>
      <c r="L99" s="2" t="s">
        <v>1201</v>
      </c>
      <c r="M99" s="2">
        <v>3</v>
      </c>
      <c r="N99" s="2" t="s">
        <v>67</v>
      </c>
      <c r="O99" s="15">
        <v>2</v>
      </c>
      <c r="P99" s="15" t="s">
        <v>970</v>
      </c>
    </row>
    <row r="100" spans="1:16">
      <c r="A100" s="2" t="s">
        <v>1203</v>
      </c>
      <c r="B100" s="2">
        <v>1</v>
      </c>
      <c r="C100" s="2" t="str">
        <f>IF(B100="","",VLOOKUP(B100,'Transacciones CHL'!$A$2:$B$14,2,FALSE))</f>
        <v>Producción bruta precio básico</v>
      </c>
      <c r="D100" s="2">
        <f>IF(B100="","",VLOOKUP(B100,'Transacciones CHL'!$A$2:$F$14,3,FALSE))</f>
        <v>1</v>
      </c>
      <c r="E100" s="2" t="str">
        <f>IF(B100="","",VLOOKUP(B100,'Transacciones CHL'!$A$2:$F$14,4,FALSE))</f>
        <v>Producción / Consumo intermedio</v>
      </c>
      <c r="F100" s="2">
        <f>IF(B100="","",VLOOKUP(B100,'Transacciones CHL'!$A$2:$F$14,5,FALSE))</f>
        <v>1</v>
      </c>
      <c r="G100" s="2" t="str">
        <f>IF(B100="","",VLOOKUP(B100,'Transacciones CHL'!$A$2:$F$14,6,FALSE))</f>
        <v>Producción / Consumo intermedio</v>
      </c>
      <c r="H100" s="2" t="s">
        <v>1204</v>
      </c>
      <c r="I100" s="2" t="s">
        <v>1205</v>
      </c>
      <c r="J100" s="2" t="s">
        <v>1206</v>
      </c>
      <c r="K100" s="2" t="s">
        <v>1207</v>
      </c>
      <c r="L100" s="2" t="s">
        <v>1208</v>
      </c>
      <c r="M100" s="2">
        <v>3</v>
      </c>
      <c r="N100" s="2" t="s">
        <v>67</v>
      </c>
      <c r="O100" s="15">
        <v>2</v>
      </c>
      <c r="P100" s="15" t="s">
        <v>970</v>
      </c>
    </row>
    <row r="101" spans="1:16">
      <c r="A101" s="2" t="s">
        <v>1209</v>
      </c>
      <c r="B101" s="2">
        <v>1</v>
      </c>
      <c r="C101" s="2" t="str">
        <f>IF(B101="","",VLOOKUP(B101,'Transacciones CHL'!$A$2:$B$14,2,FALSE))</f>
        <v>Producción bruta precio básico</v>
      </c>
      <c r="D101" s="2">
        <f>IF(B101="","",VLOOKUP(B101,'Transacciones CHL'!$A$2:$F$14,3,FALSE))</f>
        <v>1</v>
      </c>
      <c r="E101" s="2" t="str">
        <f>IF(B101="","",VLOOKUP(B101,'Transacciones CHL'!$A$2:$F$14,4,FALSE))</f>
        <v>Producción / Consumo intermedio</v>
      </c>
      <c r="F101" s="2">
        <f>IF(B101="","",VLOOKUP(B101,'Transacciones CHL'!$A$2:$F$14,5,FALSE))</f>
        <v>1</v>
      </c>
      <c r="G101" s="2" t="str">
        <f>IF(B101="","",VLOOKUP(B101,'Transacciones CHL'!$A$2:$F$14,6,FALSE))</f>
        <v>Producción / Consumo intermedio</v>
      </c>
      <c r="H101" s="2" t="s">
        <v>1210</v>
      </c>
      <c r="I101" s="2" t="s">
        <v>1205</v>
      </c>
      <c r="J101" s="2" t="s">
        <v>1206</v>
      </c>
      <c r="K101" s="2" t="s">
        <v>1207</v>
      </c>
      <c r="L101" s="2" t="s">
        <v>1208</v>
      </c>
      <c r="M101" s="2">
        <v>3</v>
      </c>
      <c r="N101" s="2" t="s">
        <v>67</v>
      </c>
      <c r="O101" s="15">
        <v>1</v>
      </c>
      <c r="P101" s="15" t="s">
        <v>1065</v>
      </c>
    </row>
    <row r="102" spans="1:16">
      <c r="A102" s="2" t="s">
        <v>1211</v>
      </c>
      <c r="B102" s="2">
        <v>1</v>
      </c>
      <c r="C102" s="2" t="str">
        <f>IF(B102="","",VLOOKUP(B102,'Transacciones CHL'!$A$2:$B$14,2,FALSE))</f>
        <v>Producción bruta precio básico</v>
      </c>
      <c r="D102" s="2">
        <f>IF(B102="","",VLOOKUP(B102,'Transacciones CHL'!$A$2:$F$14,3,FALSE))</f>
        <v>1</v>
      </c>
      <c r="E102" s="2" t="str">
        <f>IF(B102="","",VLOOKUP(B102,'Transacciones CHL'!$A$2:$F$14,4,FALSE))</f>
        <v>Producción / Consumo intermedio</v>
      </c>
      <c r="F102" s="2">
        <f>IF(B102="","",VLOOKUP(B102,'Transacciones CHL'!$A$2:$F$14,5,FALSE))</f>
        <v>1</v>
      </c>
      <c r="G102" s="2" t="str">
        <f>IF(B102="","",VLOOKUP(B102,'Transacciones CHL'!$A$2:$F$14,6,FALSE))</f>
        <v>Producción / Consumo intermedio</v>
      </c>
      <c r="H102" s="2" t="s">
        <v>1212</v>
      </c>
      <c r="I102" s="2" t="s">
        <v>1205</v>
      </c>
      <c r="J102" s="2" t="s">
        <v>1206</v>
      </c>
      <c r="K102" s="2" t="s">
        <v>1207</v>
      </c>
      <c r="L102" s="2" t="s">
        <v>1208</v>
      </c>
      <c r="M102" s="2">
        <v>2</v>
      </c>
      <c r="N102" s="2" t="s">
        <v>142</v>
      </c>
      <c r="O102" s="15">
        <v>1</v>
      </c>
      <c r="P102" s="15" t="s">
        <v>1065</v>
      </c>
    </row>
    <row r="103" spans="1:16">
      <c r="A103" s="2" t="s">
        <v>1213</v>
      </c>
      <c r="B103" s="2">
        <v>1</v>
      </c>
      <c r="C103" s="2" t="str">
        <f>IF(B103="","",VLOOKUP(B103,'Transacciones CHL'!$A$2:$B$14,2,FALSE))</f>
        <v>Producción bruta precio básico</v>
      </c>
      <c r="D103" s="2">
        <f>IF(B103="","",VLOOKUP(B103,'Transacciones CHL'!$A$2:$F$14,3,FALSE))</f>
        <v>1</v>
      </c>
      <c r="E103" s="2" t="str">
        <f>IF(B103="","",VLOOKUP(B103,'Transacciones CHL'!$A$2:$F$14,4,FALSE))</f>
        <v>Producción / Consumo intermedio</v>
      </c>
      <c r="F103" s="2">
        <f>IF(B103="","",VLOOKUP(B103,'Transacciones CHL'!$A$2:$F$14,5,FALSE))</f>
        <v>1</v>
      </c>
      <c r="G103" s="2" t="str">
        <f>IF(B103="","",VLOOKUP(B103,'Transacciones CHL'!$A$2:$F$14,6,FALSE))</f>
        <v>Producción / Consumo intermedio</v>
      </c>
      <c r="H103" s="2" t="s">
        <v>1214</v>
      </c>
      <c r="I103" s="2" t="s">
        <v>1215</v>
      </c>
      <c r="J103" s="2" t="s">
        <v>1216</v>
      </c>
      <c r="K103" s="2" t="s">
        <v>1217</v>
      </c>
      <c r="L103" s="2" t="s">
        <v>1218</v>
      </c>
      <c r="M103" s="2">
        <v>3</v>
      </c>
      <c r="N103" s="2" t="s">
        <v>67</v>
      </c>
      <c r="O103" s="15">
        <v>2</v>
      </c>
      <c r="P103" s="15" t="s">
        <v>970</v>
      </c>
    </row>
    <row r="104" spans="1:16">
      <c r="A104" s="2" t="s">
        <v>1219</v>
      </c>
      <c r="B104" s="2">
        <v>1</v>
      </c>
      <c r="C104" s="2" t="str">
        <f>IF(B104="","",VLOOKUP(B104,'Transacciones CHL'!$A$2:$B$14,2,FALSE))</f>
        <v>Producción bruta precio básico</v>
      </c>
      <c r="D104" s="2">
        <f>IF(B104="","",VLOOKUP(B104,'Transacciones CHL'!$A$2:$F$14,3,FALSE))</f>
        <v>1</v>
      </c>
      <c r="E104" s="2" t="str">
        <f>IF(B104="","",VLOOKUP(B104,'Transacciones CHL'!$A$2:$F$14,4,FALSE))</f>
        <v>Producción / Consumo intermedio</v>
      </c>
      <c r="F104" s="2">
        <f>IF(B104="","",VLOOKUP(B104,'Transacciones CHL'!$A$2:$F$14,5,FALSE))</f>
        <v>1</v>
      </c>
      <c r="G104" s="2" t="str">
        <f>IF(B104="","",VLOOKUP(B104,'Transacciones CHL'!$A$2:$F$14,6,FALSE))</f>
        <v>Producción / Consumo intermedio</v>
      </c>
      <c r="H104" s="2" t="s">
        <v>1220</v>
      </c>
      <c r="I104" s="2" t="s">
        <v>1215</v>
      </c>
      <c r="J104" s="2" t="s">
        <v>1216</v>
      </c>
      <c r="K104" s="2" t="s">
        <v>1217</v>
      </c>
      <c r="L104" s="2" t="s">
        <v>1218</v>
      </c>
      <c r="M104" s="2">
        <v>3</v>
      </c>
      <c r="N104" s="2" t="s">
        <v>67</v>
      </c>
      <c r="O104" s="15">
        <v>2</v>
      </c>
      <c r="P104" s="15" t="s">
        <v>970</v>
      </c>
    </row>
    <row r="105" spans="1:16">
      <c r="A105" s="2" t="s">
        <v>1221</v>
      </c>
      <c r="B105" s="2">
        <v>1</v>
      </c>
      <c r="C105" s="2" t="str">
        <f>IF(B105="","",VLOOKUP(B105,'Transacciones CHL'!$A$2:$B$14,2,FALSE))</f>
        <v>Producción bruta precio básico</v>
      </c>
      <c r="D105" s="2">
        <f>IF(B105="","",VLOOKUP(B105,'Transacciones CHL'!$A$2:$F$14,3,FALSE))</f>
        <v>1</v>
      </c>
      <c r="E105" s="2" t="str">
        <f>IF(B105="","",VLOOKUP(B105,'Transacciones CHL'!$A$2:$F$14,4,FALSE))</f>
        <v>Producción / Consumo intermedio</v>
      </c>
      <c r="F105" s="2">
        <f>IF(B105="","",VLOOKUP(B105,'Transacciones CHL'!$A$2:$F$14,5,FALSE))</f>
        <v>1</v>
      </c>
      <c r="G105" s="2" t="str">
        <f>IF(B105="","",VLOOKUP(B105,'Transacciones CHL'!$A$2:$F$14,6,FALSE))</f>
        <v>Producción / Consumo intermedio</v>
      </c>
      <c r="H105" s="2" t="s">
        <v>1222</v>
      </c>
      <c r="I105" s="2" t="s">
        <v>1223</v>
      </c>
      <c r="J105" s="2" t="s">
        <v>1224</v>
      </c>
      <c r="K105" s="2" t="s">
        <v>1222</v>
      </c>
      <c r="L105" s="2" t="s">
        <v>1225</v>
      </c>
      <c r="M105" s="2">
        <v>3</v>
      </c>
      <c r="N105" s="2" t="s">
        <v>67</v>
      </c>
      <c r="O105" s="15">
        <v>2</v>
      </c>
      <c r="P105" s="15" t="s">
        <v>970</v>
      </c>
    </row>
    <row r="106" spans="1:16">
      <c r="A106" s="2" t="s">
        <v>1226</v>
      </c>
      <c r="B106" s="2">
        <v>1</v>
      </c>
      <c r="C106" s="2" t="str">
        <f>IF(B106="","",VLOOKUP(B106,'Transacciones CHL'!$A$2:$B$14,2,FALSE))</f>
        <v>Producción bruta precio básico</v>
      </c>
      <c r="D106" s="2">
        <f>IF(B106="","",VLOOKUP(B106,'Transacciones CHL'!$A$2:$F$14,3,FALSE))</f>
        <v>1</v>
      </c>
      <c r="E106" s="2" t="str">
        <f>IF(B106="","",VLOOKUP(B106,'Transacciones CHL'!$A$2:$F$14,4,FALSE))</f>
        <v>Producción / Consumo intermedio</v>
      </c>
      <c r="F106" s="2">
        <f>IF(B106="","",VLOOKUP(B106,'Transacciones CHL'!$A$2:$F$14,5,FALSE))</f>
        <v>1</v>
      </c>
      <c r="G106" s="2" t="str">
        <f>IF(B106="","",VLOOKUP(B106,'Transacciones CHL'!$A$2:$F$14,6,FALSE))</f>
        <v>Producción / Consumo intermedio</v>
      </c>
      <c r="H106" s="2" t="s">
        <v>1227</v>
      </c>
      <c r="I106" s="2" t="s">
        <v>1228</v>
      </c>
      <c r="J106" s="2" t="s">
        <v>1229</v>
      </c>
      <c r="K106" s="2" t="s">
        <v>1229</v>
      </c>
      <c r="L106" s="2" t="s">
        <v>1230</v>
      </c>
      <c r="M106" s="2">
        <v>3</v>
      </c>
      <c r="N106" s="2" t="s">
        <v>67</v>
      </c>
      <c r="O106" s="15">
        <v>2</v>
      </c>
      <c r="P106" s="15" t="s">
        <v>970</v>
      </c>
    </row>
    <row r="107" spans="1:16">
      <c r="A107" s="2" t="s">
        <v>1231</v>
      </c>
      <c r="B107" s="2">
        <v>1</v>
      </c>
      <c r="C107" s="2" t="str">
        <f>IF(B107="","",VLOOKUP(B107,'Transacciones CHL'!$A$2:$B$14,2,FALSE))</f>
        <v>Producción bruta precio básico</v>
      </c>
      <c r="D107" s="2">
        <f>IF(B107="","",VLOOKUP(B107,'Transacciones CHL'!$A$2:$F$14,3,FALSE))</f>
        <v>1</v>
      </c>
      <c r="E107" s="2" t="str">
        <f>IF(B107="","",VLOOKUP(B107,'Transacciones CHL'!$A$2:$F$14,4,FALSE))</f>
        <v>Producción / Consumo intermedio</v>
      </c>
      <c r="F107" s="2">
        <f>IF(B107="","",VLOOKUP(B107,'Transacciones CHL'!$A$2:$F$14,5,FALSE))</f>
        <v>1</v>
      </c>
      <c r="G107" s="2" t="str">
        <f>IF(B107="","",VLOOKUP(B107,'Transacciones CHL'!$A$2:$F$14,6,FALSE))</f>
        <v>Producción / Consumo intermedio</v>
      </c>
      <c r="H107" s="2" t="s">
        <v>1232</v>
      </c>
      <c r="I107" s="2" t="s">
        <v>1228</v>
      </c>
      <c r="J107" s="2" t="s">
        <v>1229</v>
      </c>
      <c r="K107" s="2" t="s">
        <v>1229</v>
      </c>
      <c r="L107" s="2" t="s">
        <v>1230</v>
      </c>
      <c r="M107" s="2">
        <v>3</v>
      </c>
      <c r="N107" s="2" t="s">
        <v>67</v>
      </c>
      <c r="O107" s="15">
        <v>1</v>
      </c>
      <c r="P107" s="15" t="s">
        <v>1065</v>
      </c>
    </row>
    <row r="108" spans="1:16">
      <c r="A108" s="2" t="s">
        <v>1233</v>
      </c>
      <c r="B108" s="2">
        <v>1</v>
      </c>
      <c r="C108" s="2" t="str">
        <f>IF(B108="","",VLOOKUP(B108,'Transacciones CHL'!$A$2:$B$14,2,FALSE))</f>
        <v>Producción bruta precio básico</v>
      </c>
      <c r="D108" s="2">
        <f>IF(B108="","",VLOOKUP(B108,'Transacciones CHL'!$A$2:$F$14,3,FALSE))</f>
        <v>1</v>
      </c>
      <c r="E108" s="2" t="str">
        <f>IF(B108="","",VLOOKUP(B108,'Transacciones CHL'!$A$2:$F$14,4,FALSE))</f>
        <v>Producción / Consumo intermedio</v>
      </c>
      <c r="F108" s="2">
        <f>IF(B108="","",VLOOKUP(B108,'Transacciones CHL'!$A$2:$F$14,5,FALSE))</f>
        <v>1</v>
      </c>
      <c r="G108" s="2" t="str">
        <f>IF(B108="","",VLOOKUP(B108,'Transacciones CHL'!$A$2:$F$14,6,FALSE))</f>
        <v>Producción / Consumo intermedio</v>
      </c>
      <c r="H108" s="2" t="s">
        <v>1234</v>
      </c>
      <c r="I108" s="2" t="s">
        <v>1235</v>
      </c>
      <c r="J108" s="2" t="s">
        <v>1236</v>
      </c>
      <c r="K108" s="2" t="s">
        <v>1237</v>
      </c>
      <c r="L108" s="2" t="s">
        <v>1238</v>
      </c>
      <c r="M108" s="2">
        <v>3</v>
      </c>
      <c r="N108" s="2" t="s">
        <v>67</v>
      </c>
      <c r="O108" s="15">
        <v>2</v>
      </c>
      <c r="P108" s="15" t="s">
        <v>970</v>
      </c>
    </row>
    <row r="109" spans="1:16">
      <c r="A109" s="2" t="s">
        <v>1239</v>
      </c>
      <c r="B109" s="2">
        <v>1</v>
      </c>
      <c r="C109" s="2" t="str">
        <f>IF(B109="","",VLOOKUP(B109,'Transacciones CHL'!$A$2:$B$14,2,FALSE))</f>
        <v>Producción bruta precio básico</v>
      </c>
      <c r="D109" s="2">
        <f>IF(B109="","",VLOOKUP(B109,'Transacciones CHL'!$A$2:$F$14,3,FALSE))</f>
        <v>1</v>
      </c>
      <c r="E109" s="2" t="str">
        <f>IF(B109="","",VLOOKUP(B109,'Transacciones CHL'!$A$2:$F$14,4,FALSE))</f>
        <v>Producción / Consumo intermedio</v>
      </c>
      <c r="F109" s="2">
        <f>IF(B109="","",VLOOKUP(B109,'Transacciones CHL'!$A$2:$F$14,5,FALSE))</f>
        <v>1</v>
      </c>
      <c r="G109" s="2" t="str">
        <f>IF(B109="","",VLOOKUP(B109,'Transacciones CHL'!$A$2:$F$14,6,FALSE))</f>
        <v>Producción / Consumo intermedio</v>
      </c>
      <c r="H109" s="2" t="s">
        <v>1240</v>
      </c>
      <c r="I109" s="2" t="s">
        <v>1235</v>
      </c>
      <c r="J109" s="2" t="s">
        <v>1236</v>
      </c>
      <c r="K109" s="2" t="s">
        <v>1237</v>
      </c>
      <c r="L109" s="2" t="s">
        <v>1238</v>
      </c>
      <c r="M109" s="2">
        <v>3</v>
      </c>
      <c r="N109" s="2" t="s">
        <v>67</v>
      </c>
      <c r="O109" s="15">
        <v>2</v>
      </c>
      <c r="P109" s="15" t="s">
        <v>970</v>
      </c>
    </row>
    <row r="110" spans="1:16">
      <c r="A110" s="2" t="s">
        <v>1241</v>
      </c>
      <c r="B110" s="2">
        <v>1</v>
      </c>
      <c r="C110" s="2" t="str">
        <f>IF(B110="","",VLOOKUP(B110,'Transacciones CHL'!$A$2:$B$14,2,FALSE))</f>
        <v>Producción bruta precio básico</v>
      </c>
      <c r="D110" s="2">
        <f>IF(B110="","",VLOOKUP(B110,'Transacciones CHL'!$A$2:$F$14,3,FALSE))</f>
        <v>1</v>
      </c>
      <c r="E110" s="2" t="str">
        <f>IF(B110="","",VLOOKUP(B110,'Transacciones CHL'!$A$2:$F$14,4,FALSE))</f>
        <v>Producción / Consumo intermedio</v>
      </c>
      <c r="F110" s="2">
        <f>IF(B110="","",VLOOKUP(B110,'Transacciones CHL'!$A$2:$F$14,5,FALSE))</f>
        <v>1</v>
      </c>
      <c r="G110" s="2" t="str">
        <f>IF(B110="","",VLOOKUP(B110,'Transacciones CHL'!$A$2:$F$14,6,FALSE))</f>
        <v>Producción / Consumo intermedio</v>
      </c>
      <c r="H110" s="2" t="s">
        <v>1242</v>
      </c>
      <c r="I110" s="2" t="s">
        <v>1243</v>
      </c>
      <c r="J110" s="2" t="s">
        <v>1244</v>
      </c>
      <c r="K110" s="2" t="s">
        <v>1245</v>
      </c>
      <c r="L110" s="2" t="s">
        <v>1246</v>
      </c>
      <c r="M110" s="2">
        <v>3</v>
      </c>
      <c r="N110" s="2" t="s">
        <v>67</v>
      </c>
      <c r="O110" s="15">
        <v>1</v>
      </c>
      <c r="P110" s="15" t="s">
        <v>1065</v>
      </c>
    </row>
    <row r="111" spans="1:16">
      <c r="A111" s="2" t="s">
        <v>1247</v>
      </c>
      <c r="B111" s="2">
        <v>1</v>
      </c>
      <c r="C111" s="2" t="str">
        <f>IF(B111="","",VLOOKUP(B111,'Transacciones CHL'!$A$2:$B$14,2,FALSE))</f>
        <v>Producción bruta precio básico</v>
      </c>
      <c r="D111" s="2">
        <f>IF(B111="","",VLOOKUP(B111,'Transacciones CHL'!$A$2:$F$14,3,FALSE))</f>
        <v>1</v>
      </c>
      <c r="E111" s="2" t="str">
        <f>IF(B111="","",VLOOKUP(B111,'Transacciones CHL'!$A$2:$F$14,4,FALSE))</f>
        <v>Producción / Consumo intermedio</v>
      </c>
      <c r="F111" s="2">
        <f>IF(B111="","",VLOOKUP(B111,'Transacciones CHL'!$A$2:$F$14,5,FALSE))</f>
        <v>1</v>
      </c>
      <c r="G111" s="2" t="str">
        <f>IF(B111="","",VLOOKUP(B111,'Transacciones CHL'!$A$2:$F$14,6,FALSE))</f>
        <v>Producción / Consumo intermedio</v>
      </c>
      <c r="H111" s="2" t="s">
        <v>1248</v>
      </c>
      <c r="I111" s="2" t="s">
        <v>1243</v>
      </c>
      <c r="J111" s="2" t="s">
        <v>1244</v>
      </c>
      <c r="K111" s="2" t="s">
        <v>1245</v>
      </c>
      <c r="L111" s="2" t="s">
        <v>1246</v>
      </c>
      <c r="M111" s="2">
        <v>3</v>
      </c>
      <c r="N111" s="2" t="s">
        <v>67</v>
      </c>
      <c r="O111" s="15">
        <v>1</v>
      </c>
      <c r="P111" s="15" t="s">
        <v>1065</v>
      </c>
    </row>
    <row r="112" spans="1:16">
      <c r="A112" s="2" t="s">
        <v>1249</v>
      </c>
      <c r="B112" s="2">
        <v>1</v>
      </c>
      <c r="C112" s="2" t="str">
        <f>IF(B112="","",VLOOKUP(B112,'Transacciones CHL'!$A$2:$B$14,2,FALSE))</f>
        <v>Producción bruta precio básico</v>
      </c>
      <c r="D112" s="2">
        <f>IF(B112="","",VLOOKUP(B112,'Transacciones CHL'!$A$2:$F$14,3,FALSE))</f>
        <v>1</v>
      </c>
      <c r="E112" s="2" t="str">
        <f>IF(B112="","",VLOOKUP(B112,'Transacciones CHL'!$A$2:$F$14,4,FALSE))</f>
        <v>Producción / Consumo intermedio</v>
      </c>
      <c r="F112" s="2">
        <f>IF(B112="","",VLOOKUP(B112,'Transacciones CHL'!$A$2:$F$14,5,FALSE))</f>
        <v>1</v>
      </c>
      <c r="G112" s="2" t="str">
        <f>IF(B112="","",VLOOKUP(B112,'Transacciones CHL'!$A$2:$F$14,6,FALSE))</f>
        <v>Producción / Consumo intermedio</v>
      </c>
      <c r="H112" s="2" t="s">
        <v>1250</v>
      </c>
      <c r="I112" s="2" t="s">
        <v>1251</v>
      </c>
      <c r="J112" s="2" t="s">
        <v>1252</v>
      </c>
      <c r="K112" s="2" t="s">
        <v>1253</v>
      </c>
      <c r="L112" s="2" t="s">
        <v>1254</v>
      </c>
      <c r="M112" s="2">
        <v>3</v>
      </c>
      <c r="N112" s="2" t="s">
        <v>67</v>
      </c>
      <c r="O112" s="15">
        <v>2</v>
      </c>
      <c r="P112" s="15" t="s">
        <v>970</v>
      </c>
    </row>
    <row r="113" spans="1:16">
      <c r="A113" s="2" t="s">
        <v>1255</v>
      </c>
      <c r="B113" s="2"/>
      <c r="C113" s="2" t="str">
        <f>IF(B113="","",VLOOKUP(B113,'Transacciones CHL'!$A$2:$B$14,2,FALSE))</f>
        <v/>
      </c>
      <c r="D113" s="2" t="str">
        <f>IF(B113="","",VLOOKUP(B113,'Transacciones CHL'!$A$2:$F$14,3,FALSE))</f>
        <v/>
      </c>
      <c r="E113" s="2" t="str">
        <f>IF(B113="","",VLOOKUP(B113,'Transacciones CHL'!$A$2:$F$14,4,FALSE))</f>
        <v/>
      </c>
      <c r="F113" s="2" t="str">
        <f>IF(B113="","",VLOOKUP(B113,'Transacciones CHL'!$A$2:$F$14,5,FALSE))</f>
        <v/>
      </c>
      <c r="G113" s="2" t="str">
        <f>IF(B113="","",VLOOKUP(B113,'Transacciones CHL'!$A$2:$F$14,6,FALSE))</f>
        <v/>
      </c>
      <c r="H113" s="2"/>
      <c r="I113" s="2"/>
      <c r="J113" s="2"/>
      <c r="K113" s="2"/>
      <c r="L113" s="2"/>
      <c r="M113" s="2"/>
      <c r="N113" s="2"/>
      <c r="O113" s="2"/>
      <c r="P113" s="2"/>
    </row>
    <row r="114" spans="1:16">
      <c r="A114" s="4" t="s">
        <v>1256</v>
      </c>
      <c r="B114" s="4"/>
      <c r="C114" s="4" t="str">
        <f>IF(B114="","",VLOOKUP(B114,'Transacciones CHL'!$A$2:$B$14,2,FALSE))</f>
        <v/>
      </c>
      <c r="D114" s="4" t="str">
        <f>IF(B114="","",VLOOKUP(B114,'Transacciones CHL'!$A$2:$F$14,3,FALSE))</f>
        <v/>
      </c>
      <c r="E114" s="4" t="str">
        <f>IF(B114="","",VLOOKUP(B114,'Transacciones CHL'!$A$2:$F$14,4,FALSE))</f>
        <v/>
      </c>
      <c r="F114" s="4" t="str">
        <f>IF(B114="","",VLOOKUP(B114,'Transacciones CHL'!$A$2:$F$14,5,FALSE))</f>
        <v/>
      </c>
      <c r="G114" s="4" t="str">
        <f>IF(B114="","",VLOOKUP(B114,'Transacciones CHL'!$A$2:$F$14,6,FALSE))</f>
        <v/>
      </c>
      <c r="H114" s="4"/>
      <c r="I114" s="4"/>
      <c r="J114" s="4"/>
      <c r="K114" s="4"/>
      <c r="L114" s="4"/>
      <c r="M114" s="4"/>
      <c r="N114" s="4"/>
      <c r="O114" s="4"/>
      <c r="P114" s="4"/>
    </row>
    <row r="115" spans="1:16">
      <c r="A115" s="4" t="s">
        <v>1257</v>
      </c>
      <c r="B115" s="4">
        <v>2</v>
      </c>
      <c r="C115" s="4" t="str">
        <f>IF(B115="","",VLOOKUP(B115,'Transacciones CHL'!$A$2:$B$14,2,FALSE))</f>
        <v>Importaciones precios cif</v>
      </c>
      <c r="D115" s="4">
        <f>IF(B115="","",VLOOKUP(B115,'Transacciones CHL'!$A$2:$F$14,3,FALSE))</f>
        <v>2</v>
      </c>
      <c r="E115" s="4" t="str">
        <f>IF(B115="","",VLOOKUP(B115,'Transacciones CHL'!$A$2:$F$14,4,FALSE))</f>
        <v>Importaciones / Exportaciones</v>
      </c>
      <c r="F115" s="4">
        <f>IF(B115="","",VLOOKUP(B115,'Transacciones CHL'!$A$2:$F$14,5,FALSE))</f>
        <v>2</v>
      </c>
      <c r="G115" s="4" t="str">
        <f>IF(B115="","",VLOOKUP(B115,'Transacciones CHL'!$A$2:$F$14,6,FALSE))</f>
        <v>Importaciones / Exportaciones</v>
      </c>
      <c r="H115" s="4"/>
      <c r="I115" s="4"/>
      <c r="J115" s="4"/>
      <c r="K115" s="4"/>
      <c r="L115" s="4"/>
      <c r="M115" s="4"/>
      <c r="N115" s="4"/>
      <c r="O115" s="4"/>
      <c r="P115" s="4"/>
    </row>
    <row r="116" spans="1:16">
      <c r="A116" s="4" t="s">
        <v>1264</v>
      </c>
      <c r="B116" s="4"/>
      <c r="C116" s="4" t="str">
        <f>IF(B116="","",VLOOKUP(B116,'Transacciones CHL'!$A$2:$B$14,2,FALSE))</f>
        <v/>
      </c>
      <c r="D116" s="4" t="str">
        <f>IF(B116="","",VLOOKUP(B116,'Transacciones CHL'!$A$2:$F$14,3,FALSE))</f>
        <v/>
      </c>
      <c r="E116" s="4" t="str">
        <f>IF(B116="","",VLOOKUP(B116,'Transacciones CHL'!$A$2:$F$14,4,FALSE))</f>
        <v/>
      </c>
      <c r="F116" s="4" t="str">
        <f>IF(B116="","",VLOOKUP(B116,'Transacciones CHL'!$A$2:$F$14,5,FALSE))</f>
        <v/>
      </c>
      <c r="G116" s="4" t="str">
        <f>IF(B116="","",VLOOKUP(B116,'Transacciones CHL'!$A$2:$F$14,6,FALSE))</f>
        <v/>
      </c>
      <c r="H116" s="4"/>
      <c r="I116" s="4"/>
      <c r="J116" s="4"/>
      <c r="K116" s="4"/>
      <c r="L116" s="4"/>
      <c r="M116" s="4"/>
      <c r="N116" s="4"/>
      <c r="O116" s="4"/>
      <c r="P116" s="4"/>
    </row>
    <row r="117" spans="1:16">
      <c r="A117" s="4" t="s">
        <v>1265</v>
      </c>
      <c r="B117" s="4">
        <v>3</v>
      </c>
      <c r="C117" s="4" t="str">
        <f>IF(B117="","",VLOOKUP(B117,'Transacciones CHL'!$A$2:$B$14,2,FALSE))</f>
        <v>Impuestos indirectos sobre bienes y servicios</v>
      </c>
      <c r="D117" s="4">
        <f>IF(B117="","",VLOOKUP(B117,'Transacciones CHL'!$A$2:$F$14,3,FALSE))</f>
        <v>3</v>
      </c>
      <c r="E117" s="4" t="str">
        <f>IF(B117="","",VLOOKUP(B117,'Transacciones CHL'!$A$2:$F$14,4,FALSE))</f>
        <v>Impuestos indirectos sobre bienes y servicios</v>
      </c>
      <c r="F117" s="4">
        <f>IF(B117="","",VLOOKUP(B117,'Transacciones CHL'!$A$2:$F$14,5,FALSE))</f>
        <v>3</v>
      </c>
      <c r="G117" s="4" t="str">
        <f>IF(B117="","",VLOOKUP(B117,'Transacciones CHL'!$A$2:$F$14,6,FALSE))</f>
        <v>Impuestos</v>
      </c>
      <c r="H117" s="4"/>
      <c r="I117" s="4"/>
      <c r="J117" s="4"/>
      <c r="K117" s="4"/>
      <c r="L117" s="4"/>
      <c r="M117" s="4"/>
      <c r="N117" s="4"/>
      <c r="O117" s="4"/>
      <c r="P117" s="4"/>
    </row>
    <row r="118" spans="1:16">
      <c r="A118" s="4" t="s">
        <v>1272</v>
      </c>
      <c r="B118" s="4">
        <v>4</v>
      </c>
      <c r="C118" s="4" t="str">
        <f>IF(B118="","",VLOOKUP(B118,'Transacciones CHL'!$A$2:$B$14,2,FALSE))</f>
        <v>Derechos de importación</v>
      </c>
      <c r="D118" s="4">
        <f>IF(B118="","",VLOOKUP(B118,'Transacciones CHL'!$A$2:$F$14,3,FALSE))</f>
        <v>4</v>
      </c>
      <c r="E118" s="4" t="str">
        <f>IF(B118="","",VLOOKUP(B118,'Transacciones CHL'!$A$2:$F$14,4,FALSE))</f>
        <v>Derechos de importación</v>
      </c>
      <c r="F118" s="4">
        <f>IF(B118="","",VLOOKUP(B118,'Transacciones CHL'!$A$2:$F$14,5,FALSE))</f>
        <v>3</v>
      </c>
      <c r="G118" s="4" t="str">
        <f>IF(B118="","",VLOOKUP(B118,'Transacciones CHL'!$A$2:$F$14,6,FALSE))</f>
        <v>Impuestos</v>
      </c>
      <c r="H118" s="4"/>
      <c r="I118" s="4"/>
      <c r="J118" s="4"/>
      <c r="K118" s="4"/>
      <c r="L118" s="4"/>
      <c r="M118" s="4"/>
      <c r="N118" s="4"/>
      <c r="O118" s="4"/>
      <c r="P118" s="4"/>
    </row>
    <row r="119" spans="1:16">
      <c r="A119" s="4" t="s">
        <v>1275</v>
      </c>
      <c r="B119" s="4"/>
      <c r="C119" s="4" t="str">
        <f>IF(B119="","",VLOOKUP(B119,'Transacciones CHL'!$A$2:$B$14,2,FALSE))</f>
        <v/>
      </c>
      <c r="D119" s="4" t="str">
        <f>IF(B119="","",VLOOKUP(B119,'Transacciones CHL'!$A$2:$F$14,3,FALSE))</f>
        <v/>
      </c>
      <c r="E119" s="4" t="str">
        <f>IF(B119="","",VLOOKUP(B119,'Transacciones CHL'!$A$2:$F$14,4,FALSE))</f>
        <v/>
      </c>
      <c r="F119" s="4" t="str">
        <f>IF(B119="","",VLOOKUP(B119,'Transacciones CHL'!$A$2:$F$14,5,FALSE))</f>
        <v/>
      </c>
      <c r="G119" s="4" t="str">
        <f>IF(B119="","",VLOOKUP(B119,'Transacciones CHL'!$A$2:$F$14,6,FALSE))</f>
        <v/>
      </c>
      <c r="H119" s="4"/>
      <c r="I119" s="4"/>
      <c r="J119" s="4"/>
      <c r="K119" s="4"/>
      <c r="L119" s="4"/>
      <c r="M119" s="4"/>
      <c r="N119" s="4"/>
      <c r="O119" s="4"/>
      <c r="P119" s="4"/>
    </row>
    <row r="120" spans="1:16">
      <c r="A120" s="4" t="s">
        <v>1276</v>
      </c>
      <c r="B120" s="4">
        <v>5</v>
      </c>
      <c r="C120" s="4" t="str">
        <f>IF(B120="","",VLOOKUP(B120,'Transacciones CHL'!$A$2:$B$14,2,FALSE))</f>
        <v>Margen de comercio</v>
      </c>
      <c r="D120" s="4">
        <f>IF(B120="","",VLOOKUP(B120,'Transacciones CHL'!$A$2:$F$14,3,FALSE))</f>
        <v>5</v>
      </c>
      <c r="E120" s="4" t="str">
        <f>IF(B120="","",VLOOKUP(B120,'Transacciones CHL'!$A$2:$F$14,4,FALSE))</f>
        <v>Margen de comercio</v>
      </c>
      <c r="F120" s="4">
        <f>IF(B120="","",VLOOKUP(B120,'Transacciones CHL'!$A$2:$F$14,5,FALSE))</f>
        <v>4</v>
      </c>
      <c r="G120" s="4" t="str">
        <f>IF(B120="","",VLOOKUP(B120,'Transacciones CHL'!$A$2:$F$14,6,FALSE))</f>
        <v>Márgenes</v>
      </c>
      <c r="H120" s="4"/>
      <c r="I120" s="4"/>
      <c r="J120" s="4"/>
      <c r="K120" s="4"/>
      <c r="L120" s="4"/>
      <c r="M120" s="4"/>
      <c r="N120" s="4"/>
      <c r="O120" s="4"/>
      <c r="P120" s="4"/>
    </row>
    <row r="121" spans="1:16">
      <c r="A121" s="4" t="s">
        <v>1282</v>
      </c>
      <c r="B121" s="4">
        <v>6</v>
      </c>
      <c r="C121" s="4" t="str">
        <f>IF(B121="","",VLOOKUP(B121,'Transacciones CHL'!$A$2:$B$14,2,FALSE))</f>
        <v>Impuesto al valor agregado</v>
      </c>
      <c r="D121" s="4">
        <f>IF(B121="","",VLOOKUP(B121,'Transacciones CHL'!$A$2:$F$14,3,FALSE))</f>
        <v>6</v>
      </c>
      <c r="E121" s="4" t="str">
        <f>IF(B121="","",VLOOKUP(B121,'Transacciones CHL'!$A$2:$F$14,4,FALSE))</f>
        <v>Impuesto al valor agregado</v>
      </c>
      <c r="F121" s="4">
        <f>IF(B121="","",VLOOKUP(B121,'Transacciones CHL'!$A$2:$F$14,5,FALSE))</f>
        <v>3</v>
      </c>
      <c r="G121" s="4" t="str">
        <f>IF(B121="","",VLOOKUP(B121,'Transacciones CHL'!$A$2:$F$14,6,FALSE))</f>
        <v>Impuestos</v>
      </c>
      <c r="H121" s="4"/>
      <c r="I121" s="4"/>
      <c r="J121" s="4"/>
      <c r="K121" s="4"/>
      <c r="L121" s="4"/>
      <c r="M121" s="4"/>
      <c r="N121" s="4"/>
      <c r="O121" s="4"/>
      <c r="P121" s="4"/>
    </row>
    <row r="122" spans="1:16">
      <c r="A122" s="4" t="s">
        <v>1285</v>
      </c>
      <c r="B122" s="4"/>
      <c r="C122" s="4" t="str">
        <f>IF(B122="","",VLOOKUP(B122,'Transacciones CHL'!$A$2:$B$14,2,FALSE))</f>
        <v/>
      </c>
      <c r="D122" s="4" t="str">
        <f>IF(B122="","",VLOOKUP(B122,'Transacciones CHL'!$A$2:$F$14,3,FALSE))</f>
        <v/>
      </c>
      <c r="E122" s="4" t="str">
        <f>IF(B122="","",VLOOKUP(B122,'Transacciones CHL'!$A$2:$F$14,4,FALSE))</f>
        <v/>
      </c>
      <c r="F122" s="4" t="str">
        <f>IF(B122="","",VLOOKUP(B122,'Transacciones CHL'!$A$2:$F$14,5,FALSE))</f>
        <v/>
      </c>
      <c r="G122" s="4" t="str">
        <f>IF(B122="","",VLOOKUP(B122,'Transacciones CHL'!$A$2:$F$14,6,FALSE))</f>
        <v/>
      </c>
      <c r="H122" s="4"/>
      <c r="I122" s="4"/>
      <c r="J122" s="4"/>
      <c r="K122" s="4"/>
      <c r="L122" s="4"/>
      <c r="M122" s="4"/>
      <c r="N122" s="4"/>
      <c r="O122" s="4"/>
      <c r="P122" s="4"/>
    </row>
    <row r="123" spans="1:16">
      <c r="A123" s="2" t="s">
        <v>1286</v>
      </c>
      <c r="B123" s="2">
        <v>7</v>
      </c>
      <c r="C123" s="2" t="str">
        <f>IF(B123="","",VLOOKUP(B123,'Transacciones CHL'!$A$2:$B$14,2,FALSE))</f>
        <v>Consumo intermedio</v>
      </c>
      <c r="D123" s="2">
        <f>IF(B123="","",VLOOKUP(B123,'Transacciones CHL'!$A$2:$F$14,3,FALSE))</f>
        <v>1</v>
      </c>
      <c r="E123" s="2" t="str">
        <f>IF(B123="","",VLOOKUP(B123,'Transacciones CHL'!$A$2:$F$14,4,FALSE))</f>
        <v>Producción / Consumo intermedio</v>
      </c>
      <c r="F123" s="2">
        <f>IF(B123="","",VLOOKUP(B123,'Transacciones CHL'!$A$2:$F$14,5,FALSE))</f>
        <v>1</v>
      </c>
      <c r="G123" s="2" t="str">
        <f>IF(B123="","",VLOOKUP(B123,'Transacciones CHL'!$A$2:$F$14,6,FALSE))</f>
        <v>Producción / Consumo intermedio</v>
      </c>
      <c r="H123" s="2" t="s">
        <v>965</v>
      </c>
      <c r="I123" s="2" t="s">
        <v>966</v>
      </c>
      <c r="J123" s="2" t="s">
        <v>967</v>
      </c>
      <c r="K123" s="2" t="s">
        <v>968</v>
      </c>
      <c r="L123" s="2" t="s">
        <v>969</v>
      </c>
      <c r="M123" s="2">
        <v>1</v>
      </c>
      <c r="N123" s="2" t="s">
        <v>14</v>
      </c>
      <c r="O123" s="15">
        <v>2</v>
      </c>
      <c r="P123" s="15" t="s">
        <v>970</v>
      </c>
    </row>
    <row r="124" spans="1:16">
      <c r="A124" s="2" t="s">
        <v>1289</v>
      </c>
      <c r="B124" s="2">
        <v>7</v>
      </c>
      <c r="C124" s="2" t="str">
        <f>IF(B124="","",VLOOKUP(B124,'Transacciones CHL'!$A$2:$B$14,2,FALSE))</f>
        <v>Consumo intermedio</v>
      </c>
      <c r="D124" s="2">
        <f>IF(B124="","",VLOOKUP(B124,'Transacciones CHL'!$A$2:$F$14,3,FALSE))</f>
        <v>1</v>
      </c>
      <c r="E124" s="2" t="str">
        <f>IF(B124="","",VLOOKUP(B124,'Transacciones CHL'!$A$2:$F$14,4,FALSE))</f>
        <v>Producción / Consumo intermedio</v>
      </c>
      <c r="F124" s="2">
        <f>IF(B124="","",VLOOKUP(B124,'Transacciones CHL'!$A$2:$F$14,5,FALSE))</f>
        <v>1</v>
      </c>
      <c r="G124" s="2" t="str">
        <f>IF(B124="","",VLOOKUP(B124,'Transacciones CHL'!$A$2:$F$14,6,FALSE))</f>
        <v>Producción / Consumo intermedio</v>
      </c>
      <c r="H124" s="2" t="s">
        <v>972</v>
      </c>
      <c r="I124" s="2" t="s">
        <v>966</v>
      </c>
      <c r="J124" s="2" t="s">
        <v>967</v>
      </c>
      <c r="K124" s="2" t="s">
        <v>968</v>
      </c>
      <c r="L124" s="2" t="s">
        <v>969</v>
      </c>
      <c r="M124" s="2">
        <v>1</v>
      </c>
      <c r="N124" s="2" t="s">
        <v>14</v>
      </c>
      <c r="O124" s="15">
        <v>2</v>
      </c>
      <c r="P124" s="15" t="s">
        <v>970</v>
      </c>
    </row>
    <row r="125" spans="1:16">
      <c r="A125" s="2" t="s">
        <v>1290</v>
      </c>
      <c r="B125" s="2">
        <v>7</v>
      </c>
      <c r="C125" s="2" t="str">
        <f>IF(B125="","",VLOOKUP(B125,'Transacciones CHL'!$A$2:$B$14,2,FALSE))</f>
        <v>Consumo intermedio</v>
      </c>
      <c r="D125" s="2">
        <f>IF(B125="","",VLOOKUP(B125,'Transacciones CHL'!$A$2:$F$14,3,FALSE))</f>
        <v>1</v>
      </c>
      <c r="E125" s="2" t="str">
        <f>IF(B125="","",VLOOKUP(B125,'Transacciones CHL'!$A$2:$F$14,4,FALSE))</f>
        <v>Producción / Consumo intermedio</v>
      </c>
      <c r="F125" s="2">
        <f>IF(B125="","",VLOOKUP(B125,'Transacciones CHL'!$A$2:$F$14,5,FALSE))</f>
        <v>1</v>
      </c>
      <c r="G125" s="2" t="str">
        <f>IF(B125="","",VLOOKUP(B125,'Transacciones CHL'!$A$2:$F$14,6,FALSE))</f>
        <v>Producción / Consumo intermedio</v>
      </c>
      <c r="H125" s="2" t="s">
        <v>974</v>
      </c>
      <c r="I125" s="2" t="s">
        <v>966</v>
      </c>
      <c r="J125" s="2" t="s">
        <v>967</v>
      </c>
      <c r="K125" s="2" t="s">
        <v>968</v>
      </c>
      <c r="L125" s="2" t="s">
        <v>969</v>
      </c>
      <c r="M125" s="2">
        <v>1</v>
      </c>
      <c r="N125" s="2" t="s">
        <v>14</v>
      </c>
      <c r="O125" s="15">
        <v>2</v>
      </c>
      <c r="P125" s="15" t="s">
        <v>970</v>
      </c>
    </row>
    <row r="126" spans="1:16">
      <c r="A126" s="2" t="s">
        <v>1291</v>
      </c>
      <c r="B126" s="2">
        <v>7</v>
      </c>
      <c r="C126" s="2" t="str">
        <f>IF(B126="","",VLOOKUP(B126,'Transacciones CHL'!$A$2:$B$14,2,FALSE))</f>
        <v>Consumo intermedio</v>
      </c>
      <c r="D126" s="2">
        <f>IF(B126="","",VLOOKUP(B126,'Transacciones CHL'!$A$2:$F$14,3,FALSE))</f>
        <v>1</v>
      </c>
      <c r="E126" s="2" t="str">
        <f>IF(B126="","",VLOOKUP(B126,'Transacciones CHL'!$A$2:$F$14,4,FALSE))</f>
        <v>Producción / Consumo intermedio</v>
      </c>
      <c r="F126" s="2">
        <f>IF(B126="","",VLOOKUP(B126,'Transacciones CHL'!$A$2:$F$14,5,FALSE))</f>
        <v>1</v>
      </c>
      <c r="G126" s="2" t="str">
        <f>IF(B126="","",VLOOKUP(B126,'Transacciones CHL'!$A$2:$F$14,6,FALSE))</f>
        <v>Producción / Consumo intermedio</v>
      </c>
      <c r="H126" s="2" t="s">
        <v>976</v>
      </c>
      <c r="I126" s="2" t="s">
        <v>966</v>
      </c>
      <c r="J126" s="2" t="s">
        <v>967</v>
      </c>
      <c r="K126" s="2" t="s">
        <v>968</v>
      </c>
      <c r="L126" s="2" t="s">
        <v>969</v>
      </c>
      <c r="M126" s="2">
        <v>1</v>
      </c>
      <c r="N126" s="2" t="s">
        <v>14</v>
      </c>
      <c r="O126" s="15">
        <v>2</v>
      </c>
      <c r="P126" s="15" t="s">
        <v>970</v>
      </c>
    </row>
    <row r="127" spans="1:16">
      <c r="A127" s="2" t="s">
        <v>1292</v>
      </c>
      <c r="B127" s="2">
        <v>7</v>
      </c>
      <c r="C127" s="2" t="str">
        <f>IF(B127="","",VLOOKUP(B127,'Transacciones CHL'!$A$2:$B$14,2,FALSE))</f>
        <v>Consumo intermedio</v>
      </c>
      <c r="D127" s="2">
        <f>IF(B127="","",VLOOKUP(B127,'Transacciones CHL'!$A$2:$F$14,3,FALSE))</f>
        <v>1</v>
      </c>
      <c r="E127" s="2" t="str">
        <f>IF(B127="","",VLOOKUP(B127,'Transacciones CHL'!$A$2:$F$14,4,FALSE))</f>
        <v>Producción / Consumo intermedio</v>
      </c>
      <c r="F127" s="2">
        <f>IF(B127="","",VLOOKUP(B127,'Transacciones CHL'!$A$2:$F$14,5,FALSE))</f>
        <v>1</v>
      </c>
      <c r="G127" s="2" t="str">
        <f>IF(B127="","",VLOOKUP(B127,'Transacciones CHL'!$A$2:$F$14,6,FALSE))</f>
        <v>Producción / Consumo intermedio</v>
      </c>
      <c r="H127" s="2" t="s">
        <v>978</v>
      </c>
      <c r="I127" s="2" t="s">
        <v>966</v>
      </c>
      <c r="J127" s="2" t="s">
        <v>967</v>
      </c>
      <c r="K127" s="2" t="s">
        <v>968</v>
      </c>
      <c r="L127" s="2" t="s">
        <v>969</v>
      </c>
      <c r="M127" s="2">
        <v>1</v>
      </c>
      <c r="N127" s="2" t="s">
        <v>14</v>
      </c>
      <c r="O127" s="15">
        <v>2</v>
      </c>
      <c r="P127" s="15" t="s">
        <v>970</v>
      </c>
    </row>
    <row r="128" spans="1:16">
      <c r="A128" s="2" t="s">
        <v>1293</v>
      </c>
      <c r="B128" s="2">
        <v>7</v>
      </c>
      <c r="C128" s="2" t="str">
        <f>IF(B128="","",VLOOKUP(B128,'Transacciones CHL'!$A$2:$B$14,2,FALSE))</f>
        <v>Consumo intermedio</v>
      </c>
      <c r="D128" s="2">
        <f>IF(B128="","",VLOOKUP(B128,'Transacciones CHL'!$A$2:$F$14,3,FALSE))</f>
        <v>1</v>
      </c>
      <c r="E128" s="2" t="str">
        <f>IF(B128="","",VLOOKUP(B128,'Transacciones CHL'!$A$2:$F$14,4,FALSE))</f>
        <v>Producción / Consumo intermedio</v>
      </c>
      <c r="F128" s="2">
        <f>IF(B128="","",VLOOKUP(B128,'Transacciones CHL'!$A$2:$F$14,5,FALSE))</f>
        <v>1</v>
      </c>
      <c r="G128" s="2" t="str">
        <f>IF(B128="","",VLOOKUP(B128,'Transacciones CHL'!$A$2:$F$14,6,FALSE))</f>
        <v>Producción / Consumo intermedio</v>
      </c>
      <c r="H128" s="2" t="s">
        <v>980</v>
      </c>
      <c r="I128" s="2" t="s">
        <v>966</v>
      </c>
      <c r="J128" s="2" t="s">
        <v>967</v>
      </c>
      <c r="K128" s="2" t="s">
        <v>968</v>
      </c>
      <c r="L128" s="2" t="s">
        <v>969</v>
      </c>
      <c r="M128" s="2">
        <v>1</v>
      </c>
      <c r="N128" s="2" t="s">
        <v>14</v>
      </c>
      <c r="O128" s="15">
        <v>2</v>
      </c>
      <c r="P128" s="15" t="s">
        <v>970</v>
      </c>
    </row>
    <row r="129" spans="1:16">
      <c r="A129" s="2" t="s">
        <v>1294</v>
      </c>
      <c r="B129" s="2">
        <v>7</v>
      </c>
      <c r="C129" s="2" t="str">
        <f>IF(B129="","",VLOOKUP(B129,'Transacciones CHL'!$A$2:$B$14,2,FALSE))</f>
        <v>Consumo intermedio</v>
      </c>
      <c r="D129" s="2">
        <f>IF(B129="","",VLOOKUP(B129,'Transacciones CHL'!$A$2:$F$14,3,FALSE))</f>
        <v>1</v>
      </c>
      <c r="E129" s="2" t="str">
        <f>IF(B129="","",VLOOKUP(B129,'Transacciones CHL'!$A$2:$F$14,4,FALSE))</f>
        <v>Producción / Consumo intermedio</v>
      </c>
      <c r="F129" s="2">
        <f>IF(B129="","",VLOOKUP(B129,'Transacciones CHL'!$A$2:$F$14,5,FALSE))</f>
        <v>1</v>
      </c>
      <c r="G129" s="2" t="str">
        <f>IF(B129="","",VLOOKUP(B129,'Transacciones CHL'!$A$2:$F$14,6,FALSE))</f>
        <v>Producción / Consumo intermedio</v>
      </c>
      <c r="H129" s="2" t="s">
        <v>982</v>
      </c>
      <c r="I129" s="2" t="s">
        <v>966</v>
      </c>
      <c r="J129" s="2" t="s">
        <v>967</v>
      </c>
      <c r="K129" s="2" t="s">
        <v>968</v>
      </c>
      <c r="L129" s="2" t="s">
        <v>969</v>
      </c>
      <c r="M129" s="2">
        <v>1</v>
      </c>
      <c r="N129" s="2" t="s">
        <v>14</v>
      </c>
      <c r="O129" s="15">
        <v>2</v>
      </c>
      <c r="P129" s="15" t="s">
        <v>970</v>
      </c>
    </row>
    <row r="130" spans="1:16">
      <c r="A130" s="2" t="s">
        <v>1295</v>
      </c>
      <c r="B130" s="2">
        <v>7</v>
      </c>
      <c r="C130" s="2" t="str">
        <f>IF(B130="","",VLOOKUP(B130,'Transacciones CHL'!$A$2:$B$14,2,FALSE))</f>
        <v>Consumo intermedio</v>
      </c>
      <c r="D130" s="2">
        <f>IF(B130="","",VLOOKUP(B130,'Transacciones CHL'!$A$2:$F$14,3,FALSE))</f>
        <v>1</v>
      </c>
      <c r="E130" s="2" t="str">
        <f>IF(B130="","",VLOOKUP(B130,'Transacciones CHL'!$A$2:$F$14,4,FALSE))</f>
        <v>Producción / Consumo intermedio</v>
      </c>
      <c r="F130" s="2">
        <f>IF(B130="","",VLOOKUP(B130,'Transacciones CHL'!$A$2:$F$14,5,FALSE))</f>
        <v>1</v>
      </c>
      <c r="G130" s="2" t="str">
        <f>IF(B130="","",VLOOKUP(B130,'Transacciones CHL'!$A$2:$F$14,6,FALSE))</f>
        <v>Producción / Consumo intermedio</v>
      </c>
      <c r="H130" s="2" t="s">
        <v>984</v>
      </c>
      <c r="I130" s="2" t="s">
        <v>966</v>
      </c>
      <c r="J130" s="2" t="s">
        <v>967</v>
      </c>
      <c r="K130" s="2" t="s">
        <v>968</v>
      </c>
      <c r="L130" s="2" t="s">
        <v>969</v>
      </c>
      <c r="M130" s="2">
        <v>1</v>
      </c>
      <c r="N130" s="2" t="s">
        <v>14</v>
      </c>
      <c r="O130" s="15">
        <v>2</v>
      </c>
      <c r="P130" s="15" t="s">
        <v>970</v>
      </c>
    </row>
    <row r="131" spans="1:16">
      <c r="A131" s="2" t="s">
        <v>1296</v>
      </c>
      <c r="B131" s="2">
        <v>7</v>
      </c>
      <c r="C131" s="2" t="str">
        <f>IF(B131="","",VLOOKUP(B131,'Transacciones CHL'!$A$2:$B$14,2,FALSE))</f>
        <v>Consumo intermedio</v>
      </c>
      <c r="D131" s="2">
        <f>IF(B131="","",VLOOKUP(B131,'Transacciones CHL'!$A$2:$F$14,3,FALSE))</f>
        <v>1</v>
      </c>
      <c r="E131" s="2" t="str">
        <f>IF(B131="","",VLOOKUP(B131,'Transacciones CHL'!$A$2:$F$14,4,FALSE))</f>
        <v>Producción / Consumo intermedio</v>
      </c>
      <c r="F131" s="2">
        <f>IF(B131="","",VLOOKUP(B131,'Transacciones CHL'!$A$2:$F$14,5,FALSE))</f>
        <v>1</v>
      </c>
      <c r="G131" s="2" t="str">
        <f>IF(B131="","",VLOOKUP(B131,'Transacciones CHL'!$A$2:$F$14,6,FALSE))</f>
        <v>Producción / Consumo intermedio</v>
      </c>
      <c r="H131" s="2" t="s">
        <v>986</v>
      </c>
      <c r="I131" s="2" t="s">
        <v>966</v>
      </c>
      <c r="J131" s="2" t="s">
        <v>967</v>
      </c>
      <c r="K131" s="2" t="s">
        <v>968</v>
      </c>
      <c r="L131" s="2" t="s">
        <v>969</v>
      </c>
      <c r="M131" s="2">
        <v>1</v>
      </c>
      <c r="N131" s="2" t="s">
        <v>14</v>
      </c>
      <c r="O131" s="15">
        <v>2</v>
      </c>
      <c r="P131" s="15" t="s">
        <v>970</v>
      </c>
    </row>
    <row r="132" spans="1:16">
      <c r="A132" s="2" t="s">
        <v>1297</v>
      </c>
      <c r="B132" s="2">
        <v>7</v>
      </c>
      <c r="C132" s="2" t="str">
        <f>IF(B132="","",VLOOKUP(B132,'Transacciones CHL'!$A$2:$B$14,2,FALSE))</f>
        <v>Consumo intermedio</v>
      </c>
      <c r="D132" s="2">
        <f>IF(B132="","",VLOOKUP(B132,'Transacciones CHL'!$A$2:$F$14,3,FALSE))</f>
        <v>1</v>
      </c>
      <c r="E132" s="2" t="str">
        <f>IF(B132="","",VLOOKUP(B132,'Transacciones CHL'!$A$2:$F$14,4,FALSE))</f>
        <v>Producción / Consumo intermedio</v>
      </c>
      <c r="F132" s="2">
        <f>IF(B132="","",VLOOKUP(B132,'Transacciones CHL'!$A$2:$F$14,5,FALSE))</f>
        <v>1</v>
      </c>
      <c r="G132" s="2" t="str">
        <f>IF(B132="","",VLOOKUP(B132,'Transacciones CHL'!$A$2:$F$14,6,FALSE))</f>
        <v>Producción / Consumo intermedio</v>
      </c>
      <c r="H132" s="2" t="s">
        <v>988</v>
      </c>
      <c r="I132" s="2" t="s">
        <v>966</v>
      </c>
      <c r="J132" s="2" t="s">
        <v>967</v>
      </c>
      <c r="K132" s="2" t="s">
        <v>968</v>
      </c>
      <c r="L132" s="2" t="s">
        <v>969</v>
      </c>
      <c r="M132" s="2">
        <v>1</v>
      </c>
      <c r="N132" s="2" t="s">
        <v>14</v>
      </c>
      <c r="O132" s="15">
        <v>2</v>
      </c>
      <c r="P132" s="15" t="s">
        <v>970</v>
      </c>
    </row>
    <row r="133" spans="1:16">
      <c r="A133" s="2" t="s">
        <v>1298</v>
      </c>
      <c r="B133" s="2">
        <v>7</v>
      </c>
      <c r="C133" s="2" t="str">
        <f>IF(B133="","",VLOOKUP(B133,'Transacciones CHL'!$A$2:$B$14,2,FALSE))</f>
        <v>Consumo intermedio</v>
      </c>
      <c r="D133" s="2">
        <f>IF(B133="","",VLOOKUP(B133,'Transacciones CHL'!$A$2:$F$14,3,FALSE))</f>
        <v>1</v>
      </c>
      <c r="E133" s="2" t="str">
        <f>IF(B133="","",VLOOKUP(B133,'Transacciones CHL'!$A$2:$F$14,4,FALSE))</f>
        <v>Producción / Consumo intermedio</v>
      </c>
      <c r="F133" s="2">
        <f>IF(B133="","",VLOOKUP(B133,'Transacciones CHL'!$A$2:$F$14,5,FALSE))</f>
        <v>1</v>
      </c>
      <c r="G133" s="2" t="str">
        <f>IF(B133="","",VLOOKUP(B133,'Transacciones CHL'!$A$2:$F$14,6,FALSE))</f>
        <v>Producción / Consumo intermedio</v>
      </c>
      <c r="H133" s="2" t="s">
        <v>990</v>
      </c>
      <c r="I133" s="2" t="s">
        <v>966</v>
      </c>
      <c r="J133" s="2" t="s">
        <v>967</v>
      </c>
      <c r="K133" s="2" t="s">
        <v>968</v>
      </c>
      <c r="L133" s="2" t="s">
        <v>969</v>
      </c>
      <c r="M133" s="2">
        <v>1</v>
      </c>
      <c r="N133" s="2" t="s">
        <v>14</v>
      </c>
      <c r="O133" s="15">
        <v>2</v>
      </c>
      <c r="P133" s="15" t="s">
        <v>970</v>
      </c>
    </row>
    <row r="134" spans="1:16">
      <c r="A134" s="2" t="s">
        <v>1299</v>
      </c>
      <c r="B134" s="2">
        <v>7</v>
      </c>
      <c r="C134" s="2" t="str">
        <f>IF(B134="","",VLOOKUP(B134,'Transacciones CHL'!$A$2:$B$14,2,FALSE))</f>
        <v>Consumo intermedio</v>
      </c>
      <c r="D134" s="2">
        <f>IF(B134="","",VLOOKUP(B134,'Transacciones CHL'!$A$2:$F$14,3,FALSE))</f>
        <v>1</v>
      </c>
      <c r="E134" s="2" t="str">
        <f>IF(B134="","",VLOOKUP(B134,'Transacciones CHL'!$A$2:$F$14,4,FALSE))</f>
        <v>Producción / Consumo intermedio</v>
      </c>
      <c r="F134" s="2">
        <f>IF(B134="","",VLOOKUP(B134,'Transacciones CHL'!$A$2:$F$14,5,FALSE))</f>
        <v>1</v>
      </c>
      <c r="G134" s="2" t="str">
        <f>IF(B134="","",VLOOKUP(B134,'Transacciones CHL'!$A$2:$F$14,6,FALSE))</f>
        <v>Producción / Consumo intermedio</v>
      </c>
      <c r="H134" s="2" t="s">
        <v>992</v>
      </c>
      <c r="I134" s="2" t="s">
        <v>966</v>
      </c>
      <c r="J134" s="2" t="s">
        <v>967</v>
      </c>
      <c r="K134" s="2" t="s">
        <v>968</v>
      </c>
      <c r="L134" s="2" t="s">
        <v>969</v>
      </c>
      <c r="M134" s="2">
        <v>1</v>
      </c>
      <c r="N134" s="2" t="s">
        <v>14</v>
      </c>
      <c r="O134" s="15">
        <v>2</v>
      </c>
      <c r="P134" s="15" t="s">
        <v>970</v>
      </c>
    </row>
    <row r="135" spans="1:16">
      <c r="A135" s="2" t="s">
        <v>1300</v>
      </c>
      <c r="B135" s="2">
        <v>7</v>
      </c>
      <c r="C135" s="2" t="str">
        <f>IF(B135="","",VLOOKUP(B135,'Transacciones CHL'!$A$2:$B$14,2,FALSE))</f>
        <v>Consumo intermedio</v>
      </c>
      <c r="D135" s="2">
        <f>IF(B135="","",VLOOKUP(B135,'Transacciones CHL'!$A$2:$F$14,3,FALSE))</f>
        <v>1</v>
      </c>
      <c r="E135" s="2" t="str">
        <f>IF(B135="","",VLOOKUP(B135,'Transacciones CHL'!$A$2:$F$14,4,FALSE))</f>
        <v>Producción / Consumo intermedio</v>
      </c>
      <c r="F135" s="2">
        <f>IF(B135="","",VLOOKUP(B135,'Transacciones CHL'!$A$2:$F$14,5,FALSE))</f>
        <v>1</v>
      </c>
      <c r="G135" s="2" t="str">
        <f>IF(B135="","",VLOOKUP(B135,'Transacciones CHL'!$A$2:$F$14,6,FALSE))</f>
        <v>Producción / Consumo intermedio</v>
      </c>
      <c r="H135" s="2" t="s">
        <v>994</v>
      </c>
      <c r="I135" s="2" t="s">
        <v>995</v>
      </c>
      <c r="J135" s="2" t="s">
        <v>996</v>
      </c>
      <c r="K135" s="2" t="s">
        <v>997</v>
      </c>
      <c r="L135" s="2" t="s">
        <v>998</v>
      </c>
      <c r="M135" s="2">
        <v>3</v>
      </c>
      <c r="N135" s="2" t="s">
        <v>67</v>
      </c>
      <c r="O135" s="15">
        <v>2</v>
      </c>
      <c r="P135" s="15" t="s">
        <v>970</v>
      </c>
    </row>
    <row r="136" spans="1:16">
      <c r="A136" s="2" t="s">
        <v>1301</v>
      </c>
      <c r="B136" s="2">
        <v>7</v>
      </c>
      <c r="C136" s="2" t="str">
        <f>IF(B136="","",VLOOKUP(B136,'Transacciones CHL'!$A$2:$B$14,2,FALSE))</f>
        <v>Consumo intermedio</v>
      </c>
      <c r="D136" s="2">
        <f>IF(B136="","",VLOOKUP(B136,'Transacciones CHL'!$A$2:$F$14,3,FALSE))</f>
        <v>1</v>
      </c>
      <c r="E136" s="2" t="str">
        <f>IF(B136="","",VLOOKUP(B136,'Transacciones CHL'!$A$2:$F$14,4,FALSE))</f>
        <v>Producción / Consumo intermedio</v>
      </c>
      <c r="F136" s="2">
        <f>IF(B136="","",VLOOKUP(B136,'Transacciones CHL'!$A$2:$F$14,5,FALSE))</f>
        <v>1</v>
      </c>
      <c r="G136" s="2" t="str">
        <f>IF(B136="","",VLOOKUP(B136,'Transacciones CHL'!$A$2:$F$14,6,FALSE))</f>
        <v>Producción / Consumo intermedio</v>
      </c>
      <c r="H136" s="2" t="s">
        <v>1000</v>
      </c>
      <c r="I136" s="2" t="s">
        <v>995</v>
      </c>
      <c r="J136" s="2" t="s">
        <v>996</v>
      </c>
      <c r="K136" s="2" t="s">
        <v>997</v>
      </c>
      <c r="L136" s="2" t="s">
        <v>998</v>
      </c>
      <c r="M136" s="2">
        <v>3</v>
      </c>
      <c r="N136" s="2" t="s">
        <v>67</v>
      </c>
      <c r="O136" s="15">
        <v>2</v>
      </c>
      <c r="P136" s="15" t="s">
        <v>970</v>
      </c>
    </row>
    <row r="137" spans="1:16">
      <c r="A137" s="2" t="s">
        <v>1302</v>
      </c>
      <c r="B137" s="2">
        <v>7</v>
      </c>
      <c r="C137" s="2" t="str">
        <f>IF(B137="","",VLOOKUP(B137,'Transacciones CHL'!$A$2:$B$14,2,FALSE))</f>
        <v>Consumo intermedio</v>
      </c>
      <c r="D137" s="2">
        <f>IF(B137="","",VLOOKUP(B137,'Transacciones CHL'!$A$2:$F$14,3,FALSE))</f>
        <v>1</v>
      </c>
      <c r="E137" s="2" t="str">
        <f>IF(B137="","",VLOOKUP(B137,'Transacciones CHL'!$A$2:$F$14,4,FALSE))</f>
        <v>Producción / Consumo intermedio</v>
      </c>
      <c r="F137" s="2">
        <f>IF(B137="","",VLOOKUP(B137,'Transacciones CHL'!$A$2:$F$14,5,FALSE))</f>
        <v>1</v>
      </c>
      <c r="G137" s="2" t="str">
        <f>IF(B137="","",VLOOKUP(B137,'Transacciones CHL'!$A$2:$F$14,6,FALSE))</f>
        <v>Producción / Consumo intermedio</v>
      </c>
      <c r="H137" s="2" t="s">
        <v>1002</v>
      </c>
      <c r="I137" s="2" t="s">
        <v>995</v>
      </c>
      <c r="J137" s="2" t="s">
        <v>996</v>
      </c>
      <c r="K137" s="2" t="s">
        <v>997</v>
      </c>
      <c r="L137" s="2" t="s">
        <v>998</v>
      </c>
      <c r="M137" s="2">
        <v>3</v>
      </c>
      <c r="N137" s="2" t="s">
        <v>67</v>
      </c>
      <c r="O137" s="15">
        <v>2</v>
      </c>
      <c r="P137" s="15" t="s">
        <v>970</v>
      </c>
    </row>
    <row r="138" spans="1:16">
      <c r="A138" s="2" t="s">
        <v>1303</v>
      </c>
      <c r="B138" s="2">
        <v>7</v>
      </c>
      <c r="C138" s="2" t="str">
        <f>IF(B138="","",VLOOKUP(B138,'Transacciones CHL'!$A$2:$B$14,2,FALSE))</f>
        <v>Consumo intermedio</v>
      </c>
      <c r="D138" s="2">
        <f>IF(B138="","",VLOOKUP(B138,'Transacciones CHL'!$A$2:$F$14,3,FALSE))</f>
        <v>1</v>
      </c>
      <c r="E138" s="2" t="str">
        <f>IF(B138="","",VLOOKUP(B138,'Transacciones CHL'!$A$2:$F$14,4,FALSE))</f>
        <v>Producción / Consumo intermedio</v>
      </c>
      <c r="F138" s="2">
        <f>IF(B138="","",VLOOKUP(B138,'Transacciones CHL'!$A$2:$F$14,5,FALSE))</f>
        <v>1</v>
      </c>
      <c r="G138" s="2" t="str">
        <f>IF(B138="","",VLOOKUP(B138,'Transacciones CHL'!$A$2:$F$14,6,FALSE))</f>
        <v>Producción / Consumo intermedio</v>
      </c>
      <c r="H138" s="2" t="s">
        <v>1004</v>
      </c>
      <c r="I138" s="2" t="s">
        <v>995</v>
      </c>
      <c r="J138" s="2" t="s">
        <v>996</v>
      </c>
      <c r="K138" s="2" t="s">
        <v>997</v>
      </c>
      <c r="L138" s="2" t="s">
        <v>998</v>
      </c>
      <c r="M138" s="2">
        <v>3</v>
      </c>
      <c r="N138" s="2" t="s">
        <v>67</v>
      </c>
      <c r="O138" s="15">
        <v>2</v>
      </c>
      <c r="P138" s="15" t="s">
        <v>970</v>
      </c>
    </row>
    <row r="139" spans="1:16">
      <c r="A139" s="2" t="s">
        <v>1304</v>
      </c>
      <c r="B139" s="2">
        <v>7</v>
      </c>
      <c r="C139" s="2" t="str">
        <f>IF(B139="","",VLOOKUP(B139,'Transacciones CHL'!$A$2:$B$14,2,FALSE))</f>
        <v>Consumo intermedio</v>
      </c>
      <c r="D139" s="2">
        <f>IF(B139="","",VLOOKUP(B139,'Transacciones CHL'!$A$2:$F$14,3,FALSE))</f>
        <v>1</v>
      </c>
      <c r="E139" s="2" t="str">
        <f>IF(B139="","",VLOOKUP(B139,'Transacciones CHL'!$A$2:$F$14,4,FALSE))</f>
        <v>Producción / Consumo intermedio</v>
      </c>
      <c r="F139" s="2">
        <f>IF(B139="","",VLOOKUP(B139,'Transacciones CHL'!$A$2:$F$14,5,FALSE))</f>
        <v>1</v>
      </c>
      <c r="G139" s="2" t="str">
        <f>IF(B139="","",VLOOKUP(B139,'Transacciones CHL'!$A$2:$F$14,6,FALSE))</f>
        <v>Producción / Consumo intermedio</v>
      </c>
      <c r="H139" s="2" t="s">
        <v>1006</v>
      </c>
      <c r="I139" s="2" t="s">
        <v>995</v>
      </c>
      <c r="J139" s="2" t="s">
        <v>996</v>
      </c>
      <c r="K139" s="2" t="s">
        <v>997</v>
      </c>
      <c r="L139" s="2" t="s">
        <v>998</v>
      </c>
      <c r="M139" s="2">
        <v>3</v>
      </c>
      <c r="N139" s="2" t="s">
        <v>67</v>
      </c>
      <c r="O139" s="15">
        <v>2</v>
      </c>
      <c r="P139" s="15" t="s">
        <v>970</v>
      </c>
    </row>
    <row r="140" spans="1:16">
      <c r="A140" s="2" t="s">
        <v>1305</v>
      </c>
      <c r="B140" s="2">
        <v>7</v>
      </c>
      <c r="C140" s="2" t="str">
        <f>IF(B140="","",VLOOKUP(B140,'Transacciones CHL'!$A$2:$B$14,2,FALSE))</f>
        <v>Consumo intermedio</v>
      </c>
      <c r="D140" s="2">
        <f>IF(B140="","",VLOOKUP(B140,'Transacciones CHL'!$A$2:$F$14,3,FALSE))</f>
        <v>1</v>
      </c>
      <c r="E140" s="2" t="str">
        <f>IF(B140="","",VLOOKUP(B140,'Transacciones CHL'!$A$2:$F$14,4,FALSE))</f>
        <v>Producción / Consumo intermedio</v>
      </c>
      <c r="F140" s="2">
        <f>IF(B140="","",VLOOKUP(B140,'Transacciones CHL'!$A$2:$F$14,5,FALSE))</f>
        <v>1</v>
      </c>
      <c r="G140" s="2" t="str">
        <f>IF(B140="","",VLOOKUP(B140,'Transacciones CHL'!$A$2:$F$14,6,FALSE))</f>
        <v>Producción / Consumo intermedio</v>
      </c>
      <c r="H140" s="2" t="s">
        <v>1008</v>
      </c>
      <c r="I140" s="2" t="s">
        <v>995</v>
      </c>
      <c r="J140" s="2" t="s">
        <v>996</v>
      </c>
      <c r="K140" s="2" t="s">
        <v>997</v>
      </c>
      <c r="L140" s="2" t="s">
        <v>998</v>
      </c>
      <c r="M140" s="2">
        <v>3</v>
      </c>
      <c r="N140" s="2" t="s">
        <v>67</v>
      </c>
      <c r="O140" s="15">
        <v>2</v>
      </c>
      <c r="P140" s="15" t="s">
        <v>970</v>
      </c>
    </row>
    <row r="141" spans="1:16">
      <c r="A141" s="2" t="s">
        <v>1306</v>
      </c>
      <c r="B141" s="2">
        <v>7</v>
      </c>
      <c r="C141" s="2" t="str">
        <f>IF(B141="","",VLOOKUP(B141,'Transacciones CHL'!$A$2:$B$14,2,FALSE))</f>
        <v>Consumo intermedio</v>
      </c>
      <c r="D141" s="2">
        <f>IF(B141="","",VLOOKUP(B141,'Transacciones CHL'!$A$2:$F$14,3,FALSE))</f>
        <v>1</v>
      </c>
      <c r="E141" s="2" t="str">
        <f>IF(B141="","",VLOOKUP(B141,'Transacciones CHL'!$A$2:$F$14,4,FALSE))</f>
        <v>Producción / Consumo intermedio</v>
      </c>
      <c r="F141" s="2">
        <f>IF(B141="","",VLOOKUP(B141,'Transacciones CHL'!$A$2:$F$14,5,FALSE))</f>
        <v>1</v>
      </c>
      <c r="G141" s="2" t="str">
        <f>IF(B141="","",VLOOKUP(B141,'Transacciones CHL'!$A$2:$F$14,6,FALSE))</f>
        <v>Producción / Consumo intermedio</v>
      </c>
      <c r="H141" s="2" t="s">
        <v>1010</v>
      </c>
      <c r="I141" s="2" t="s">
        <v>1011</v>
      </c>
      <c r="J141" s="2" t="s">
        <v>1012</v>
      </c>
      <c r="K141" s="2" t="s">
        <v>1013</v>
      </c>
      <c r="L141" s="2" t="s">
        <v>1014</v>
      </c>
      <c r="M141" s="2">
        <v>1</v>
      </c>
      <c r="N141" s="2" t="s">
        <v>14</v>
      </c>
      <c r="O141" s="15">
        <v>2</v>
      </c>
      <c r="P141" s="15" t="s">
        <v>970</v>
      </c>
    </row>
    <row r="142" spans="1:16">
      <c r="A142" s="2" t="s">
        <v>1307</v>
      </c>
      <c r="B142" s="2">
        <v>7</v>
      </c>
      <c r="C142" s="2" t="str">
        <f>IF(B142="","",VLOOKUP(B142,'Transacciones CHL'!$A$2:$B$14,2,FALSE))</f>
        <v>Consumo intermedio</v>
      </c>
      <c r="D142" s="2">
        <f>IF(B142="","",VLOOKUP(B142,'Transacciones CHL'!$A$2:$F$14,3,FALSE))</f>
        <v>1</v>
      </c>
      <c r="E142" s="2" t="str">
        <f>IF(B142="","",VLOOKUP(B142,'Transacciones CHL'!$A$2:$F$14,4,FALSE))</f>
        <v>Producción / Consumo intermedio</v>
      </c>
      <c r="F142" s="2">
        <f>IF(B142="","",VLOOKUP(B142,'Transacciones CHL'!$A$2:$F$14,5,FALSE))</f>
        <v>1</v>
      </c>
      <c r="G142" s="2" t="str">
        <f>IF(B142="","",VLOOKUP(B142,'Transacciones CHL'!$A$2:$F$14,6,FALSE))</f>
        <v>Producción / Consumo intermedio</v>
      </c>
      <c r="H142" s="2" t="s">
        <v>1016</v>
      </c>
      <c r="I142" s="2" t="s">
        <v>1011</v>
      </c>
      <c r="J142" s="2" t="s">
        <v>1012</v>
      </c>
      <c r="K142" s="2" t="s">
        <v>1013</v>
      </c>
      <c r="L142" s="2" t="s">
        <v>1014</v>
      </c>
      <c r="M142" s="2">
        <v>1</v>
      </c>
      <c r="N142" s="2" t="s">
        <v>14</v>
      </c>
      <c r="O142" s="15">
        <v>2</v>
      </c>
      <c r="P142" s="15" t="s">
        <v>970</v>
      </c>
    </row>
    <row r="143" spans="1:16">
      <c r="A143" s="2" t="s">
        <v>1308</v>
      </c>
      <c r="B143" s="2">
        <v>7</v>
      </c>
      <c r="C143" s="2" t="str">
        <f>IF(B143="","",VLOOKUP(B143,'Transacciones CHL'!$A$2:$B$14,2,FALSE))</f>
        <v>Consumo intermedio</v>
      </c>
      <c r="D143" s="2">
        <f>IF(B143="","",VLOOKUP(B143,'Transacciones CHL'!$A$2:$F$14,3,FALSE))</f>
        <v>1</v>
      </c>
      <c r="E143" s="2" t="str">
        <f>IF(B143="","",VLOOKUP(B143,'Transacciones CHL'!$A$2:$F$14,4,FALSE))</f>
        <v>Producción / Consumo intermedio</v>
      </c>
      <c r="F143" s="2">
        <f>IF(B143="","",VLOOKUP(B143,'Transacciones CHL'!$A$2:$F$14,5,FALSE))</f>
        <v>1</v>
      </c>
      <c r="G143" s="2" t="str">
        <f>IF(B143="","",VLOOKUP(B143,'Transacciones CHL'!$A$2:$F$14,6,FALSE))</f>
        <v>Producción / Consumo intermedio</v>
      </c>
      <c r="H143" s="2" t="s">
        <v>1018</v>
      </c>
      <c r="I143" s="2" t="s">
        <v>1011</v>
      </c>
      <c r="J143" s="2" t="s">
        <v>1012</v>
      </c>
      <c r="K143" s="2" t="s">
        <v>1013</v>
      </c>
      <c r="L143" s="2" t="s">
        <v>1014</v>
      </c>
      <c r="M143" s="2">
        <v>1</v>
      </c>
      <c r="N143" s="2" t="s">
        <v>14</v>
      </c>
      <c r="O143" s="15">
        <v>2</v>
      </c>
      <c r="P143" s="15" t="s">
        <v>970</v>
      </c>
    </row>
    <row r="144" spans="1:16">
      <c r="A144" s="2" t="s">
        <v>1309</v>
      </c>
      <c r="B144" s="2">
        <v>7</v>
      </c>
      <c r="C144" s="2" t="str">
        <f>IF(B144="","",VLOOKUP(B144,'Transacciones CHL'!$A$2:$B$14,2,FALSE))</f>
        <v>Consumo intermedio</v>
      </c>
      <c r="D144" s="2">
        <f>IF(B144="","",VLOOKUP(B144,'Transacciones CHL'!$A$2:$F$14,3,FALSE))</f>
        <v>1</v>
      </c>
      <c r="E144" s="2" t="str">
        <f>IF(B144="","",VLOOKUP(B144,'Transacciones CHL'!$A$2:$F$14,4,FALSE))</f>
        <v>Producción / Consumo intermedio</v>
      </c>
      <c r="F144" s="2">
        <f>IF(B144="","",VLOOKUP(B144,'Transacciones CHL'!$A$2:$F$14,5,FALSE))</f>
        <v>1</v>
      </c>
      <c r="G144" s="2" t="str">
        <f>IF(B144="","",VLOOKUP(B144,'Transacciones CHL'!$A$2:$F$14,6,FALSE))</f>
        <v>Producción / Consumo intermedio</v>
      </c>
      <c r="H144" s="2" t="s">
        <v>1020</v>
      </c>
      <c r="I144" s="2" t="s">
        <v>1011</v>
      </c>
      <c r="J144" s="2" t="s">
        <v>1012</v>
      </c>
      <c r="K144" s="2" t="s">
        <v>1013</v>
      </c>
      <c r="L144" s="2" t="s">
        <v>1014</v>
      </c>
      <c r="M144" s="2">
        <v>1</v>
      </c>
      <c r="N144" s="2" t="s">
        <v>14</v>
      </c>
      <c r="O144" s="15">
        <v>2</v>
      </c>
      <c r="P144" s="15" t="s">
        <v>970</v>
      </c>
    </row>
    <row r="145" spans="1:16">
      <c r="A145" s="2" t="s">
        <v>1310</v>
      </c>
      <c r="B145" s="2">
        <v>7</v>
      </c>
      <c r="C145" s="2" t="str">
        <f>IF(B145="","",VLOOKUP(B145,'Transacciones CHL'!$A$2:$B$14,2,FALSE))</f>
        <v>Consumo intermedio</v>
      </c>
      <c r="D145" s="2">
        <f>IF(B145="","",VLOOKUP(B145,'Transacciones CHL'!$A$2:$F$14,3,FALSE))</f>
        <v>1</v>
      </c>
      <c r="E145" s="2" t="str">
        <f>IF(B145="","",VLOOKUP(B145,'Transacciones CHL'!$A$2:$F$14,4,FALSE))</f>
        <v>Producción / Consumo intermedio</v>
      </c>
      <c r="F145" s="2">
        <f>IF(B145="","",VLOOKUP(B145,'Transacciones CHL'!$A$2:$F$14,5,FALSE))</f>
        <v>1</v>
      </c>
      <c r="G145" s="2" t="str">
        <f>IF(B145="","",VLOOKUP(B145,'Transacciones CHL'!$A$2:$F$14,6,FALSE))</f>
        <v>Producción / Consumo intermedio</v>
      </c>
      <c r="H145" s="2" t="s">
        <v>1022</v>
      </c>
      <c r="I145" s="2" t="s">
        <v>1011</v>
      </c>
      <c r="J145" s="2" t="s">
        <v>1012</v>
      </c>
      <c r="K145" s="2" t="s">
        <v>1013</v>
      </c>
      <c r="L145" s="2" t="s">
        <v>1014</v>
      </c>
      <c r="M145" s="2">
        <v>1</v>
      </c>
      <c r="N145" s="2" t="s">
        <v>14</v>
      </c>
      <c r="O145" s="15">
        <v>2</v>
      </c>
      <c r="P145" s="15" t="s">
        <v>970</v>
      </c>
    </row>
    <row r="146" spans="1:16">
      <c r="A146" s="2" t="s">
        <v>1311</v>
      </c>
      <c r="B146" s="2">
        <v>7</v>
      </c>
      <c r="C146" s="2" t="str">
        <f>IF(B146="","",VLOOKUP(B146,'Transacciones CHL'!$A$2:$B$14,2,FALSE))</f>
        <v>Consumo intermedio</v>
      </c>
      <c r="D146" s="2">
        <f>IF(B146="","",VLOOKUP(B146,'Transacciones CHL'!$A$2:$F$14,3,FALSE))</f>
        <v>1</v>
      </c>
      <c r="E146" s="2" t="str">
        <f>IF(B146="","",VLOOKUP(B146,'Transacciones CHL'!$A$2:$F$14,4,FALSE))</f>
        <v>Producción / Consumo intermedio</v>
      </c>
      <c r="F146" s="2">
        <f>IF(B146="","",VLOOKUP(B146,'Transacciones CHL'!$A$2:$F$14,5,FALSE))</f>
        <v>1</v>
      </c>
      <c r="G146" s="2" t="str">
        <f>IF(B146="","",VLOOKUP(B146,'Transacciones CHL'!$A$2:$F$14,6,FALSE))</f>
        <v>Producción / Consumo intermedio</v>
      </c>
      <c r="H146" s="2" t="s">
        <v>1024</v>
      </c>
      <c r="I146" s="2" t="s">
        <v>1011</v>
      </c>
      <c r="J146" s="2" t="s">
        <v>1012</v>
      </c>
      <c r="K146" s="2" t="s">
        <v>1013</v>
      </c>
      <c r="L146" s="2" t="s">
        <v>1014</v>
      </c>
      <c r="M146" s="2">
        <v>1</v>
      </c>
      <c r="N146" s="2" t="s">
        <v>14</v>
      </c>
      <c r="O146" s="15">
        <v>2</v>
      </c>
      <c r="P146" s="15" t="s">
        <v>970</v>
      </c>
    </row>
    <row r="147" spans="1:16">
      <c r="A147" s="2" t="s">
        <v>1312</v>
      </c>
      <c r="B147" s="2">
        <v>7</v>
      </c>
      <c r="C147" s="2" t="str">
        <f>IF(B147="","",VLOOKUP(B147,'Transacciones CHL'!$A$2:$B$14,2,FALSE))</f>
        <v>Consumo intermedio</v>
      </c>
      <c r="D147" s="2">
        <f>IF(B147="","",VLOOKUP(B147,'Transacciones CHL'!$A$2:$F$14,3,FALSE))</f>
        <v>1</v>
      </c>
      <c r="E147" s="2" t="str">
        <f>IF(B147="","",VLOOKUP(B147,'Transacciones CHL'!$A$2:$F$14,4,FALSE))</f>
        <v>Producción / Consumo intermedio</v>
      </c>
      <c r="F147" s="2">
        <f>IF(B147="","",VLOOKUP(B147,'Transacciones CHL'!$A$2:$F$14,5,FALSE))</f>
        <v>1</v>
      </c>
      <c r="G147" s="2" t="str">
        <f>IF(B147="","",VLOOKUP(B147,'Transacciones CHL'!$A$2:$F$14,6,FALSE))</f>
        <v>Producción / Consumo intermedio</v>
      </c>
      <c r="H147" s="2" t="s">
        <v>1026</v>
      </c>
      <c r="I147" s="2" t="s">
        <v>1011</v>
      </c>
      <c r="J147" s="2" t="s">
        <v>1012</v>
      </c>
      <c r="K147" s="2" t="s">
        <v>1013</v>
      </c>
      <c r="L147" s="2" t="s">
        <v>1014</v>
      </c>
      <c r="M147" s="2">
        <v>1</v>
      </c>
      <c r="N147" s="2" t="s">
        <v>14</v>
      </c>
      <c r="O147" s="15">
        <v>2</v>
      </c>
      <c r="P147" s="15" t="s">
        <v>970</v>
      </c>
    </row>
    <row r="148" spans="1:16">
      <c r="A148" s="2" t="s">
        <v>1313</v>
      </c>
      <c r="B148" s="2">
        <v>7</v>
      </c>
      <c r="C148" s="2" t="str">
        <f>IF(B148="","",VLOOKUP(B148,'Transacciones CHL'!$A$2:$B$14,2,FALSE))</f>
        <v>Consumo intermedio</v>
      </c>
      <c r="D148" s="2">
        <f>IF(B148="","",VLOOKUP(B148,'Transacciones CHL'!$A$2:$F$14,3,FALSE))</f>
        <v>1</v>
      </c>
      <c r="E148" s="2" t="str">
        <f>IF(B148="","",VLOOKUP(B148,'Transacciones CHL'!$A$2:$F$14,4,FALSE))</f>
        <v>Producción / Consumo intermedio</v>
      </c>
      <c r="F148" s="2">
        <f>IF(B148="","",VLOOKUP(B148,'Transacciones CHL'!$A$2:$F$14,5,FALSE))</f>
        <v>1</v>
      </c>
      <c r="G148" s="2" t="str">
        <f>IF(B148="","",VLOOKUP(B148,'Transacciones CHL'!$A$2:$F$14,6,FALSE))</f>
        <v>Producción / Consumo intermedio</v>
      </c>
      <c r="H148" s="2" t="s">
        <v>1028</v>
      </c>
      <c r="I148" s="2" t="s">
        <v>1011</v>
      </c>
      <c r="J148" s="2" t="s">
        <v>1012</v>
      </c>
      <c r="K148" s="2" t="s">
        <v>1013</v>
      </c>
      <c r="L148" s="2" t="s">
        <v>1014</v>
      </c>
      <c r="M148" s="2">
        <v>1</v>
      </c>
      <c r="N148" s="2" t="s">
        <v>14</v>
      </c>
      <c r="O148" s="15">
        <v>2</v>
      </c>
      <c r="P148" s="15" t="s">
        <v>970</v>
      </c>
    </row>
    <row r="149" spans="1:16">
      <c r="A149" s="2" t="s">
        <v>1314</v>
      </c>
      <c r="B149" s="2">
        <v>7</v>
      </c>
      <c r="C149" s="2" t="str">
        <f>IF(B149="","",VLOOKUP(B149,'Transacciones CHL'!$A$2:$B$14,2,FALSE))</f>
        <v>Consumo intermedio</v>
      </c>
      <c r="D149" s="2">
        <f>IF(B149="","",VLOOKUP(B149,'Transacciones CHL'!$A$2:$F$14,3,FALSE))</f>
        <v>1</v>
      </c>
      <c r="E149" s="2" t="str">
        <f>IF(B149="","",VLOOKUP(B149,'Transacciones CHL'!$A$2:$F$14,4,FALSE))</f>
        <v>Producción / Consumo intermedio</v>
      </c>
      <c r="F149" s="2">
        <f>IF(B149="","",VLOOKUP(B149,'Transacciones CHL'!$A$2:$F$14,5,FALSE))</f>
        <v>1</v>
      </c>
      <c r="G149" s="2" t="str">
        <f>IF(B149="","",VLOOKUP(B149,'Transacciones CHL'!$A$2:$F$14,6,FALSE))</f>
        <v>Producción / Consumo intermedio</v>
      </c>
      <c r="H149" s="2" t="s">
        <v>1030</v>
      </c>
      <c r="I149" s="2" t="s">
        <v>1011</v>
      </c>
      <c r="J149" s="2" t="s">
        <v>1012</v>
      </c>
      <c r="K149" s="2" t="s">
        <v>1013</v>
      </c>
      <c r="L149" s="2" t="s">
        <v>1014</v>
      </c>
      <c r="M149" s="2">
        <v>1</v>
      </c>
      <c r="N149" s="2" t="s">
        <v>14</v>
      </c>
      <c r="O149" s="15">
        <v>2</v>
      </c>
      <c r="P149" s="15" t="s">
        <v>970</v>
      </c>
    </row>
    <row r="150" spans="1:16">
      <c r="A150" s="2" t="s">
        <v>1315</v>
      </c>
      <c r="B150" s="2">
        <v>7</v>
      </c>
      <c r="C150" s="2" t="str">
        <f>IF(B150="","",VLOOKUP(B150,'Transacciones CHL'!$A$2:$B$14,2,FALSE))</f>
        <v>Consumo intermedio</v>
      </c>
      <c r="D150" s="2">
        <f>IF(B150="","",VLOOKUP(B150,'Transacciones CHL'!$A$2:$F$14,3,FALSE))</f>
        <v>1</v>
      </c>
      <c r="E150" s="2" t="str">
        <f>IF(B150="","",VLOOKUP(B150,'Transacciones CHL'!$A$2:$F$14,4,FALSE))</f>
        <v>Producción / Consumo intermedio</v>
      </c>
      <c r="F150" s="2">
        <f>IF(B150="","",VLOOKUP(B150,'Transacciones CHL'!$A$2:$F$14,5,FALSE))</f>
        <v>1</v>
      </c>
      <c r="G150" s="2" t="str">
        <f>IF(B150="","",VLOOKUP(B150,'Transacciones CHL'!$A$2:$F$14,6,FALSE))</f>
        <v>Producción / Consumo intermedio</v>
      </c>
      <c r="H150" s="2" t="s">
        <v>1032</v>
      </c>
      <c r="I150" s="2" t="s">
        <v>1011</v>
      </c>
      <c r="J150" s="2" t="s">
        <v>1012</v>
      </c>
      <c r="K150" s="2" t="s">
        <v>1013</v>
      </c>
      <c r="L150" s="2" t="s">
        <v>1014</v>
      </c>
      <c r="M150" s="2">
        <v>1</v>
      </c>
      <c r="N150" s="2" t="s">
        <v>14</v>
      </c>
      <c r="O150" s="15">
        <v>2</v>
      </c>
      <c r="P150" s="15" t="s">
        <v>970</v>
      </c>
    </row>
    <row r="151" spans="1:16">
      <c r="A151" s="2" t="s">
        <v>1316</v>
      </c>
      <c r="B151" s="2">
        <v>7</v>
      </c>
      <c r="C151" s="2" t="str">
        <f>IF(B151="","",VLOOKUP(B151,'Transacciones CHL'!$A$2:$B$14,2,FALSE))</f>
        <v>Consumo intermedio</v>
      </c>
      <c r="D151" s="2">
        <f>IF(B151="","",VLOOKUP(B151,'Transacciones CHL'!$A$2:$F$14,3,FALSE))</f>
        <v>1</v>
      </c>
      <c r="E151" s="2" t="str">
        <f>IF(B151="","",VLOOKUP(B151,'Transacciones CHL'!$A$2:$F$14,4,FALSE))</f>
        <v>Producción / Consumo intermedio</v>
      </c>
      <c r="F151" s="2">
        <f>IF(B151="","",VLOOKUP(B151,'Transacciones CHL'!$A$2:$F$14,5,FALSE))</f>
        <v>1</v>
      </c>
      <c r="G151" s="2" t="str">
        <f>IF(B151="","",VLOOKUP(B151,'Transacciones CHL'!$A$2:$F$14,6,FALSE))</f>
        <v>Producción / Consumo intermedio</v>
      </c>
      <c r="H151" s="2" t="s">
        <v>1034</v>
      </c>
      <c r="I151" s="2" t="s">
        <v>1011</v>
      </c>
      <c r="J151" s="2" t="s">
        <v>1012</v>
      </c>
      <c r="K151" s="2" t="s">
        <v>1013</v>
      </c>
      <c r="L151" s="2" t="s">
        <v>1014</v>
      </c>
      <c r="M151" s="2">
        <v>1</v>
      </c>
      <c r="N151" s="2" t="s">
        <v>14</v>
      </c>
      <c r="O151" s="15">
        <v>2</v>
      </c>
      <c r="P151" s="15" t="s">
        <v>970</v>
      </c>
    </row>
    <row r="152" spans="1:16">
      <c r="A152" s="2" t="s">
        <v>1317</v>
      </c>
      <c r="B152" s="2">
        <v>7</v>
      </c>
      <c r="C152" s="2" t="str">
        <f>IF(B152="","",VLOOKUP(B152,'Transacciones CHL'!$A$2:$B$14,2,FALSE))</f>
        <v>Consumo intermedio</v>
      </c>
      <c r="D152" s="2">
        <f>IF(B152="","",VLOOKUP(B152,'Transacciones CHL'!$A$2:$F$14,3,FALSE))</f>
        <v>1</v>
      </c>
      <c r="E152" s="2" t="str">
        <f>IF(B152="","",VLOOKUP(B152,'Transacciones CHL'!$A$2:$F$14,4,FALSE))</f>
        <v>Producción / Consumo intermedio</v>
      </c>
      <c r="F152" s="2">
        <f>IF(B152="","",VLOOKUP(B152,'Transacciones CHL'!$A$2:$F$14,5,FALSE))</f>
        <v>1</v>
      </c>
      <c r="G152" s="2" t="str">
        <f>IF(B152="","",VLOOKUP(B152,'Transacciones CHL'!$A$2:$F$14,6,FALSE))</f>
        <v>Producción / Consumo intermedio</v>
      </c>
      <c r="H152" s="2" t="s">
        <v>1036</v>
      </c>
      <c r="I152" s="2" t="s">
        <v>1011</v>
      </c>
      <c r="J152" s="2" t="s">
        <v>1012</v>
      </c>
      <c r="K152" s="2" t="s">
        <v>1013</v>
      </c>
      <c r="L152" s="2" t="s">
        <v>1014</v>
      </c>
      <c r="M152" s="2">
        <v>1</v>
      </c>
      <c r="N152" s="2" t="s">
        <v>14</v>
      </c>
      <c r="O152" s="15">
        <v>2</v>
      </c>
      <c r="P152" s="15" t="s">
        <v>970</v>
      </c>
    </row>
    <row r="153" spans="1:16">
      <c r="A153" s="2" t="s">
        <v>1318</v>
      </c>
      <c r="B153" s="2">
        <v>7</v>
      </c>
      <c r="C153" s="2" t="str">
        <f>IF(B153="","",VLOOKUP(B153,'Transacciones CHL'!$A$2:$B$14,2,FALSE))</f>
        <v>Consumo intermedio</v>
      </c>
      <c r="D153" s="2">
        <f>IF(B153="","",VLOOKUP(B153,'Transacciones CHL'!$A$2:$F$14,3,FALSE))</f>
        <v>1</v>
      </c>
      <c r="E153" s="2" t="str">
        <f>IF(B153="","",VLOOKUP(B153,'Transacciones CHL'!$A$2:$F$14,4,FALSE))</f>
        <v>Producción / Consumo intermedio</v>
      </c>
      <c r="F153" s="2">
        <f>IF(B153="","",VLOOKUP(B153,'Transacciones CHL'!$A$2:$F$14,5,FALSE))</f>
        <v>1</v>
      </c>
      <c r="G153" s="2" t="str">
        <f>IF(B153="","",VLOOKUP(B153,'Transacciones CHL'!$A$2:$F$14,6,FALSE))</f>
        <v>Producción / Consumo intermedio</v>
      </c>
      <c r="H153" s="2" t="s">
        <v>1038</v>
      </c>
      <c r="I153" s="2" t="s">
        <v>1011</v>
      </c>
      <c r="J153" s="2" t="s">
        <v>1012</v>
      </c>
      <c r="K153" s="2" t="s">
        <v>1013</v>
      </c>
      <c r="L153" s="2" t="s">
        <v>1014</v>
      </c>
      <c r="M153" s="2">
        <v>1</v>
      </c>
      <c r="N153" s="2" t="s">
        <v>14</v>
      </c>
      <c r="O153" s="15">
        <v>2</v>
      </c>
      <c r="P153" s="15" t="s">
        <v>970</v>
      </c>
    </row>
    <row r="154" spans="1:16">
      <c r="A154" s="2" t="s">
        <v>1319</v>
      </c>
      <c r="B154" s="2">
        <v>7</v>
      </c>
      <c r="C154" s="2" t="str">
        <f>IF(B154="","",VLOOKUP(B154,'Transacciones CHL'!$A$2:$B$14,2,FALSE))</f>
        <v>Consumo intermedio</v>
      </c>
      <c r="D154" s="2">
        <f>IF(B154="","",VLOOKUP(B154,'Transacciones CHL'!$A$2:$F$14,3,FALSE))</f>
        <v>1</v>
      </c>
      <c r="E154" s="2" t="str">
        <f>IF(B154="","",VLOOKUP(B154,'Transacciones CHL'!$A$2:$F$14,4,FALSE))</f>
        <v>Producción / Consumo intermedio</v>
      </c>
      <c r="F154" s="2">
        <f>IF(B154="","",VLOOKUP(B154,'Transacciones CHL'!$A$2:$F$14,5,FALSE))</f>
        <v>1</v>
      </c>
      <c r="G154" s="2" t="str">
        <f>IF(B154="","",VLOOKUP(B154,'Transacciones CHL'!$A$2:$F$14,6,FALSE))</f>
        <v>Producción / Consumo intermedio</v>
      </c>
      <c r="H154" s="2" t="s">
        <v>1040</v>
      </c>
      <c r="I154" s="2" t="s">
        <v>1011</v>
      </c>
      <c r="J154" s="2" t="s">
        <v>1012</v>
      </c>
      <c r="K154" s="2" t="s">
        <v>1013</v>
      </c>
      <c r="L154" s="2" t="s">
        <v>1014</v>
      </c>
      <c r="M154" s="2">
        <v>1</v>
      </c>
      <c r="N154" s="2" t="s">
        <v>14</v>
      </c>
      <c r="O154" s="15">
        <v>2</v>
      </c>
      <c r="P154" s="15" t="s">
        <v>970</v>
      </c>
    </row>
    <row r="155" spans="1:16">
      <c r="A155" s="2" t="s">
        <v>1320</v>
      </c>
      <c r="B155" s="2">
        <v>7</v>
      </c>
      <c r="C155" s="2" t="str">
        <f>IF(B155="","",VLOOKUP(B155,'Transacciones CHL'!$A$2:$B$14,2,FALSE))</f>
        <v>Consumo intermedio</v>
      </c>
      <c r="D155" s="2">
        <f>IF(B155="","",VLOOKUP(B155,'Transacciones CHL'!$A$2:$F$14,3,FALSE))</f>
        <v>1</v>
      </c>
      <c r="E155" s="2" t="str">
        <f>IF(B155="","",VLOOKUP(B155,'Transacciones CHL'!$A$2:$F$14,4,FALSE))</f>
        <v>Producción / Consumo intermedio</v>
      </c>
      <c r="F155" s="2">
        <f>IF(B155="","",VLOOKUP(B155,'Transacciones CHL'!$A$2:$F$14,5,FALSE))</f>
        <v>1</v>
      </c>
      <c r="G155" s="2" t="str">
        <f>IF(B155="","",VLOOKUP(B155,'Transacciones CHL'!$A$2:$F$14,6,FALSE))</f>
        <v>Producción / Consumo intermedio</v>
      </c>
      <c r="H155" s="2" t="s">
        <v>1042</v>
      </c>
      <c r="I155" s="2" t="s">
        <v>1011</v>
      </c>
      <c r="J155" s="2" t="s">
        <v>1012</v>
      </c>
      <c r="K155" s="2" t="s">
        <v>1013</v>
      </c>
      <c r="L155" s="2" t="s">
        <v>1014</v>
      </c>
      <c r="M155" s="2">
        <v>1</v>
      </c>
      <c r="N155" s="2" t="s">
        <v>14</v>
      </c>
      <c r="O155" s="15">
        <v>2</v>
      </c>
      <c r="P155" s="15" t="s">
        <v>970</v>
      </c>
    </row>
    <row r="156" spans="1:16">
      <c r="A156" s="2" t="s">
        <v>1321</v>
      </c>
      <c r="B156" s="2">
        <v>7</v>
      </c>
      <c r="C156" s="2" t="str">
        <f>IF(B156="","",VLOOKUP(B156,'Transacciones CHL'!$A$2:$B$14,2,FALSE))</f>
        <v>Consumo intermedio</v>
      </c>
      <c r="D156" s="2">
        <f>IF(B156="","",VLOOKUP(B156,'Transacciones CHL'!$A$2:$F$14,3,FALSE))</f>
        <v>1</v>
      </c>
      <c r="E156" s="2" t="str">
        <f>IF(B156="","",VLOOKUP(B156,'Transacciones CHL'!$A$2:$F$14,4,FALSE))</f>
        <v>Producción / Consumo intermedio</v>
      </c>
      <c r="F156" s="2">
        <f>IF(B156="","",VLOOKUP(B156,'Transacciones CHL'!$A$2:$F$14,5,FALSE))</f>
        <v>1</v>
      </c>
      <c r="G156" s="2" t="str">
        <f>IF(B156="","",VLOOKUP(B156,'Transacciones CHL'!$A$2:$F$14,6,FALSE))</f>
        <v>Producción / Consumo intermedio</v>
      </c>
      <c r="H156" s="2" t="s">
        <v>1044</v>
      </c>
      <c r="I156" s="2" t="s">
        <v>1011</v>
      </c>
      <c r="J156" s="2" t="s">
        <v>1012</v>
      </c>
      <c r="K156" s="2" t="s">
        <v>1013</v>
      </c>
      <c r="L156" s="2" t="s">
        <v>1014</v>
      </c>
      <c r="M156" s="2">
        <v>1</v>
      </c>
      <c r="N156" s="2" t="s">
        <v>14</v>
      </c>
      <c r="O156" s="15">
        <v>2</v>
      </c>
      <c r="P156" s="15" t="s">
        <v>970</v>
      </c>
    </row>
    <row r="157" spans="1:16">
      <c r="A157" s="2" t="s">
        <v>1322</v>
      </c>
      <c r="B157" s="2">
        <v>7</v>
      </c>
      <c r="C157" s="2" t="str">
        <f>IF(B157="","",VLOOKUP(B157,'Transacciones CHL'!$A$2:$B$14,2,FALSE))</f>
        <v>Consumo intermedio</v>
      </c>
      <c r="D157" s="2">
        <f>IF(B157="","",VLOOKUP(B157,'Transacciones CHL'!$A$2:$F$14,3,FALSE))</f>
        <v>1</v>
      </c>
      <c r="E157" s="2" t="str">
        <f>IF(B157="","",VLOOKUP(B157,'Transacciones CHL'!$A$2:$F$14,4,FALSE))</f>
        <v>Producción / Consumo intermedio</v>
      </c>
      <c r="F157" s="2">
        <f>IF(B157="","",VLOOKUP(B157,'Transacciones CHL'!$A$2:$F$14,5,FALSE))</f>
        <v>1</v>
      </c>
      <c r="G157" s="2" t="str">
        <f>IF(B157="","",VLOOKUP(B157,'Transacciones CHL'!$A$2:$F$14,6,FALSE))</f>
        <v>Producción / Consumo intermedio</v>
      </c>
      <c r="H157" s="2" t="s">
        <v>1046</v>
      </c>
      <c r="I157" s="2" t="s">
        <v>1011</v>
      </c>
      <c r="J157" s="2" t="s">
        <v>1012</v>
      </c>
      <c r="K157" s="2" t="s">
        <v>1013</v>
      </c>
      <c r="L157" s="2" t="s">
        <v>1014</v>
      </c>
      <c r="M157" s="2">
        <v>2</v>
      </c>
      <c r="N157" s="2" t="s">
        <v>142</v>
      </c>
      <c r="O157" s="15">
        <v>2</v>
      </c>
      <c r="P157" s="15" t="s">
        <v>970</v>
      </c>
    </row>
    <row r="158" spans="1:16">
      <c r="A158" s="2" t="s">
        <v>1323</v>
      </c>
      <c r="B158" s="2">
        <v>7</v>
      </c>
      <c r="C158" s="2" t="str">
        <f>IF(B158="","",VLOOKUP(B158,'Transacciones CHL'!$A$2:$B$14,2,FALSE))</f>
        <v>Consumo intermedio</v>
      </c>
      <c r="D158" s="2">
        <f>IF(B158="","",VLOOKUP(B158,'Transacciones CHL'!$A$2:$F$14,3,FALSE))</f>
        <v>1</v>
      </c>
      <c r="E158" s="2" t="str">
        <f>IF(B158="","",VLOOKUP(B158,'Transacciones CHL'!$A$2:$F$14,4,FALSE))</f>
        <v>Producción / Consumo intermedio</v>
      </c>
      <c r="F158" s="2">
        <f>IF(B158="","",VLOOKUP(B158,'Transacciones CHL'!$A$2:$F$14,5,FALSE))</f>
        <v>1</v>
      </c>
      <c r="G158" s="2" t="str">
        <f>IF(B158="","",VLOOKUP(B158,'Transacciones CHL'!$A$2:$F$14,6,FALSE))</f>
        <v>Producción / Consumo intermedio</v>
      </c>
      <c r="H158" s="2" t="s">
        <v>1048</v>
      </c>
      <c r="I158" s="2" t="s">
        <v>1011</v>
      </c>
      <c r="J158" s="2" t="s">
        <v>1012</v>
      </c>
      <c r="K158" s="2" t="s">
        <v>1013</v>
      </c>
      <c r="L158" s="2" t="s">
        <v>1014</v>
      </c>
      <c r="M158" s="2">
        <v>2</v>
      </c>
      <c r="N158" s="2" t="s">
        <v>142</v>
      </c>
      <c r="O158" s="15">
        <v>2</v>
      </c>
      <c r="P158" s="15" t="s">
        <v>970</v>
      </c>
    </row>
    <row r="159" spans="1:16">
      <c r="A159" s="2" t="s">
        <v>1324</v>
      </c>
      <c r="B159" s="2">
        <v>7</v>
      </c>
      <c r="C159" s="2" t="str">
        <f>IF(B159="","",VLOOKUP(B159,'Transacciones CHL'!$A$2:$B$14,2,FALSE))</f>
        <v>Consumo intermedio</v>
      </c>
      <c r="D159" s="2">
        <f>IF(B159="","",VLOOKUP(B159,'Transacciones CHL'!$A$2:$F$14,3,FALSE))</f>
        <v>1</v>
      </c>
      <c r="E159" s="2" t="str">
        <f>IF(B159="","",VLOOKUP(B159,'Transacciones CHL'!$A$2:$F$14,4,FALSE))</f>
        <v>Producción / Consumo intermedio</v>
      </c>
      <c r="F159" s="2">
        <f>IF(B159="","",VLOOKUP(B159,'Transacciones CHL'!$A$2:$F$14,5,FALSE))</f>
        <v>1</v>
      </c>
      <c r="G159" s="2" t="str">
        <f>IF(B159="","",VLOOKUP(B159,'Transacciones CHL'!$A$2:$F$14,6,FALSE))</f>
        <v>Producción / Consumo intermedio</v>
      </c>
      <c r="H159" s="2" t="s">
        <v>1050</v>
      </c>
      <c r="I159" s="2" t="s">
        <v>1011</v>
      </c>
      <c r="J159" s="2" t="s">
        <v>1012</v>
      </c>
      <c r="K159" s="2" t="s">
        <v>1013</v>
      </c>
      <c r="L159" s="2" t="s">
        <v>1014</v>
      </c>
      <c r="M159" s="2">
        <v>1</v>
      </c>
      <c r="N159" s="2" t="s">
        <v>14</v>
      </c>
      <c r="O159" s="15">
        <v>2</v>
      </c>
      <c r="P159" s="15" t="s">
        <v>970</v>
      </c>
    </row>
    <row r="160" spans="1:16">
      <c r="A160" s="2" t="s">
        <v>1325</v>
      </c>
      <c r="B160" s="2">
        <v>7</v>
      </c>
      <c r="C160" s="2" t="str">
        <f>IF(B160="","",VLOOKUP(B160,'Transacciones CHL'!$A$2:$B$14,2,FALSE))</f>
        <v>Consumo intermedio</v>
      </c>
      <c r="D160" s="2">
        <f>IF(B160="","",VLOOKUP(B160,'Transacciones CHL'!$A$2:$F$14,3,FALSE))</f>
        <v>1</v>
      </c>
      <c r="E160" s="2" t="str">
        <f>IF(B160="","",VLOOKUP(B160,'Transacciones CHL'!$A$2:$F$14,4,FALSE))</f>
        <v>Producción / Consumo intermedio</v>
      </c>
      <c r="F160" s="2">
        <f>IF(B160="","",VLOOKUP(B160,'Transacciones CHL'!$A$2:$F$14,5,FALSE))</f>
        <v>1</v>
      </c>
      <c r="G160" s="2" t="str">
        <f>IF(B160="","",VLOOKUP(B160,'Transacciones CHL'!$A$2:$F$14,6,FALSE))</f>
        <v>Producción / Consumo intermedio</v>
      </c>
      <c r="H160" s="2" t="s">
        <v>1052</v>
      </c>
      <c r="I160" s="2" t="s">
        <v>1011</v>
      </c>
      <c r="J160" s="2" t="s">
        <v>1012</v>
      </c>
      <c r="K160" s="2" t="s">
        <v>1013</v>
      </c>
      <c r="L160" s="2" t="s">
        <v>1014</v>
      </c>
      <c r="M160" s="2">
        <v>2</v>
      </c>
      <c r="N160" s="2" t="s">
        <v>142</v>
      </c>
      <c r="O160" s="15">
        <v>2</v>
      </c>
      <c r="P160" s="15" t="s">
        <v>970</v>
      </c>
    </row>
    <row r="161" spans="1:16">
      <c r="A161" s="2" t="s">
        <v>1326</v>
      </c>
      <c r="B161" s="2">
        <v>7</v>
      </c>
      <c r="C161" s="2" t="str">
        <f>IF(B161="","",VLOOKUP(B161,'Transacciones CHL'!$A$2:$B$14,2,FALSE))</f>
        <v>Consumo intermedio</v>
      </c>
      <c r="D161" s="2">
        <f>IF(B161="","",VLOOKUP(B161,'Transacciones CHL'!$A$2:$F$14,3,FALSE))</f>
        <v>1</v>
      </c>
      <c r="E161" s="2" t="str">
        <f>IF(B161="","",VLOOKUP(B161,'Transacciones CHL'!$A$2:$F$14,4,FALSE))</f>
        <v>Producción / Consumo intermedio</v>
      </c>
      <c r="F161" s="2">
        <f>IF(B161="","",VLOOKUP(B161,'Transacciones CHL'!$A$2:$F$14,5,FALSE))</f>
        <v>1</v>
      </c>
      <c r="G161" s="2" t="str">
        <f>IF(B161="","",VLOOKUP(B161,'Transacciones CHL'!$A$2:$F$14,6,FALSE))</f>
        <v>Producción / Consumo intermedio</v>
      </c>
      <c r="H161" s="2" t="s">
        <v>1054</v>
      </c>
      <c r="I161" s="2" t="s">
        <v>1011</v>
      </c>
      <c r="J161" s="2" t="s">
        <v>1012</v>
      </c>
      <c r="K161" s="2" t="s">
        <v>1013</v>
      </c>
      <c r="L161" s="2" t="s">
        <v>1014</v>
      </c>
      <c r="M161" s="2">
        <v>1</v>
      </c>
      <c r="N161" s="2" t="s">
        <v>14</v>
      </c>
      <c r="O161" s="15">
        <v>2</v>
      </c>
      <c r="P161" s="15" t="s">
        <v>970</v>
      </c>
    </row>
    <row r="162" spans="1:16">
      <c r="A162" s="2" t="s">
        <v>1327</v>
      </c>
      <c r="B162" s="2">
        <v>7</v>
      </c>
      <c r="C162" s="2" t="str">
        <f>IF(B162="","",VLOOKUP(B162,'Transacciones CHL'!$A$2:$B$14,2,FALSE))</f>
        <v>Consumo intermedio</v>
      </c>
      <c r="D162" s="2">
        <f>IF(B162="","",VLOOKUP(B162,'Transacciones CHL'!$A$2:$F$14,3,FALSE))</f>
        <v>1</v>
      </c>
      <c r="E162" s="2" t="str">
        <f>IF(B162="","",VLOOKUP(B162,'Transacciones CHL'!$A$2:$F$14,4,FALSE))</f>
        <v>Producción / Consumo intermedio</v>
      </c>
      <c r="F162" s="2">
        <f>IF(B162="","",VLOOKUP(B162,'Transacciones CHL'!$A$2:$F$14,5,FALSE))</f>
        <v>1</v>
      </c>
      <c r="G162" s="2" t="str">
        <f>IF(B162="","",VLOOKUP(B162,'Transacciones CHL'!$A$2:$F$14,6,FALSE))</f>
        <v>Producción / Consumo intermedio</v>
      </c>
      <c r="H162" s="2" t="s">
        <v>1056</v>
      </c>
      <c r="I162" s="2" t="s">
        <v>1011</v>
      </c>
      <c r="J162" s="2" t="s">
        <v>1012</v>
      </c>
      <c r="K162" s="2" t="s">
        <v>1013</v>
      </c>
      <c r="L162" s="2" t="s">
        <v>1014</v>
      </c>
      <c r="M162" s="2">
        <v>1</v>
      </c>
      <c r="N162" s="2" t="s">
        <v>14</v>
      </c>
      <c r="O162" s="15">
        <v>2</v>
      </c>
      <c r="P162" s="15" t="s">
        <v>970</v>
      </c>
    </row>
    <row r="163" spans="1:16">
      <c r="A163" s="2" t="s">
        <v>1328</v>
      </c>
      <c r="B163" s="2">
        <v>7</v>
      </c>
      <c r="C163" s="2" t="str">
        <f>IF(B163="","",VLOOKUP(B163,'Transacciones CHL'!$A$2:$B$14,2,FALSE))</f>
        <v>Consumo intermedio</v>
      </c>
      <c r="D163" s="2">
        <f>IF(B163="","",VLOOKUP(B163,'Transacciones CHL'!$A$2:$F$14,3,FALSE))</f>
        <v>1</v>
      </c>
      <c r="E163" s="2" t="str">
        <f>IF(B163="","",VLOOKUP(B163,'Transacciones CHL'!$A$2:$F$14,4,FALSE))</f>
        <v>Producción / Consumo intermedio</v>
      </c>
      <c r="F163" s="2">
        <f>IF(B163="","",VLOOKUP(B163,'Transacciones CHL'!$A$2:$F$14,5,FALSE))</f>
        <v>1</v>
      </c>
      <c r="G163" s="2" t="str">
        <f>IF(B163="","",VLOOKUP(B163,'Transacciones CHL'!$A$2:$F$14,6,FALSE))</f>
        <v>Producción / Consumo intermedio</v>
      </c>
      <c r="H163" s="2" t="s">
        <v>1058</v>
      </c>
      <c r="I163" s="2" t="s">
        <v>1011</v>
      </c>
      <c r="J163" s="2" t="s">
        <v>1012</v>
      </c>
      <c r="K163" s="2" t="s">
        <v>1013</v>
      </c>
      <c r="L163" s="2" t="s">
        <v>1014</v>
      </c>
      <c r="M163" s="2">
        <v>1</v>
      </c>
      <c r="N163" s="2" t="s">
        <v>14</v>
      </c>
      <c r="O163" s="15">
        <v>2</v>
      </c>
      <c r="P163" s="15" t="s">
        <v>970</v>
      </c>
    </row>
    <row r="164" spans="1:16">
      <c r="A164" s="2" t="s">
        <v>1329</v>
      </c>
      <c r="B164" s="2">
        <v>7</v>
      </c>
      <c r="C164" s="2" t="str">
        <f>IF(B164="","",VLOOKUP(B164,'Transacciones CHL'!$A$2:$B$14,2,FALSE))</f>
        <v>Consumo intermedio</v>
      </c>
      <c r="D164" s="2">
        <f>IF(B164="","",VLOOKUP(B164,'Transacciones CHL'!$A$2:$F$14,3,FALSE))</f>
        <v>1</v>
      </c>
      <c r="E164" s="2" t="str">
        <f>IF(B164="","",VLOOKUP(B164,'Transacciones CHL'!$A$2:$F$14,4,FALSE))</f>
        <v>Producción / Consumo intermedio</v>
      </c>
      <c r="F164" s="2">
        <f>IF(B164="","",VLOOKUP(B164,'Transacciones CHL'!$A$2:$F$14,5,FALSE))</f>
        <v>1</v>
      </c>
      <c r="G164" s="2" t="str">
        <f>IF(B164="","",VLOOKUP(B164,'Transacciones CHL'!$A$2:$F$14,6,FALSE))</f>
        <v>Producción / Consumo intermedio</v>
      </c>
      <c r="H164" s="2" t="s">
        <v>1060</v>
      </c>
      <c r="I164" s="2" t="s">
        <v>1011</v>
      </c>
      <c r="J164" s="2" t="s">
        <v>1012</v>
      </c>
      <c r="K164" s="2" t="s">
        <v>1013</v>
      </c>
      <c r="L164" s="2" t="s">
        <v>1014</v>
      </c>
      <c r="M164" s="2">
        <v>1</v>
      </c>
      <c r="N164" s="2" t="s">
        <v>14</v>
      </c>
      <c r="O164" s="15">
        <v>2</v>
      </c>
      <c r="P164" s="15" t="s">
        <v>970</v>
      </c>
    </row>
    <row r="165" spans="1:16">
      <c r="A165" s="2" t="s">
        <v>1330</v>
      </c>
      <c r="B165" s="2">
        <v>7</v>
      </c>
      <c r="C165" s="2" t="str">
        <f>IF(B165="","",VLOOKUP(B165,'Transacciones CHL'!$A$2:$B$14,2,FALSE))</f>
        <v>Consumo intermedio</v>
      </c>
      <c r="D165" s="2">
        <f>IF(B165="","",VLOOKUP(B165,'Transacciones CHL'!$A$2:$F$14,3,FALSE))</f>
        <v>1</v>
      </c>
      <c r="E165" s="2" t="str">
        <f>IF(B165="","",VLOOKUP(B165,'Transacciones CHL'!$A$2:$F$14,4,FALSE))</f>
        <v>Producción / Consumo intermedio</v>
      </c>
      <c r="F165" s="2">
        <f>IF(B165="","",VLOOKUP(B165,'Transacciones CHL'!$A$2:$F$14,5,FALSE))</f>
        <v>1</v>
      </c>
      <c r="G165" s="2" t="str">
        <f>IF(B165="","",VLOOKUP(B165,'Transacciones CHL'!$A$2:$F$14,6,FALSE))</f>
        <v>Producción / Consumo intermedio</v>
      </c>
      <c r="H165" s="2" t="s">
        <v>1062</v>
      </c>
      <c r="I165" s="2" t="s">
        <v>1011</v>
      </c>
      <c r="J165" s="2" t="s">
        <v>1012</v>
      </c>
      <c r="K165" s="2" t="s">
        <v>1013</v>
      </c>
      <c r="L165" s="2" t="s">
        <v>1014</v>
      </c>
      <c r="M165" s="2">
        <v>2</v>
      </c>
      <c r="N165" s="2" t="s">
        <v>142</v>
      </c>
      <c r="O165" s="15">
        <v>2</v>
      </c>
      <c r="P165" s="15" t="s">
        <v>970</v>
      </c>
    </row>
    <row r="166" spans="1:16">
      <c r="A166" s="2" t="s">
        <v>1331</v>
      </c>
      <c r="B166" s="2">
        <v>7</v>
      </c>
      <c r="C166" s="2" t="str">
        <f>IF(B166="","",VLOOKUP(B166,'Transacciones CHL'!$A$2:$B$14,2,FALSE))</f>
        <v>Consumo intermedio</v>
      </c>
      <c r="D166" s="2">
        <f>IF(B166="","",VLOOKUP(B166,'Transacciones CHL'!$A$2:$F$14,3,FALSE))</f>
        <v>1</v>
      </c>
      <c r="E166" s="2" t="str">
        <f>IF(B166="","",VLOOKUP(B166,'Transacciones CHL'!$A$2:$F$14,4,FALSE))</f>
        <v>Producción / Consumo intermedio</v>
      </c>
      <c r="F166" s="2">
        <f>IF(B166="","",VLOOKUP(B166,'Transacciones CHL'!$A$2:$F$14,5,FALSE))</f>
        <v>1</v>
      </c>
      <c r="G166" s="2" t="str">
        <f>IF(B166="","",VLOOKUP(B166,'Transacciones CHL'!$A$2:$F$14,6,FALSE))</f>
        <v>Producción / Consumo intermedio</v>
      </c>
      <c r="H166" s="2" t="s">
        <v>1064</v>
      </c>
      <c r="I166" s="2" t="s">
        <v>1011</v>
      </c>
      <c r="J166" s="2" t="s">
        <v>1012</v>
      </c>
      <c r="K166" s="2" t="s">
        <v>1013</v>
      </c>
      <c r="L166" s="2" t="s">
        <v>1014</v>
      </c>
      <c r="M166" s="2">
        <v>3</v>
      </c>
      <c r="N166" s="2" t="s">
        <v>67</v>
      </c>
      <c r="O166" s="15">
        <v>1</v>
      </c>
      <c r="P166" s="15" t="s">
        <v>1065</v>
      </c>
    </row>
    <row r="167" spans="1:16">
      <c r="A167" s="2" t="s">
        <v>1332</v>
      </c>
      <c r="B167" s="2">
        <v>7</v>
      </c>
      <c r="C167" s="2" t="str">
        <f>IF(B167="","",VLOOKUP(B167,'Transacciones CHL'!$A$2:$B$14,2,FALSE))</f>
        <v>Consumo intermedio</v>
      </c>
      <c r="D167" s="2">
        <f>IF(B167="","",VLOOKUP(B167,'Transacciones CHL'!$A$2:$F$14,3,FALSE))</f>
        <v>1</v>
      </c>
      <c r="E167" s="2" t="str">
        <f>IF(B167="","",VLOOKUP(B167,'Transacciones CHL'!$A$2:$F$14,4,FALSE))</f>
        <v>Producción / Consumo intermedio</v>
      </c>
      <c r="F167" s="2">
        <f>IF(B167="","",VLOOKUP(B167,'Transacciones CHL'!$A$2:$F$14,5,FALSE))</f>
        <v>1</v>
      </c>
      <c r="G167" s="2" t="str">
        <f>IF(B167="","",VLOOKUP(B167,'Transacciones CHL'!$A$2:$F$14,6,FALSE))</f>
        <v>Producción / Consumo intermedio</v>
      </c>
      <c r="H167" s="2" t="s">
        <v>1067</v>
      </c>
      <c r="I167" s="2" t="s">
        <v>1011</v>
      </c>
      <c r="J167" s="2" t="s">
        <v>1012</v>
      </c>
      <c r="K167" s="2" t="s">
        <v>1013</v>
      </c>
      <c r="L167" s="2" t="s">
        <v>1014</v>
      </c>
      <c r="M167" s="2">
        <v>3</v>
      </c>
      <c r="N167" s="2" t="s">
        <v>67</v>
      </c>
      <c r="O167" s="15">
        <v>2</v>
      </c>
      <c r="P167" s="15" t="s">
        <v>970</v>
      </c>
    </row>
    <row r="168" spans="1:16">
      <c r="A168" s="2" t="s">
        <v>1333</v>
      </c>
      <c r="B168" s="2">
        <v>7</v>
      </c>
      <c r="C168" s="2" t="str">
        <f>IF(B168="","",VLOOKUP(B168,'Transacciones CHL'!$A$2:$B$14,2,FALSE))</f>
        <v>Consumo intermedio</v>
      </c>
      <c r="D168" s="2">
        <f>IF(B168="","",VLOOKUP(B168,'Transacciones CHL'!$A$2:$F$14,3,FALSE))</f>
        <v>1</v>
      </c>
      <c r="E168" s="2" t="str">
        <f>IF(B168="","",VLOOKUP(B168,'Transacciones CHL'!$A$2:$F$14,4,FALSE))</f>
        <v>Producción / Consumo intermedio</v>
      </c>
      <c r="F168" s="2">
        <f>IF(B168="","",VLOOKUP(B168,'Transacciones CHL'!$A$2:$F$14,5,FALSE))</f>
        <v>1</v>
      </c>
      <c r="G168" s="2" t="str">
        <f>IF(B168="","",VLOOKUP(B168,'Transacciones CHL'!$A$2:$F$14,6,FALSE))</f>
        <v>Producción / Consumo intermedio</v>
      </c>
      <c r="H168" s="2" t="s">
        <v>1069</v>
      </c>
      <c r="I168" s="2" t="s">
        <v>1011</v>
      </c>
      <c r="J168" s="2" t="s">
        <v>1012</v>
      </c>
      <c r="K168" s="2" t="s">
        <v>1013</v>
      </c>
      <c r="L168" s="2" t="s">
        <v>1014</v>
      </c>
      <c r="M168" s="2">
        <v>2</v>
      </c>
      <c r="N168" s="2" t="s">
        <v>142</v>
      </c>
      <c r="O168" s="15">
        <v>2</v>
      </c>
      <c r="P168" s="15" t="s">
        <v>970</v>
      </c>
    </row>
    <row r="169" spans="1:16">
      <c r="A169" s="2" t="s">
        <v>1334</v>
      </c>
      <c r="B169" s="2">
        <v>7</v>
      </c>
      <c r="C169" s="2" t="str">
        <f>IF(B169="","",VLOOKUP(B169,'Transacciones CHL'!$A$2:$B$14,2,FALSE))</f>
        <v>Consumo intermedio</v>
      </c>
      <c r="D169" s="2">
        <f>IF(B169="","",VLOOKUP(B169,'Transacciones CHL'!$A$2:$F$14,3,FALSE))</f>
        <v>1</v>
      </c>
      <c r="E169" s="2" t="str">
        <f>IF(B169="","",VLOOKUP(B169,'Transacciones CHL'!$A$2:$F$14,4,FALSE))</f>
        <v>Producción / Consumo intermedio</v>
      </c>
      <c r="F169" s="2">
        <f>IF(B169="","",VLOOKUP(B169,'Transacciones CHL'!$A$2:$F$14,5,FALSE))</f>
        <v>1</v>
      </c>
      <c r="G169" s="2" t="str">
        <f>IF(B169="","",VLOOKUP(B169,'Transacciones CHL'!$A$2:$F$14,6,FALSE))</f>
        <v>Producción / Consumo intermedio</v>
      </c>
      <c r="H169" s="2" t="s">
        <v>1071</v>
      </c>
      <c r="I169" s="2" t="s">
        <v>1011</v>
      </c>
      <c r="J169" s="2" t="s">
        <v>1012</v>
      </c>
      <c r="K169" s="2" t="s">
        <v>1013</v>
      </c>
      <c r="L169" s="2" t="s">
        <v>1014</v>
      </c>
      <c r="M169" s="2">
        <v>3</v>
      </c>
      <c r="N169" s="2" t="s">
        <v>67</v>
      </c>
      <c r="O169" s="15">
        <v>2</v>
      </c>
      <c r="P169" s="15" t="s">
        <v>970</v>
      </c>
    </row>
    <row r="170" spans="1:16">
      <c r="A170" s="2" t="s">
        <v>1335</v>
      </c>
      <c r="B170" s="2">
        <v>7</v>
      </c>
      <c r="C170" s="2" t="str">
        <f>IF(B170="","",VLOOKUP(B170,'Transacciones CHL'!$A$2:$B$14,2,FALSE))</f>
        <v>Consumo intermedio</v>
      </c>
      <c r="D170" s="2">
        <f>IF(B170="","",VLOOKUP(B170,'Transacciones CHL'!$A$2:$F$14,3,FALSE))</f>
        <v>1</v>
      </c>
      <c r="E170" s="2" t="str">
        <f>IF(B170="","",VLOOKUP(B170,'Transacciones CHL'!$A$2:$F$14,4,FALSE))</f>
        <v>Producción / Consumo intermedio</v>
      </c>
      <c r="F170" s="2">
        <f>IF(B170="","",VLOOKUP(B170,'Transacciones CHL'!$A$2:$F$14,5,FALSE))</f>
        <v>1</v>
      </c>
      <c r="G170" s="2" t="str">
        <f>IF(B170="","",VLOOKUP(B170,'Transacciones CHL'!$A$2:$F$14,6,FALSE))</f>
        <v>Producción / Consumo intermedio</v>
      </c>
      <c r="H170" s="2" t="s">
        <v>1073</v>
      </c>
      <c r="I170" s="2" t="s">
        <v>1011</v>
      </c>
      <c r="J170" s="2" t="s">
        <v>1012</v>
      </c>
      <c r="K170" s="2" t="s">
        <v>1013</v>
      </c>
      <c r="L170" s="2" t="s">
        <v>1014</v>
      </c>
      <c r="M170" s="2">
        <v>2</v>
      </c>
      <c r="N170" s="2" t="s">
        <v>142</v>
      </c>
      <c r="O170" s="15">
        <v>2</v>
      </c>
      <c r="P170" s="15" t="s">
        <v>970</v>
      </c>
    </row>
    <row r="171" spans="1:16">
      <c r="A171" s="2" t="s">
        <v>1336</v>
      </c>
      <c r="B171" s="2">
        <v>7</v>
      </c>
      <c r="C171" s="2" t="str">
        <f>IF(B171="","",VLOOKUP(B171,'Transacciones CHL'!$A$2:$B$14,2,FALSE))</f>
        <v>Consumo intermedio</v>
      </c>
      <c r="D171" s="2">
        <f>IF(B171="","",VLOOKUP(B171,'Transacciones CHL'!$A$2:$F$14,3,FALSE))</f>
        <v>1</v>
      </c>
      <c r="E171" s="2" t="str">
        <f>IF(B171="","",VLOOKUP(B171,'Transacciones CHL'!$A$2:$F$14,4,FALSE))</f>
        <v>Producción / Consumo intermedio</v>
      </c>
      <c r="F171" s="2">
        <f>IF(B171="","",VLOOKUP(B171,'Transacciones CHL'!$A$2:$F$14,5,FALSE))</f>
        <v>1</v>
      </c>
      <c r="G171" s="2" t="str">
        <f>IF(B171="","",VLOOKUP(B171,'Transacciones CHL'!$A$2:$F$14,6,FALSE))</f>
        <v>Producción / Consumo intermedio</v>
      </c>
      <c r="H171" s="2" t="s">
        <v>1075</v>
      </c>
      <c r="I171" s="2" t="s">
        <v>1011</v>
      </c>
      <c r="J171" s="2" t="s">
        <v>1012</v>
      </c>
      <c r="K171" s="2" t="s">
        <v>1013</v>
      </c>
      <c r="L171" s="2" t="s">
        <v>1014</v>
      </c>
      <c r="M171" s="2">
        <v>2</v>
      </c>
      <c r="N171" s="2" t="s">
        <v>142</v>
      </c>
      <c r="O171" s="15">
        <v>2</v>
      </c>
      <c r="P171" s="15" t="s">
        <v>970</v>
      </c>
    </row>
    <row r="172" spans="1:16">
      <c r="A172" s="2" t="s">
        <v>1337</v>
      </c>
      <c r="B172" s="2">
        <v>7</v>
      </c>
      <c r="C172" s="2" t="str">
        <f>IF(B172="","",VLOOKUP(B172,'Transacciones CHL'!$A$2:$B$14,2,FALSE))</f>
        <v>Consumo intermedio</v>
      </c>
      <c r="D172" s="2">
        <f>IF(B172="","",VLOOKUP(B172,'Transacciones CHL'!$A$2:$F$14,3,FALSE))</f>
        <v>1</v>
      </c>
      <c r="E172" s="2" t="str">
        <f>IF(B172="","",VLOOKUP(B172,'Transacciones CHL'!$A$2:$F$14,4,FALSE))</f>
        <v>Producción / Consumo intermedio</v>
      </c>
      <c r="F172" s="2">
        <f>IF(B172="","",VLOOKUP(B172,'Transacciones CHL'!$A$2:$F$14,5,FALSE))</f>
        <v>1</v>
      </c>
      <c r="G172" s="2" t="str">
        <f>IF(B172="","",VLOOKUP(B172,'Transacciones CHL'!$A$2:$F$14,6,FALSE))</f>
        <v>Producción / Consumo intermedio</v>
      </c>
      <c r="H172" s="2" t="s">
        <v>1077</v>
      </c>
      <c r="I172" s="2" t="s">
        <v>1011</v>
      </c>
      <c r="J172" s="2" t="s">
        <v>1012</v>
      </c>
      <c r="K172" s="2" t="s">
        <v>1013</v>
      </c>
      <c r="L172" s="2" t="s">
        <v>1014</v>
      </c>
      <c r="M172" s="2">
        <v>3</v>
      </c>
      <c r="N172" s="2" t="s">
        <v>67</v>
      </c>
      <c r="O172" s="15">
        <v>2</v>
      </c>
      <c r="P172" s="15" t="s">
        <v>970</v>
      </c>
    </row>
    <row r="173" spans="1:16">
      <c r="A173" s="2" t="s">
        <v>1338</v>
      </c>
      <c r="B173" s="2">
        <v>7</v>
      </c>
      <c r="C173" s="2" t="str">
        <f>IF(B173="","",VLOOKUP(B173,'Transacciones CHL'!$A$2:$B$14,2,FALSE))</f>
        <v>Consumo intermedio</v>
      </c>
      <c r="D173" s="2">
        <f>IF(B173="","",VLOOKUP(B173,'Transacciones CHL'!$A$2:$F$14,3,FALSE))</f>
        <v>1</v>
      </c>
      <c r="E173" s="2" t="str">
        <f>IF(B173="","",VLOOKUP(B173,'Transacciones CHL'!$A$2:$F$14,4,FALSE))</f>
        <v>Producción / Consumo intermedio</v>
      </c>
      <c r="F173" s="2">
        <f>IF(B173="","",VLOOKUP(B173,'Transacciones CHL'!$A$2:$F$14,5,FALSE))</f>
        <v>1</v>
      </c>
      <c r="G173" s="2" t="str">
        <f>IF(B173="","",VLOOKUP(B173,'Transacciones CHL'!$A$2:$F$14,6,FALSE))</f>
        <v>Producción / Consumo intermedio</v>
      </c>
      <c r="H173" s="2" t="s">
        <v>1079</v>
      </c>
      <c r="I173" s="2" t="s">
        <v>1011</v>
      </c>
      <c r="J173" s="2" t="s">
        <v>1012</v>
      </c>
      <c r="K173" s="2" t="s">
        <v>1013</v>
      </c>
      <c r="L173" s="2" t="s">
        <v>1014</v>
      </c>
      <c r="M173" s="2">
        <v>3</v>
      </c>
      <c r="N173" s="2" t="s">
        <v>67</v>
      </c>
      <c r="O173" s="15">
        <v>2</v>
      </c>
      <c r="P173" s="15" t="s">
        <v>970</v>
      </c>
    </row>
    <row r="174" spans="1:16">
      <c r="A174" s="2" t="s">
        <v>1339</v>
      </c>
      <c r="B174" s="2">
        <v>7</v>
      </c>
      <c r="C174" s="2" t="str">
        <f>IF(B174="","",VLOOKUP(B174,'Transacciones CHL'!$A$2:$B$14,2,FALSE))</f>
        <v>Consumo intermedio</v>
      </c>
      <c r="D174" s="2">
        <f>IF(B174="","",VLOOKUP(B174,'Transacciones CHL'!$A$2:$F$14,3,FALSE))</f>
        <v>1</v>
      </c>
      <c r="E174" s="2" t="str">
        <f>IF(B174="","",VLOOKUP(B174,'Transacciones CHL'!$A$2:$F$14,4,FALSE))</f>
        <v>Producción / Consumo intermedio</v>
      </c>
      <c r="F174" s="2">
        <f>IF(B174="","",VLOOKUP(B174,'Transacciones CHL'!$A$2:$F$14,5,FALSE))</f>
        <v>1</v>
      </c>
      <c r="G174" s="2" t="str">
        <f>IF(B174="","",VLOOKUP(B174,'Transacciones CHL'!$A$2:$F$14,6,FALSE))</f>
        <v>Producción / Consumo intermedio</v>
      </c>
      <c r="H174" s="2" t="s">
        <v>1081</v>
      </c>
      <c r="I174" s="2" t="s">
        <v>1011</v>
      </c>
      <c r="J174" s="2" t="s">
        <v>1012</v>
      </c>
      <c r="K174" s="2" t="s">
        <v>1013</v>
      </c>
      <c r="L174" s="2" t="s">
        <v>1014</v>
      </c>
      <c r="M174" s="2">
        <v>3</v>
      </c>
      <c r="N174" s="2" t="s">
        <v>67</v>
      </c>
      <c r="O174" s="15">
        <v>2</v>
      </c>
      <c r="P174" s="15" t="s">
        <v>970</v>
      </c>
    </row>
    <row r="175" spans="1:16">
      <c r="A175" s="2" t="s">
        <v>1340</v>
      </c>
      <c r="B175" s="2">
        <v>7</v>
      </c>
      <c r="C175" s="2" t="str">
        <f>IF(B175="","",VLOOKUP(B175,'Transacciones CHL'!$A$2:$B$14,2,FALSE))</f>
        <v>Consumo intermedio</v>
      </c>
      <c r="D175" s="2">
        <f>IF(B175="","",VLOOKUP(B175,'Transacciones CHL'!$A$2:$F$14,3,FALSE))</f>
        <v>1</v>
      </c>
      <c r="E175" s="2" t="str">
        <f>IF(B175="","",VLOOKUP(B175,'Transacciones CHL'!$A$2:$F$14,4,FALSE))</f>
        <v>Producción / Consumo intermedio</v>
      </c>
      <c r="F175" s="2">
        <f>IF(B175="","",VLOOKUP(B175,'Transacciones CHL'!$A$2:$F$14,5,FALSE))</f>
        <v>1</v>
      </c>
      <c r="G175" s="2" t="str">
        <f>IF(B175="","",VLOOKUP(B175,'Transacciones CHL'!$A$2:$F$14,6,FALSE))</f>
        <v>Producción / Consumo intermedio</v>
      </c>
      <c r="H175" s="2" t="s">
        <v>1083</v>
      </c>
      <c r="I175" s="2" t="s">
        <v>1011</v>
      </c>
      <c r="J175" s="2" t="s">
        <v>1012</v>
      </c>
      <c r="K175" s="2" t="s">
        <v>1013</v>
      </c>
      <c r="L175" s="2" t="s">
        <v>1014</v>
      </c>
      <c r="M175" s="2">
        <v>3</v>
      </c>
      <c r="N175" s="2" t="s">
        <v>67</v>
      </c>
      <c r="O175" s="15">
        <v>2</v>
      </c>
      <c r="P175" s="15" t="s">
        <v>970</v>
      </c>
    </row>
    <row r="176" spans="1:16">
      <c r="A176" s="2" t="s">
        <v>1341</v>
      </c>
      <c r="B176" s="2">
        <v>7</v>
      </c>
      <c r="C176" s="2" t="str">
        <f>IF(B176="","",VLOOKUP(B176,'Transacciones CHL'!$A$2:$B$14,2,FALSE))</f>
        <v>Consumo intermedio</v>
      </c>
      <c r="D176" s="2">
        <f>IF(B176="","",VLOOKUP(B176,'Transacciones CHL'!$A$2:$F$14,3,FALSE))</f>
        <v>1</v>
      </c>
      <c r="E176" s="2" t="str">
        <f>IF(B176="","",VLOOKUP(B176,'Transacciones CHL'!$A$2:$F$14,4,FALSE))</f>
        <v>Producción / Consumo intermedio</v>
      </c>
      <c r="F176" s="2">
        <f>IF(B176="","",VLOOKUP(B176,'Transacciones CHL'!$A$2:$F$14,5,FALSE))</f>
        <v>1</v>
      </c>
      <c r="G176" s="2" t="str">
        <f>IF(B176="","",VLOOKUP(B176,'Transacciones CHL'!$A$2:$F$14,6,FALSE))</f>
        <v>Producción / Consumo intermedio</v>
      </c>
      <c r="H176" s="2" t="s">
        <v>1085</v>
      </c>
      <c r="I176" s="2" t="s">
        <v>1011</v>
      </c>
      <c r="J176" s="2" t="s">
        <v>1012</v>
      </c>
      <c r="K176" s="2" t="s">
        <v>1013</v>
      </c>
      <c r="L176" s="2" t="s">
        <v>1014</v>
      </c>
      <c r="M176" s="2">
        <v>3</v>
      </c>
      <c r="N176" s="2" t="s">
        <v>67</v>
      </c>
      <c r="O176" s="15">
        <v>2</v>
      </c>
      <c r="P176" s="15" t="s">
        <v>970</v>
      </c>
    </row>
    <row r="177" spans="1:16">
      <c r="A177" s="2" t="s">
        <v>1342</v>
      </c>
      <c r="B177" s="2">
        <v>7</v>
      </c>
      <c r="C177" s="2" t="str">
        <f>IF(B177="","",VLOOKUP(B177,'Transacciones CHL'!$A$2:$B$14,2,FALSE))</f>
        <v>Consumo intermedio</v>
      </c>
      <c r="D177" s="2">
        <f>IF(B177="","",VLOOKUP(B177,'Transacciones CHL'!$A$2:$F$14,3,FALSE))</f>
        <v>1</v>
      </c>
      <c r="E177" s="2" t="str">
        <f>IF(B177="","",VLOOKUP(B177,'Transacciones CHL'!$A$2:$F$14,4,FALSE))</f>
        <v>Producción / Consumo intermedio</v>
      </c>
      <c r="F177" s="2">
        <f>IF(B177="","",VLOOKUP(B177,'Transacciones CHL'!$A$2:$F$14,5,FALSE))</f>
        <v>1</v>
      </c>
      <c r="G177" s="2" t="str">
        <f>IF(B177="","",VLOOKUP(B177,'Transacciones CHL'!$A$2:$F$14,6,FALSE))</f>
        <v>Producción / Consumo intermedio</v>
      </c>
      <c r="H177" s="2" t="s">
        <v>1087</v>
      </c>
      <c r="I177" s="2" t="s">
        <v>1011</v>
      </c>
      <c r="J177" s="2" t="s">
        <v>1012</v>
      </c>
      <c r="K177" s="2" t="s">
        <v>1013</v>
      </c>
      <c r="L177" s="2" t="s">
        <v>1014</v>
      </c>
      <c r="M177" s="2">
        <v>3</v>
      </c>
      <c r="N177" s="2" t="s">
        <v>67</v>
      </c>
      <c r="O177" s="15">
        <v>2</v>
      </c>
      <c r="P177" s="15" t="s">
        <v>970</v>
      </c>
    </row>
    <row r="178" spans="1:16">
      <c r="A178" s="2" t="s">
        <v>1343</v>
      </c>
      <c r="B178" s="2">
        <v>7</v>
      </c>
      <c r="C178" s="2" t="str">
        <f>IF(B178="","",VLOOKUP(B178,'Transacciones CHL'!$A$2:$B$14,2,FALSE))</f>
        <v>Consumo intermedio</v>
      </c>
      <c r="D178" s="2">
        <f>IF(B178="","",VLOOKUP(B178,'Transacciones CHL'!$A$2:$F$14,3,FALSE))</f>
        <v>1</v>
      </c>
      <c r="E178" s="2" t="str">
        <f>IF(B178="","",VLOOKUP(B178,'Transacciones CHL'!$A$2:$F$14,4,FALSE))</f>
        <v>Producción / Consumo intermedio</v>
      </c>
      <c r="F178" s="2">
        <f>IF(B178="","",VLOOKUP(B178,'Transacciones CHL'!$A$2:$F$14,5,FALSE))</f>
        <v>1</v>
      </c>
      <c r="G178" s="2" t="str">
        <f>IF(B178="","",VLOOKUP(B178,'Transacciones CHL'!$A$2:$F$14,6,FALSE))</f>
        <v>Producción / Consumo intermedio</v>
      </c>
      <c r="H178" s="2" t="s">
        <v>1089</v>
      </c>
      <c r="I178" s="2" t="s">
        <v>1011</v>
      </c>
      <c r="J178" s="2" t="s">
        <v>1012</v>
      </c>
      <c r="K178" s="2" t="s">
        <v>1013</v>
      </c>
      <c r="L178" s="2" t="s">
        <v>1014</v>
      </c>
      <c r="M178" s="2">
        <v>3</v>
      </c>
      <c r="N178" s="2" t="s">
        <v>67</v>
      </c>
      <c r="O178" s="15">
        <v>2</v>
      </c>
      <c r="P178" s="15" t="s">
        <v>970</v>
      </c>
    </row>
    <row r="179" spans="1:16">
      <c r="A179" s="2" t="s">
        <v>1344</v>
      </c>
      <c r="B179" s="2">
        <v>7</v>
      </c>
      <c r="C179" s="2" t="str">
        <f>IF(B179="","",VLOOKUP(B179,'Transacciones CHL'!$A$2:$B$14,2,FALSE))</f>
        <v>Consumo intermedio</v>
      </c>
      <c r="D179" s="2">
        <f>IF(B179="","",VLOOKUP(B179,'Transacciones CHL'!$A$2:$F$14,3,FALSE))</f>
        <v>1</v>
      </c>
      <c r="E179" s="2" t="str">
        <f>IF(B179="","",VLOOKUP(B179,'Transacciones CHL'!$A$2:$F$14,4,FALSE))</f>
        <v>Producción / Consumo intermedio</v>
      </c>
      <c r="F179" s="2">
        <f>IF(B179="","",VLOOKUP(B179,'Transacciones CHL'!$A$2:$F$14,5,FALSE))</f>
        <v>1</v>
      </c>
      <c r="G179" s="2" t="str">
        <f>IF(B179="","",VLOOKUP(B179,'Transacciones CHL'!$A$2:$F$14,6,FALSE))</f>
        <v>Producción / Consumo intermedio</v>
      </c>
      <c r="H179" s="2" t="s">
        <v>1091</v>
      </c>
      <c r="I179" s="2" t="s">
        <v>1011</v>
      </c>
      <c r="J179" s="2" t="s">
        <v>1012</v>
      </c>
      <c r="K179" s="2" t="s">
        <v>1013</v>
      </c>
      <c r="L179" s="2" t="s">
        <v>1014</v>
      </c>
      <c r="M179" s="2">
        <v>3</v>
      </c>
      <c r="N179" s="2" t="s">
        <v>67</v>
      </c>
      <c r="O179" s="15">
        <v>2</v>
      </c>
      <c r="P179" s="15" t="s">
        <v>970</v>
      </c>
    </row>
    <row r="180" spans="1:16">
      <c r="A180" s="2" t="s">
        <v>1345</v>
      </c>
      <c r="B180" s="2">
        <v>7</v>
      </c>
      <c r="C180" s="2" t="str">
        <f>IF(B180="","",VLOOKUP(B180,'Transacciones CHL'!$A$2:$B$14,2,FALSE))</f>
        <v>Consumo intermedio</v>
      </c>
      <c r="D180" s="2">
        <f>IF(B180="","",VLOOKUP(B180,'Transacciones CHL'!$A$2:$F$14,3,FALSE))</f>
        <v>1</v>
      </c>
      <c r="E180" s="2" t="str">
        <f>IF(B180="","",VLOOKUP(B180,'Transacciones CHL'!$A$2:$F$14,4,FALSE))</f>
        <v>Producción / Consumo intermedio</v>
      </c>
      <c r="F180" s="2">
        <f>IF(B180="","",VLOOKUP(B180,'Transacciones CHL'!$A$2:$F$14,5,FALSE))</f>
        <v>1</v>
      </c>
      <c r="G180" s="2" t="str">
        <f>IF(B180="","",VLOOKUP(B180,'Transacciones CHL'!$A$2:$F$14,6,FALSE))</f>
        <v>Producción / Consumo intermedio</v>
      </c>
      <c r="H180" s="2" t="s">
        <v>1093</v>
      </c>
      <c r="I180" s="2" t="s">
        <v>1011</v>
      </c>
      <c r="J180" s="2" t="s">
        <v>1012</v>
      </c>
      <c r="K180" s="2" t="s">
        <v>1013</v>
      </c>
      <c r="L180" s="2" t="s">
        <v>1014</v>
      </c>
      <c r="M180" s="2">
        <v>3</v>
      </c>
      <c r="N180" s="2" t="s">
        <v>67</v>
      </c>
      <c r="O180" s="15">
        <v>2</v>
      </c>
      <c r="P180" s="15" t="s">
        <v>970</v>
      </c>
    </row>
    <row r="181" spans="1:16">
      <c r="A181" s="2" t="s">
        <v>1346</v>
      </c>
      <c r="B181" s="2">
        <v>7</v>
      </c>
      <c r="C181" s="2" t="str">
        <f>IF(B181="","",VLOOKUP(B181,'Transacciones CHL'!$A$2:$B$14,2,FALSE))</f>
        <v>Consumo intermedio</v>
      </c>
      <c r="D181" s="2">
        <f>IF(B181="","",VLOOKUP(B181,'Transacciones CHL'!$A$2:$F$14,3,FALSE))</f>
        <v>1</v>
      </c>
      <c r="E181" s="2" t="str">
        <f>IF(B181="","",VLOOKUP(B181,'Transacciones CHL'!$A$2:$F$14,4,FALSE))</f>
        <v>Producción / Consumo intermedio</v>
      </c>
      <c r="F181" s="2">
        <f>IF(B181="","",VLOOKUP(B181,'Transacciones CHL'!$A$2:$F$14,5,FALSE))</f>
        <v>1</v>
      </c>
      <c r="G181" s="2" t="str">
        <f>IF(B181="","",VLOOKUP(B181,'Transacciones CHL'!$A$2:$F$14,6,FALSE))</f>
        <v>Producción / Consumo intermedio</v>
      </c>
      <c r="H181" s="2" t="s">
        <v>1095</v>
      </c>
      <c r="I181" s="2" t="s">
        <v>1011</v>
      </c>
      <c r="J181" s="2" t="s">
        <v>1012</v>
      </c>
      <c r="K181" s="2" t="s">
        <v>1013</v>
      </c>
      <c r="L181" s="2" t="s">
        <v>1014</v>
      </c>
      <c r="M181" s="2">
        <v>3</v>
      </c>
      <c r="N181" s="2" t="s">
        <v>67</v>
      </c>
      <c r="O181" s="15">
        <v>2</v>
      </c>
      <c r="P181" s="15" t="s">
        <v>970</v>
      </c>
    </row>
    <row r="182" spans="1:16">
      <c r="A182" s="2" t="s">
        <v>1347</v>
      </c>
      <c r="B182" s="2">
        <v>7</v>
      </c>
      <c r="C182" s="2" t="str">
        <f>IF(B182="","",VLOOKUP(B182,'Transacciones CHL'!$A$2:$B$14,2,FALSE))</f>
        <v>Consumo intermedio</v>
      </c>
      <c r="D182" s="2">
        <f>IF(B182="","",VLOOKUP(B182,'Transacciones CHL'!$A$2:$F$14,3,FALSE))</f>
        <v>1</v>
      </c>
      <c r="E182" s="2" t="str">
        <f>IF(B182="","",VLOOKUP(B182,'Transacciones CHL'!$A$2:$F$14,4,FALSE))</f>
        <v>Producción / Consumo intermedio</v>
      </c>
      <c r="F182" s="2">
        <f>IF(B182="","",VLOOKUP(B182,'Transacciones CHL'!$A$2:$F$14,5,FALSE))</f>
        <v>1</v>
      </c>
      <c r="G182" s="2" t="str">
        <f>IF(B182="","",VLOOKUP(B182,'Transacciones CHL'!$A$2:$F$14,6,FALSE))</f>
        <v>Producción / Consumo intermedio</v>
      </c>
      <c r="H182" s="2" t="s">
        <v>1097</v>
      </c>
      <c r="I182" s="2" t="s">
        <v>1011</v>
      </c>
      <c r="J182" s="2" t="s">
        <v>1012</v>
      </c>
      <c r="K182" s="2" t="s">
        <v>1013</v>
      </c>
      <c r="L182" s="2" t="s">
        <v>1014</v>
      </c>
      <c r="M182" s="2">
        <v>3</v>
      </c>
      <c r="N182" s="2" t="s">
        <v>67</v>
      </c>
      <c r="O182" s="15">
        <v>1</v>
      </c>
      <c r="P182" s="15" t="s">
        <v>1065</v>
      </c>
    </row>
    <row r="183" spans="1:16">
      <c r="A183" s="2" t="s">
        <v>1348</v>
      </c>
      <c r="B183" s="2">
        <v>7</v>
      </c>
      <c r="C183" s="2" t="str">
        <f>IF(B183="","",VLOOKUP(B183,'Transacciones CHL'!$A$2:$B$14,2,FALSE))</f>
        <v>Consumo intermedio</v>
      </c>
      <c r="D183" s="2">
        <f>IF(B183="","",VLOOKUP(B183,'Transacciones CHL'!$A$2:$F$14,3,FALSE))</f>
        <v>1</v>
      </c>
      <c r="E183" s="2" t="str">
        <f>IF(B183="","",VLOOKUP(B183,'Transacciones CHL'!$A$2:$F$14,4,FALSE))</f>
        <v>Producción / Consumo intermedio</v>
      </c>
      <c r="F183" s="2">
        <f>IF(B183="","",VLOOKUP(B183,'Transacciones CHL'!$A$2:$F$14,5,FALSE))</f>
        <v>1</v>
      </c>
      <c r="G183" s="2" t="str">
        <f>IF(B183="","",VLOOKUP(B183,'Transacciones CHL'!$A$2:$F$14,6,FALSE))</f>
        <v>Producción / Consumo intermedio</v>
      </c>
      <c r="H183" s="2" t="s">
        <v>1099</v>
      </c>
      <c r="I183" s="2" t="s">
        <v>1011</v>
      </c>
      <c r="J183" s="2" t="s">
        <v>1012</v>
      </c>
      <c r="K183" s="2" t="s">
        <v>1013</v>
      </c>
      <c r="L183" s="2" t="s">
        <v>1014</v>
      </c>
      <c r="M183" s="2">
        <v>3</v>
      </c>
      <c r="N183" s="2" t="s">
        <v>67</v>
      </c>
      <c r="O183" s="15">
        <v>2</v>
      </c>
      <c r="P183" s="15" t="s">
        <v>970</v>
      </c>
    </row>
    <row r="184" spans="1:16">
      <c r="A184" s="2" t="s">
        <v>1349</v>
      </c>
      <c r="B184" s="2">
        <v>7</v>
      </c>
      <c r="C184" s="2" t="str">
        <f>IF(B184="","",VLOOKUP(B184,'Transacciones CHL'!$A$2:$B$14,2,FALSE))</f>
        <v>Consumo intermedio</v>
      </c>
      <c r="D184" s="2">
        <f>IF(B184="","",VLOOKUP(B184,'Transacciones CHL'!$A$2:$F$14,3,FALSE))</f>
        <v>1</v>
      </c>
      <c r="E184" s="2" t="str">
        <f>IF(B184="","",VLOOKUP(B184,'Transacciones CHL'!$A$2:$F$14,4,FALSE))</f>
        <v>Producción / Consumo intermedio</v>
      </c>
      <c r="F184" s="2">
        <f>IF(B184="","",VLOOKUP(B184,'Transacciones CHL'!$A$2:$F$14,5,FALSE))</f>
        <v>1</v>
      </c>
      <c r="G184" s="2" t="str">
        <f>IF(B184="","",VLOOKUP(B184,'Transacciones CHL'!$A$2:$F$14,6,FALSE))</f>
        <v>Producción / Consumo intermedio</v>
      </c>
      <c r="H184" s="2" t="s">
        <v>1101</v>
      </c>
      <c r="I184" s="2" t="s">
        <v>1011</v>
      </c>
      <c r="J184" s="2" t="s">
        <v>1012</v>
      </c>
      <c r="K184" s="2" t="s">
        <v>1013</v>
      </c>
      <c r="L184" s="2" t="s">
        <v>1014</v>
      </c>
      <c r="M184" s="2">
        <v>3</v>
      </c>
      <c r="N184" s="2" t="s">
        <v>67</v>
      </c>
      <c r="O184" s="15">
        <v>2</v>
      </c>
      <c r="P184" s="15" t="s">
        <v>970</v>
      </c>
    </row>
    <row r="185" spans="1:16">
      <c r="A185" s="2" t="s">
        <v>1350</v>
      </c>
      <c r="B185" s="2">
        <v>7</v>
      </c>
      <c r="C185" s="2" t="str">
        <f>IF(B185="","",VLOOKUP(B185,'Transacciones CHL'!$A$2:$B$14,2,FALSE))</f>
        <v>Consumo intermedio</v>
      </c>
      <c r="D185" s="2">
        <f>IF(B185="","",VLOOKUP(B185,'Transacciones CHL'!$A$2:$F$14,3,FALSE))</f>
        <v>1</v>
      </c>
      <c r="E185" s="2" t="str">
        <f>IF(B185="","",VLOOKUP(B185,'Transacciones CHL'!$A$2:$F$14,4,FALSE))</f>
        <v>Producción / Consumo intermedio</v>
      </c>
      <c r="F185" s="2">
        <f>IF(B185="","",VLOOKUP(B185,'Transacciones CHL'!$A$2:$F$14,5,FALSE))</f>
        <v>1</v>
      </c>
      <c r="G185" s="2" t="str">
        <f>IF(B185="","",VLOOKUP(B185,'Transacciones CHL'!$A$2:$F$14,6,FALSE))</f>
        <v>Producción / Consumo intermedio</v>
      </c>
      <c r="H185" s="2" t="s">
        <v>1103</v>
      </c>
      <c r="I185" s="2" t="s">
        <v>1011</v>
      </c>
      <c r="J185" s="2" t="s">
        <v>1012</v>
      </c>
      <c r="K185" s="2" t="s">
        <v>1013</v>
      </c>
      <c r="L185" s="2" t="s">
        <v>1014</v>
      </c>
      <c r="M185" s="2">
        <v>3</v>
      </c>
      <c r="N185" s="2" t="s">
        <v>67</v>
      </c>
      <c r="O185" s="15">
        <v>1</v>
      </c>
      <c r="P185" s="15" t="s">
        <v>1065</v>
      </c>
    </row>
    <row r="186" spans="1:16">
      <c r="A186" s="2" t="s">
        <v>1351</v>
      </c>
      <c r="B186" s="2">
        <v>7</v>
      </c>
      <c r="C186" s="2" t="str">
        <f>IF(B186="","",VLOOKUP(B186,'Transacciones CHL'!$A$2:$B$14,2,FALSE))</f>
        <v>Consumo intermedio</v>
      </c>
      <c r="D186" s="2">
        <f>IF(B186="","",VLOOKUP(B186,'Transacciones CHL'!$A$2:$F$14,3,FALSE))</f>
        <v>1</v>
      </c>
      <c r="E186" s="2" t="str">
        <f>IF(B186="","",VLOOKUP(B186,'Transacciones CHL'!$A$2:$F$14,4,FALSE))</f>
        <v>Producción / Consumo intermedio</v>
      </c>
      <c r="F186" s="2">
        <f>IF(B186="","",VLOOKUP(B186,'Transacciones CHL'!$A$2:$F$14,5,FALSE))</f>
        <v>1</v>
      </c>
      <c r="G186" s="2" t="str">
        <f>IF(B186="","",VLOOKUP(B186,'Transacciones CHL'!$A$2:$F$14,6,FALSE))</f>
        <v>Producción / Consumo intermedio</v>
      </c>
      <c r="H186" s="2" t="s">
        <v>1105</v>
      </c>
      <c r="I186" s="2" t="s">
        <v>1106</v>
      </c>
      <c r="J186" s="2" t="s">
        <v>1107</v>
      </c>
      <c r="K186" s="2" t="s">
        <v>1108</v>
      </c>
      <c r="L186" s="2" t="s">
        <v>1109</v>
      </c>
      <c r="M186" s="2">
        <v>3</v>
      </c>
      <c r="N186" s="2" t="s">
        <v>67</v>
      </c>
      <c r="O186" s="15">
        <v>2</v>
      </c>
      <c r="P186" s="15" t="s">
        <v>970</v>
      </c>
    </row>
    <row r="187" spans="1:16">
      <c r="A187" s="2" t="s">
        <v>1352</v>
      </c>
      <c r="B187" s="2">
        <v>7</v>
      </c>
      <c r="C187" s="2" t="str">
        <f>IF(B187="","",VLOOKUP(B187,'Transacciones CHL'!$A$2:$B$14,2,FALSE))</f>
        <v>Consumo intermedio</v>
      </c>
      <c r="D187" s="2">
        <f>IF(B187="","",VLOOKUP(B187,'Transacciones CHL'!$A$2:$F$14,3,FALSE))</f>
        <v>1</v>
      </c>
      <c r="E187" s="2" t="str">
        <f>IF(B187="","",VLOOKUP(B187,'Transacciones CHL'!$A$2:$F$14,4,FALSE))</f>
        <v>Producción / Consumo intermedio</v>
      </c>
      <c r="F187" s="2">
        <f>IF(B187="","",VLOOKUP(B187,'Transacciones CHL'!$A$2:$F$14,5,FALSE))</f>
        <v>1</v>
      </c>
      <c r="G187" s="2" t="str">
        <f>IF(B187="","",VLOOKUP(B187,'Transacciones CHL'!$A$2:$F$14,6,FALSE))</f>
        <v>Producción / Consumo intermedio</v>
      </c>
      <c r="H187" s="2" t="s">
        <v>1111</v>
      </c>
      <c r="I187" s="2" t="s">
        <v>1106</v>
      </c>
      <c r="J187" s="2" t="s">
        <v>1107</v>
      </c>
      <c r="K187" s="2" t="s">
        <v>1108</v>
      </c>
      <c r="L187" s="2" t="s">
        <v>1109</v>
      </c>
      <c r="M187" s="2">
        <v>3</v>
      </c>
      <c r="N187" s="2" t="s">
        <v>67</v>
      </c>
      <c r="O187" s="15">
        <v>2</v>
      </c>
      <c r="P187" s="15" t="s">
        <v>970</v>
      </c>
    </row>
    <row r="188" spans="1:16">
      <c r="A188" s="2" t="s">
        <v>1353</v>
      </c>
      <c r="B188" s="2">
        <v>7</v>
      </c>
      <c r="C188" s="2" t="str">
        <f>IF(B188="","",VLOOKUP(B188,'Transacciones CHL'!$A$2:$B$14,2,FALSE))</f>
        <v>Consumo intermedio</v>
      </c>
      <c r="D188" s="2">
        <f>IF(B188="","",VLOOKUP(B188,'Transacciones CHL'!$A$2:$F$14,3,FALSE))</f>
        <v>1</v>
      </c>
      <c r="E188" s="2" t="str">
        <f>IF(B188="","",VLOOKUP(B188,'Transacciones CHL'!$A$2:$F$14,4,FALSE))</f>
        <v>Producción / Consumo intermedio</v>
      </c>
      <c r="F188" s="2">
        <f>IF(B188="","",VLOOKUP(B188,'Transacciones CHL'!$A$2:$F$14,5,FALSE))</f>
        <v>1</v>
      </c>
      <c r="G188" s="2" t="str">
        <f>IF(B188="","",VLOOKUP(B188,'Transacciones CHL'!$A$2:$F$14,6,FALSE))</f>
        <v>Producción / Consumo intermedio</v>
      </c>
      <c r="H188" s="2" t="s">
        <v>1113</v>
      </c>
      <c r="I188" s="2" t="s">
        <v>1106</v>
      </c>
      <c r="J188" s="2" t="s">
        <v>1107</v>
      </c>
      <c r="K188" s="2" t="s">
        <v>1108</v>
      </c>
      <c r="L188" s="2" t="s">
        <v>1109</v>
      </c>
      <c r="M188" s="2">
        <v>3</v>
      </c>
      <c r="N188" s="2" t="s">
        <v>67</v>
      </c>
      <c r="O188" s="15">
        <v>2</v>
      </c>
      <c r="P188" s="15" t="s">
        <v>970</v>
      </c>
    </row>
    <row r="189" spans="1:16">
      <c r="A189" s="2" t="s">
        <v>1354</v>
      </c>
      <c r="B189" s="2">
        <v>7</v>
      </c>
      <c r="C189" s="2" t="str">
        <f>IF(B189="","",VLOOKUP(B189,'Transacciones CHL'!$A$2:$B$14,2,FALSE))</f>
        <v>Consumo intermedio</v>
      </c>
      <c r="D189" s="2">
        <f>IF(B189="","",VLOOKUP(B189,'Transacciones CHL'!$A$2:$F$14,3,FALSE))</f>
        <v>1</v>
      </c>
      <c r="E189" s="2" t="str">
        <f>IF(B189="","",VLOOKUP(B189,'Transacciones CHL'!$A$2:$F$14,4,FALSE))</f>
        <v>Producción / Consumo intermedio</v>
      </c>
      <c r="F189" s="2">
        <f>IF(B189="","",VLOOKUP(B189,'Transacciones CHL'!$A$2:$F$14,5,FALSE))</f>
        <v>1</v>
      </c>
      <c r="G189" s="2" t="str">
        <f>IF(B189="","",VLOOKUP(B189,'Transacciones CHL'!$A$2:$F$14,6,FALSE))</f>
        <v>Producción / Consumo intermedio</v>
      </c>
      <c r="H189" s="2" t="s">
        <v>1115</v>
      </c>
      <c r="I189" s="2" t="s">
        <v>1106</v>
      </c>
      <c r="J189" s="2" t="s">
        <v>1107</v>
      </c>
      <c r="K189" s="2" t="s">
        <v>1108</v>
      </c>
      <c r="L189" s="2" t="s">
        <v>1109</v>
      </c>
      <c r="M189" s="2">
        <v>3</v>
      </c>
      <c r="N189" s="2" t="s">
        <v>67</v>
      </c>
      <c r="O189" s="15">
        <v>2</v>
      </c>
      <c r="P189" s="15" t="s">
        <v>970</v>
      </c>
    </row>
    <row r="190" spans="1:16">
      <c r="A190" s="2" t="s">
        <v>1355</v>
      </c>
      <c r="B190" s="2">
        <v>7</v>
      </c>
      <c r="C190" s="2" t="str">
        <f>IF(B190="","",VLOOKUP(B190,'Transacciones CHL'!$A$2:$B$14,2,FALSE))</f>
        <v>Consumo intermedio</v>
      </c>
      <c r="D190" s="2">
        <f>IF(B190="","",VLOOKUP(B190,'Transacciones CHL'!$A$2:$F$14,3,FALSE))</f>
        <v>1</v>
      </c>
      <c r="E190" s="2" t="str">
        <f>IF(B190="","",VLOOKUP(B190,'Transacciones CHL'!$A$2:$F$14,4,FALSE))</f>
        <v>Producción / Consumo intermedio</v>
      </c>
      <c r="F190" s="2">
        <f>IF(B190="","",VLOOKUP(B190,'Transacciones CHL'!$A$2:$F$14,5,FALSE))</f>
        <v>1</v>
      </c>
      <c r="G190" s="2" t="str">
        <f>IF(B190="","",VLOOKUP(B190,'Transacciones CHL'!$A$2:$F$14,6,FALSE))</f>
        <v>Producción / Consumo intermedio</v>
      </c>
      <c r="H190" s="2" t="s">
        <v>1117</v>
      </c>
      <c r="I190" s="2" t="s">
        <v>1118</v>
      </c>
      <c r="J190" s="2" t="s">
        <v>1119</v>
      </c>
      <c r="K190" s="2" t="s">
        <v>1117</v>
      </c>
      <c r="L190" s="2" t="s">
        <v>1120</v>
      </c>
      <c r="M190" s="2">
        <v>2</v>
      </c>
      <c r="N190" s="2" t="s">
        <v>142</v>
      </c>
      <c r="O190" s="15">
        <v>2</v>
      </c>
      <c r="P190" s="15" t="s">
        <v>970</v>
      </c>
    </row>
    <row r="191" spans="1:16">
      <c r="A191" s="2" t="s">
        <v>1356</v>
      </c>
      <c r="B191" s="2">
        <v>7</v>
      </c>
      <c r="C191" s="2" t="str">
        <f>IF(B191="","",VLOOKUP(B191,'Transacciones CHL'!$A$2:$B$14,2,FALSE))</f>
        <v>Consumo intermedio</v>
      </c>
      <c r="D191" s="2">
        <f>IF(B191="","",VLOOKUP(B191,'Transacciones CHL'!$A$2:$F$14,3,FALSE))</f>
        <v>1</v>
      </c>
      <c r="E191" s="2" t="str">
        <f>IF(B191="","",VLOOKUP(B191,'Transacciones CHL'!$A$2:$F$14,4,FALSE))</f>
        <v>Producción / Consumo intermedio</v>
      </c>
      <c r="F191" s="2">
        <f>IF(B191="","",VLOOKUP(B191,'Transacciones CHL'!$A$2:$F$14,5,FALSE))</f>
        <v>1</v>
      </c>
      <c r="G191" s="2" t="str">
        <f>IF(B191="","",VLOOKUP(B191,'Transacciones CHL'!$A$2:$F$14,6,FALSE))</f>
        <v>Producción / Consumo intermedio</v>
      </c>
      <c r="H191" s="2" t="s">
        <v>1122</v>
      </c>
      <c r="I191" s="2" t="s">
        <v>1118</v>
      </c>
      <c r="J191" s="2" t="s">
        <v>1119</v>
      </c>
      <c r="K191" s="2" t="s">
        <v>1117</v>
      </c>
      <c r="L191" s="2" t="s">
        <v>1120</v>
      </c>
      <c r="M191" s="2">
        <v>2</v>
      </c>
      <c r="N191" s="2" t="s">
        <v>142</v>
      </c>
      <c r="O191" s="15">
        <v>2</v>
      </c>
      <c r="P191" s="15" t="s">
        <v>970</v>
      </c>
    </row>
    <row r="192" spans="1:16">
      <c r="A192" s="2" t="s">
        <v>1357</v>
      </c>
      <c r="B192" s="2">
        <v>7</v>
      </c>
      <c r="C192" s="2" t="str">
        <f>IF(B192="","",VLOOKUP(B192,'Transacciones CHL'!$A$2:$B$14,2,FALSE))</f>
        <v>Consumo intermedio</v>
      </c>
      <c r="D192" s="2">
        <f>IF(B192="","",VLOOKUP(B192,'Transacciones CHL'!$A$2:$F$14,3,FALSE))</f>
        <v>1</v>
      </c>
      <c r="E192" s="2" t="str">
        <f>IF(B192="","",VLOOKUP(B192,'Transacciones CHL'!$A$2:$F$14,4,FALSE))</f>
        <v>Producción / Consumo intermedio</v>
      </c>
      <c r="F192" s="2">
        <f>IF(B192="","",VLOOKUP(B192,'Transacciones CHL'!$A$2:$F$14,5,FALSE))</f>
        <v>1</v>
      </c>
      <c r="G192" s="2" t="str">
        <f>IF(B192="","",VLOOKUP(B192,'Transacciones CHL'!$A$2:$F$14,6,FALSE))</f>
        <v>Producción / Consumo intermedio</v>
      </c>
      <c r="H192" s="2" t="s">
        <v>1124</v>
      </c>
      <c r="I192" s="2" t="s">
        <v>1125</v>
      </c>
      <c r="J192" s="2" t="s">
        <v>1126</v>
      </c>
      <c r="K192" s="2" t="s">
        <v>1126</v>
      </c>
      <c r="L192" s="2" t="s">
        <v>1127</v>
      </c>
      <c r="M192" s="2">
        <v>3</v>
      </c>
      <c r="N192" s="2" t="s">
        <v>67</v>
      </c>
      <c r="O192" s="15">
        <v>2</v>
      </c>
      <c r="P192" s="15" t="s">
        <v>970</v>
      </c>
    </row>
    <row r="193" spans="1:16">
      <c r="A193" s="2" t="s">
        <v>1358</v>
      </c>
      <c r="B193" s="2">
        <v>7</v>
      </c>
      <c r="C193" s="2" t="str">
        <f>IF(B193="","",VLOOKUP(B193,'Transacciones CHL'!$A$2:$B$14,2,FALSE))</f>
        <v>Consumo intermedio</v>
      </c>
      <c r="D193" s="2">
        <f>IF(B193="","",VLOOKUP(B193,'Transacciones CHL'!$A$2:$F$14,3,FALSE))</f>
        <v>1</v>
      </c>
      <c r="E193" s="2" t="str">
        <f>IF(B193="","",VLOOKUP(B193,'Transacciones CHL'!$A$2:$F$14,4,FALSE))</f>
        <v>Producción / Consumo intermedio</v>
      </c>
      <c r="F193" s="2">
        <f>IF(B193="","",VLOOKUP(B193,'Transacciones CHL'!$A$2:$F$14,5,FALSE))</f>
        <v>1</v>
      </c>
      <c r="G193" s="2" t="str">
        <f>IF(B193="","",VLOOKUP(B193,'Transacciones CHL'!$A$2:$F$14,6,FALSE))</f>
        <v>Producción / Consumo intermedio</v>
      </c>
      <c r="H193" s="2" t="s">
        <v>1129</v>
      </c>
      <c r="I193" s="2" t="s">
        <v>1125</v>
      </c>
      <c r="J193" s="2" t="s">
        <v>1126</v>
      </c>
      <c r="K193" s="2" t="s">
        <v>1126</v>
      </c>
      <c r="L193" s="2" t="s">
        <v>1127</v>
      </c>
      <c r="M193" s="2">
        <v>3</v>
      </c>
      <c r="N193" s="2" t="s">
        <v>67</v>
      </c>
      <c r="O193" s="15">
        <v>2</v>
      </c>
      <c r="P193" s="15" t="s">
        <v>970</v>
      </c>
    </row>
    <row r="194" spans="1:16">
      <c r="A194" s="2" t="s">
        <v>1359</v>
      </c>
      <c r="B194" s="2">
        <v>7</v>
      </c>
      <c r="C194" s="2" t="str">
        <f>IF(B194="","",VLOOKUP(B194,'Transacciones CHL'!$A$2:$B$14,2,FALSE))</f>
        <v>Consumo intermedio</v>
      </c>
      <c r="D194" s="2">
        <f>IF(B194="","",VLOOKUP(B194,'Transacciones CHL'!$A$2:$F$14,3,FALSE))</f>
        <v>1</v>
      </c>
      <c r="E194" s="2" t="str">
        <f>IF(B194="","",VLOOKUP(B194,'Transacciones CHL'!$A$2:$F$14,4,FALSE))</f>
        <v>Producción / Consumo intermedio</v>
      </c>
      <c r="F194" s="2">
        <f>IF(B194="","",VLOOKUP(B194,'Transacciones CHL'!$A$2:$F$14,5,FALSE))</f>
        <v>1</v>
      </c>
      <c r="G194" s="2" t="str">
        <f>IF(B194="","",VLOOKUP(B194,'Transacciones CHL'!$A$2:$F$14,6,FALSE))</f>
        <v>Producción / Consumo intermedio</v>
      </c>
      <c r="H194" s="2" t="s">
        <v>1131</v>
      </c>
      <c r="I194" s="2" t="s">
        <v>1125</v>
      </c>
      <c r="J194" s="2" t="s">
        <v>1126</v>
      </c>
      <c r="K194" s="2" t="s">
        <v>1126</v>
      </c>
      <c r="L194" s="2" t="s">
        <v>1127</v>
      </c>
      <c r="M194" s="2">
        <v>3</v>
      </c>
      <c r="N194" s="2" t="s">
        <v>67</v>
      </c>
      <c r="O194" s="15">
        <v>2</v>
      </c>
      <c r="P194" s="15" t="s">
        <v>970</v>
      </c>
    </row>
    <row r="195" spans="1:16">
      <c r="A195" s="2" t="s">
        <v>1360</v>
      </c>
      <c r="B195" s="2">
        <v>7</v>
      </c>
      <c r="C195" s="2" t="str">
        <f>IF(B195="","",VLOOKUP(B195,'Transacciones CHL'!$A$2:$B$14,2,FALSE))</f>
        <v>Consumo intermedio</v>
      </c>
      <c r="D195" s="2">
        <f>IF(B195="","",VLOOKUP(B195,'Transacciones CHL'!$A$2:$F$14,3,FALSE))</f>
        <v>1</v>
      </c>
      <c r="E195" s="2" t="str">
        <f>IF(B195="","",VLOOKUP(B195,'Transacciones CHL'!$A$2:$F$14,4,FALSE))</f>
        <v>Producción / Consumo intermedio</v>
      </c>
      <c r="F195" s="2">
        <f>IF(B195="","",VLOOKUP(B195,'Transacciones CHL'!$A$2:$F$14,5,FALSE))</f>
        <v>1</v>
      </c>
      <c r="G195" s="2" t="str">
        <f>IF(B195="","",VLOOKUP(B195,'Transacciones CHL'!$A$2:$F$14,6,FALSE))</f>
        <v>Producción / Consumo intermedio</v>
      </c>
      <c r="H195" s="2" t="s">
        <v>1133</v>
      </c>
      <c r="I195" s="2" t="s">
        <v>1125</v>
      </c>
      <c r="J195" s="2" t="s">
        <v>1126</v>
      </c>
      <c r="K195" s="2" t="s">
        <v>1126</v>
      </c>
      <c r="L195" s="2" t="s">
        <v>1127</v>
      </c>
      <c r="M195" s="2">
        <v>3</v>
      </c>
      <c r="N195" s="2" t="s">
        <v>67</v>
      </c>
      <c r="O195" s="15">
        <v>2</v>
      </c>
      <c r="P195" s="15" t="s">
        <v>970</v>
      </c>
    </row>
    <row r="196" spans="1:16">
      <c r="A196" s="2" t="s">
        <v>1361</v>
      </c>
      <c r="B196" s="2">
        <v>7</v>
      </c>
      <c r="C196" s="2" t="str">
        <f>IF(B196="","",VLOOKUP(B196,'Transacciones CHL'!$A$2:$B$14,2,FALSE))</f>
        <v>Consumo intermedio</v>
      </c>
      <c r="D196" s="2">
        <f>IF(B196="","",VLOOKUP(B196,'Transacciones CHL'!$A$2:$F$14,3,FALSE))</f>
        <v>1</v>
      </c>
      <c r="E196" s="2" t="str">
        <f>IF(B196="","",VLOOKUP(B196,'Transacciones CHL'!$A$2:$F$14,4,FALSE))</f>
        <v>Producción / Consumo intermedio</v>
      </c>
      <c r="F196" s="2">
        <f>IF(B196="","",VLOOKUP(B196,'Transacciones CHL'!$A$2:$F$14,5,FALSE))</f>
        <v>1</v>
      </c>
      <c r="G196" s="2" t="str">
        <f>IF(B196="","",VLOOKUP(B196,'Transacciones CHL'!$A$2:$F$14,6,FALSE))</f>
        <v>Producción / Consumo intermedio</v>
      </c>
      <c r="H196" s="2" t="s">
        <v>1135</v>
      </c>
      <c r="I196" s="2" t="s">
        <v>1136</v>
      </c>
      <c r="J196" s="2" t="s">
        <v>1137</v>
      </c>
      <c r="K196" s="2" t="s">
        <v>1138</v>
      </c>
      <c r="L196" s="2" t="s">
        <v>1139</v>
      </c>
      <c r="M196" s="2">
        <v>3</v>
      </c>
      <c r="N196" s="2" t="s">
        <v>67</v>
      </c>
      <c r="O196" s="15">
        <v>2</v>
      </c>
      <c r="P196" s="15" t="s">
        <v>970</v>
      </c>
    </row>
    <row r="197" spans="1:16">
      <c r="A197" s="2" t="s">
        <v>1362</v>
      </c>
      <c r="B197" s="2">
        <v>7</v>
      </c>
      <c r="C197" s="2" t="str">
        <f>IF(B197="","",VLOOKUP(B197,'Transacciones CHL'!$A$2:$B$14,2,FALSE))</f>
        <v>Consumo intermedio</v>
      </c>
      <c r="D197" s="2">
        <f>IF(B197="","",VLOOKUP(B197,'Transacciones CHL'!$A$2:$F$14,3,FALSE))</f>
        <v>1</v>
      </c>
      <c r="E197" s="2" t="str">
        <f>IF(B197="","",VLOOKUP(B197,'Transacciones CHL'!$A$2:$F$14,4,FALSE))</f>
        <v>Producción / Consumo intermedio</v>
      </c>
      <c r="F197" s="2">
        <f>IF(B197="","",VLOOKUP(B197,'Transacciones CHL'!$A$2:$F$14,5,FALSE))</f>
        <v>1</v>
      </c>
      <c r="G197" s="2" t="str">
        <f>IF(B197="","",VLOOKUP(B197,'Transacciones CHL'!$A$2:$F$14,6,FALSE))</f>
        <v>Producción / Consumo intermedio</v>
      </c>
      <c r="H197" s="2" t="s">
        <v>1141</v>
      </c>
      <c r="I197" s="2" t="s">
        <v>1136</v>
      </c>
      <c r="J197" s="2" t="s">
        <v>1137</v>
      </c>
      <c r="K197" s="2" t="s">
        <v>1138</v>
      </c>
      <c r="L197" s="2" t="s">
        <v>1139</v>
      </c>
      <c r="M197" s="2">
        <v>3</v>
      </c>
      <c r="N197" s="2" t="s">
        <v>67</v>
      </c>
      <c r="O197" s="15">
        <v>2</v>
      </c>
      <c r="P197" s="15" t="s">
        <v>970</v>
      </c>
    </row>
    <row r="198" spans="1:16">
      <c r="A198" s="2" t="s">
        <v>1363</v>
      </c>
      <c r="B198" s="2">
        <v>7</v>
      </c>
      <c r="C198" s="2" t="str">
        <f>IF(B198="","",VLOOKUP(B198,'Transacciones CHL'!$A$2:$B$14,2,FALSE))</f>
        <v>Consumo intermedio</v>
      </c>
      <c r="D198" s="2">
        <f>IF(B198="","",VLOOKUP(B198,'Transacciones CHL'!$A$2:$F$14,3,FALSE))</f>
        <v>1</v>
      </c>
      <c r="E198" s="2" t="str">
        <f>IF(B198="","",VLOOKUP(B198,'Transacciones CHL'!$A$2:$F$14,4,FALSE))</f>
        <v>Producción / Consumo intermedio</v>
      </c>
      <c r="F198" s="2">
        <f>IF(B198="","",VLOOKUP(B198,'Transacciones CHL'!$A$2:$F$14,5,FALSE))</f>
        <v>1</v>
      </c>
      <c r="G198" s="2" t="str">
        <f>IF(B198="","",VLOOKUP(B198,'Transacciones CHL'!$A$2:$F$14,6,FALSE))</f>
        <v>Producción / Consumo intermedio</v>
      </c>
      <c r="H198" s="2" t="s">
        <v>1143</v>
      </c>
      <c r="I198" s="2" t="s">
        <v>1136</v>
      </c>
      <c r="J198" s="2" t="s">
        <v>1137</v>
      </c>
      <c r="K198" s="2" t="s">
        <v>1138</v>
      </c>
      <c r="L198" s="2" t="s">
        <v>1139</v>
      </c>
      <c r="M198" s="2">
        <v>3</v>
      </c>
      <c r="N198" s="2" t="s">
        <v>67</v>
      </c>
      <c r="O198" s="15">
        <v>1</v>
      </c>
      <c r="P198" s="15" t="s">
        <v>1065</v>
      </c>
    </row>
    <row r="199" spans="1:16">
      <c r="A199" s="2" t="s">
        <v>1364</v>
      </c>
      <c r="B199" s="2">
        <v>7</v>
      </c>
      <c r="C199" s="2" t="str">
        <f>IF(B199="","",VLOOKUP(B199,'Transacciones CHL'!$A$2:$B$14,2,FALSE))</f>
        <v>Consumo intermedio</v>
      </c>
      <c r="D199" s="2">
        <f>IF(B199="","",VLOOKUP(B199,'Transacciones CHL'!$A$2:$F$14,3,FALSE))</f>
        <v>1</v>
      </c>
      <c r="E199" s="2" t="str">
        <f>IF(B199="","",VLOOKUP(B199,'Transacciones CHL'!$A$2:$F$14,4,FALSE))</f>
        <v>Producción / Consumo intermedio</v>
      </c>
      <c r="F199" s="2">
        <f>IF(B199="","",VLOOKUP(B199,'Transacciones CHL'!$A$2:$F$14,5,FALSE))</f>
        <v>1</v>
      </c>
      <c r="G199" s="2" t="str">
        <f>IF(B199="","",VLOOKUP(B199,'Transacciones CHL'!$A$2:$F$14,6,FALSE))</f>
        <v>Producción / Consumo intermedio</v>
      </c>
      <c r="H199" s="2" t="s">
        <v>1145</v>
      </c>
      <c r="I199" s="2" t="s">
        <v>1146</v>
      </c>
      <c r="J199" s="2" t="s">
        <v>1147</v>
      </c>
      <c r="K199" s="2" t="s">
        <v>1148</v>
      </c>
      <c r="L199" s="2" t="s">
        <v>1149</v>
      </c>
      <c r="M199" s="2">
        <v>3</v>
      </c>
      <c r="N199" s="2" t="s">
        <v>67</v>
      </c>
      <c r="O199" s="15">
        <v>2</v>
      </c>
      <c r="P199" s="15" t="s">
        <v>970</v>
      </c>
    </row>
    <row r="200" spans="1:16">
      <c r="A200" s="2" t="s">
        <v>1365</v>
      </c>
      <c r="B200" s="2">
        <v>7</v>
      </c>
      <c r="C200" s="2" t="str">
        <f>IF(B200="","",VLOOKUP(B200,'Transacciones CHL'!$A$2:$B$14,2,FALSE))</f>
        <v>Consumo intermedio</v>
      </c>
      <c r="D200" s="2">
        <f>IF(B200="","",VLOOKUP(B200,'Transacciones CHL'!$A$2:$F$14,3,FALSE))</f>
        <v>1</v>
      </c>
      <c r="E200" s="2" t="str">
        <f>IF(B200="","",VLOOKUP(B200,'Transacciones CHL'!$A$2:$F$14,4,FALSE))</f>
        <v>Producción / Consumo intermedio</v>
      </c>
      <c r="F200" s="2">
        <f>IF(B200="","",VLOOKUP(B200,'Transacciones CHL'!$A$2:$F$14,5,FALSE))</f>
        <v>1</v>
      </c>
      <c r="G200" s="2" t="str">
        <f>IF(B200="","",VLOOKUP(B200,'Transacciones CHL'!$A$2:$F$14,6,FALSE))</f>
        <v>Producción / Consumo intermedio</v>
      </c>
      <c r="H200" s="2" t="s">
        <v>1151</v>
      </c>
      <c r="I200" s="2" t="s">
        <v>1146</v>
      </c>
      <c r="J200" s="2" t="s">
        <v>1147</v>
      </c>
      <c r="K200" s="2" t="s">
        <v>1148</v>
      </c>
      <c r="L200" s="2" t="s">
        <v>1149</v>
      </c>
      <c r="M200" s="2">
        <v>2</v>
      </c>
      <c r="N200" s="2" t="s">
        <v>142</v>
      </c>
      <c r="O200" s="15">
        <v>2</v>
      </c>
      <c r="P200" s="15" t="s">
        <v>970</v>
      </c>
    </row>
    <row r="201" spans="1:16">
      <c r="A201" s="2" t="s">
        <v>1366</v>
      </c>
      <c r="B201" s="2">
        <v>7</v>
      </c>
      <c r="C201" s="2" t="str">
        <f>IF(B201="","",VLOOKUP(B201,'Transacciones CHL'!$A$2:$B$14,2,FALSE))</f>
        <v>Consumo intermedio</v>
      </c>
      <c r="D201" s="2">
        <f>IF(B201="","",VLOOKUP(B201,'Transacciones CHL'!$A$2:$F$14,3,FALSE))</f>
        <v>1</v>
      </c>
      <c r="E201" s="2" t="str">
        <f>IF(B201="","",VLOOKUP(B201,'Transacciones CHL'!$A$2:$F$14,4,FALSE))</f>
        <v>Producción / Consumo intermedio</v>
      </c>
      <c r="F201" s="2">
        <f>IF(B201="","",VLOOKUP(B201,'Transacciones CHL'!$A$2:$F$14,5,FALSE))</f>
        <v>1</v>
      </c>
      <c r="G201" s="2" t="str">
        <f>IF(B201="","",VLOOKUP(B201,'Transacciones CHL'!$A$2:$F$14,6,FALSE))</f>
        <v>Producción / Consumo intermedio</v>
      </c>
      <c r="H201" s="2" t="s">
        <v>1153</v>
      </c>
      <c r="I201" s="2" t="s">
        <v>1154</v>
      </c>
      <c r="J201" s="2" t="s">
        <v>1155</v>
      </c>
      <c r="K201" s="2" t="s">
        <v>1155</v>
      </c>
      <c r="L201" s="2" t="s">
        <v>1156</v>
      </c>
      <c r="M201" s="2">
        <v>3</v>
      </c>
      <c r="N201" s="2" t="s">
        <v>67</v>
      </c>
      <c r="O201" s="15">
        <v>2</v>
      </c>
      <c r="P201" s="15" t="s">
        <v>970</v>
      </c>
    </row>
    <row r="202" spans="1:16">
      <c r="A202" s="2" t="s">
        <v>1367</v>
      </c>
      <c r="B202" s="2">
        <v>7</v>
      </c>
      <c r="C202" s="2" t="str">
        <f>IF(B202="","",VLOOKUP(B202,'Transacciones CHL'!$A$2:$B$14,2,FALSE))</f>
        <v>Consumo intermedio</v>
      </c>
      <c r="D202" s="2">
        <f>IF(B202="","",VLOOKUP(B202,'Transacciones CHL'!$A$2:$F$14,3,FALSE))</f>
        <v>1</v>
      </c>
      <c r="E202" s="2" t="str">
        <f>IF(B202="","",VLOOKUP(B202,'Transacciones CHL'!$A$2:$F$14,4,FALSE))</f>
        <v>Producción / Consumo intermedio</v>
      </c>
      <c r="F202" s="2">
        <f>IF(B202="","",VLOOKUP(B202,'Transacciones CHL'!$A$2:$F$14,5,FALSE))</f>
        <v>1</v>
      </c>
      <c r="G202" s="2" t="str">
        <f>IF(B202="","",VLOOKUP(B202,'Transacciones CHL'!$A$2:$F$14,6,FALSE))</f>
        <v>Producción / Consumo intermedio</v>
      </c>
      <c r="H202" s="2" t="s">
        <v>1158</v>
      </c>
      <c r="I202" s="2" t="s">
        <v>1154</v>
      </c>
      <c r="J202" s="2" t="s">
        <v>1155</v>
      </c>
      <c r="K202" s="2" t="s">
        <v>1155</v>
      </c>
      <c r="L202" s="2" t="s">
        <v>1156</v>
      </c>
      <c r="M202" s="2">
        <v>3</v>
      </c>
      <c r="N202" s="2" t="s">
        <v>67</v>
      </c>
      <c r="O202" s="15">
        <v>2</v>
      </c>
      <c r="P202" s="15" t="s">
        <v>970</v>
      </c>
    </row>
    <row r="203" spans="1:16">
      <c r="A203" s="2" t="s">
        <v>1368</v>
      </c>
      <c r="B203" s="2">
        <v>7</v>
      </c>
      <c r="C203" s="2" t="str">
        <f>IF(B203="","",VLOOKUP(B203,'Transacciones CHL'!$A$2:$B$14,2,FALSE))</f>
        <v>Consumo intermedio</v>
      </c>
      <c r="D203" s="2">
        <f>IF(B203="","",VLOOKUP(B203,'Transacciones CHL'!$A$2:$F$14,3,FALSE))</f>
        <v>1</v>
      </c>
      <c r="E203" s="2" t="str">
        <f>IF(B203="","",VLOOKUP(B203,'Transacciones CHL'!$A$2:$F$14,4,FALSE))</f>
        <v>Producción / Consumo intermedio</v>
      </c>
      <c r="F203" s="2">
        <f>IF(B203="","",VLOOKUP(B203,'Transacciones CHL'!$A$2:$F$14,5,FALSE))</f>
        <v>1</v>
      </c>
      <c r="G203" s="2" t="str">
        <f>IF(B203="","",VLOOKUP(B203,'Transacciones CHL'!$A$2:$F$14,6,FALSE))</f>
        <v>Producción / Consumo intermedio</v>
      </c>
      <c r="H203" s="2" t="s">
        <v>1160</v>
      </c>
      <c r="I203" s="2" t="s">
        <v>1154</v>
      </c>
      <c r="J203" s="2" t="s">
        <v>1155</v>
      </c>
      <c r="K203" s="2" t="s">
        <v>1155</v>
      </c>
      <c r="L203" s="2" t="s">
        <v>1156</v>
      </c>
      <c r="M203" s="2">
        <v>3</v>
      </c>
      <c r="N203" s="2" t="s">
        <v>67</v>
      </c>
      <c r="O203" s="15">
        <v>2</v>
      </c>
      <c r="P203" s="15" t="s">
        <v>970</v>
      </c>
    </row>
    <row r="204" spans="1:16">
      <c r="A204" s="2" t="s">
        <v>1369</v>
      </c>
      <c r="B204" s="2">
        <v>7</v>
      </c>
      <c r="C204" s="2" t="str">
        <f>IF(B204="","",VLOOKUP(B204,'Transacciones CHL'!$A$2:$B$14,2,FALSE))</f>
        <v>Consumo intermedio</v>
      </c>
      <c r="D204" s="2">
        <f>IF(B204="","",VLOOKUP(B204,'Transacciones CHL'!$A$2:$F$14,3,FALSE))</f>
        <v>1</v>
      </c>
      <c r="E204" s="2" t="str">
        <f>IF(B204="","",VLOOKUP(B204,'Transacciones CHL'!$A$2:$F$14,4,FALSE))</f>
        <v>Producción / Consumo intermedio</v>
      </c>
      <c r="F204" s="2">
        <f>IF(B204="","",VLOOKUP(B204,'Transacciones CHL'!$A$2:$F$14,5,FALSE))</f>
        <v>1</v>
      </c>
      <c r="G204" s="2" t="str">
        <f>IF(B204="","",VLOOKUP(B204,'Transacciones CHL'!$A$2:$F$14,6,FALSE))</f>
        <v>Producción / Consumo intermedio</v>
      </c>
      <c r="H204" s="2" t="s">
        <v>298</v>
      </c>
      <c r="I204" s="2" t="s">
        <v>1154</v>
      </c>
      <c r="J204" s="2" t="s">
        <v>1155</v>
      </c>
      <c r="K204" s="2" t="s">
        <v>1155</v>
      </c>
      <c r="L204" s="2" t="s">
        <v>1156</v>
      </c>
      <c r="M204" s="2">
        <v>3</v>
      </c>
      <c r="N204" s="2" t="s">
        <v>67</v>
      </c>
      <c r="O204" s="15">
        <v>2</v>
      </c>
      <c r="P204" s="15" t="s">
        <v>970</v>
      </c>
    </row>
    <row r="205" spans="1:16">
      <c r="A205" s="2" t="s">
        <v>1370</v>
      </c>
      <c r="B205" s="2">
        <v>7</v>
      </c>
      <c r="C205" s="2" t="str">
        <f>IF(B205="","",VLOOKUP(B205,'Transacciones CHL'!$A$2:$B$14,2,FALSE))</f>
        <v>Consumo intermedio</v>
      </c>
      <c r="D205" s="2">
        <f>IF(B205="","",VLOOKUP(B205,'Transacciones CHL'!$A$2:$F$14,3,FALSE))</f>
        <v>1</v>
      </c>
      <c r="E205" s="2" t="str">
        <f>IF(B205="","",VLOOKUP(B205,'Transacciones CHL'!$A$2:$F$14,4,FALSE))</f>
        <v>Producción / Consumo intermedio</v>
      </c>
      <c r="F205" s="2">
        <f>IF(B205="","",VLOOKUP(B205,'Transacciones CHL'!$A$2:$F$14,5,FALSE))</f>
        <v>1</v>
      </c>
      <c r="G205" s="2" t="str">
        <f>IF(B205="","",VLOOKUP(B205,'Transacciones CHL'!$A$2:$F$14,6,FALSE))</f>
        <v>Producción / Consumo intermedio</v>
      </c>
      <c r="H205" s="2" t="s">
        <v>1163</v>
      </c>
      <c r="I205" s="2" t="s">
        <v>1154</v>
      </c>
      <c r="J205" s="2" t="s">
        <v>1155</v>
      </c>
      <c r="K205" s="2" t="s">
        <v>1155</v>
      </c>
      <c r="L205" s="2" t="s">
        <v>1156</v>
      </c>
      <c r="M205" s="2">
        <v>3</v>
      </c>
      <c r="N205" s="2" t="s">
        <v>67</v>
      </c>
      <c r="O205" s="15">
        <v>2</v>
      </c>
      <c r="P205" s="15" t="s">
        <v>970</v>
      </c>
    </row>
    <row r="206" spans="1:16">
      <c r="A206" s="2" t="s">
        <v>1371</v>
      </c>
      <c r="B206" s="2">
        <v>7</v>
      </c>
      <c r="C206" s="2" t="str">
        <f>IF(B206="","",VLOOKUP(B206,'Transacciones CHL'!$A$2:$B$14,2,FALSE))</f>
        <v>Consumo intermedio</v>
      </c>
      <c r="D206" s="2">
        <f>IF(B206="","",VLOOKUP(B206,'Transacciones CHL'!$A$2:$F$14,3,FALSE))</f>
        <v>1</v>
      </c>
      <c r="E206" s="2" t="str">
        <f>IF(B206="","",VLOOKUP(B206,'Transacciones CHL'!$A$2:$F$14,4,FALSE))</f>
        <v>Producción / Consumo intermedio</v>
      </c>
      <c r="F206" s="2">
        <f>IF(B206="","",VLOOKUP(B206,'Transacciones CHL'!$A$2:$F$14,5,FALSE))</f>
        <v>1</v>
      </c>
      <c r="G206" s="2" t="str">
        <f>IF(B206="","",VLOOKUP(B206,'Transacciones CHL'!$A$2:$F$14,6,FALSE))</f>
        <v>Producción / Consumo intermedio</v>
      </c>
      <c r="H206" s="2" t="s">
        <v>1165</v>
      </c>
      <c r="I206" s="2" t="s">
        <v>1154</v>
      </c>
      <c r="J206" s="2" t="s">
        <v>1155</v>
      </c>
      <c r="K206" s="2" t="s">
        <v>1155</v>
      </c>
      <c r="L206" s="2" t="s">
        <v>1156</v>
      </c>
      <c r="M206" s="2">
        <v>3</v>
      </c>
      <c r="N206" s="2" t="s">
        <v>67</v>
      </c>
      <c r="O206" s="15">
        <v>2</v>
      </c>
      <c r="P206" s="15" t="s">
        <v>970</v>
      </c>
    </row>
    <row r="207" spans="1:16">
      <c r="A207" s="2" t="s">
        <v>1372</v>
      </c>
      <c r="B207" s="2">
        <v>7</v>
      </c>
      <c r="C207" s="2" t="str">
        <f>IF(B207="","",VLOOKUP(B207,'Transacciones CHL'!$A$2:$B$14,2,FALSE))</f>
        <v>Consumo intermedio</v>
      </c>
      <c r="D207" s="2">
        <f>IF(B207="","",VLOOKUP(B207,'Transacciones CHL'!$A$2:$F$14,3,FALSE))</f>
        <v>1</v>
      </c>
      <c r="E207" s="2" t="str">
        <f>IF(B207="","",VLOOKUP(B207,'Transacciones CHL'!$A$2:$F$14,4,FALSE))</f>
        <v>Producción / Consumo intermedio</v>
      </c>
      <c r="F207" s="2">
        <f>IF(B207="","",VLOOKUP(B207,'Transacciones CHL'!$A$2:$F$14,5,FALSE))</f>
        <v>1</v>
      </c>
      <c r="G207" s="2" t="str">
        <f>IF(B207="","",VLOOKUP(B207,'Transacciones CHL'!$A$2:$F$14,6,FALSE))</f>
        <v>Producción / Consumo intermedio</v>
      </c>
      <c r="H207" s="2" t="s">
        <v>1167</v>
      </c>
      <c r="I207" s="2" t="s">
        <v>1154</v>
      </c>
      <c r="J207" s="2" t="s">
        <v>1155</v>
      </c>
      <c r="K207" s="2" t="s">
        <v>1155</v>
      </c>
      <c r="L207" s="2" t="s">
        <v>1156</v>
      </c>
      <c r="M207" s="2">
        <v>3</v>
      </c>
      <c r="N207" s="2" t="s">
        <v>67</v>
      </c>
      <c r="O207" s="15">
        <v>2</v>
      </c>
      <c r="P207" s="15" t="s">
        <v>970</v>
      </c>
    </row>
    <row r="208" spans="1:16">
      <c r="A208" s="2" t="s">
        <v>1373</v>
      </c>
      <c r="B208" s="2">
        <v>7</v>
      </c>
      <c r="C208" s="2" t="str">
        <f>IF(B208="","",VLOOKUP(B208,'Transacciones CHL'!$A$2:$B$14,2,FALSE))</f>
        <v>Consumo intermedio</v>
      </c>
      <c r="D208" s="2">
        <f>IF(B208="","",VLOOKUP(B208,'Transacciones CHL'!$A$2:$F$14,3,FALSE))</f>
        <v>1</v>
      </c>
      <c r="E208" s="2" t="str">
        <f>IF(B208="","",VLOOKUP(B208,'Transacciones CHL'!$A$2:$F$14,4,FALSE))</f>
        <v>Producción / Consumo intermedio</v>
      </c>
      <c r="F208" s="2">
        <f>IF(B208="","",VLOOKUP(B208,'Transacciones CHL'!$A$2:$F$14,5,FALSE))</f>
        <v>1</v>
      </c>
      <c r="G208" s="2" t="str">
        <f>IF(B208="","",VLOOKUP(B208,'Transacciones CHL'!$A$2:$F$14,6,FALSE))</f>
        <v>Producción / Consumo intermedio</v>
      </c>
      <c r="H208" s="2" t="s">
        <v>1169</v>
      </c>
      <c r="I208" s="2" t="s">
        <v>1154</v>
      </c>
      <c r="J208" s="2" t="s">
        <v>1155</v>
      </c>
      <c r="K208" s="2" t="s">
        <v>1155</v>
      </c>
      <c r="L208" s="2" t="s">
        <v>1156</v>
      </c>
      <c r="M208" s="2">
        <v>3</v>
      </c>
      <c r="N208" s="2" t="s">
        <v>67</v>
      </c>
      <c r="O208" s="15">
        <v>2</v>
      </c>
      <c r="P208" s="15" t="s">
        <v>970</v>
      </c>
    </row>
    <row r="209" spans="1:16">
      <c r="A209" s="2" t="s">
        <v>1374</v>
      </c>
      <c r="B209" s="2">
        <v>7</v>
      </c>
      <c r="C209" s="2" t="str">
        <f>IF(B209="","",VLOOKUP(B209,'Transacciones CHL'!$A$2:$B$14,2,FALSE))</f>
        <v>Consumo intermedio</v>
      </c>
      <c r="D209" s="2">
        <f>IF(B209="","",VLOOKUP(B209,'Transacciones CHL'!$A$2:$F$14,3,FALSE))</f>
        <v>1</v>
      </c>
      <c r="E209" s="2" t="str">
        <f>IF(B209="","",VLOOKUP(B209,'Transacciones CHL'!$A$2:$F$14,4,FALSE))</f>
        <v>Producción / Consumo intermedio</v>
      </c>
      <c r="F209" s="2">
        <f>IF(B209="","",VLOOKUP(B209,'Transacciones CHL'!$A$2:$F$14,5,FALSE))</f>
        <v>1</v>
      </c>
      <c r="G209" s="2" t="str">
        <f>IF(B209="","",VLOOKUP(B209,'Transacciones CHL'!$A$2:$F$14,6,FALSE))</f>
        <v>Producción / Consumo intermedio</v>
      </c>
      <c r="H209" s="2" t="s">
        <v>1171</v>
      </c>
      <c r="I209" s="2" t="s">
        <v>1154</v>
      </c>
      <c r="J209" s="2" t="s">
        <v>1155</v>
      </c>
      <c r="K209" s="2" t="s">
        <v>1155</v>
      </c>
      <c r="L209" s="2" t="s">
        <v>1156</v>
      </c>
      <c r="M209" s="2">
        <v>3</v>
      </c>
      <c r="N209" s="2" t="s">
        <v>67</v>
      </c>
      <c r="O209" s="15">
        <v>2</v>
      </c>
      <c r="P209" s="15" t="s">
        <v>970</v>
      </c>
    </row>
    <row r="210" spans="1:16">
      <c r="A210" s="2" t="s">
        <v>1375</v>
      </c>
      <c r="B210" s="2">
        <v>7</v>
      </c>
      <c r="C210" s="2" t="str">
        <f>IF(B210="","",VLOOKUP(B210,'Transacciones CHL'!$A$2:$B$14,2,FALSE))</f>
        <v>Consumo intermedio</v>
      </c>
      <c r="D210" s="2">
        <f>IF(B210="","",VLOOKUP(B210,'Transacciones CHL'!$A$2:$F$14,3,FALSE))</f>
        <v>1</v>
      </c>
      <c r="E210" s="2" t="str">
        <f>IF(B210="","",VLOOKUP(B210,'Transacciones CHL'!$A$2:$F$14,4,FALSE))</f>
        <v>Producción / Consumo intermedio</v>
      </c>
      <c r="F210" s="2">
        <f>IF(B210="","",VLOOKUP(B210,'Transacciones CHL'!$A$2:$F$14,5,FALSE))</f>
        <v>1</v>
      </c>
      <c r="G210" s="2" t="str">
        <f>IF(B210="","",VLOOKUP(B210,'Transacciones CHL'!$A$2:$F$14,6,FALSE))</f>
        <v>Producción / Consumo intermedio</v>
      </c>
      <c r="H210" s="2" t="s">
        <v>1173</v>
      </c>
      <c r="I210" s="2" t="s">
        <v>1174</v>
      </c>
      <c r="J210" s="2" t="s">
        <v>1175</v>
      </c>
      <c r="K210" s="2" t="s">
        <v>1175</v>
      </c>
      <c r="L210" s="2" t="s">
        <v>1176</v>
      </c>
      <c r="M210" s="2">
        <v>3</v>
      </c>
      <c r="N210" s="2" t="s">
        <v>67</v>
      </c>
      <c r="O210" s="15">
        <v>2</v>
      </c>
      <c r="P210" s="15" t="s">
        <v>970</v>
      </c>
    </row>
    <row r="211" spans="1:16">
      <c r="A211" s="2" t="s">
        <v>1376</v>
      </c>
      <c r="B211" s="2">
        <v>7</v>
      </c>
      <c r="C211" s="2" t="str">
        <f>IF(B211="","",VLOOKUP(B211,'Transacciones CHL'!$A$2:$B$14,2,FALSE))</f>
        <v>Consumo intermedio</v>
      </c>
      <c r="D211" s="2">
        <f>IF(B211="","",VLOOKUP(B211,'Transacciones CHL'!$A$2:$F$14,3,FALSE))</f>
        <v>1</v>
      </c>
      <c r="E211" s="2" t="str">
        <f>IF(B211="","",VLOOKUP(B211,'Transacciones CHL'!$A$2:$F$14,4,FALSE))</f>
        <v>Producción / Consumo intermedio</v>
      </c>
      <c r="F211" s="2">
        <f>IF(B211="","",VLOOKUP(B211,'Transacciones CHL'!$A$2:$F$14,5,FALSE))</f>
        <v>1</v>
      </c>
      <c r="G211" s="2" t="str">
        <f>IF(B211="","",VLOOKUP(B211,'Transacciones CHL'!$A$2:$F$14,6,FALSE))</f>
        <v>Producción / Consumo intermedio</v>
      </c>
      <c r="H211" s="2" t="s">
        <v>1178</v>
      </c>
      <c r="I211" s="2" t="s">
        <v>1174</v>
      </c>
      <c r="J211" s="2" t="s">
        <v>1175</v>
      </c>
      <c r="K211" s="2" t="s">
        <v>1175</v>
      </c>
      <c r="L211" s="2" t="s">
        <v>1176</v>
      </c>
      <c r="M211" s="2">
        <v>3</v>
      </c>
      <c r="N211" s="2" t="s">
        <v>67</v>
      </c>
      <c r="O211" s="15">
        <v>2</v>
      </c>
      <c r="P211" s="15" t="s">
        <v>970</v>
      </c>
    </row>
    <row r="212" spans="1:16">
      <c r="A212" s="2" t="s">
        <v>1377</v>
      </c>
      <c r="B212" s="2">
        <v>7</v>
      </c>
      <c r="C212" s="2" t="str">
        <f>IF(B212="","",VLOOKUP(B212,'Transacciones CHL'!$A$2:$B$14,2,FALSE))</f>
        <v>Consumo intermedio</v>
      </c>
      <c r="D212" s="2">
        <f>IF(B212="","",VLOOKUP(B212,'Transacciones CHL'!$A$2:$F$14,3,FALSE))</f>
        <v>1</v>
      </c>
      <c r="E212" s="2" t="str">
        <f>IF(B212="","",VLOOKUP(B212,'Transacciones CHL'!$A$2:$F$14,4,FALSE))</f>
        <v>Producción / Consumo intermedio</v>
      </c>
      <c r="F212" s="2">
        <f>IF(B212="","",VLOOKUP(B212,'Transacciones CHL'!$A$2:$F$14,5,FALSE))</f>
        <v>1</v>
      </c>
      <c r="G212" s="2" t="str">
        <f>IF(B212="","",VLOOKUP(B212,'Transacciones CHL'!$A$2:$F$14,6,FALSE))</f>
        <v>Producción / Consumo intermedio</v>
      </c>
      <c r="H212" s="2" t="s">
        <v>1180</v>
      </c>
      <c r="I212" s="2" t="s">
        <v>1174</v>
      </c>
      <c r="J212" s="2" t="s">
        <v>1175</v>
      </c>
      <c r="K212" s="2" t="s">
        <v>1175</v>
      </c>
      <c r="L212" s="2" t="s">
        <v>1176</v>
      </c>
      <c r="M212" s="2">
        <v>3</v>
      </c>
      <c r="N212" s="2" t="s">
        <v>67</v>
      </c>
      <c r="O212" s="15">
        <v>2</v>
      </c>
      <c r="P212" s="15" t="s">
        <v>970</v>
      </c>
    </row>
    <row r="213" spans="1:16">
      <c r="A213" s="2" t="s">
        <v>1378</v>
      </c>
      <c r="B213" s="2">
        <v>7</v>
      </c>
      <c r="C213" s="2" t="str">
        <f>IF(B213="","",VLOOKUP(B213,'Transacciones CHL'!$A$2:$B$14,2,FALSE))</f>
        <v>Consumo intermedio</v>
      </c>
      <c r="D213" s="2">
        <f>IF(B213="","",VLOOKUP(B213,'Transacciones CHL'!$A$2:$F$14,3,FALSE))</f>
        <v>1</v>
      </c>
      <c r="E213" s="2" t="str">
        <f>IF(B213="","",VLOOKUP(B213,'Transacciones CHL'!$A$2:$F$14,4,FALSE))</f>
        <v>Producción / Consumo intermedio</v>
      </c>
      <c r="F213" s="2">
        <f>IF(B213="","",VLOOKUP(B213,'Transacciones CHL'!$A$2:$F$14,5,FALSE))</f>
        <v>1</v>
      </c>
      <c r="G213" s="2" t="str">
        <f>IF(B213="","",VLOOKUP(B213,'Transacciones CHL'!$A$2:$F$14,6,FALSE))</f>
        <v>Producción / Consumo intermedio</v>
      </c>
      <c r="H213" s="2" t="s">
        <v>1182</v>
      </c>
      <c r="I213" s="2" t="s">
        <v>1174</v>
      </c>
      <c r="J213" s="2" t="s">
        <v>1175</v>
      </c>
      <c r="K213" s="2" t="s">
        <v>1175</v>
      </c>
      <c r="L213" s="2" t="s">
        <v>1176</v>
      </c>
      <c r="M213" s="2">
        <v>3</v>
      </c>
      <c r="N213" s="2" t="s">
        <v>67</v>
      </c>
      <c r="O213" s="15">
        <v>1</v>
      </c>
      <c r="P213" s="15" t="s">
        <v>1065</v>
      </c>
    </row>
    <row r="214" spans="1:16">
      <c r="A214" s="2" t="s">
        <v>1379</v>
      </c>
      <c r="B214" s="2">
        <v>7</v>
      </c>
      <c r="C214" s="2" t="str">
        <f>IF(B214="","",VLOOKUP(B214,'Transacciones CHL'!$A$2:$B$14,2,FALSE))</f>
        <v>Consumo intermedio</v>
      </c>
      <c r="D214" s="2">
        <f>IF(B214="","",VLOOKUP(B214,'Transacciones CHL'!$A$2:$F$14,3,FALSE))</f>
        <v>1</v>
      </c>
      <c r="E214" s="2" t="str">
        <f>IF(B214="","",VLOOKUP(B214,'Transacciones CHL'!$A$2:$F$14,4,FALSE))</f>
        <v>Producción / Consumo intermedio</v>
      </c>
      <c r="F214" s="2">
        <f>IF(B214="","",VLOOKUP(B214,'Transacciones CHL'!$A$2:$F$14,5,FALSE))</f>
        <v>1</v>
      </c>
      <c r="G214" s="2" t="str">
        <f>IF(B214="","",VLOOKUP(B214,'Transacciones CHL'!$A$2:$F$14,6,FALSE))</f>
        <v>Producción / Consumo intermedio</v>
      </c>
      <c r="H214" s="2" t="s">
        <v>1184</v>
      </c>
      <c r="I214" s="2" t="s">
        <v>1174</v>
      </c>
      <c r="J214" s="2" t="s">
        <v>1175</v>
      </c>
      <c r="K214" s="2" t="s">
        <v>1175</v>
      </c>
      <c r="L214" s="2" t="s">
        <v>1176</v>
      </c>
      <c r="M214" s="2">
        <v>3</v>
      </c>
      <c r="N214" s="2" t="s">
        <v>67</v>
      </c>
      <c r="O214" s="15">
        <v>2</v>
      </c>
      <c r="P214" s="15" t="s">
        <v>970</v>
      </c>
    </row>
    <row r="215" spans="1:16">
      <c r="A215" s="2" t="s">
        <v>1380</v>
      </c>
      <c r="B215" s="2">
        <v>7</v>
      </c>
      <c r="C215" s="2" t="str">
        <f>IF(B215="","",VLOOKUP(B215,'Transacciones CHL'!$A$2:$B$14,2,FALSE))</f>
        <v>Consumo intermedio</v>
      </c>
      <c r="D215" s="2">
        <f>IF(B215="","",VLOOKUP(B215,'Transacciones CHL'!$A$2:$F$14,3,FALSE))</f>
        <v>1</v>
      </c>
      <c r="E215" s="2" t="str">
        <f>IF(B215="","",VLOOKUP(B215,'Transacciones CHL'!$A$2:$F$14,4,FALSE))</f>
        <v>Producción / Consumo intermedio</v>
      </c>
      <c r="F215" s="2">
        <f>IF(B215="","",VLOOKUP(B215,'Transacciones CHL'!$A$2:$F$14,5,FALSE))</f>
        <v>1</v>
      </c>
      <c r="G215" s="2" t="str">
        <f>IF(B215="","",VLOOKUP(B215,'Transacciones CHL'!$A$2:$F$14,6,FALSE))</f>
        <v>Producción / Consumo intermedio</v>
      </c>
      <c r="H215" s="2" t="s">
        <v>1186</v>
      </c>
      <c r="I215" s="2" t="s">
        <v>1174</v>
      </c>
      <c r="J215" s="2" t="s">
        <v>1175</v>
      </c>
      <c r="K215" s="2" t="s">
        <v>1175</v>
      </c>
      <c r="L215" s="2" t="s">
        <v>1176</v>
      </c>
      <c r="M215" s="2">
        <v>3</v>
      </c>
      <c r="N215" s="2" t="s">
        <v>67</v>
      </c>
      <c r="O215" s="15">
        <v>1</v>
      </c>
      <c r="P215" s="15" t="s">
        <v>1065</v>
      </c>
    </row>
    <row r="216" spans="1:16">
      <c r="A216" s="2" t="s">
        <v>1381</v>
      </c>
      <c r="B216" s="2">
        <v>7</v>
      </c>
      <c r="C216" s="2" t="str">
        <f>IF(B216="","",VLOOKUP(B216,'Transacciones CHL'!$A$2:$B$14,2,FALSE))</f>
        <v>Consumo intermedio</v>
      </c>
      <c r="D216" s="2">
        <f>IF(B216="","",VLOOKUP(B216,'Transacciones CHL'!$A$2:$F$14,3,FALSE))</f>
        <v>1</v>
      </c>
      <c r="E216" s="2" t="str">
        <f>IF(B216="","",VLOOKUP(B216,'Transacciones CHL'!$A$2:$F$14,4,FALSE))</f>
        <v>Producción / Consumo intermedio</v>
      </c>
      <c r="F216" s="2">
        <f>IF(B216="","",VLOOKUP(B216,'Transacciones CHL'!$A$2:$F$14,5,FALSE))</f>
        <v>1</v>
      </c>
      <c r="G216" s="2" t="str">
        <f>IF(B216="","",VLOOKUP(B216,'Transacciones CHL'!$A$2:$F$14,6,FALSE))</f>
        <v>Producción / Consumo intermedio</v>
      </c>
      <c r="H216" s="2" t="s">
        <v>1188</v>
      </c>
      <c r="I216" s="2" t="s">
        <v>1189</v>
      </c>
      <c r="J216" s="2" t="s">
        <v>1190</v>
      </c>
      <c r="K216" s="2" t="s">
        <v>1191</v>
      </c>
      <c r="L216" s="2" t="s">
        <v>1192</v>
      </c>
      <c r="M216" s="2">
        <v>3</v>
      </c>
      <c r="N216" s="2" t="s">
        <v>67</v>
      </c>
      <c r="O216" s="15">
        <v>2</v>
      </c>
      <c r="P216" s="15" t="s">
        <v>970</v>
      </c>
    </row>
    <row r="217" spans="1:16">
      <c r="A217" s="2" t="s">
        <v>1382</v>
      </c>
      <c r="B217" s="2">
        <v>7</v>
      </c>
      <c r="C217" s="2" t="str">
        <f>IF(B217="","",VLOOKUP(B217,'Transacciones CHL'!$A$2:$B$14,2,FALSE))</f>
        <v>Consumo intermedio</v>
      </c>
      <c r="D217" s="2">
        <f>IF(B217="","",VLOOKUP(B217,'Transacciones CHL'!$A$2:$F$14,3,FALSE))</f>
        <v>1</v>
      </c>
      <c r="E217" s="2" t="str">
        <f>IF(B217="","",VLOOKUP(B217,'Transacciones CHL'!$A$2:$F$14,4,FALSE))</f>
        <v>Producción / Consumo intermedio</v>
      </c>
      <c r="F217" s="2">
        <f>IF(B217="","",VLOOKUP(B217,'Transacciones CHL'!$A$2:$F$14,5,FALSE))</f>
        <v>1</v>
      </c>
      <c r="G217" s="2" t="str">
        <f>IF(B217="","",VLOOKUP(B217,'Transacciones CHL'!$A$2:$F$14,6,FALSE))</f>
        <v>Producción / Consumo intermedio</v>
      </c>
      <c r="H217" s="2" t="s">
        <v>1194</v>
      </c>
      <c r="I217" s="2" t="s">
        <v>1189</v>
      </c>
      <c r="J217" s="2" t="s">
        <v>1190</v>
      </c>
      <c r="K217" s="2" t="s">
        <v>1191</v>
      </c>
      <c r="L217" s="2" t="s">
        <v>1192</v>
      </c>
      <c r="M217" s="2">
        <v>3</v>
      </c>
      <c r="N217" s="2" t="s">
        <v>67</v>
      </c>
      <c r="O217" s="15">
        <v>2</v>
      </c>
      <c r="P217" s="15" t="s">
        <v>970</v>
      </c>
    </row>
    <row r="218" spans="1:16">
      <c r="A218" s="2" t="s">
        <v>1383</v>
      </c>
      <c r="B218" s="2">
        <v>7</v>
      </c>
      <c r="C218" s="2" t="str">
        <f>IF(B218="","",VLOOKUP(B218,'Transacciones CHL'!$A$2:$B$14,2,FALSE))</f>
        <v>Consumo intermedio</v>
      </c>
      <c r="D218" s="2">
        <f>IF(B218="","",VLOOKUP(B218,'Transacciones CHL'!$A$2:$F$14,3,FALSE))</f>
        <v>1</v>
      </c>
      <c r="E218" s="2" t="str">
        <f>IF(B218="","",VLOOKUP(B218,'Transacciones CHL'!$A$2:$F$14,4,FALSE))</f>
        <v>Producción / Consumo intermedio</v>
      </c>
      <c r="F218" s="2">
        <f>IF(B218="","",VLOOKUP(B218,'Transacciones CHL'!$A$2:$F$14,5,FALSE))</f>
        <v>1</v>
      </c>
      <c r="G218" s="2" t="str">
        <f>IF(B218="","",VLOOKUP(B218,'Transacciones CHL'!$A$2:$F$14,6,FALSE))</f>
        <v>Producción / Consumo intermedio</v>
      </c>
      <c r="H218" s="2" t="s">
        <v>1196</v>
      </c>
      <c r="I218" s="2" t="s">
        <v>1189</v>
      </c>
      <c r="J218" s="2" t="s">
        <v>1190</v>
      </c>
      <c r="K218" s="2" t="s">
        <v>1191</v>
      </c>
      <c r="L218" s="2" t="s">
        <v>1192</v>
      </c>
      <c r="M218" s="2">
        <v>3</v>
      </c>
      <c r="N218" s="2" t="s">
        <v>67</v>
      </c>
      <c r="O218" s="15">
        <v>2</v>
      </c>
      <c r="P218" s="15" t="s">
        <v>970</v>
      </c>
    </row>
    <row r="219" spans="1:16">
      <c r="A219" s="2" t="s">
        <v>1384</v>
      </c>
      <c r="B219" s="2">
        <v>7</v>
      </c>
      <c r="C219" s="2" t="str">
        <f>IF(B219="","",VLOOKUP(B219,'Transacciones CHL'!$A$2:$B$14,2,FALSE))</f>
        <v>Consumo intermedio</v>
      </c>
      <c r="D219" s="2">
        <f>IF(B219="","",VLOOKUP(B219,'Transacciones CHL'!$A$2:$F$14,3,FALSE))</f>
        <v>1</v>
      </c>
      <c r="E219" s="2" t="str">
        <f>IF(B219="","",VLOOKUP(B219,'Transacciones CHL'!$A$2:$F$14,4,FALSE))</f>
        <v>Producción / Consumo intermedio</v>
      </c>
      <c r="F219" s="2">
        <f>IF(B219="","",VLOOKUP(B219,'Transacciones CHL'!$A$2:$F$14,5,FALSE))</f>
        <v>1</v>
      </c>
      <c r="G219" s="2" t="str">
        <f>IF(B219="","",VLOOKUP(B219,'Transacciones CHL'!$A$2:$F$14,6,FALSE))</f>
        <v>Producción / Consumo intermedio</v>
      </c>
      <c r="H219" s="2" t="s">
        <v>1198</v>
      </c>
      <c r="I219" s="2" t="s">
        <v>1199</v>
      </c>
      <c r="J219" s="2" t="s">
        <v>1198</v>
      </c>
      <c r="K219" s="2" t="s">
        <v>1200</v>
      </c>
      <c r="L219" s="2" t="s">
        <v>1201</v>
      </c>
      <c r="M219" s="2">
        <v>3</v>
      </c>
      <c r="N219" s="2" t="s">
        <v>67</v>
      </c>
      <c r="O219" s="15">
        <v>2</v>
      </c>
      <c r="P219" s="15" t="s">
        <v>970</v>
      </c>
    </row>
    <row r="220" spans="1:16">
      <c r="A220" s="2" t="s">
        <v>1385</v>
      </c>
      <c r="B220" s="2">
        <v>7</v>
      </c>
      <c r="C220" s="2" t="str">
        <f>IF(B220="","",VLOOKUP(B220,'Transacciones CHL'!$A$2:$B$14,2,FALSE))</f>
        <v>Consumo intermedio</v>
      </c>
      <c r="D220" s="2">
        <f>IF(B220="","",VLOOKUP(B220,'Transacciones CHL'!$A$2:$F$14,3,FALSE))</f>
        <v>1</v>
      </c>
      <c r="E220" s="2" t="str">
        <f>IF(B220="","",VLOOKUP(B220,'Transacciones CHL'!$A$2:$F$14,4,FALSE))</f>
        <v>Producción / Consumo intermedio</v>
      </c>
      <c r="F220" s="2">
        <f>IF(B220="","",VLOOKUP(B220,'Transacciones CHL'!$A$2:$F$14,5,FALSE))</f>
        <v>1</v>
      </c>
      <c r="G220" s="2" t="str">
        <f>IF(B220="","",VLOOKUP(B220,'Transacciones CHL'!$A$2:$F$14,6,FALSE))</f>
        <v>Producción / Consumo intermedio</v>
      </c>
      <c r="H220" s="2" t="s">
        <v>340</v>
      </c>
      <c r="I220" s="2" t="s">
        <v>1199</v>
      </c>
      <c r="J220" s="2" t="s">
        <v>1198</v>
      </c>
      <c r="K220" s="2" t="s">
        <v>1200</v>
      </c>
      <c r="L220" s="2" t="s">
        <v>1201</v>
      </c>
      <c r="M220" s="2">
        <v>3</v>
      </c>
      <c r="N220" s="2" t="s">
        <v>67</v>
      </c>
      <c r="O220" s="15">
        <v>2</v>
      </c>
      <c r="P220" s="15" t="s">
        <v>970</v>
      </c>
    </row>
    <row r="221" spans="1:16">
      <c r="A221" s="2" t="s">
        <v>1386</v>
      </c>
      <c r="B221" s="2">
        <v>7</v>
      </c>
      <c r="C221" s="2" t="str">
        <f>IF(B221="","",VLOOKUP(B221,'Transacciones CHL'!$A$2:$B$14,2,FALSE))</f>
        <v>Consumo intermedio</v>
      </c>
      <c r="D221" s="2">
        <f>IF(B221="","",VLOOKUP(B221,'Transacciones CHL'!$A$2:$F$14,3,FALSE))</f>
        <v>1</v>
      </c>
      <c r="E221" s="2" t="str">
        <f>IF(B221="","",VLOOKUP(B221,'Transacciones CHL'!$A$2:$F$14,4,FALSE))</f>
        <v>Producción / Consumo intermedio</v>
      </c>
      <c r="F221" s="2">
        <f>IF(B221="","",VLOOKUP(B221,'Transacciones CHL'!$A$2:$F$14,5,FALSE))</f>
        <v>1</v>
      </c>
      <c r="G221" s="2" t="str">
        <f>IF(B221="","",VLOOKUP(B221,'Transacciones CHL'!$A$2:$F$14,6,FALSE))</f>
        <v>Producción / Consumo intermedio</v>
      </c>
      <c r="H221" s="2" t="s">
        <v>1204</v>
      </c>
      <c r="I221" s="2" t="s">
        <v>1205</v>
      </c>
      <c r="J221" s="2" t="s">
        <v>1206</v>
      </c>
      <c r="K221" s="2" t="s">
        <v>1207</v>
      </c>
      <c r="L221" s="2" t="s">
        <v>1208</v>
      </c>
      <c r="M221" s="2">
        <v>3</v>
      </c>
      <c r="N221" s="2" t="s">
        <v>67</v>
      </c>
      <c r="O221" s="15">
        <v>2</v>
      </c>
      <c r="P221" s="15" t="s">
        <v>970</v>
      </c>
    </row>
    <row r="222" spans="1:16">
      <c r="A222" s="2" t="s">
        <v>1387</v>
      </c>
      <c r="B222" s="2">
        <v>7</v>
      </c>
      <c r="C222" s="2" t="str">
        <f>IF(B222="","",VLOOKUP(B222,'Transacciones CHL'!$A$2:$B$14,2,FALSE))</f>
        <v>Consumo intermedio</v>
      </c>
      <c r="D222" s="2">
        <f>IF(B222="","",VLOOKUP(B222,'Transacciones CHL'!$A$2:$F$14,3,FALSE))</f>
        <v>1</v>
      </c>
      <c r="E222" s="2" t="str">
        <f>IF(B222="","",VLOOKUP(B222,'Transacciones CHL'!$A$2:$F$14,4,FALSE))</f>
        <v>Producción / Consumo intermedio</v>
      </c>
      <c r="F222" s="2">
        <f>IF(B222="","",VLOOKUP(B222,'Transacciones CHL'!$A$2:$F$14,5,FALSE))</f>
        <v>1</v>
      </c>
      <c r="G222" s="2" t="str">
        <f>IF(B222="","",VLOOKUP(B222,'Transacciones CHL'!$A$2:$F$14,6,FALSE))</f>
        <v>Producción / Consumo intermedio</v>
      </c>
      <c r="H222" s="2" t="s">
        <v>1210</v>
      </c>
      <c r="I222" s="2" t="s">
        <v>1205</v>
      </c>
      <c r="J222" s="2" t="s">
        <v>1206</v>
      </c>
      <c r="K222" s="2" t="s">
        <v>1207</v>
      </c>
      <c r="L222" s="2" t="s">
        <v>1208</v>
      </c>
      <c r="M222" s="2">
        <v>3</v>
      </c>
      <c r="N222" s="2" t="s">
        <v>67</v>
      </c>
      <c r="O222" s="15">
        <v>1</v>
      </c>
      <c r="P222" s="15" t="s">
        <v>1065</v>
      </c>
    </row>
    <row r="223" spans="1:16">
      <c r="A223" s="2" t="s">
        <v>1388</v>
      </c>
      <c r="B223" s="2">
        <v>7</v>
      </c>
      <c r="C223" s="2" t="str">
        <f>IF(B223="","",VLOOKUP(B223,'Transacciones CHL'!$A$2:$B$14,2,FALSE))</f>
        <v>Consumo intermedio</v>
      </c>
      <c r="D223" s="2">
        <f>IF(B223="","",VLOOKUP(B223,'Transacciones CHL'!$A$2:$F$14,3,FALSE))</f>
        <v>1</v>
      </c>
      <c r="E223" s="2" t="str">
        <f>IF(B223="","",VLOOKUP(B223,'Transacciones CHL'!$A$2:$F$14,4,FALSE))</f>
        <v>Producción / Consumo intermedio</v>
      </c>
      <c r="F223" s="2">
        <f>IF(B223="","",VLOOKUP(B223,'Transacciones CHL'!$A$2:$F$14,5,FALSE))</f>
        <v>1</v>
      </c>
      <c r="G223" s="2" t="str">
        <f>IF(B223="","",VLOOKUP(B223,'Transacciones CHL'!$A$2:$F$14,6,FALSE))</f>
        <v>Producción / Consumo intermedio</v>
      </c>
      <c r="H223" s="2" t="s">
        <v>1212</v>
      </c>
      <c r="I223" s="2" t="s">
        <v>1205</v>
      </c>
      <c r="J223" s="2" t="s">
        <v>1206</v>
      </c>
      <c r="K223" s="2" t="s">
        <v>1207</v>
      </c>
      <c r="L223" s="2" t="s">
        <v>1208</v>
      </c>
      <c r="M223" s="2">
        <v>2</v>
      </c>
      <c r="N223" s="2" t="s">
        <v>142</v>
      </c>
      <c r="O223" s="15">
        <v>1</v>
      </c>
      <c r="P223" s="15" t="s">
        <v>1065</v>
      </c>
    </row>
    <row r="224" spans="1:16">
      <c r="A224" s="2" t="s">
        <v>1389</v>
      </c>
      <c r="B224" s="2">
        <v>7</v>
      </c>
      <c r="C224" s="2" t="str">
        <f>IF(B224="","",VLOOKUP(B224,'Transacciones CHL'!$A$2:$B$14,2,FALSE))</f>
        <v>Consumo intermedio</v>
      </c>
      <c r="D224" s="2">
        <f>IF(B224="","",VLOOKUP(B224,'Transacciones CHL'!$A$2:$F$14,3,FALSE))</f>
        <v>1</v>
      </c>
      <c r="E224" s="2" t="str">
        <f>IF(B224="","",VLOOKUP(B224,'Transacciones CHL'!$A$2:$F$14,4,FALSE))</f>
        <v>Producción / Consumo intermedio</v>
      </c>
      <c r="F224" s="2">
        <f>IF(B224="","",VLOOKUP(B224,'Transacciones CHL'!$A$2:$F$14,5,FALSE))</f>
        <v>1</v>
      </c>
      <c r="G224" s="2" t="str">
        <f>IF(B224="","",VLOOKUP(B224,'Transacciones CHL'!$A$2:$F$14,6,FALSE))</f>
        <v>Producción / Consumo intermedio</v>
      </c>
      <c r="H224" s="2" t="s">
        <v>1214</v>
      </c>
      <c r="I224" s="2" t="s">
        <v>1215</v>
      </c>
      <c r="J224" s="2" t="s">
        <v>1216</v>
      </c>
      <c r="K224" s="2" t="s">
        <v>1217</v>
      </c>
      <c r="L224" s="2" t="s">
        <v>1218</v>
      </c>
      <c r="M224" s="2">
        <v>3</v>
      </c>
      <c r="N224" s="2" t="s">
        <v>67</v>
      </c>
      <c r="O224" s="15">
        <v>2</v>
      </c>
      <c r="P224" s="15" t="s">
        <v>970</v>
      </c>
    </row>
    <row r="225" spans="1:16">
      <c r="A225" s="2" t="s">
        <v>1390</v>
      </c>
      <c r="B225" s="2">
        <v>7</v>
      </c>
      <c r="C225" s="2" t="str">
        <f>IF(B225="","",VLOOKUP(B225,'Transacciones CHL'!$A$2:$B$14,2,FALSE))</f>
        <v>Consumo intermedio</v>
      </c>
      <c r="D225" s="2">
        <f>IF(B225="","",VLOOKUP(B225,'Transacciones CHL'!$A$2:$F$14,3,FALSE))</f>
        <v>1</v>
      </c>
      <c r="E225" s="2" t="str">
        <f>IF(B225="","",VLOOKUP(B225,'Transacciones CHL'!$A$2:$F$14,4,FALSE))</f>
        <v>Producción / Consumo intermedio</v>
      </c>
      <c r="F225" s="2">
        <f>IF(B225="","",VLOOKUP(B225,'Transacciones CHL'!$A$2:$F$14,5,FALSE))</f>
        <v>1</v>
      </c>
      <c r="G225" s="2" t="str">
        <f>IF(B225="","",VLOOKUP(B225,'Transacciones CHL'!$A$2:$F$14,6,FALSE))</f>
        <v>Producción / Consumo intermedio</v>
      </c>
      <c r="H225" s="2" t="s">
        <v>1220</v>
      </c>
      <c r="I225" s="2" t="s">
        <v>1215</v>
      </c>
      <c r="J225" s="2" t="s">
        <v>1216</v>
      </c>
      <c r="K225" s="2" t="s">
        <v>1217</v>
      </c>
      <c r="L225" s="2" t="s">
        <v>1218</v>
      </c>
      <c r="M225" s="2">
        <v>3</v>
      </c>
      <c r="N225" s="2" t="s">
        <v>67</v>
      </c>
      <c r="O225" s="15">
        <v>2</v>
      </c>
      <c r="P225" s="15" t="s">
        <v>970</v>
      </c>
    </row>
    <row r="226" spans="1:16">
      <c r="A226" s="2" t="s">
        <v>1391</v>
      </c>
      <c r="B226" s="2">
        <v>7</v>
      </c>
      <c r="C226" s="2" t="str">
        <f>IF(B226="","",VLOOKUP(B226,'Transacciones CHL'!$A$2:$B$14,2,FALSE))</f>
        <v>Consumo intermedio</v>
      </c>
      <c r="D226" s="2">
        <f>IF(B226="","",VLOOKUP(B226,'Transacciones CHL'!$A$2:$F$14,3,FALSE))</f>
        <v>1</v>
      </c>
      <c r="E226" s="2" t="str">
        <f>IF(B226="","",VLOOKUP(B226,'Transacciones CHL'!$A$2:$F$14,4,FALSE))</f>
        <v>Producción / Consumo intermedio</v>
      </c>
      <c r="F226" s="2">
        <f>IF(B226="","",VLOOKUP(B226,'Transacciones CHL'!$A$2:$F$14,5,FALSE))</f>
        <v>1</v>
      </c>
      <c r="G226" s="2" t="str">
        <f>IF(B226="","",VLOOKUP(B226,'Transacciones CHL'!$A$2:$F$14,6,FALSE))</f>
        <v>Producción / Consumo intermedio</v>
      </c>
      <c r="H226" s="2" t="s">
        <v>1222</v>
      </c>
      <c r="I226" s="2" t="s">
        <v>1223</v>
      </c>
      <c r="J226" s="2" t="s">
        <v>1224</v>
      </c>
      <c r="K226" s="2" t="s">
        <v>1222</v>
      </c>
      <c r="L226" s="2" t="s">
        <v>1225</v>
      </c>
      <c r="M226" s="2">
        <v>3</v>
      </c>
      <c r="N226" s="2" t="s">
        <v>67</v>
      </c>
      <c r="O226" s="15">
        <v>2</v>
      </c>
      <c r="P226" s="15" t="s">
        <v>970</v>
      </c>
    </row>
    <row r="227" spans="1:16">
      <c r="A227" s="2" t="s">
        <v>1392</v>
      </c>
      <c r="B227" s="2">
        <v>7</v>
      </c>
      <c r="C227" s="2" t="str">
        <f>IF(B227="","",VLOOKUP(B227,'Transacciones CHL'!$A$2:$B$14,2,FALSE))</f>
        <v>Consumo intermedio</v>
      </c>
      <c r="D227" s="2">
        <f>IF(B227="","",VLOOKUP(B227,'Transacciones CHL'!$A$2:$F$14,3,FALSE))</f>
        <v>1</v>
      </c>
      <c r="E227" s="2" t="str">
        <f>IF(B227="","",VLOOKUP(B227,'Transacciones CHL'!$A$2:$F$14,4,FALSE))</f>
        <v>Producción / Consumo intermedio</v>
      </c>
      <c r="F227" s="2">
        <f>IF(B227="","",VLOOKUP(B227,'Transacciones CHL'!$A$2:$F$14,5,FALSE))</f>
        <v>1</v>
      </c>
      <c r="G227" s="2" t="str">
        <f>IF(B227="","",VLOOKUP(B227,'Transacciones CHL'!$A$2:$F$14,6,FALSE))</f>
        <v>Producción / Consumo intermedio</v>
      </c>
      <c r="H227" s="2" t="s">
        <v>1227</v>
      </c>
      <c r="I227" s="2" t="s">
        <v>1228</v>
      </c>
      <c r="J227" s="2" t="s">
        <v>1229</v>
      </c>
      <c r="K227" s="2" t="s">
        <v>1229</v>
      </c>
      <c r="L227" s="2" t="s">
        <v>1230</v>
      </c>
      <c r="M227" s="2">
        <v>3</v>
      </c>
      <c r="N227" s="2" t="s">
        <v>67</v>
      </c>
      <c r="O227" s="15">
        <v>2</v>
      </c>
      <c r="P227" s="15" t="s">
        <v>970</v>
      </c>
    </row>
    <row r="228" spans="1:16">
      <c r="A228" s="2" t="s">
        <v>1393</v>
      </c>
      <c r="B228" s="2">
        <v>7</v>
      </c>
      <c r="C228" s="2" t="str">
        <f>IF(B228="","",VLOOKUP(B228,'Transacciones CHL'!$A$2:$B$14,2,FALSE))</f>
        <v>Consumo intermedio</v>
      </c>
      <c r="D228" s="2">
        <f>IF(B228="","",VLOOKUP(B228,'Transacciones CHL'!$A$2:$F$14,3,FALSE))</f>
        <v>1</v>
      </c>
      <c r="E228" s="2" t="str">
        <f>IF(B228="","",VLOOKUP(B228,'Transacciones CHL'!$A$2:$F$14,4,FALSE))</f>
        <v>Producción / Consumo intermedio</v>
      </c>
      <c r="F228" s="2">
        <f>IF(B228="","",VLOOKUP(B228,'Transacciones CHL'!$A$2:$F$14,5,FALSE))</f>
        <v>1</v>
      </c>
      <c r="G228" s="2" t="str">
        <f>IF(B228="","",VLOOKUP(B228,'Transacciones CHL'!$A$2:$F$14,6,FALSE))</f>
        <v>Producción / Consumo intermedio</v>
      </c>
      <c r="H228" s="2" t="s">
        <v>1232</v>
      </c>
      <c r="I228" s="2" t="s">
        <v>1228</v>
      </c>
      <c r="J228" s="2" t="s">
        <v>1229</v>
      </c>
      <c r="K228" s="2" t="s">
        <v>1229</v>
      </c>
      <c r="L228" s="2" t="s">
        <v>1230</v>
      </c>
      <c r="M228" s="2">
        <v>3</v>
      </c>
      <c r="N228" s="2" t="s">
        <v>67</v>
      </c>
      <c r="O228" s="15">
        <v>1</v>
      </c>
      <c r="P228" s="15" t="s">
        <v>1065</v>
      </c>
    </row>
    <row r="229" spans="1:16">
      <c r="A229" s="2" t="s">
        <v>1394</v>
      </c>
      <c r="B229" s="2">
        <v>7</v>
      </c>
      <c r="C229" s="2" t="str">
        <f>IF(B229="","",VLOOKUP(B229,'Transacciones CHL'!$A$2:$B$14,2,FALSE))</f>
        <v>Consumo intermedio</v>
      </c>
      <c r="D229" s="2">
        <f>IF(B229="","",VLOOKUP(B229,'Transacciones CHL'!$A$2:$F$14,3,FALSE))</f>
        <v>1</v>
      </c>
      <c r="E229" s="2" t="str">
        <f>IF(B229="","",VLOOKUP(B229,'Transacciones CHL'!$A$2:$F$14,4,FALSE))</f>
        <v>Producción / Consumo intermedio</v>
      </c>
      <c r="F229" s="2">
        <f>IF(B229="","",VLOOKUP(B229,'Transacciones CHL'!$A$2:$F$14,5,FALSE))</f>
        <v>1</v>
      </c>
      <c r="G229" s="2" t="str">
        <f>IF(B229="","",VLOOKUP(B229,'Transacciones CHL'!$A$2:$F$14,6,FALSE))</f>
        <v>Producción / Consumo intermedio</v>
      </c>
      <c r="H229" s="2" t="s">
        <v>1234</v>
      </c>
      <c r="I229" s="2" t="s">
        <v>1235</v>
      </c>
      <c r="J229" s="2" t="s">
        <v>1236</v>
      </c>
      <c r="K229" s="2" t="s">
        <v>1237</v>
      </c>
      <c r="L229" s="2" t="s">
        <v>1238</v>
      </c>
      <c r="M229" s="2">
        <v>3</v>
      </c>
      <c r="N229" s="2" t="s">
        <v>67</v>
      </c>
      <c r="O229" s="15">
        <v>2</v>
      </c>
      <c r="P229" s="15" t="s">
        <v>970</v>
      </c>
    </row>
    <row r="230" spans="1:16">
      <c r="A230" s="2" t="s">
        <v>1395</v>
      </c>
      <c r="B230" s="2">
        <v>7</v>
      </c>
      <c r="C230" s="2" t="str">
        <f>IF(B230="","",VLOOKUP(B230,'Transacciones CHL'!$A$2:$B$14,2,FALSE))</f>
        <v>Consumo intermedio</v>
      </c>
      <c r="D230" s="2">
        <f>IF(B230="","",VLOOKUP(B230,'Transacciones CHL'!$A$2:$F$14,3,FALSE))</f>
        <v>1</v>
      </c>
      <c r="E230" s="2" t="str">
        <f>IF(B230="","",VLOOKUP(B230,'Transacciones CHL'!$A$2:$F$14,4,FALSE))</f>
        <v>Producción / Consumo intermedio</v>
      </c>
      <c r="F230" s="2">
        <f>IF(B230="","",VLOOKUP(B230,'Transacciones CHL'!$A$2:$F$14,5,FALSE))</f>
        <v>1</v>
      </c>
      <c r="G230" s="2" t="str">
        <f>IF(B230="","",VLOOKUP(B230,'Transacciones CHL'!$A$2:$F$14,6,FALSE))</f>
        <v>Producción / Consumo intermedio</v>
      </c>
      <c r="H230" s="2" t="s">
        <v>1240</v>
      </c>
      <c r="I230" s="2" t="s">
        <v>1235</v>
      </c>
      <c r="J230" s="2" t="s">
        <v>1236</v>
      </c>
      <c r="K230" s="2" t="s">
        <v>1237</v>
      </c>
      <c r="L230" s="2" t="s">
        <v>1238</v>
      </c>
      <c r="M230" s="2">
        <v>3</v>
      </c>
      <c r="N230" s="2" t="s">
        <v>67</v>
      </c>
      <c r="O230" s="15">
        <v>2</v>
      </c>
      <c r="P230" s="15" t="s">
        <v>970</v>
      </c>
    </row>
    <row r="231" spans="1:16">
      <c r="A231" s="2" t="s">
        <v>1396</v>
      </c>
      <c r="B231" s="2">
        <v>7</v>
      </c>
      <c r="C231" s="2" t="str">
        <f>IF(B231="","",VLOOKUP(B231,'Transacciones CHL'!$A$2:$B$14,2,FALSE))</f>
        <v>Consumo intermedio</v>
      </c>
      <c r="D231" s="2">
        <f>IF(B231="","",VLOOKUP(B231,'Transacciones CHL'!$A$2:$F$14,3,FALSE))</f>
        <v>1</v>
      </c>
      <c r="E231" s="2" t="str">
        <f>IF(B231="","",VLOOKUP(B231,'Transacciones CHL'!$A$2:$F$14,4,FALSE))</f>
        <v>Producción / Consumo intermedio</v>
      </c>
      <c r="F231" s="2">
        <f>IF(B231="","",VLOOKUP(B231,'Transacciones CHL'!$A$2:$F$14,5,FALSE))</f>
        <v>1</v>
      </c>
      <c r="G231" s="2" t="str">
        <f>IF(B231="","",VLOOKUP(B231,'Transacciones CHL'!$A$2:$F$14,6,FALSE))</f>
        <v>Producción / Consumo intermedio</v>
      </c>
      <c r="H231" s="2" t="s">
        <v>1242</v>
      </c>
      <c r="I231" s="2" t="s">
        <v>1243</v>
      </c>
      <c r="J231" s="2" t="s">
        <v>1244</v>
      </c>
      <c r="K231" s="2" t="s">
        <v>1245</v>
      </c>
      <c r="L231" s="2" t="s">
        <v>1246</v>
      </c>
      <c r="M231" s="2">
        <v>3</v>
      </c>
      <c r="N231" s="2" t="s">
        <v>67</v>
      </c>
      <c r="O231" s="15">
        <v>1</v>
      </c>
      <c r="P231" s="15" t="s">
        <v>1065</v>
      </c>
    </row>
    <row r="232" spans="1:16">
      <c r="A232" s="2" t="s">
        <v>1397</v>
      </c>
      <c r="B232" s="2">
        <v>7</v>
      </c>
      <c r="C232" s="2" t="str">
        <f>IF(B232="","",VLOOKUP(B232,'Transacciones CHL'!$A$2:$B$14,2,FALSE))</f>
        <v>Consumo intermedio</v>
      </c>
      <c r="D232" s="2">
        <f>IF(B232="","",VLOOKUP(B232,'Transacciones CHL'!$A$2:$F$14,3,FALSE))</f>
        <v>1</v>
      </c>
      <c r="E232" s="2" t="str">
        <f>IF(B232="","",VLOOKUP(B232,'Transacciones CHL'!$A$2:$F$14,4,FALSE))</f>
        <v>Producción / Consumo intermedio</v>
      </c>
      <c r="F232" s="2">
        <f>IF(B232="","",VLOOKUP(B232,'Transacciones CHL'!$A$2:$F$14,5,FALSE))</f>
        <v>1</v>
      </c>
      <c r="G232" s="2" t="str">
        <f>IF(B232="","",VLOOKUP(B232,'Transacciones CHL'!$A$2:$F$14,6,FALSE))</f>
        <v>Producción / Consumo intermedio</v>
      </c>
      <c r="H232" s="2" t="s">
        <v>1248</v>
      </c>
      <c r="I232" s="2" t="s">
        <v>1243</v>
      </c>
      <c r="J232" s="2" t="s">
        <v>1244</v>
      </c>
      <c r="K232" s="2" t="s">
        <v>1245</v>
      </c>
      <c r="L232" s="2" t="s">
        <v>1246</v>
      </c>
      <c r="M232" s="2">
        <v>3</v>
      </c>
      <c r="N232" s="2" t="s">
        <v>67</v>
      </c>
      <c r="O232" s="15">
        <v>1</v>
      </c>
      <c r="P232" s="15" t="s">
        <v>1065</v>
      </c>
    </row>
    <row r="233" spans="1:16">
      <c r="A233" s="2" t="s">
        <v>1398</v>
      </c>
      <c r="B233" s="2">
        <v>7</v>
      </c>
      <c r="C233" s="2" t="str">
        <f>IF(B233="","",VLOOKUP(B233,'Transacciones CHL'!$A$2:$B$14,2,FALSE))</f>
        <v>Consumo intermedio</v>
      </c>
      <c r="D233" s="2">
        <f>IF(B233="","",VLOOKUP(B233,'Transacciones CHL'!$A$2:$F$14,3,FALSE))</f>
        <v>1</v>
      </c>
      <c r="E233" s="2" t="str">
        <f>IF(B233="","",VLOOKUP(B233,'Transacciones CHL'!$A$2:$F$14,4,FALSE))</f>
        <v>Producción / Consumo intermedio</v>
      </c>
      <c r="F233" s="2">
        <f>IF(B233="","",VLOOKUP(B233,'Transacciones CHL'!$A$2:$F$14,5,FALSE))</f>
        <v>1</v>
      </c>
      <c r="G233" s="2" t="str">
        <f>IF(B233="","",VLOOKUP(B233,'Transacciones CHL'!$A$2:$F$14,6,FALSE))</f>
        <v>Producción / Consumo intermedio</v>
      </c>
      <c r="H233" s="2" t="s">
        <v>1250</v>
      </c>
      <c r="I233" s="2" t="s">
        <v>1251</v>
      </c>
      <c r="J233" s="2" t="s">
        <v>1252</v>
      </c>
      <c r="K233" s="2" t="s">
        <v>1253</v>
      </c>
      <c r="L233" s="2" t="s">
        <v>1254</v>
      </c>
      <c r="M233" s="2">
        <v>3</v>
      </c>
      <c r="N233" s="2" t="s">
        <v>67</v>
      </c>
      <c r="O233" s="15">
        <v>2</v>
      </c>
      <c r="P233" s="15" t="s">
        <v>970</v>
      </c>
    </row>
    <row r="234" spans="1:16">
      <c r="A234" s="2" t="s">
        <v>1399</v>
      </c>
      <c r="B234" s="2"/>
      <c r="C234" s="2" t="str">
        <f>IF(B234="","",VLOOKUP(B234,'Transacciones CHL'!$A$2:$B$14,2,FALSE))</f>
        <v/>
      </c>
      <c r="D234" s="2" t="str">
        <f>IF(B234="","",VLOOKUP(B234,'Transacciones CHL'!$A$2:$F$14,3,FALSE))</f>
        <v/>
      </c>
      <c r="E234" s="2" t="str">
        <f>IF(B234="","",VLOOKUP(B234,'Transacciones CHL'!$A$2:$F$14,4,FALSE))</f>
        <v/>
      </c>
      <c r="F234" s="2" t="str">
        <f>IF(B234="","",VLOOKUP(B234,'Transacciones CHL'!$A$2:$F$14,5,FALSE))</f>
        <v/>
      </c>
      <c r="G234" s="2" t="str">
        <f>IF(B234="","",VLOOKUP(B234,'Transacciones CHL'!$A$2:$F$14,6,FALSE))</f>
        <v/>
      </c>
      <c r="H234" s="2"/>
      <c r="I234" s="2"/>
      <c r="J234" s="2"/>
      <c r="K234" s="2"/>
      <c r="L234" s="2"/>
      <c r="M234" s="2"/>
      <c r="N234" s="2"/>
      <c r="O234" s="2"/>
      <c r="P234" s="2"/>
    </row>
    <row r="235" spans="1:16">
      <c r="A235" s="4" t="s">
        <v>1400</v>
      </c>
      <c r="B235" s="4"/>
      <c r="C235" s="4" t="str">
        <f>IF(B235="","",VLOOKUP(B235,'Transacciones CHL'!$A$2:$B$14,2,FALSE))</f>
        <v/>
      </c>
      <c r="D235" s="4" t="str">
        <f>IF(B235="","",VLOOKUP(B235,'Transacciones CHL'!$A$2:$F$14,3,FALSE))</f>
        <v/>
      </c>
      <c r="E235" s="4" t="str">
        <f>IF(B235="","",VLOOKUP(B235,'Transacciones CHL'!$A$2:$F$14,4,FALSE))</f>
        <v/>
      </c>
      <c r="F235" s="4" t="str">
        <f>IF(B235="","",VLOOKUP(B235,'Transacciones CHL'!$A$2:$F$14,5,FALSE))</f>
        <v/>
      </c>
      <c r="G235" s="4" t="str">
        <f>IF(B235="","",VLOOKUP(B235,'Transacciones CHL'!$A$2:$F$14,6,FALSE))</f>
        <v/>
      </c>
      <c r="H235" s="4"/>
      <c r="I235" s="4"/>
      <c r="J235" s="4"/>
      <c r="K235" s="4"/>
      <c r="L235" s="4"/>
      <c r="M235" s="4"/>
      <c r="N235" s="4"/>
      <c r="O235" s="4"/>
      <c r="P235" s="4"/>
    </row>
    <row r="236" spans="1:16">
      <c r="A236" s="4" t="s">
        <v>1401</v>
      </c>
      <c r="B236" s="4">
        <v>8</v>
      </c>
      <c r="C236" s="4" t="str">
        <f>IF(B236="","",VLOOKUP(B236,'Transacciones CHL'!$A$2:$B$14,2,FALSE))</f>
        <v>Consumo de hogares</v>
      </c>
      <c r="D236" s="4">
        <f>IF(B236="","",VLOOKUP(B236,'Transacciones CHL'!$A$2:$F$14,3,FALSE))</f>
        <v>7</v>
      </c>
      <c r="E236" s="4" t="str">
        <f>IF(B236="","",VLOOKUP(B236,'Transacciones CHL'!$A$2:$F$14,4,FALSE))</f>
        <v>Consumo de hogares</v>
      </c>
      <c r="F236" s="4">
        <f>IF(B236="","",VLOOKUP(B236,'Transacciones CHL'!$A$2:$F$14,5,FALSE))</f>
        <v>5</v>
      </c>
      <c r="G236" s="4" t="str">
        <f>IF(B236="","",VLOOKUP(B236,'Transacciones CHL'!$A$2:$F$14,6,FALSE))</f>
        <v>Consumo final</v>
      </c>
      <c r="H236" s="4"/>
      <c r="I236" s="4"/>
      <c r="J236" s="4"/>
      <c r="K236" s="4"/>
      <c r="L236" s="4"/>
      <c r="M236" s="4"/>
      <c r="N236" s="4"/>
      <c r="O236" s="4"/>
      <c r="P236" s="4"/>
    </row>
    <row r="237" spans="1:16">
      <c r="A237" s="4" t="s">
        <v>1407</v>
      </c>
      <c r="B237" s="4">
        <v>9</v>
      </c>
      <c r="C237" s="4" t="str">
        <f>IF(B237="","",VLOOKUP(B237,'Transacciones CHL'!$A$2:$B$14,2,FALSE))</f>
        <v>Consumo de IPSFL</v>
      </c>
      <c r="D237" s="4">
        <f>IF(B237="","",VLOOKUP(B237,'Transacciones CHL'!$A$2:$F$14,3,FALSE))</f>
        <v>8</v>
      </c>
      <c r="E237" s="4" t="str">
        <f>IF(B237="","",VLOOKUP(B237,'Transacciones CHL'!$A$2:$F$14,4,FALSE))</f>
        <v>Consumo de IPSFL</v>
      </c>
      <c r="F237" s="4">
        <f>IF(B237="","",VLOOKUP(B237,'Transacciones CHL'!$A$2:$F$14,5,FALSE))</f>
        <v>5</v>
      </c>
      <c r="G237" s="4" t="str">
        <f>IF(B237="","",VLOOKUP(B237,'Transacciones CHL'!$A$2:$F$14,6,FALSE))</f>
        <v>Consumo final</v>
      </c>
      <c r="H237" s="4"/>
      <c r="I237" s="4"/>
      <c r="J237" s="4"/>
      <c r="K237" s="4"/>
      <c r="L237" s="4"/>
      <c r="M237" s="4"/>
      <c r="N237" s="4"/>
      <c r="O237" s="4"/>
      <c r="P237" s="4"/>
    </row>
    <row r="238" spans="1:16">
      <c r="A238" s="4" t="s">
        <v>1411</v>
      </c>
      <c r="B238" s="4">
        <v>10</v>
      </c>
      <c r="C238" s="4" t="str">
        <f>IF(B238="","",VLOOKUP(B238,'Transacciones CHL'!$A$2:$B$14,2,FALSE))</f>
        <v>Consumo de gobierno</v>
      </c>
      <c r="D238" s="4">
        <f>IF(B238="","",VLOOKUP(B238,'Transacciones CHL'!$A$2:$F$14,3,FALSE))</f>
        <v>9</v>
      </c>
      <c r="E238" s="4" t="str">
        <f>IF(B238="","",VLOOKUP(B238,'Transacciones CHL'!$A$2:$F$14,4,FALSE))</f>
        <v>Consumo de gobierno</v>
      </c>
      <c r="F238" s="4">
        <f>IF(B238="","",VLOOKUP(B238,'Transacciones CHL'!$A$2:$F$14,5,FALSE))</f>
        <v>5</v>
      </c>
      <c r="G238" s="4" t="str">
        <f>IF(B238="","",VLOOKUP(B238,'Transacciones CHL'!$A$2:$F$14,6,FALSE))</f>
        <v>Consumo final</v>
      </c>
      <c r="H238" s="4"/>
      <c r="I238" s="4"/>
      <c r="J238" s="4"/>
      <c r="K238" s="4"/>
      <c r="L238" s="4"/>
      <c r="M238" s="4"/>
      <c r="N238" s="4"/>
      <c r="O238" s="4"/>
      <c r="P238" s="4"/>
    </row>
    <row r="239" spans="1:16">
      <c r="A239" s="4" t="s">
        <v>1414</v>
      </c>
      <c r="B239" s="4">
        <v>11</v>
      </c>
      <c r="C239" s="4" t="str">
        <f>IF(B239="","",VLOOKUP(B239,'Transacciones CHL'!$A$2:$B$14,2,FALSE))</f>
        <v>Formación  bruta de capital fijo</v>
      </c>
      <c r="D239" s="4">
        <f>IF(B239="","",VLOOKUP(B239,'Transacciones CHL'!$A$2:$F$14,3,FALSE))</f>
        <v>10</v>
      </c>
      <c r="E239" s="4" t="str">
        <f>IF(B239="","",VLOOKUP(B239,'Transacciones CHL'!$A$2:$F$14,4,FALSE))</f>
        <v>Formación  bruta de capital fijo</v>
      </c>
      <c r="F239" s="4">
        <f>IF(B239="","",VLOOKUP(B239,'Transacciones CHL'!$A$2:$F$14,5,FALSE))</f>
        <v>6</v>
      </c>
      <c r="G239" s="4" t="str">
        <f>IF(B239="","",VLOOKUP(B239,'Transacciones CHL'!$A$2:$F$14,6,FALSE))</f>
        <v>FBK / Variación existencias</v>
      </c>
      <c r="H239" s="4"/>
      <c r="I239" s="4"/>
      <c r="J239" s="4"/>
      <c r="K239" s="4"/>
      <c r="L239" s="4"/>
      <c r="M239" s="4"/>
      <c r="N239" s="4"/>
      <c r="O239" s="4"/>
      <c r="P239" s="4"/>
    </row>
    <row r="240" spans="1:16">
      <c r="A240" s="4" t="s">
        <v>1420</v>
      </c>
      <c r="B240" s="4">
        <v>12</v>
      </c>
      <c r="C240" s="4" t="str">
        <f>IF(B240="","",VLOOKUP(B240,'Transacciones CHL'!$A$2:$B$14,2,FALSE))</f>
        <v>Variación de existencias</v>
      </c>
      <c r="D240" s="4">
        <f>IF(B240="","",VLOOKUP(B240,'Transacciones CHL'!$A$2:$F$14,3,FALSE))</f>
        <v>11</v>
      </c>
      <c r="E240" s="4" t="str">
        <f>IF(B240="","",VLOOKUP(B240,'Transacciones CHL'!$A$2:$F$14,4,FALSE))</f>
        <v>Variación de existencias</v>
      </c>
      <c r="F240" s="4">
        <f>IF(B240="","",VLOOKUP(B240,'Transacciones CHL'!$A$2:$F$14,5,FALSE))</f>
        <v>6</v>
      </c>
      <c r="G240" s="4" t="str">
        <f>IF(B240="","",VLOOKUP(B240,'Transacciones CHL'!$A$2:$F$14,6,FALSE))</f>
        <v>FBK / Variación existencias</v>
      </c>
      <c r="H240" s="4"/>
      <c r="I240" s="4"/>
      <c r="J240" s="4"/>
      <c r="K240" s="4"/>
      <c r="L240" s="4"/>
      <c r="M240" s="4"/>
      <c r="N240" s="4"/>
      <c r="O240" s="4"/>
      <c r="P240" s="4"/>
    </row>
    <row r="241" spans="1:16">
      <c r="A241" s="4" t="s">
        <v>1423</v>
      </c>
      <c r="B241" s="4">
        <v>13</v>
      </c>
      <c r="C241" s="4" t="str">
        <f>IF(B241="","",VLOOKUP(B241,'Transacciones CHL'!$A$2:$B$14,2,FALSE))</f>
        <v>Exportaciones</v>
      </c>
      <c r="D241" s="4">
        <f>IF(B241="","",VLOOKUP(B241,'Transacciones CHL'!$A$2:$F$14,3,FALSE))</f>
        <v>2</v>
      </c>
      <c r="E241" s="4" t="str">
        <f>IF(B241="","",VLOOKUP(B241,'Transacciones CHL'!$A$2:$F$14,4,FALSE))</f>
        <v>Importaciones / Exportaciones</v>
      </c>
      <c r="F241" s="4">
        <f>IF(B241="","",VLOOKUP(B241,'Transacciones CHL'!$A$2:$F$14,5,FALSE))</f>
        <v>2</v>
      </c>
      <c r="G241" s="4" t="str">
        <f>IF(B241="","",VLOOKUP(B241,'Transacciones CHL'!$A$2:$F$14,6,FALSE))</f>
        <v>Importaciones / Exportaciones</v>
      </c>
      <c r="H241" s="4"/>
      <c r="I241" s="4"/>
      <c r="J241" s="4"/>
      <c r="K241" s="4"/>
      <c r="L241" s="4"/>
      <c r="M241" s="4"/>
      <c r="N241" s="4"/>
      <c r="O241" s="4"/>
      <c r="P241" s="4"/>
    </row>
    <row r="242" spans="1:16">
      <c r="A242" s="4" t="s">
        <v>1427</v>
      </c>
      <c r="B242" s="4"/>
      <c r="C242" s="4" t="str">
        <f>IF(B242="","",VLOOKUP(B242,'Transacciones CHL'!$A$2:$B$14,2,FALSE))</f>
        <v/>
      </c>
      <c r="D242" s="4" t="str">
        <f>IF(B242="","",VLOOKUP(B242,'Transacciones CHL'!$A$2:$F$14,3,FALSE))</f>
        <v/>
      </c>
      <c r="E242" s="4" t="str">
        <f>IF(B242="","",VLOOKUP(B242,'Transacciones CHL'!$A$2:$F$14,4,FALSE))</f>
        <v/>
      </c>
      <c r="F242" s="4" t="str">
        <f>IF(B242="","",VLOOKUP(B242,'Transacciones CHL'!$A$2:$F$14,5,FALSE))</f>
        <v/>
      </c>
      <c r="G242" s="4" t="str">
        <f>IF(B242="","",VLOOKUP(B242,'Transacciones CHL'!$A$2:$F$14,6,FALSE))</f>
        <v/>
      </c>
      <c r="H242" s="4"/>
      <c r="I242" s="4"/>
      <c r="J242" s="4"/>
      <c r="K242" s="4"/>
      <c r="L242" s="4"/>
      <c r="M242" s="4"/>
      <c r="N242" s="4"/>
      <c r="O242" s="4"/>
      <c r="P242" s="4"/>
    </row>
    <row r="243" spans="1:16">
      <c r="A243" s="4" t="s">
        <v>1428</v>
      </c>
      <c r="B243" s="4"/>
      <c r="C243" s="4" t="str">
        <f>IF(B243="","",VLOOKUP(B243,'Transacciones CHL'!$A$2:$B$14,2,FALSE))</f>
        <v/>
      </c>
      <c r="D243" s="4" t="str">
        <f>IF(B243="","",VLOOKUP(B243,'Transacciones CHL'!$A$2:$F$14,3,FALSE))</f>
        <v/>
      </c>
      <c r="E243" s="4" t="str">
        <f>IF(B243="","",VLOOKUP(B243,'Transacciones CHL'!$A$2:$F$14,4,FALSE))</f>
        <v/>
      </c>
      <c r="F243" s="4" t="str">
        <f>IF(B243="","",VLOOKUP(B243,'Transacciones CHL'!$A$2:$F$14,5,FALSE))</f>
        <v/>
      </c>
      <c r="G243" s="4" t="str">
        <f>IF(B243="","",VLOOKUP(B243,'Transacciones CHL'!$A$2:$F$14,6,FALSE))</f>
        <v/>
      </c>
      <c r="H243" s="4"/>
      <c r="I243" s="4"/>
      <c r="J243" s="4"/>
      <c r="K243" s="4"/>
      <c r="L243" s="4"/>
      <c r="M243" s="4"/>
      <c r="N243" s="4"/>
      <c r="O243" s="4"/>
      <c r="P243" s="4"/>
    </row>
    <row r="244" spans="1:16">
      <c r="A244" s="2" t="s">
        <v>1429</v>
      </c>
      <c r="B244" s="2">
        <v>1</v>
      </c>
      <c r="C244" s="2" t="str">
        <f>IF(B244="","",VLOOKUP(B244,'Transacciones CHL'!$A$2:$B$14,2,FALSE))</f>
        <v>Producción bruta precio básico</v>
      </c>
      <c r="D244" s="2">
        <f>IF(B244="","",VLOOKUP(B244,'Transacciones CHL'!$A$2:$F$14,3,FALSE))</f>
        <v>1</v>
      </c>
      <c r="E244" s="2" t="str">
        <f>IF(B244="","",VLOOKUP(B244,'Transacciones CHL'!$A$2:$F$14,4,FALSE))</f>
        <v>Producción / Consumo intermedio</v>
      </c>
      <c r="F244" s="2">
        <f>IF(B244="","",VLOOKUP(B244,'Transacciones CHL'!$A$2:$F$14,5,FALSE))</f>
        <v>1</v>
      </c>
      <c r="G244" s="2" t="str">
        <f>IF(B244="","",VLOOKUP(B244,'Transacciones CHL'!$A$2:$F$14,6,FALSE))</f>
        <v>Producción / Consumo intermedio</v>
      </c>
      <c r="H244" s="2" t="s">
        <v>965</v>
      </c>
      <c r="I244" s="2" t="s">
        <v>966</v>
      </c>
      <c r="J244" s="2" t="s">
        <v>967</v>
      </c>
      <c r="K244" s="2" t="s">
        <v>968</v>
      </c>
      <c r="L244" s="2" t="s">
        <v>969</v>
      </c>
      <c r="M244" s="2">
        <v>1</v>
      </c>
      <c r="N244" s="2" t="s">
        <v>14</v>
      </c>
      <c r="O244" s="15">
        <v>2</v>
      </c>
      <c r="P244" s="15" t="s">
        <v>970</v>
      </c>
    </row>
    <row r="245" spans="1:16">
      <c r="A245" s="2" t="s">
        <v>1430</v>
      </c>
      <c r="B245" s="2">
        <v>1</v>
      </c>
      <c r="C245" s="2" t="str">
        <f>IF(B245="","",VLOOKUP(B245,'Transacciones CHL'!$A$2:$B$14,2,FALSE))</f>
        <v>Producción bruta precio básico</v>
      </c>
      <c r="D245" s="2">
        <f>IF(B245="","",VLOOKUP(B245,'Transacciones CHL'!$A$2:$F$14,3,FALSE))</f>
        <v>1</v>
      </c>
      <c r="E245" s="2" t="str">
        <f>IF(B245="","",VLOOKUP(B245,'Transacciones CHL'!$A$2:$F$14,4,FALSE))</f>
        <v>Producción / Consumo intermedio</v>
      </c>
      <c r="F245" s="2">
        <f>IF(B245="","",VLOOKUP(B245,'Transacciones CHL'!$A$2:$F$14,5,FALSE))</f>
        <v>1</v>
      </c>
      <c r="G245" s="2" t="str">
        <f>IF(B245="","",VLOOKUP(B245,'Transacciones CHL'!$A$2:$F$14,6,FALSE))</f>
        <v>Producción / Consumo intermedio</v>
      </c>
      <c r="H245" s="2" t="s">
        <v>972</v>
      </c>
      <c r="I245" s="2" t="s">
        <v>966</v>
      </c>
      <c r="J245" s="2" t="s">
        <v>967</v>
      </c>
      <c r="K245" s="2" t="s">
        <v>968</v>
      </c>
      <c r="L245" s="2" t="s">
        <v>969</v>
      </c>
      <c r="M245" s="2">
        <v>1</v>
      </c>
      <c r="N245" s="2" t="s">
        <v>14</v>
      </c>
      <c r="O245" s="15">
        <v>2</v>
      </c>
      <c r="P245" s="15" t="s">
        <v>970</v>
      </c>
    </row>
    <row r="246" spans="1:16">
      <c r="A246" s="2" t="s">
        <v>1431</v>
      </c>
      <c r="B246" s="2">
        <v>1</v>
      </c>
      <c r="C246" s="2" t="str">
        <f>IF(B246="","",VLOOKUP(B246,'Transacciones CHL'!$A$2:$B$14,2,FALSE))</f>
        <v>Producción bruta precio básico</v>
      </c>
      <c r="D246" s="2">
        <f>IF(B246="","",VLOOKUP(B246,'Transacciones CHL'!$A$2:$F$14,3,FALSE))</f>
        <v>1</v>
      </c>
      <c r="E246" s="2" t="str">
        <f>IF(B246="","",VLOOKUP(B246,'Transacciones CHL'!$A$2:$F$14,4,FALSE))</f>
        <v>Producción / Consumo intermedio</v>
      </c>
      <c r="F246" s="2">
        <f>IF(B246="","",VLOOKUP(B246,'Transacciones CHL'!$A$2:$F$14,5,FALSE))</f>
        <v>1</v>
      </c>
      <c r="G246" s="2" t="str">
        <f>IF(B246="","",VLOOKUP(B246,'Transacciones CHL'!$A$2:$F$14,6,FALSE))</f>
        <v>Producción / Consumo intermedio</v>
      </c>
      <c r="H246" s="2" t="s">
        <v>974</v>
      </c>
      <c r="I246" s="2" t="s">
        <v>966</v>
      </c>
      <c r="J246" s="2" t="s">
        <v>967</v>
      </c>
      <c r="K246" s="2" t="s">
        <v>968</v>
      </c>
      <c r="L246" s="2" t="s">
        <v>969</v>
      </c>
      <c r="M246" s="2">
        <v>1</v>
      </c>
      <c r="N246" s="2" t="s">
        <v>14</v>
      </c>
      <c r="O246" s="15">
        <v>2</v>
      </c>
      <c r="P246" s="15" t="s">
        <v>970</v>
      </c>
    </row>
    <row r="247" spans="1:16">
      <c r="A247" s="2" t="s">
        <v>1432</v>
      </c>
      <c r="B247" s="2">
        <v>1</v>
      </c>
      <c r="C247" s="2" t="str">
        <f>IF(B247="","",VLOOKUP(B247,'Transacciones CHL'!$A$2:$B$14,2,FALSE))</f>
        <v>Producción bruta precio básico</v>
      </c>
      <c r="D247" s="2">
        <f>IF(B247="","",VLOOKUP(B247,'Transacciones CHL'!$A$2:$F$14,3,FALSE))</f>
        <v>1</v>
      </c>
      <c r="E247" s="2" t="str">
        <f>IF(B247="","",VLOOKUP(B247,'Transacciones CHL'!$A$2:$F$14,4,FALSE))</f>
        <v>Producción / Consumo intermedio</v>
      </c>
      <c r="F247" s="2">
        <f>IF(B247="","",VLOOKUP(B247,'Transacciones CHL'!$A$2:$F$14,5,FALSE))</f>
        <v>1</v>
      </c>
      <c r="G247" s="2" t="str">
        <f>IF(B247="","",VLOOKUP(B247,'Transacciones CHL'!$A$2:$F$14,6,FALSE))</f>
        <v>Producción / Consumo intermedio</v>
      </c>
      <c r="H247" s="2" t="s">
        <v>976</v>
      </c>
      <c r="I247" s="2" t="s">
        <v>966</v>
      </c>
      <c r="J247" s="2" t="s">
        <v>967</v>
      </c>
      <c r="K247" s="2" t="s">
        <v>968</v>
      </c>
      <c r="L247" s="2" t="s">
        <v>969</v>
      </c>
      <c r="M247" s="2">
        <v>1</v>
      </c>
      <c r="N247" s="2" t="s">
        <v>14</v>
      </c>
      <c r="O247" s="15">
        <v>2</v>
      </c>
      <c r="P247" s="15" t="s">
        <v>970</v>
      </c>
    </row>
    <row r="248" spans="1:16">
      <c r="A248" s="2" t="s">
        <v>1433</v>
      </c>
      <c r="B248" s="2">
        <v>1</v>
      </c>
      <c r="C248" s="2" t="str">
        <f>IF(B248="","",VLOOKUP(B248,'Transacciones CHL'!$A$2:$B$14,2,FALSE))</f>
        <v>Producción bruta precio básico</v>
      </c>
      <c r="D248" s="2">
        <f>IF(B248="","",VLOOKUP(B248,'Transacciones CHL'!$A$2:$F$14,3,FALSE))</f>
        <v>1</v>
      </c>
      <c r="E248" s="2" t="str">
        <f>IF(B248="","",VLOOKUP(B248,'Transacciones CHL'!$A$2:$F$14,4,FALSE))</f>
        <v>Producción / Consumo intermedio</v>
      </c>
      <c r="F248" s="2">
        <f>IF(B248="","",VLOOKUP(B248,'Transacciones CHL'!$A$2:$F$14,5,FALSE))</f>
        <v>1</v>
      </c>
      <c r="G248" s="2" t="str">
        <f>IF(B248="","",VLOOKUP(B248,'Transacciones CHL'!$A$2:$F$14,6,FALSE))</f>
        <v>Producción / Consumo intermedio</v>
      </c>
      <c r="H248" s="2" t="s">
        <v>978</v>
      </c>
      <c r="I248" s="2" t="s">
        <v>966</v>
      </c>
      <c r="J248" s="2" t="s">
        <v>967</v>
      </c>
      <c r="K248" s="2" t="s">
        <v>968</v>
      </c>
      <c r="L248" s="2" t="s">
        <v>969</v>
      </c>
      <c r="M248" s="2">
        <v>1</v>
      </c>
      <c r="N248" s="2" t="s">
        <v>14</v>
      </c>
      <c r="O248" s="15">
        <v>2</v>
      </c>
      <c r="P248" s="15" t="s">
        <v>970</v>
      </c>
    </row>
    <row r="249" spans="1:16">
      <c r="A249" s="2" t="s">
        <v>1434</v>
      </c>
      <c r="B249" s="2">
        <v>1</v>
      </c>
      <c r="C249" s="2" t="str">
        <f>IF(B249="","",VLOOKUP(B249,'Transacciones CHL'!$A$2:$B$14,2,FALSE))</f>
        <v>Producción bruta precio básico</v>
      </c>
      <c r="D249" s="2">
        <f>IF(B249="","",VLOOKUP(B249,'Transacciones CHL'!$A$2:$F$14,3,FALSE))</f>
        <v>1</v>
      </c>
      <c r="E249" s="2" t="str">
        <f>IF(B249="","",VLOOKUP(B249,'Transacciones CHL'!$A$2:$F$14,4,FALSE))</f>
        <v>Producción / Consumo intermedio</v>
      </c>
      <c r="F249" s="2">
        <f>IF(B249="","",VLOOKUP(B249,'Transacciones CHL'!$A$2:$F$14,5,FALSE))</f>
        <v>1</v>
      </c>
      <c r="G249" s="2" t="str">
        <f>IF(B249="","",VLOOKUP(B249,'Transacciones CHL'!$A$2:$F$14,6,FALSE))</f>
        <v>Producción / Consumo intermedio</v>
      </c>
      <c r="H249" s="2" t="s">
        <v>980</v>
      </c>
      <c r="I249" s="2" t="s">
        <v>966</v>
      </c>
      <c r="J249" s="2" t="s">
        <v>967</v>
      </c>
      <c r="K249" s="2" t="s">
        <v>968</v>
      </c>
      <c r="L249" s="2" t="s">
        <v>969</v>
      </c>
      <c r="M249" s="2">
        <v>1</v>
      </c>
      <c r="N249" s="2" t="s">
        <v>14</v>
      </c>
      <c r="O249" s="15">
        <v>2</v>
      </c>
      <c r="P249" s="15" t="s">
        <v>970</v>
      </c>
    </row>
    <row r="250" spans="1:16">
      <c r="A250" s="2" t="s">
        <v>1435</v>
      </c>
      <c r="B250" s="2">
        <v>1</v>
      </c>
      <c r="C250" s="2" t="str">
        <f>IF(B250="","",VLOOKUP(B250,'Transacciones CHL'!$A$2:$B$14,2,FALSE))</f>
        <v>Producción bruta precio básico</v>
      </c>
      <c r="D250" s="2">
        <f>IF(B250="","",VLOOKUP(B250,'Transacciones CHL'!$A$2:$F$14,3,FALSE))</f>
        <v>1</v>
      </c>
      <c r="E250" s="2" t="str">
        <f>IF(B250="","",VLOOKUP(B250,'Transacciones CHL'!$A$2:$F$14,4,FALSE))</f>
        <v>Producción / Consumo intermedio</v>
      </c>
      <c r="F250" s="2">
        <f>IF(B250="","",VLOOKUP(B250,'Transacciones CHL'!$A$2:$F$14,5,FALSE))</f>
        <v>1</v>
      </c>
      <c r="G250" s="2" t="str">
        <f>IF(B250="","",VLOOKUP(B250,'Transacciones CHL'!$A$2:$F$14,6,FALSE))</f>
        <v>Producción / Consumo intermedio</v>
      </c>
      <c r="H250" s="2" t="s">
        <v>982</v>
      </c>
      <c r="I250" s="2" t="s">
        <v>966</v>
      </c>
      <c r="J250" s="2" t="s">
        <v>967</v>
      </c>
      <c r="K250" s="2" t="s">
        <v>968</v>
      </c>
      <c r="L250" s="2" t="s">
        <v>969</v>
      </c>
      <c r="M250" s="2">
        <v>1</v>
      </c>
      <c r="N250" s="2" t="s">
        <v>14</v>
      </c>
      <c r="O250" s="15">
        <v>2</v>
      </c>
      <c r="P250" s="15" t="s">
        <v>970</v>
      </c>
    </row>
    <row r="251" spans="1:16">
      <c r="A251" s="2" t="s">
        <v>1436</v>
      </c>
      <c r="B251" s="2">
        <v>1</v>
      </c>
      <c r="C251" s="2" t="str">
        <f>IF(B251="","",VLOOKUP(B251,'Transacciones CHL'!$A$2:$B$14,2,FALSE))</f>
        <v>Producción bruta precio básico</v>
      </c>
      <c r="D251" s="2">
        <f>IF(B251="","",VLOOKUP(B251,'Transacciones CHL'!$A$2:$F$14,3,FALSE))</f>
        <v>1</v>
      </c>
      <c r="E251" s="2" t="str">
        <f>IF(B251="","",VLOOKUP(B251,'Transacciones CHL'!$A$2:$F$14,4,FALSE))</f>
        <v>Producción / Consumo intermedio</v>
      </c>
      <c r="F251" s="2">
        <f>IF(B251="","",VLOOKUP(B251,'Transacciones CHL'!$A$2:$F$14,5,FALSE))</f>
        <v>1</v>
      </c>
      <c r="G251" s="2" t="str">
        <f>IF(B251="","",VLOOKUP(B251,'Transacciones CHL'!$A$2:$F$14,6,FALSE))</f>
        <v>Producción / Consumo intermedio</v>
      </c>
      <c r="H251" s="2" t="s">
        <v>984</v>
      </c>
      <c r="I251" s="2" t="s">
        <v>966</v>
      </c>
      <c r="J251" s="2" t="s">
        <v>967</v>
      </c>
      <c r="K251" s="2" t="s">
        <v>968</v>
      </c>
      <c r="L251" s="2" t="s">
        <v>969</v>
      </c>
      <c r="M251" s="2">
        <v>1</v>
      </c>
      <c r="N251" s="2" t="s">
        <v>14</v>
      </c>
      <c r="O251" s="15">
        <v>2</v>
      </c>
      <c r="P251" s="15" t="s">
        <v>970</v>
      </c>
    </row>
    <row r="252" spans="1:16">
      <c r="A252" s="2" t="s">
        <v>1437</v>
      </c>
      <c r="B252" s="2">
        <v>1</v>
      </c>
      <c r="C252" s="2" t="str">
        <f>IF(B252="","",VLOOKUP(B252,'Transacciones CHL'!$A$2:$B$14,2,FALSE))</f>
        <v>Producción bruta precio básico</v>
      </c>
      <c r="D252" s="2">
        <f>IF(B252="","",VLOOKUP(B252,'Transacciones CHL'!$A$2:$F$14,3,FALSE))</f>
        <v>1</v>
      </c>
      <c r="E252" s="2" t="str">
        <f>IF(B252="","",VLOOKUP(B252,'Transacciones CHL'!$A$2:$F$14,4,FALSE))</f>
        <v>Producción / Consumo intermedio</v>
      </c>
      <c r="F252" s="2">
        <f>IF(B252="","",VLOOKUP(B252,'Transacciones CHL'!$A$2:$F$14,5,FALSE))</f>
        <v>1</v>
      </c>
      <c r="G252" s="2" t="str">
        <f>IF(B252="","",VLOOKUP(B252,'Transacciones CHL'!$A$2:$F$14,6,FALSE))</f>
        <v>Producción / Consumo intermedio</v>
      </c>
      <c r="H252" s="2" t="s">
        <v>986</v>
      </c>
      <c r="I252" s="2" t="s">
        <v>966</v>
      </c>
      <c r="J252" s="2" t="s">
        <v>967</v>
      </c>
      <c r="K252" s="2" t="s">
        <v>968</v>
      </c>
      <c r="L252" s="2" t="s">
        <v>969</v>
      </c>
      <c r="M252" s="2">
        <v>1</v>
      </c>
      <c r="N252" s="2" t="s">
        <v>14</v>
      </c>
      <c r="O252" s="15">
        <v>2</v>
      </c>
      <c r="P252" s="15" t="s">
        <v>970</v>
      </c>
    </row>
    <row r="253" spans="1:16">
      <c r="A253" s="2" t="s">
        <v>1438</v>
      </c>
      <c r="B253" s="2">
        <v>1</v>
      </c>
      <c r="C253" s="2" t="str">
        <f>IF(B253="","",VLOOKUP(B253,'Transacciones CHL'!$A$2:$B$14,2,FALSE))</f>
        <v>Producción bruta precio básico</v>
      </c>
      <c r="D253" s="2">
        <f>IF(B253="","",VLOOKUP(B253,'Transacciones CHL'!$A$2:$F$14,3,FALSE))</f>
        <v>1</v>
      </c>
      <c r="E253" s="2" t="str">
        <f>IF(B253="","",VLOOKUP(B253,'Transacciones CHL'!$A$2:$F$14,4,FALSE))</f>
        <v>Producción / Consumo intermedio</v>
      </c>
      <c r="F253" s="2">
        <f>IF(B253="","",VLOOKUP(B253,'Transacciones CHL'!$A$2:$F$14,5,FALSE))</f>
        <v>1</v>
      </c>
      <c r="G253" s="2" t="str">
        <f>IF(B253="","",VLOOKUP(B253,'Transacciones CHL'!$A$2:$F$14,6,FALSE))</f>
        <v>Producción / Consumo intermedio</v>
      </c>
      <c r="H253" s="2" t="s">
        <v>988</v>
      </c>
      <c r="I253" s="2" t="s">
        <v>966</v>
      </c>
      <c r="J253" s="2" t="s">
        <v>967</v>
      </c>
      <c r="K253" s="2" t="s">
        <v>968</v>
      </c>
      <c r="L253" s="2" t="s">
        <v>969</v>
      </c>
      <c r="M253" s="2">
        <v>1</v>
      </c>
      <c r="N253" s="2" t="s">
        <v>14</v>
      </c>
      <c r="O253" s="15">
        <v>2</v>
      </c>
      <c r="P253" s="15" t="s">
        <v>970</v>
      </c>
    </row>
    <row r="254" spans="1:16">
      <c r="A254" s="2" t="s">
        <v>1439</v>
      </c>
      <c r="B254" s="2">
        <v>1</v>
      </c>
      <c r="C254" s="2" t="str">
        <f>IF(B254="","",VLOOKUP(B254,'Transacciones CHL'!$A$2:$B$14,2,FALSE))</f>
        <v>Producción bruta precio básico</v>
      </c>
      <c r="D254" s="2">
        <f>IF(B254="","",VLOOKUP(B254,'Transacciones CHL'!$A$2:$F$14,3,FALSE))</f>
        <v>1</v>
      </c>
      <c r="E254" s="2" t="str">
        <f>IF(B254="","",VLOOKUP(B254,'Transacciones CHL'!$A$2:$F$14,4,FALSE))</f>
        <v>Producción / Consumo intermedio</v>
      </c>
      <c r="F254" s="2">
        <f>IF(B254="","",VLOOKUP(B254,'Transacciones CHL'!$A$2:$F$14,5,FALSE))</f>
        <v>1</v>
      </c>
      <c r="G254" s="2" t="str">
        <f>IF(B254="","",VLOOKUP(B254,'Transacciones CHL'!$A$2:$F$14,6,FALSE))</f>
        <v>Producción / Consumo intermedio</v>
      </c>
      <c r="H254" s="2" t="s">
        <v>990</v>
      </c>
      <c r="I254" s="2" t="s">
        <v>966</v>
      </c>
      <c r="J254" s="2" t="s">
        <v>967</v>
      </c>
      <c r="K254" s="2" t="s">
        <v>968</v>
      </c>
      <c r="L254" s="2" t="s">
        <v>969</v>
      </c>
      <c r="M254" s="2">
        <v>1</v>
      </c>
      <c r="N254" s="2" t="s">
        <v>14</v>
      </c>
      <c r="O254" s="15">
        <v>2</v>
      </c>
      <c r="P254" s="15" t="s">
        <v>970</v>
      </c>
    </row>
    <row r="255" spans="1:16">
      <c r="A255" s="2" t="s">
        <v>1440</v>
      </c>
      <c r="B255" s="2">
        <v>1</v>
      </c>
      <c r="C255" s="2" t="str">
        <f>IF(B255="","",VLOOKUP(B255,'Transacciones CHL'!$A$2:$B$14,2,FALSE))</f>
        <v>Producción bruta precio básico</v>
      </c>
      <c r="D255" s="2">
        <f>IF(B255="","",VLOOKUP(B255,'Transacciones CHL'!$A$2:$F$14,3,FALSE))</f>
        <v>1</v>
      </c>
      <c r="E255" s="2" t="str">
        <f>IF(B255="","",VLOOKUP(B255,'Transacciones CHL'!$A$2:$F$14,4,FALSE))</f>
        <v>Producción / Consumo intermedio</v>
      </c>
      <c r="F255" s="2">
        <f>IF(B255="","",VLOOKUP(B255,'Transacciones CHL'!$A$2:$F$14,5,FALSE))</f>
        <v>1</v>
      </c>
      <c r="G255" s="2" t="str">
        <f>IF(B255="","",VLOOKUP(B255,'Transacciones CHL'!$A$2:$F$14,6,FALSE))</f>
        <v>Producción / Consumo intermedio</v>
      </c>
      <c r="H255" s="2" t="s">
        <v>992</v>
      </c>
      <c r="I255" s="2" t="s">
        <v>966</v>
      </c>
      <c r="J255" s="2" t="s">
        <v>967</v>
      </c>
      <c r="K255" s="2" t="s">
        <v>968</v>
      </c>
      <c r="L255" s="2" t="s">
        <v>969</v>
      </c>
      <c r="M255" s="2">
        <v>1</v>
      </c>
      <c r="N255" s="2" t="s">
        <v>14</v>
      </c>
      <c r="O255" s="15">
        <v>2</v>
      </c>
      <c r="P255" s="15" t="s">
        <v>970</v>
      </c>
    </row>
    <row r="256" spans="1:16">
      <c r="A256" s="2" t="s">
        <v>1441</v>
      </c>
      <c r="B256" s="2">
        <v>1</v>
      </c>
      <c r="C256" s="2" t="str">
        <f>IF(B256="","",VLOOKUP(B256,'Transacciones CHL'!$A$2:$B$14,2,FALSE))</f>
        <v>Producción bruta precio básico</v>
      </c>
      <c r="D256" s="2">
        <f>IF(B256="","",VLOOKUP(B256,'Transacciones CHL'!$A$2:$F$14,3,FALSE))</f>
        <v>1</v>
      </c>
      <c r="E256" s="2" t="str">
        <f>IF(B256="","",VLOOKUP(B256,'Transacciones CHL'!$A$2:$F$14,4,FALSE))</f>
        <v>Producción / Consumo intermedio</v>
      </c>
      <c r="F256" s="2">
        <f>IF(B256="","",VLOOKUP(B256,'Transacciones CHL'!$A$2:$F$14,5,FALSE))</f>
        <v>1</v>
      </c>
      <c r="G256" s="2" t="str">
        <f>IF(B256="","",VLOOKUP(B256,'Transacciones CHL'!$A$2:$F$14,6,FALSE))</f>
        <v>Producción / Consumo intermedio</v>
      </c>
      <c r="H256" s="2" t="s">
        <v>994</v>
      </c>
      <c r="I256" s="2" t="s">
        <v>995</v>
      </c>
      <c r="J256" s="2" t="s">
        <v>996</v>
      </c>
      <c r="K256" s="2" t="s">
        <v>997</v>
      </c>
      <c r="L256" s="2" t="s">
        <v>998</v>
      </c>
      <c r="M256" s="2">
        <v>3</v>
      </c>
      <c r="N256" s="2" t="s">
        <v>67</v>
      </c>
      <c r="O256" s="15">
        <v>2</v>
      </c>
      <c r="P256" s="15" t="s">
        <v>970</v>
      </c>
    </row>
    <row r="257" spans="1:16">
      <c r="A257" s="2" t="s">
        <v>1442</v>
      </c>
      <c r="B257" s="2">
        <v>1</v>
      </c>
      <c r="C257" s="2" t="str">
        <f>IF(B257="","",VLOOKUP(B257,'Transacciones CHL'!$A$2:$B$14,2,FALSE))</f>
        <v>Producción bruta precio básico</v>
      </c>
      <c r="D257" s="2">
        <f>IF(B257="","",VLOOKUP(B257,'Transacciones CHL'!$A$2:$F$14,3,FALSE))</f>
        <v>1</v>
      </c>
      <c r="E257" s="2" t="str">
        <f>IF(B257="","",VLOOKUP(B257,'Transacciones CHL'!$A$2:$F$14,4,FALSE))</f>
        <v>Producción / Consumo intermedio</v>
      </c>
      <c r="F257" s="2">
        <f>IF(B257="","",VLOOKUP(B257,'Transacciones CHL'!$A$2:$F$14,5,FALSE))</f>
        <v>1</v>
      </c>
      <c r="G257" s="2" t="str">
        <f>IF(B257="","",VLOOKUP(B257,'Transacciones CHL'!$A$2:$F$14,6,FALSE))</f>
        <v>Producción / Consumo intermedio</v>
      </c>
      <c r="H257" s="2" t="s">
        <v>1000</v>
      </c>
      <c r="I257" s="2" t="s">
        <v>995</v>
      </c>
      <c r="J257" s="2" t="s">
        <v>996</v>
      </c>
      <c r="K257" s="2" t="s">
        <v>997</v>
      </c>
      <c r="L257" s="2" t="s">
        <v>998</v>
      </c>
      <c r="M257" s="2">
        <v>3</v>
      </c>
      <c r="N257" s="2" t="s">
        <v>67</v>
      </c>
      <c r="O257" s="15">
        <v>2</v>
      </c>
      <c r="P257" s="15" t="s">
        <v>970</v>
      </c>
    </row>
    <row r="258" spans="1:16">
      <c r="A258" s="2" t="s">
        <v>1443</v>
      </c>
      <c r="B258" s="2">
        <v>1</v>
      </c>
      <c r="C258" s="2" t="str">
        <f>IF(B258="","",VLOOKUP(B258,'Transacciones CHL'!$A$2:$B$14,2,FALSE))</f>
        <v>Producción bruta precio básico</v>
      </c>
      <c r="D258" s="2">
        <f>IF(B258="","",VLOOKUP(B258,'Transacciones CHL'!$A$2:$F$14,3,FALSE))</f>
        <v>1</v>
      </c>
      <c r="E258" s="2" t="str">
        <f>IF(B258="","",VLOOKUP(B258,'Transacciones CHL'!$A$2:$F$14,4,FALSE))</f>
        <v>Producción / Consumo intermedio</v>
      </c>
      <c r="F258" s="2">
        <f>IF(B258="","",VLOOKUP(B258,'Transacciones CHL'!$A$2:$F$14,5,FALSE))</f>
        <v>1</v>
      </c>
      <c r="G258" s="2" t="str">
        <f>IF(B258="","",VLOOKUP(B258,'Transacciones CHL'!$A$2:$F$14,6,FALSE))</f>
        <v>Producción / Consumo intermedio</v>
      </c>
      <c r="H258" s="2" t="s">
        <v>1002</v>
      </c>
      <c r="I258" s="2" t="s">
        <v>995</v>
      </c>
      <c r="J258" s="2" t="s">
        <v>996</v>
      </c>
      <c r="K258" s="2" t="s">
        <v>997</v>
      </c>
      <c r="L258" s="2" t="s">
        <v>998</v>
      </c>
      <c r="M258" s="2">
        <v>3</v>
      </c>
      <c r="N258" s="2" t="s">
        <v>67</v>
      </c>
      <c r="O258" s="15">
        <v>2</v>
      </c>
      <c r="P258" s="15" t="s">
        <v>970</v>
      </c>
    </row>
    <row r="259" spans="1:16">
      <c r="A259" s="2" t="s">
        <v>1444</v>
      </c>
      <c r="B259" s="2">
        <v>1</v>
      </c>
      <c r="C259" s="2" t="str">
        <f>IF(B259="","",VLOOKUP(B259,'Transacciones CHL'!$A$2:$B$14,2,FALSE))</f>
        <v>Producción bruta precio básico</v>
      </c>
      <c r="D259" s="2">
        <f>IF(B259="","",VLOOKUP(B259,'Transacciones CHL'!$A$2:$F$14,3,FALSE))</f>
        <v>1</v>
      </c>
      <c r="E259" s="2" t="str">
        <f>IF(B259="","",VLOOKUP(B259,'Transacciones CHL'!$A$2:$F$14,4,FALSE))</f>
        <v>Producción / Consumo intermedio</v>
      </c>
      <c r="F259" s="2">
        <f>IF(B259="","",VLOOKUP(B259,'Transacciones CHL'!$A$2:$F$14,5,FALSE))</f>
        <v>1</v>
      </c>
      <c r="G259" s="2" t="str">
        <f>IF(B259="","",VLOOKUP(B259,'Transacciones CHL'!$A$2:$F$14,6,FALSE))</f>
        <v>Producción / Consumo intermedio</v>
      </c>
      <c r="H259" s="2" t="s">
        <v>1004</v>
      </c>
      <c r="I259" s="2" t="s">
        <v>995</v>
      </c>
      <c r="J259" s="2" t="s">
        <v>996</v>
      </c>
      <c r="K259" s="2" t="s">
        <v>997</v>
      </c>
      <c r="L259" s="2" t="s">
        <v>998</v>
      </c>
      <c r="M259" s="2">
        <v>3</v>
      </c>
      <c r="N259" s="2" t="s">
        <v>67</v>
      </c>
      <c r="O259" s="15">
        <v>2</v>
      </c>
      <c r="P259" s="15" t="s">
        <v>970</v>
      </c>
    </row>
    <row r="260" spans="1:16">
      <c r="A260" s="2" t="s">
        <v>1445</v>
      </c>
      <c r="B260" s="2">
        <v>1</v>
      </c>
      <c r="C260" s="2" t="str">
        <f>IF(B260="","",VLOOKUP(B260,'Transacciones CHL'!$A$2:$B$14,2,FALSE))</f>
        <v>Producción bruta precio básico</v>
      </c>
      <c r="D260" s="2">
        <f>IF(B260="","",VLOOKUP(B260,'Transacciones CHL'!$A$2:$F$14,3,FALSE))</f>
        <v>1</v>
      </c>
      <c r="E260" s="2" t="str">
        <f>IF(B260="","",VLOOKUP(B260,'Transacciones CHL'!$A$2:$F$14,4,FALSE))</f>
        <v>Producción / Consumo intermedio</v>
      </c>
      <c r="F260" s="2">
        <f>IF(B260="","",VLOOKUP(B260,'Transacciones CHL'!$A$2:$F$14,5,FALSE))</f>
        <v>1</v>
      </c>
      <c r="G260" s="2" t="str">
        <f>IF(B260="","",VLOOKUP(B260,'Transacciones CHL'!$A$2:$F$14,6,FALSE))</f>
        <v>Producción / Consumo intermedio</v>
      </c>
      <c r="H260" s="2" t="s">
        <v>1006</v>
      </c>
      <c r="I260" s="2" t="s">
        <v>995</v>
      </c>
      <c r="J260" s="2" t="s">
        <v>996</v>
      </c>
      <c r="K260" s="2" t="s">
        <v>997</v>
      </c>
      <c r="L260" s="2" t="s">
        <v>998</v>
      </c>
      <c r="M260" s="2">
        <v>3</v>
      </c>
      <c r="N260" s="2" t="s">
        <v>67</v>
      </c>
      <c r="O260" s="15">
        <v>2</v>
      </c>
      <c r="P260" s="15" t="s">
        <v>970</v>
      </c>
    </row>
    <row r="261" spans="1:16">
      <c r="A261" s="2" t="s">
        <v>1446</v>
      </c>
      <c r="B261" s="2">
        <v>1</v>
      </c>
      <c r="C261" s="2" t="str">
        <f>IF(B261="","",VLOOKUP(B261,'Transacciones CHL'!$A$2:$B$14,2,FALSE))</f>
        <v>Producción bruta precio básico</v>
      </c>
      <c r="D261" s="2">
        <f>IF(B261="","",VLOOKUP(B261,'Transacciones CHL'!$A$2:$F$14,3,FALSE))</f>
        <v>1</v>
      </c>
      <c r="E261" s="2" t="str">
        <f>IF(B261="","",VLOOKUP(B261,'Transacciones CHL'!$A$2:$F$14,4,FALSE))</f>
        <v>Producción / Consumo intermedio</v>
      </c>
      <c r="F261" s="2">
        <f>IF(B261="","",VLOOKUP(B261,'Transacciones CHL'!$A$2:$F$14,5,FALSE))</f>
        <v>1</v>
      </c>
      <c r="G261" s="2" t="str">
        <f>IF(B261="","",VLOOKUP(B261,'Transacciones CHL'!$A$2:$F$14,6,FALSE))</f>
        <v>Producción / Consumo intermedio</v>
      </c>
      <c r="H261" s="2" t="s">
        <v>1008</v>
      </c>
      <c r="I261" s="2" t="s">
        <v>995</v>
      </c>
      <c r="J261" s="2" t="s">
        <v>996</v>
      </c>
      <c r="K261" s="2" t="s">
        <v>997</v>
      </c>
      <c r="L261" s="2" t="s">
        <v>998</v>
      </c>
      <c r="M261" s="2">
        <v>3</v>
      </c>
      <c r="N261" s="2" t="s">
        <v>67</v>
      </c>
      <c r="O261" s="15">
        <v>2</v>
      </c>
      <c r="P261" s="15" t="s">
        <v>970</v>
      </c>
    </row>
    <row r="262" spans="1:16">
      <c r="A262" s="2" t="s">
        <v>1447</v>
      </c>
      <c r="B262" s="2">
        <v>1</v>
      </c>
      <c r="C262" s="2" t="str">
        <f>IF(B262="","",VLOOKUP(B262,'Transacciones CHL'!$A$2:$B$14,2,FALSE))</f>
        <v>Producción bruta precio básico</v>
      </c>
      <c r="D262" s="2">
        <f>IF(B262="","",VLOOKUP(B262,'Transacciones CHL'!$A$2:$F$14,3,FALSE))</f>
        <v>1</v>
      </c>
      <c r="E262" s="2" t="str">
        <f>IF(B262="","",VLOOKUP(B262,'Transacciones CHL'!$A$2:$F$14,4,FALSE))</f>
        <v>Producción / Consumo intermedio</v>
      </c>
      <c r="F262" s="2">
        <f>IF(B262="","",VLOOKUP(B262,'Transacciones CHL'!$A$2:$F$14,5,FALSE))</f>
        <v>1</v>
      </c>
      <c r="G262" s="2" t="str">
        <f>IF(B262="","",VLOOKUP(B262,'Transacciones CHL'!$A$2:$F$14,6,FALSE))</f>
        <v>Producción / Consumo intermedio</v>
      </c>
      <c r="H262" s="2" t="s">
        <v>1010</v>
      </c>
      <c r="I262" s="2" t="s">
        <v>1011</v>
      </c>
      <c r="J262" s="2" t="s">
        <v>1012</v>
      </c>
      <c r="K262" s="2" t="s">
        <v>1013</v>
      </c>
      <c r="L262" s="2" t="s">
        <v>1014</v>
      </c>
      <c r="M262" s="2">
        <v>1</v>
      </c>
      <c r="N262" s="2" t="s">
        <v>14</v>
      </c>
      <c r="O262" s="15">
        <v>2</v>
      </c>
      <c r="P262" s="15" t="s">
        <v>970</v>
      </c>
    </row>
    <row r="263" spans="1:16">
      <c r="A263" s="2" t="s">
        <v>1448</v>
      </c>
      <c r="B263" s="2">
        <v>1</v>
      </c>
      <c r="C263" s="2" t="str">
        <f>IF(B263="","",VLOOKUP(B263,'Transacciones CHL'!$A$2:$B$14,2,FALSE))</f>
        <v>Producción bruta precio básico</v>
      </c>
      <c r="D263" s="2">
        <f>IF(B263="","",VLOOKUP(B263,'Transacciones CHL'!$A$2:$F$14,3,FALSE))</f>
        <v>1</v>
      </c>
      <c r="E263" s="2" t="str">
        <f>IF(B263="","",VLOOKUP(B263,'Transacciones CHL'!$A$2:$F$14,4,FALSE))</f>
        <v>Producción / Consumo intermedio</v>
      </c>
      <c r="F263" s="2">
        <f>IF(B263="","",VLOOKUP(B263,'Transacciones CHL'!$A$2:$F$14,5,FALSE))</f>
        <v>1</v>
      </c>
      <c r="G263" s="2" t="str">
        <f>IF(B263="","",VLOOKUP(B263,'Transacciones CHL'!$A$2:$F$14,6,FALSE))</f>
        <v>Producción / Consumo intermedio</v>
      </c>
      <c r="H263" s="2" t="s">
        <v>1016</v>
      </c>
      <c r="I263" s="2" t="s">
        <v>1011</v>
      </c>
      <c r="J263" s="2" t="s">
        <v>1012</v>
      </c>
      <c r="K263" s="2" t="s">
        <v>1013</v>
      </c>
      <c r="L263" s="2" t="s">
        <v>1014</v>
      </c>
      <c r="M263" s="2">
        <v>1</v>
      </c>
      <c r="N263" s="2" t="s">
        <v>14</v>
      </c>
      <c r="O263" s="15">
        <v>2</v>
      </c>
      <c r="P263" s="15" t="s">
        <v>970</v>
      </c>
    </row>
    <row r="264" spans="1:16">
      <c r="A264" s="2" t="s">
        <v>1449</v>
      </c>
      <c r="B264" s="2">
        <v>1</v>
      </c>
      <c r="C264" s="2" t="str">
        <f>IF(B264="","",VLOOKUP(B264,'Transacciones CHL'!$A$2:$B$14,2,FALSE))</f>
        <v>Producción bruta precio básico</v>
      </c>
      <c r="D264" s="2">
        <f>IF(B264="","",VLOOKUP(B264,'Transacciones CHL'!$A$2:$F$14,3,FALSE))</f>
        <v>1</v>
      </c>
      <c r="E264" s="2" t="str">
        <f>IF(B264="","",VLOOKUP(B264,'Transacciones CHL'!$A$2:$F$14,4,FALSE))</f>
        <v>Producción / Consumo intermedio</v>
      </c>
      <c r="F264" s="2">
        <f>IF(B264="","",VLOOKUP(B264,'Transacciones CHL'!$A$2:$F$14,5,FALSE))</f>
        <v>1</v>
      </c>
      <c r="G264" s="2" t="str">
        <f>IF(B264="","",VLOOKUP(B264,'Transacciones CHL'!$A$2:$F$14,6,FALSE))</f>
        <v>Producción / Consumo intermedio</v>
      </c>
      <c r="H264" s="2" t="s">
        <v>1018</v>
      </c>
      <c r="I264" s="2" t="s">
        <v>1011</v>
      </c>
      <c r="J264" s="2" t="s">
        <v>1012</v>
      </c>
      <c r="K264" s="2" t="s">
        <v>1013</v>
      </c>
      <c r="L264" s="2" t="s">
        <v>1014</v>
      </c>
      <c r="M264" s="2">
        <v>1</v>
      </c>
      <c r="N264" s="2" t="s">
        <v>14</v>
      </c>
      <c r="O264" s="15">
        <v>2</v>
      </c>
      <c r="P264" s="15" t="s">
        <v>970</v>
      </c>
    </row>
    <row r="265" spans="1:16">
      <c r="A265" s="2" t="s">
        <v>1450</v>
      </c>
      <c r="B265" s="2">
        <v>1</v>
      </c>
      <c r="C265" s="2" t="str">
        <f>IF(B265="","",VLOOKUP(B265,'Transacciones CHL'!$A$2:$B$14,2,FALSE))</f>
        <v>Producción bruta precio básico</v>
      </c>
      <c r="D265" s="2">
        <f>IF(B265="","",VLOOKUP(B265,'Transacciones CHL'!$A$2:$F$14,3,FALSE))</f>
        <v>1</v>
      </c>
      <c r="E265" s="2" t="str">
        <f>IF(B265="","",VLOOKUP(B265,'Transacciones CHL'!$A$2:$F$14,4,FALSE))</f>
        <v>Producción / Consumo intermedio</v>
      </c>
      <c r="F265" s="2">
        <f>IF(B265="","",VLOOKUP(B265,'Transacciones CHL'!$A$2:$F$14,5,FALSE))</f>
        <v>1</v>
      </c>
      <c r="G265" s="2" t="str">
        <f>IF(B265="","",VLOOKUP(B265,'Transacciones CHL'!$A$2:$F$14,6,FALSE))</f>
        <v>Producción / Consumo intermedio</v>
      </c>
      <c r="H265" s="2" t="s">
        <v>1020</v>
      </c>
      <c r="I265" s="2" t="s">
        <v>1011</v>
      </c>
      <c r="J265" s="2" t="s">
        <v>1012</v>
      </c>
      <c r="K265" s="2" t="s">
        <v>1013</v>
      </c>
      <c r="L265" s="2" t="s">
        <v>1014</v>
      </c>
      <c r="M265" s="2">
        <v>1</v>
      </c>
      <c r="N265" s="2" t="s">
        <v>14</v>
      </c>
      <c r="O265" s="15">
        <v>2</v>
      </c>
      <c r="P265" s="15" t="s">
        <v>970</v>
      </c>
    </row>
    <row r="266" spans="1:16">
      <c r="A266" s="2" t="s">
        <v>1451</v>
      </c>
      <c r="B266" s="2">
        <v>1</v>
      </c>
      <c r="C266" s="2" t="str">
        <f>IF(B266="","",VLOOKUP(B266,'Transacciones CHL'!$A$2:$B$14,2,FALSE))</f>
        <v>Producción bruta precio básico</v>
      </c>
      <c r="D266" s="2">
        <f>IF(B266="","",VLOOKUP(B266,'Transacciones CHL'!$A$2:$F$14,3,FALSE))</f>
        <v>1</v>
      </c>
      <c r="E266" s="2" t="str">
        <f>IF(B266="","",VLOOKUP(B266,'Transacciones CHL'!$A$2:$F$14,4,FALSE))</f>
        <v>Producción / Consumo intermedio</v>
      </c>
      <c r="F266" s="2">
        <f>IF(B266="","",VLOOKUP(B266,'Transacciones CHL'!$A$2:$F$14,5,FALSE))</f>
        <v>1</v>
      </c>
      <c r="G266" s="2" t="str">
        <f>IF(B266="","",VLOOKUP(B266,'Transacciones CHL'!$A$2:$F$14,6,FALSE))</f>
        <v>Producción / Consumo intermedio</v>
      </c>
      <c r="H266" s="2" t="s">
        <v>1022</v>
      </c>
      <c r="I266" s="2" t="s">
        <v>1011</v>
      </c>
      <c r="J266" s="2" t="s">
        <v>1012</v>
      </c>
      <c r="K266" s="2" t="s">
        <v>1013</v>
      </c>
      <c r="L266" s="2" t="s">
        <v>1014</v>
      </c>
      <c r="M266" s="2">
        <v>1</v>
      </c>
      <c r="N266" s="2" t="s">
        <v>14</v>
      </c>
      <c r="O266" s="15">
        <v>2</v>
      </c>
      <c r="P266" s="15" t="s">
        <v>970</v>
      </c>
    </row>
    <row r="267" spans="1:16">
      <c r="A267" s="2" t="s">
        <v>1452</v>
      </c>
      <c r="B267" s="2">
        <v>1</v>
      </c>
      <c r="C267" s="2" t="str">
        <f>IF(B267="","",VLOOKUP(B267,'Transacciones CHL'!$A$2:$B$14,2,FALSE))</f>
        <v>Producción bruta precio básico</v>
      </c>
      <c r="D267" s="2">
        <f>IF(B267="","",VLOOKUP(B267,'Transacciones CHL'!$A$2:$F$14,3,FALSE))</f>
        <v>1</v>
      </c>
      <c r="E267" s="2" t="str">
        <f>IF(B267="","",VLOOKUP(B267,'Transacciones CHL'!$A$2:$F$14,4,FALSE))</f>
        <v>Producción / Consumo intermedio</v>
      </c>
      <c r="F267" s="2">
        <f>IF(B267="","",VLOOKUP(B267,'Transacciones CHL'!$A$2:$F$14,5,FALSE))</f>
        <v>1</v>
      </c>
      <c r="G267" s="2" t="str">
        <f>IF(B267="","",VLOOKUP(B267,'Transacciones CHL'!$A$2:$F$14,6,FALSE))</f>
        <v>Producción / Consumo intermedio</v>
      </c>
      <c r="H267" s="2" t="s">
        <v>1024</v>
      </c>
      <c r="I267" s="2" t="s">
        <v>1011</v>
      </c>
      <c r="J267" s="2" t="s">
        <v>1012</v>
      </c>
      <c r="K267" s="2" t="s">
        <v>1013</v>
      </c>
      <c r="L267" s="2" t="s">
        <v>1014</v>
      </c>
      <c r="M267" s="2">
        <v>1</v>
      </c>
      <c r="N267" s="2" t="s">
        <v>14</v>
      </c>
      <c r="O267" s="15">
        <v>2</v>
      </c>
      <c r="P267" s="15" t="s">
        <v>970</v>
      </c>
    </row>
    <row r="268" spans="1:16">
      <c r="A268" s="2" t="s">
        <v>1453</v>
      </c>
      <c r="B268" s="2">
        <v>1</v>
      </c>
      <c r="C268" s="2" t="str">
        <f>IF(B268="","",VLOOKUP(B268,'Transacciones CHL'!$A$2:$B$14,2,FALSE))</f>
        <v>Producción bruta precio básico</v>
      </c>
      <c r="D268" s="2">
        <f>IF(B268="","",VLOOKUP(B268,'Transacciones CHL'!$A$2:$F$14,3,FALSE))</f>
        <v>1</v>
      </c>
      <c r="E268" s="2" t="str">
        <f>IF(B268="","",VLOOKUP(B268,'Transacciones CHL'!$A$2:$F$14,4,FALSE))</f>
        <v>Producción / Consumo intermedio</v>
      </c>
      <c r="F268" s="2">
        <f>IF(B268="","",VLOOKUP(B268,'Transacciones CHL'!$A$2:$F$14,5,FALSE))</f>
        <v>1</v>
      </c>
      <c r="G268" s="2" t="str">
        <f>IF(B268="","",VLOOKUP(B268,'Transacciones CHL'!$A$2:$F$14,6,FALSE))</f>
        <v>Producción / Consumo intermedio</v>
      </c>
      <c r="H268" s="2" t="s">
        <v>1026</v>
      </c>
      <c r="I268" s="2" t="s">
        <v>1011</v>
      </c>
      <c r="J268" s="2" t="s">
        <v>1012</v>
      </c>
      <c r="K268" s="2" t="s">
        <v>1013</v>
      </c>
      <c r="L268" s="2" t="s">
        <v>1014</v>
      </c>
      <c r="M268" s="2">
        <v>1</v>
      </c>
      <c r="N268" s="2" t="s">
        <v>14</v>
      </c>
      <c r="O268" s="15">
        <v>2</v>
      </c>
      <c r="P268" s="15" t="s">
        <v>970</v>
      </c>
    </row>
    <row r="269" spans="1:16">
      <c r="A269" s="2" t="s">
        <v>1454</v>
      </c>
      <c r="B269" s="2">
        <v>1</v>
      </c>
      <c r="C269" s="2" t="str">
        <f>IF(B269="","",VLOOKUP(B269,'Transacciones CHL'!$A$2:$B$14,2,FALSE))</f>
        <v>Producción bruta precio básico</v>
      </c>
      <c r="D269" s="2">
        <f>IF(B269="","",VLOOKUP(B269,'Transacciones CHL'!$A$2:$F$14,3,FALSE))</f>
        <v>1</v>
      </c>
      <c r="E269" s="2" t="str">
        <f>IF(B269="","",VLOOKUP(B269,'Transacciones CHL'!$A$2:$F$14,4,FALSE))</f>
        <v>Producción / Consumo intermedio</v>
      </c>
      <c r="F269" s="2">
        <f>IF(B269="","",VLOOKUP(B269,'Transacciones CHL'!$A$2:$F$14,5,FALSE))</f>
        <v>1</v>
      </c>
      <c r="G269" s="2" t="str">
        <f>IF(B269="","",VLOOKUP(B269,'Transacciones CHL'!$A$2:$F$14,6,FALSE))</f>
        <v>Producción / Consumo intermedio</v>
      </c>
      <c r="H269" s="2" t="s">
        <v>1028</v>
      </c>
      <c r="I269" s="2" t="s">
        <v>1011</v>
      </c>
      <c r="J269" s="2" t="s">
        <v>1012</v>
      </c>
      <c r="K269" s="2" t="s">
        <v>1013</v>
      </c>
      <c r="L269" s="2" t="s">
        <v>1014</v>
      </c>
      <c r="M269" s="2">
        <v>1</v>
      </c>
      <c r="N269" s="2" t="s">
        <v>14</v>
      </c>
      <c r="O269" s="15">
        <v>2</v>
      </c>
      <c r="P269" s="15" t="s">
        <v>970</v>
      </c>
    </row>
    <row r="270" spans="1:16">
      <c r="A270" s="2" t="s">
        <v>1455</v>
      </c>
      <c r="B270" s="2">
        <v>1</v>
      </c>
      <c r="C270" s="2" t="str">
        <f>IF(B270="","",VLOOKUP(B270,'Transacciones CHL'!$A$2:$B$14,2,FALSE))</f>
        <v>Producción bruta precio básico</v>
      </c>
      <c r="D270" s="2">
        <f>IF(B270="","",VLOOKUP(B270,'Transacciones CHL'!$A$2:$F$14,3,FALSE))</f>
        <v>1</v>
      </c>
      <c r="E270" s="2" t="str">
        <f>IF(B270="","",VLOOKUP(B270,'Transacciones CHL'!$A$2:$F$14,4,FALSE))</f>
        <v>Producción / Consumo intermedio</v>
      </c>
      <c r="F270" s="2">
        <f>IF(B270="","",VLOOKUP(B270,'Transacciones CHL'!$A$2:$F$14,5,FALSE))</f>
        <v>1</v>
      </c>
      <c r="G270" s="2" t="str">
        <f>IF(B270="","",VLOOKUP(B270,'Transacciones CHL'!$A$2:$F$14,6,FALSE))</f>
        <v>Producción / Consumo intermedio</v>
      </c>
      <c r="H270" s="2" t="s">
        <v>1030</v>
      </c>
      <c r="I270" s="2" t="s">
        <v>1011</v>
      </c>
      <c r="J270" s="2" t="s">
        <v>1012</v>
      </c>
      <c r="K270" s="2" t="s">
        <v>1013</v>
      </c>
      <c r="L270" s="2" t="s">
        <v>1014</v>
      </c>
      <c r="M270" s="2">
        <v>1</v>
      </c>
      <c r="N270" s="2" t="s">
        <v>14</v>
      </c>
      <c r="O270" s="15">
        <v>2</v>
      </c>
      <c r="P270" s="15" t="s">
        <v>970</v>
      </c>
    </row>
    <row r="271" spans="1:16">
      <c r="A271" s="2" t="s">
        <v>1456</v>
      </c>
      <c r="B271" s="2">
        <v>1</v>
      </c>
      <c r="C271" s="2" t="str">
        <f>IF(B271="","",VLOOKUP(B271,'Transacciones CHL'!$A$2:$B$14,2,FALSE))</f>
        <v>Producción bruta precio básico</v>
      </c>
      <c r="D271" s="2">
        <f>IF(B271="","",VLOOKUP(B271,'Transacciones CHL'!$A$2:$F$14,3,FALSE))</f>
        <v>1</v>
      </c>
      <c r="E271" s="2" t="str">
        <f>IF(B271="","",VLOOKUP(B271,'Transacciones CHL'!$A$2:$F$14,4,FALSE))</f>
        <v>Producción / Consumo intermedio</v>
      </c>
      <c r="F271" s="2">
        <f>IF(B271="","",VLOOKUP(B271,'Transacciones CHL'!$A$2:$F$14,5,FALSE))</f>
        <v>1</v>
      </c>
      <c r="G271" s="2" t="str">
        <f>IF(B271="","",VLOOKUP(B271,'Transacciones CHL'!$A$2:$F$14,6,FALSE))</f>
        <v>Producción / Consumo intermedio</v>
      </c>
      <c r="H271" s="2" t="s">
        <v>1032</v>
      </c>
      <c r="I271" s="2" t="s">
        <v>1011</v>
      </c>
      <c r="J271" s="2" t="s">
        <v>1012</v>
      </c>
      <c r="K271" s="2" t="s">
        <v>1013</v>
      </c>
      <c r="L271" s="2" t="s">
        <v>1014</v>
      </c>
      <c r="M271" s="2">
        <v>1</v>
      </c>
      <c r="N271" s="2" t="s">
        <v>14</v>
      </c>
      <c r="O271" s="15">
        <v>2</v>
      </c>
      <c r="P271" s="15" t="s">
        <v>970</v>
      </c>
    </row>
    <row r="272" spans="1:16">
      <c r="A272" s="2" t="s">
        <v>1457</v>
      </c>
      <c r="B272" s="2">
        <v>1</v>
      </c>
      <c r="C272" s="2" t="str">
        <f>IF(B272="","",VLOOKUP(B272,'Transacciones CHL'!$A$2:$B$14,2,FALSE))</f>
        <v>Producción bruta precio básico</v>
      </c>
      <c r="D272" s="2">
        <f>IF(B272="","",VLOOKUP(B272,'Transacciones CHL'!$A$2:$F$14,3,FALSE))</f>
        <v>1</v>
      </c>
      <c r="E272" s="2" t="str">
        <f>IF(B272="","",VLOOKUP(B272,'Transacciones CHL'!$A$2:$F$14,4,FALSE))</f>
        <v>Producción / Consumo intermedio</v>
      </c>
      <c r="F272" s="2">
        <f>IF(B272="","",VLOOKUP(B272,'Transacciones CHL'!$A$2:$F$14,5,FALSE))</f>
        <v>1</v>
      </c>
      <c r="G272" s="2" t="str">
        <f>IF(B272="","",VLOOKUP(B272,'Transacciones CHL'!$A$2:$F$14,6,FALSE))</f>
        <v>Producción / Consumo intermedio</v>
      </c>
      <c r="H272" s="2" t="s">
        <v>1034</v>
      </c>
      <c r="I272" s="2" t="s">
        <v>1011</v>
      </c>
      <c r="J272" s="2" t="s">
        <v>1012</v>
      </c>
      <c r="K272" s="2" t="s">
        <v>1013</v>
      </c>
      <c r="L272" s="2" t="s">
        <v>1014</v>
      </c>
      <c r="M272" s="2">
        <v>1</v>
      </c>
      <c r="N272" s="2" t="s">
        <v>14</v>
      </c>
      <c r="O272" s="15">
        <v>2</v>
      </c>
      <c r="P272" s="15" t="s">
        <v>970</v>
      </c>
    </row>
    <row r="273" spans="1:16">
      <c r="A273" s="2" t="s">
        <v>1458</v>
      </c>
      <c r="B273" s="2">
        <v>1</v>
      </c>
      <c r="C273" s="2" t="str">
        <f>IF(B273="","",VLOOKUP(B273,'Transacciones CHL'!$A$2:$B$14,2,FALSE))</f>
        <v>Producción bruta precio básico</v>
      </c>
      <c r="D273" s="2">
        <f>IF(B273="","",VLOOKUP(B273,'Transacciones CHL'!$A$2:$F$14,3,FALSE))</f>
        <v>1</v>
      </c>
      <c r="E273" s="2" t="str">
        <f>IF(B273="","",VLOOKUP(B273,'Transacciones CHL'!$A$2:$F$14,4,FALSE))</f>
        <v>Producción / Consumo intermedio</v>
      </c>
      <c r="F273" s="2">
        <f>IF(B273="","",VLOOKUP(B273,'Transacciones CHL'!$A$2:$F$14,5,FALSE))</f>
        <v>1</v>
      </c>
      <c r="G273" s="2" t="str">
        <f>IF(B273="","",VLOOKUP(B273,'Transacciones CHL'!$A$2:$F$14,6,FALSE))</f>
        <v>Producción / Consumo intermedio</v>
      </c>
      <c r="H273" s="2" t="s">
        <v>1036</v>
      </c>
      <c r="I273" s="2" t="s">
        <v>1011</v>
      </c>
      <c r="J273" s="2" t="s">
        <v>1012</v>
      </c>
      <c r="K273" s="2" t="s">
        <v>1013</v>
      </c>
      <c r="L273" s="2" t="s">
        <v>1014</v>
      </c>
      <c r="M273" s="2">
        <v>1</v>
      </c>
      <c r="N273" s="2" t="s">
        <v>14</v>
      </c>
      <c r="O273" s="15">
        <v>2</v>
      </c>
      <c r="P273" s="15" t="s">
        <v>970</v>
      </c>
    </row>
    <row r="274" spans="1:16">
      <c r="A274" s="2" t="s">
        <v>1459</v>
      </c>
      <c r="B274" s="2">
        <v>1</v>
      </c>
      <c r="C274" s="2" t="str">
        <f>IF(B274="","",VLOOKUP(B274,'Transacciones CHL'!$A$2:$B$14,2,FALSE))</f>
        <v>Producción bruta precio básico</v>
      </c>
      <c r="D274" s="2">
        <f>IF(B274="","",VLOOKUP(B274,'Transacciones CHL'!$A$2:$F$14,3,FALSE))</f>
        <v>1</v>
      </c>
      <c r="E274" s="2" t="str">
        <f>IF(B274="","",VLOOKUP(B274,'Transacciones CHL'!$A$2:$F$14,4,FALSE))</f>
        <v>Producción / Consumo intermedio</v>
      </c>
      <c r="F274" s="2">
        <f>IF(B274="","",VLOOKUP(B274,'Transacciones CHL'!$A$2:$F$14,5,FALSE))</f>
        <v>1</v>
      </c>
      <c r="G274" s="2" t="str">
        <f>IF(B274="","",VLOOKUP(B274,'Transacciones CHL'!$A$2:$F$14,6,FALSE))</f>
        <v>Producción / Consumo intermedio</v>
      </c>
      <c r="H274" s="2" t="s">
        <v>1038</v>
      </c>
      <c r="I274" s="2" t="s">
        <v>1011</v>
      </c>
      <c r="J274" s="2" t="s">
        <v>1012</v>
      </c>
      <c r="K274" s="2" t="s">
        <v>1013</v>
      </c>
      <c r="L274" s="2" t="s">
        <v>1014</v>
      </c>
      <c r="M274" s="2">
        <v>1</v>
      </c>
      <c r="N274" s="2" t="s">
        <v>14</v>
      </c>
      <c r="O274" s="15">
        <v>2</v>
      </c>
      <c r="P274" s="15" t="s">
        <v>970</v>
      </c>
    </row>
    <row r="275" spans="1:16">
      <c r="A275" s="2" t="s">
        <v>1460</v>
      </c>
      <c r="B275" s="2">
        <v>1</v>
      </c>
      <c r="C275" s="2" t="str">
        <f>IF(B275="","",VLOOKUP(B275,'Transacciones CHL'!$A$2:$B$14,2,FALSE))</f>
        <v>Producción bruta precio básico</v>
      </c>
      <c r="D275" s="2">
        <f>IF(B275="","",VLOOKUP(B275,'Transacciones CHL'!$A$2:$F$14,3,FALSE))</f>
        <v>1</v>
      </c>
      <c r="E275" s="2" t="str">
        <f>IF(B275="","",VLOOKUP(B275,'Transacciones CHL'!$A$2:$F$14,4,FALSE))</f>
        <v>Producción / Consumo intermedio</v>
      </c>
      <c r="F275" s="2">
        <f>IF(B275="","",VLOOKUP(B275,'Transacciones CHL'!$A$2:$F$14,5,FALSE))</f>
        <v>1</v>
      </c>
      <c r="G275" s="2" t="str">
        <f>IF(B275="","",VLOOKUP(B275,'Transacciones CHL'!$A$2:$F$14,6,FALSE))</f>
        <v>Producción / Consumo intermedio</v>
      </c>
      <c r="H275" s="2" t="s">
        <v>1040</v>
      </c>
      <c r="I275" s="2" t="s">
        <v>1011</v>
      </c>
      <c r="J275" s="2" t="s">
        <v>1012</v>
      </c>
      <c r="K275" s="2" t="s">
        <v>1013</v>
      </c>
      <c r="L275" s="2" t="s">
        <v>1014</v>
      </c>
      <c r="M275" s="2">
        <v>1</v>
      </c>
      <c r="N275" s="2" t="s">
        <v>14</v>
      </c>
      <c r="O275" s="15">
        <v>2</v>
      </c>
      <c r="P275" s="15" t="s">
        <v>970</v>
      </c>
    </row>
    <row r="276" spans="1:16">
      <c r="A276" s="2" t="s">
        <v>1461</v>
      </c>
      <c r="B276" s="2">
        <v>1</v>
      </c>
      <c r="C276" s="2" t="str">
        <f>IF(B276="","",VLOOKUP(B276,'Transacciones CHL'!$A$2:$B$14,2,FALSE))</f>
        <v>Producción bruta precio básico</v>
      </c>
      <c r="D276" s="2">
        <f>IF(B276="","",VLOOKUP(B276,'Transacciones CHL'!$A$2:$F$14,3,FALSE))</f>
        <v>1</v>
      </c>
      <c r="E276" s="2" t="str">
        <f>IF(B276="","",VLOOKUP(B276,'Transacciones CHL'!$A$2:$F$14,4,FALSE))</f>
        <v>Producción / Consumo intermedio</v>
      </c>
      <c r="F276" s="2">
        <f>IF(B276="","",VLOOKUP(B276,'Transacciones CHL'!$A$2:$F$14,5,FALSE))</f>
        <v>1</v>
      </c>
      <c r="G276" s="2" t="str">
        <f>IF(B276="","",VLOOKUP(B276,'Transacciones CHL'!$A$2:$F$14,6,FALSE))</f>
        <v>Producción / Consumo intermedio</v>
      </c>
      <c r="H276" s="2" t="s">
        <v>1042</v>
      </c>
      <c r="I276" s="2" t="s">
        <v>1011</v>
      </c>
      <c r="J276" s="2" t="s">
        <v>1012</v>
      </c>
      <c r="K276" s="2" t="s">
        <v>1013</v>
      </c>
      <c r="L276" s="2" t="s">
        <v>1014</v>
      </c>
      <c r="M276" s="2">
        <v>1</v>
      </c>
      <c r="N276" s="2" t="s">
        <v>14</v>
      </c>
      <c r="O276" s="15">
        <v>2</v>
      </c>
      <c r="P276" s="15" t="s">
        <v>970</v>
      </c>
    </row>
    <row r="277" spans="1:16">
      <c r="A277" s="2" t="s">
        <v>1462</v>
      </c>
      <c r="B277" s="2">
        <v>1</v>
      </c>
      <c r="C277" s="2" t="str">
        <f>IF(B277="","",VLOOKUP(B277,'Transacciones CHL'!$A$2:$B$14,2,FALSE))</f>
        <v>Producción bruta precio básico</v>
      </c>
      <c r="D277" s="2">
        <f>IF(B277="","",VLOOKUP(B277,'Transacciones CHL'!$A$2:$F$14,3,FALSE))</f>
        <v>1</v>
      </c>
      <c r="E277" s="2" t="str">
        <f>IF(B277="","",VLOOKUP(B277,'Transacciones CHL'!$A$2:$F$14,4,FALSE))</f>
        <v>Producción / Consumo intermedio</v>
      </c>
      <c r="F277" s="2">
        <f>IF(B277="","",VLOOKUP(B277,'Transacciones CHL'!$A$2:$F$14,5,FALSE))</f>
        <v>1</v>
      </c>
      <c r="G277" s="2" t="str">
        <f>IF(B277="","",VLOOKUP(B277,'Transacciones CHL'!$A$2:$F$14,6,FALSE))</f>
        <v>Producción / Consumo intermedio</v>
      </c>
      <c r="H277" s="2" t="s">
        <v>1044</v>
      </c>
      <c r="I277" s="2" t="s">
        <v>1011</v>
      </c>
      <c r="J277" s="2" t="s">
        <v>1012</v>
      </c>
      <c r="K277" s="2" t="s">
        <v>1013</v>
      </c>
      <c r="L277" s="2" t="s">
        <v>1014</v>
      </c>
      <c r="M277" s="2">
        <v>1</v>
      </c>
      <c r="N277" s="2" t="s">
        <v>14</v>
      </c>
      <c r="O277" s="15">
        <v>2</v>
      </c>
      <c r="P277" s="15" t="s">
        <v>970</v>
      </c>
    </row>
    <row r="278" spans="1:16">
      <c r="A278" s="2" t="s">
        <v>1463</v>
      </c>
      <c r="B278" s="2">
        <v>1</v>
      </c>
      <c r="C278" s="2" t="str">
        <f>IF(B278="","",VLOOKUP(B278,'Transacciones CHL'!$A$2:$B$14,2,FALSE))</f>
        <v>Producción bruta precio básico</v>
      </c>
      <c r="D278" s="2">
        <f>IF(B278="","",VLOOKUP(B278,'Transacciones CHL'!$A$2:$F$14,3,FALSE))</f>
        <v>1</v>
      </c>
      <c r="E278" s="2" t="str">
        <f>IF(B278="","",VLOOKUP(B278,'Transacciones CHL'!$A$2:$F$14,4,FALSE))</f>
        <v>Producción / Consumo intermedio</v>
      </c>
      <c r="F278" s="2">
        <f>IF(B278="","",VLOOKUP(B278,'Transacciones CHL'!$A$2:$F$14,5,FALSE))</f>
        <v>1</v>
      </c>
      <c r="G278" s="2" t="str">
        <f>IF(B278="","",VLOOKUP(B278,'Transacciones CHL'!$A$2:$F$14,6,FALSE))</f>
        <v>Producción / Consumo intermedio</v>
      </c>
      <c r="H278" s="2" t="s">
        <v>1046</v>
      </c>
      <c r="I278" s="2" t="s">
        <v>1011</v>
      </c>
      <c r="J278" s="2" t="s">
        <v>1012</v>
      </c>
      <c r="K278" s="2" t="s">
        <v>1013</v>
      </c>
      <c r="L278" s="2" t="s">
        <v>1014</v>
      </c>
      <c r="M278" s="2">
        <v>2</v>
      </c>
      <c r="N278" s="2" t="s">
        <v>142</v>
      </c>
      <c r="O278" s="15">
        <v>2</v>
      </c>
      <c r="P278" s="15" t="s">
        <v>970</v>
      </c>
    </row>
    <row r="279" spans="1:16">
      <c r="A279" s="2" t="s">
        <v>1464</v>
      </c>
      <c r="B279" s="2">
        <v>1</v>
      </c>
      <c r="C279" s="2" t="str">
        <f>IF(B279="","",VLOOKUP(B279,'Transacciones CHL'!$A$2:$B$14,2,FALSE))</f>
        <v>Producción bruta precio básico</v>
      </c>
      <c r="D279" s="2">
        <f>IF(B279="","",VLOOKUP(B279,'Transacciones CHL'!$A$2:$F$14,3,FALSE))</f>
        <v>1</v>
      </c>
      <c r="E279" s="2" t="str">
        <f>IF(B279="","",VLOOKUP(B279,'Transacciones CHL'!$A$2:$F$14,4,FALSE))</f>
        <v>Producción / Consumo intermedio</v>
      </c>
      <c r="F279" s="2">
        <f>IF(B279="","",VLOOKUP(B279,'Transacciones CHL'!$A$2:$F$14,5,FALSE))</f>
        <v>1</v>
      </c>
      <c r="G279" s="2" t="str">
        <f>IF(B279="","",VLOOKUP(B279,'Transacciones CHL'!$A$2:$F$14,6,FALSE))</f>
        <v>Producción / Consumo intermedio</v>
      </c>
      <c r="H279" s="2" t="s">
        <v>1048</v>
      </c>
      <c r="I279" s="2" t="s">
        <v>1011</v>
      </c>
      <c r="J279" s="2" t="s">
        <v>1012</v>
      </c>
      <c r="K279" s="2" t="s">
        <v>1013</v>
      </c>
      <c r="L279" s="2" t="s">
        <v>1014</v>
      </c>
      <c r="M279" s="2">
        <v>2</v>
      </c>
      <c r="N279" s="2" t="s">
        <v>142</v>
      </c>
      <c r="O279" s="15">
        <v>2</v>
      </c>
      <c r="P279" s="15" t="s">
        <v>970</v>
      </c>
    </row>
    <row r="280" spans="1:16">
      <c r="A280" s="2" t="s">
        <v>1465</v>
      </c>
      <c r="B280" s="2">
        <v>1</v>
      </c>
      <c r="C280" s="2" t="str">
        <f>IF(B280="","",VLOOKUP(B280,'Transacciones CHL'!$A$2:$B$14,2,FALSE))</f>
        <v>Producción bruta precio básico</v>
      </c>
      <c r="D280" s="2">
        <f>IF(B280="","",VLOOKUP(B280,'Transacciones CHL'!$A$2:$F$14,3,FALSE))</f>
        <v>1</v>
      </c>
      <c r="E280" s="2" t="str">
        <f>IF(B280="","",VLOOKUP(B280,'Transacciones CHL'!$A$2:$F$14,4,FALSE))</f>
        <v>Producción / Consumo intermedio</v>
      </c>
      <c r="F280" s="2">
        <f>IF(B280="","",VLOOKUP(B280,'Transacciones CHL'!$A$2:$F$14,5,FALSE))</f>
        <v>1</v>
      </c>
      <c r="G280" s="2" t="str">
        <f>IF(B280="","",VLOOKUP(B280,'Transacciones CHL'!$A$2:$F$14,6,FALSE))</f>
        <v>Producción / Consumo intermedio</v>
      </c>
      <c r="H280" s="2" t="s">
        <v>1050</v>
      </c>
      <c r="I280" s="2" t="s">
        <v>1011</v>
      </c>
      <c r="J280" s="2" t="s">
        <v>1012</v>
      </c>
      <c r="K280" s="2" t="s">
        <v>1013</v>
      </c>
      <c r="L280" s="2" t="s">
        <v>1014</v>
      </c>
      <c r="M280" s="2">
        <v>1</v>
      </c>
      <c r="N280" s="2" t="s">
        <v>14</v>
      </c>
      <c r="O280" s="15">
        <v>2</v>
      </c>
      <c r="P280" s="15" t="s">
        <v>970</v>
      </c>
    </row>
    <row r="281" spans="1:16">
      <c r="A281" s="2" t="s">
        <v>1466</v>
      </c>
      <c r="B281" s="2">
        <v>1</v>
      </c>
      <c r="C281" s="2" t="str">
        <f>IF(B281="","",VLOOKUP(B281,'Transacciones CHL'!$A$2:$B$14,2,FALSE))</f>
        <v>Producción bruta precio básico</v>
      </c>
      <c r="D281" s="2">
        <f>IF(B281="","",VLOOKUP(B281,'Transacciones CHL'!$A$2:$F$14,3,FALSE))</f>
        <v>1</v>
      </c>
      <c r="E281" s="2" t="str">
        <f>IF(B281="","",VLOOKUP(B281,'Transacciones CHL'!$A$2:$F$14,4,FALSE))</f>
        <v>Producción / Consumo intermedio</v>
      </c>
      <c r="F281" s="2">
        <f>IF(B281="","",VLOOKUP(B281,'Transacciones CHL'!$A$2:$F$14,5,FALSE))</f>
        <v>1</v>
      </c>
      <c r="G281" s="2" t="str">
        <f>IF(B281="","",VLOOKUP(B281,'Transacciones CHL'!$A$2:$F$14,6,FALSE))</f>
        <v>Producción / Consumo intermedio</v>
      </c>
      <c r="H281" s="2" t="s">
        <v>1052</v>
      </c>
      <c r="I281" s="2" t="s">
        <v>1011</v>
      </c>
      <c r="J281" s="2" t="s">
        <v>1012</v>
      </c>
      <c r="K281" s="2" t="s">
        <v>1013</v>
      </c>
      <c r="L281" s="2" t="s">
        <v>1014</v>
      </c>
      <c r="M281" s="2">
        <v>2</v>
      </c>
      <c r="N281" s="2" t="s">
        <v>142</v>
      </c>
      <c r="O281" s="15">
        <v>2</v>
      </c>
      <c r="P281" s="15" t="s">
        <v>970</v>
      </c>
    </row>
    <row r="282" spans="1:16">
      <c r="A282" s="2" t="s">
        <v>1467</v>
      </c>
      <c r="B282" s="2">
        <v>1</v>
      </c>
      <c r="C282" s="2" t="str">
        <f>IF(B282="","",VLOOKUP(B282,'Transacciones CHL'!$A$2:$B$14,2,FALSE))</f>
        <v>Producción bruta precio básico</v>
      </c>
      <c r="D282" s="2">
        <f>IF(B282="","",VLOOKUP(B282,'Transacciones CHL'!$A$2:$F$14,3,FALSE))</f>
        <v>1</v>
      </c>
      <c r="E282" s="2" t="str">
        <f>IF(B282="","",VLOOKUP(B282,'Transacciones CHL'!$A$2:$F$14,4,FALSE))</f>
        <v>Producción / Consumo intermedio</v>
      </c>
      <c r="F282" s="2">
        <f>IF(B282="","",VLOOKUP(B282,'Transacciones CHL'!$A$2:$F$14,5,FALSE))</f>
        <v>1</v>
      </c>
      <c r="G282" s="2" t="str">
        <f>IF(B282="","",VLOOKUP(B282,'Transacciones CHL'!$A$2:$F$14,6,FALSE))</f>
        <v>Producción / Consumo intermedio</v>
      </c>
      <c r="H282" s="2" t="s">
        <v>1054</v>
      </c>
      <c r="I282" s="2" t="s">
        <v>1011</v>
      </c>
      <c r="J282" s="2" t="s">
        <v>1012</v>
      </c>
      <c r="K282" s="2" t="s">
        <v>1013</v>
      </c>
      <c r="L282" s="2" t="s">
        <v>1014</v>
      </c>
      <c r="M282" s="2">
        <v>1</v>
      </c>
      <c r="N282" s="2" t="s">
        <v>14</v>
      </c>
      <c r="O282" s="15">
        <v>2</v>
      </c>
      <c r="P282" s="15" t="s">
        <v>970</v>
      </c>
    </row>
    <row r="283" spans="1:16">
      <c r="A283" s="2" t="s">
        <v>1468</v>
      </c>
      <c r="B283" s="2">
        <v>1</v>
      </c>
      <c r="C283" s="2" t="str">
        <f>IF(B283="","",VLOOKUP(B283,'Transacciones CHL'!$A$2:$B$14,2,FALSE))</f>
        <v>Producción bruta precio básico</v>
      </c>
      <c r="D283" s="2">
        <f>IF(B283="","",VLOOKUP(B283,'Transacciones CHL'!$A$2:$F$14,3,FALSE))</f>
        <v>1</v>
      </c>
      <c r="E283" s="2" t="str">
        <f>IF(B283="","",VLOOKUP(B283,'Transacciones CHL'!$A$2:$F$14,4,FALSE))</f>
        <v>Producción / Consumo intermedio</v>
      </c>
      <c r="F283" s="2">
        <f>IF(B283="","",VLOOKUP(B283,'Transacciones CHL'!$A$2:$F$14,5,FALSE))</f>
        <v>1</v>
      </c>
      <c r="G283" s="2" t="str">
        <f>IF(B283="","",VLOOKUP(B283,'Transacciones CHL'!$A$2:$F$14,6,FALSE))</f>
        <v>Producción / Consumo intermedio</v>
      </c>
      <c r="H283" s="2" t="s">
        <v>1056</v>
      </c>
      <c r="I283" s="2" t="s">
        <v>1011</v>
      </c>
      <c r="J283" s="2" t="s">
        <v>1012</v>
      </c>
      <c r="K283" s="2" t="s">
        <v>1013</v>
      </c>
      <c r="L283" s="2" t="s">
        <v>1014</v>
      </c>
      <c r="M283" s="2">
        <v>1</v>
      </c>
      <c r="N283" s="2" t="s">
        <v>14</v>
      </c>
      <c r="O283" s="15">
        <v>2</v>
      </c>
      <c r="P283" s="15" t="s">
        <v>970</v>
      </c>
    </row>
    <row r="284" spans="1:16">
      <c r="A284" s="2" t="s">
        <v>1469</v>
      </c>
      <c r="B284" s="2">
        <v>1</v>
      </c>
      <c r="C284" s="2" t="str">
        <f>IF(B284="","",VLOOKUP(B284,'Transacciones CHL'!$A$2:$B$14,2,FALSE))</f>
        <v>Producción bruta precio básico</v>
      </c>
      <c r="D284" s="2">
        <f>IF(B284="","",VLOOKUP(B284,'Transacciones CHL'!$A$2:$F$14,3,FALSE))</f>
        <v>1</v>
      </c>
      <c r="E284" s="2" t="str">
        <f>IF(B284="","",VLOOKUP(B284,'Transacciones CHL'!$A$2:$F$14,4,FALSE))</f>
        <v>Producción / Consumo intermedio</v>
      </c>
      <c r="F284" s="2">
        <f>IF(B284="","",VLOOKUP(B284,'Transacciones CHL'!$A$2:$F$14,5,FALSE))</f>
        <v>1</v>
      </c>
      <c r="G284" s="2" t="str">
        <f>IF(B284="","",VLOOKUP(B284,'Transacciones CHL'!$A$2:$F$14,6,FALSE))</f>
        <v>Producción / Consumo intermedio</v>
      </c>
      <c r="H284" s="2" t="s">
        <v>1058</v>
      </c>
      <c r="I284" s="2" t="s">
        <v>1011</v>
      </c>
      <c r="J284" s="2" t="s">
        <v>1012</v>
      </c>
      <c r="K284" s="2" t="s">
        <v>1013</v>
      </c>
      <c r="L284" s="2" t="s">
        <v>1014</v>
      </c>
      <c r="M284" s="2">
        <v>1</v>
      </c>
      <c r="N284" s="2" t="s">
        <v>14</v>
      </c>
      <c r="O284" s="15">
        <v>2</v>
      </c>
      <c r="P284" s="15" t="s">
        <v>970</v>
      </c>
    </row>
    <row r="285" spans="1:16">
      <c r="A285" s="2" t="s">
        <v>1470</v>
      </c>
      <c r="B285" s="2">
        <v>1</v>
      </c>
      <c r="C285" s="2" t="str">
        <f>IF(B285="","",VLOOKUP(B285,'Transacciones CHL'!$A$2:$B$14,2,FALSE))</f>
        <v>Producción bruta precio básico</v>
      </c>
      <c r="D285" s="2">
        <f>IF(B285="","",VLOOKUP(B285,'Transacciones CHL'!$A$2:$F$14,3,FALSE))</f>
        <v>1</v>
      </c>
      <c r="E285" s="2" t="str">
        <f>IF(B285="","",VLOOKUP(B285,'Transacciones CHL'!$A$2:$F$14,4,FALSE))</f>
        <v>Producción / Consumo intermedio</v>
      </c>
      <c r="F285" s="2">
        <f>IF(B285="","",VLOOKUP(B285,'Transacciones CHL'!$A$2:$F$14,5,FALSE))</f>
        <v>1</v>
      </c>
      <c r="G285" s="2" t="str">
        <f>IF(B285="","",VLOOKUP(B285,'Transacciones CHL'!$A$2:$F$14,6,FALSE))</f>
        <v>Producción / Consumo intermedio</v>
      </c>
      <c r="H285" s="2" t="s">
        <v>1060</v>
      </c>
      <c r="I285" s="2" t="s">
        <v>1011</v>
      </c>
      <c r="J285" s="2" t="s">
        <v>1012</v>
      </c>
      <c r="K285" s="2" t="s">
        <v>1013</v>
      </c>
      <c r="L285" s="2" t="s">
        <v>1014</v>
      </c>
      <c r="M285" s="2">
        <v>1</v>
      </c>
      <c r="N285" s="2" t="s">
        <v>14</v>
      </c>
      <c r="O285" s="15">
        <v>2</v>
      </c>
      <c r="P285" s="15" t="s">
        <v>970</v>
      </c>
    </row>
    <row r="286" spans="1:16">
      <c r="A286" s="2" t="s">
        <v>1471</v>
      </c>
      <c r="B286" s="2">
        <v>1</v>
      </c>
      <c r="C286" s="2" t="str">
        <f>IF(B286="","",VLOOKUP(B286,'Transacciones CHL'!$A$2:$B$14,2,FALSE))</f>
        <v>Producción bruta precio básico</v>
      </c>
      <c r="D286" s="2">
        <f>IF(B286="","",VLOOKUP(B286,'Transacciones CHL'!$A$2:$F$14,3,FALSE))</f>
        <v>1</v>
      </c>
      <c r="E286" s="2" t="str">
        <f>IF(B286="","",VLOOKUP(B286,'Transacciones CHL'!$A$2:$F$14,4,FALSE))</f>
        <v>Producción / Consumo intermedio</v>
      </c>
      <c r="F286" s="2">
        <f>IF(B286="","",VLOOKUP(B286,'Transacciones CHL'!$A$2:$F$14,5,FALSE))</f>
        <v>1</v>
      </c>
      <c r="G286" s="2" t="str">
        <f>IF(B286="","",VLOOKUP(B286,'Transacciones CHL'!$A$2:$F$14,6,FALSE))</f>
        <v>Producción / Consumo intermedio</v>
      </c>
      <c r="H286" s="2" t="s">
        <v>1062</v>
      </c>
      <c r="I286" s="2" t="s">
        <v>1011</v>
      </c>
      <c r="J286" s="2" t="s">
        <v>1012</v>
      </c>
      <c r="K286" s="2" t="s">
        <v>1013</v>
      </c>
      <c r="L286" s="2" t="s">
        <v>1014</v>
      </c>
      <c r="M286" s="2">
        <v>2</v>
      </c>
      <c r="N286" s="2" t="s">
        <v>142</v>
      </c>
      <c r="O286" s="15">
        <v>2</v>
      </c>
      <c r="P286" s="15" t="s">
        <v>970</v>
      </c>
    </row>
    <row r="287" spans="1:16">
      <c r="A287" s="2" t="s">
        <v>1472</v>
      </c>
      <c r="B287" s="2">
        <v>1</v>
      </c>
      <c r="C287" s="2" t="str">
        <f>IF(B287="","",VLOOKUP(B287,'Transacciones CHL'!$A$2:$B$14,2,FALSE))</f>
        <v>Producción bruta precio básico</v>
      </c>
      <c r="D287" s="2">
        <f>IF(B287="","",VLOOKUP(B287,'Transacciones CHL'!$A$2:$F$14,3,FALSE))</f>
        <v>1</v>
      </c>
      <c r="E287" s="2" t="str">
        <f>IF(B287="","",VLOOKUP(B287,'Transacciones CHL'!$A$2:$F$14,4,FALSE))</f>
        <v>Producción / Consumo intermedio</v>
      </c>
      <c r="F287" s="2">
        <f>IF(B287="","",VLOOKUP(B287,'Transacciones CHL'!$A$2:$F$14,5,FALSE))</f>
        <v>1</v>
      </c>
      <c r="G287" s="2" t="str">
        <f>IF(B287="","",VLOOKUP(B287,'Transacciones CHL'!$A$2:$F$14,6,FALSE))</f>
        <v>Producción / Consumo intermedio</v>
      </c>
      <c r="H287" s="2" t="s">
        <v>1064</v>
      </c>
      <c r="I287" s="2" t="s">
        <v>1011</v>
      </c>
      <c r="J287" s="2" t="s">
        <v>1012</v>
      </c>
      <c r="K287" s="2" t="s">
        <v>1013</v>
      </c>
      <c r="L287" s="2" t="s">
        <v>1014</v>
      </c>
      <c r="M287" s="2">
        <v>3</v>
      </c>
      <c r="N287" s="2" t="s">
        <v>67</v>
      </c>
      <c r="O287" s="15">
        <v>1</v>
      </c>
      <c r="P287" s="15" t="s">
        <v>1065</v>
      </c>
    </row>
    <row r="288" spans="1:16">
      <c r="A288" s="2" t="s">
        <v>1473</v>
      </c>
      <c r="B288" s="2">
        <v>1</v>
      </c>
      <c r="C288" s="2" t="str">
        <f>IF(B288="","",VLOOKUP(B288,'Transacciones CHL'!$A$2:$B$14,2,FALSE))</f>
        <v>Producción bruta precio básico</v>
      </c>
      <c r="D288" s="2">
        <f>IF(B288="","",VLOOKUP(B288,'Transacciones CHL'!$A$2:$F$14,3,FALSE))</f>
        <v>1</v>
      </c>
      <c r="E288" s="2" t="str">
        <f>IF(B288="","",VLOOKUP(B288,'Transacciones CHL'!$A$2:$F$14,4,FALSE))</f>
        <v>Producción / Consumo intermedio</v>
      </c>
      <c r="F288" s="2">
        <f>IF(B288="","",VLOOKUP(B288,'Transacciones CHL'!$A$2:$F$14,5,FALSE))</f>
        <v>1</v>
      </c>
      <c r="G288" s="2" t="str">
        <f>IF(B288="","",VLOOKUP(B288,'Transacciones CHL'!$A$2:$F$14,6,FALSE))</f>
        <v>Producción / Consumo intermedio</v>
      </c>
      <c r="H288" s="2" t="s">
        <v>1067</v>
      </c>
      <c r="I288" s="2" t="s">
        <v>1011</v>
      </c>
      <c r="J288" s="2" t="s">
        <v>1012</v>
      </c>
      <c r="K288" s="2" t="s">
        <v>1013</v>
      </c>
      <c r="L288" s="2" t="s">
        <v>1014</v>
      </c>
      <c r="M288" s="2">
        <v>3</v>
      </c>
      <c r="N288" s="2" t="s">
        <v>67</v>
      </c>
      <c r="O288" s="15">
        <v>2</v>
      </c>
      <c r="P288" s="15" t="s">
        <v>970</v>
      </c>
    </row>
    <row r="289" spans="1:16">
      <c r="A289" s="2" t="s">
        <v>1474</v>
      </c>
      <c r="B289" s="2">
        <v>1</v>
      </c>
      <c r="C289" s="2" t="str">
        <f>IF(B289="","",VLOOKUP(B289,'Transacciones CHL'!$A$2:$B$14,2,FALSE))</f>
        <v>Producción bruta precio básico</v>
      </c>
      <c r="D289" s="2">
        <f>IF(B289="","",VLOOKUP(B289,'Transacciones CHL'!$A$2:$F$14,3,FALSE))</f>
        <v>1</v>
      </c>
      <c r="E289" s="2" t="str">
        <f>IF(B289="","",VLOOKUP(B289,'Transacciones CHL'!$A$2:$F$14,4,FALSE))</f>
        <v>Producción / Consumo intermedio</v>
      </c>
      <c r="F289" s="2">
        <f>IF(B289="","",VLOOKUP(B289,'Transacciones CHL'!$A$2:$F$14,5,FALSE))</f>
        <v>1</v>
      </c>
      <c r="G289" s="2" t="str">
        <f>IF(B289="","",VLOOKUP(B289,'Transacciones CHL'!$A$2:$F$14,6,FALSE))</f>
        <v>Producción / Consumo intermedio</v>
      </c>
      <c r="H289" s="2" t="s">
        <v>1069</v>
      </c>
      <c r="I289" s="2" t="s">
        <v>1011</v>
      </c>
      <c r="J289" s="2" t="s">
        <v>1012</v>
      </c>
      <c r="K289" s="2" t="s">
        <v>1013</v>
      </c>
      <c r="L289" s="2" t="s">
        <v>1014</v>
      </c>
      <c r="M289" s="2">
        <v>2</v>
      </c>
      <c r="N289" s="2" t="s">
        <v>142</v>
      </c>
      <c r="O289" s="15">
        <v>2</v>
      </c>
      <c r="P289" s="15" t="s">
        <v>970</v>
      </c>
    </row>
    <row r="290" spans="1:16">
      <c r="A290" s="2" t="s">
        <v>1475</v>
      </c>
      <c r="B290" s="2">
        <v>1</v>
      </c>
      <c r="C290" s="2" t="str">
        <f>IF(B290="","",VLOOKUP(B290,'Transacciones CHL'!$A$2:$B$14,2,FALSE))</f>
        <v>Producción bruta precio básico</v>
      </c>
      <c r="D290" s="2">
        <f>IF(B290="","",VLOOKUP(B290,'Transacciones CHL'!$A$2:$F$14,3,FALSE))</f>
        <v>1</v>
      </c>
      <c r="E290" s="2" t="str">
        <f>IF(B290="","",VLOOKUP(B290,'Transacciones CHL'!$A$2:$F$14,4,FALSE))</f>
        <v>Producción / Consumo intermedio</v>
      </c>
      <c r="F290" s="2">
        <f>IF(B290="","",VLOOKUP(B290,'Transacciones CHL'!$A$2:$F$14,5,FALSE))</f>
        <v>1</v>
      </c>
      <c r="G290" s="2" t="str">
        <f>IF(B290="","",VLOOKUP(B290,'Transacciones CHL'!$A$2:$F$14,6,FALSE))</f>
        <v>Producción / Consumo intermedio</v>
      </c>
      <c r="H290" s="2" t="s">
        <v>1071</v>
      </c>
      <c r="I290" s="2" t="s">
        <v>1011</v>
      </c>
      <c r="J290" s="2" t="s">
        <v>1012</v>
      </c>
      <c r="K290" s="2" t="s">
        <v>1013</v>
      </c>
      <c r="L290" s="2" t="s">
        <v>1014</v>
      </c>
      <c r="M290" s="2">
        <v>3</v>
      </c>
      <c r="N290" s="2" t="s">
        <v>67</v>
      </c>
      <c r="O290" s="15">
        <v>2</v>
      </c>
      <c r="P290" s="15" t="s">
        <v>970</v>
      </c>
    </row>
    <row r="291" spans="1:16">
      <c r="A291" s="2" t="s">
        <v>1476</v>
      </c>
      <c r="B291" s="2">
        <v>1</v>
      </c>
      <c r="C291" s="2" t="str">
        <f>IF(B291="","",VLOOKUP(B291,'Transacciones CHL'!$A$2:$B$14,2,FALSE))</f>
        <v>Producción bruta precio básico</v>
      </c>
      <c r="D291" s="2">
        <f>IF(B291="","",VLOOKUP(B291,'Transacciones CHL'!$A$2:$F$14,3,FALSE))</f>
        <v>1</v>
      </c>
      <c r="E291" s="2" t="str">
        <f>IF(B291="","",VLOOKUP(B291,'Transacciones CHL'!$A$2:$F$14,4,FALSE))</f>
        <v>Producción / Consumo intermedio</v>
      </c>
      <c r="F291" s="2">
        <f>IF(B291="","",VLOOKUP(B291,'Transacciones CHL'!$A$2:$F$14,5,FALSE))</f>
        <v>1</v>
      </c>
      <c r="G291" s="2" t="str">
        <f>IF(B291="","",VLOOKUP(B291,'Transacciones CHL'!$A$2:$F$14,6,FALSE))</f>
        <v>Producción / Consumo intermedio</v>
      </c>
      <c r="H291" s="2" t="s">
        <v>1073</v>
      </c>
      <c r="I291" s="2" t="s">
        <v>1011</v>
      </c>
      <c r="J291" s="2" t="s">
        <v>1012</v>
      </c>
      <c r="K291" s="2" t="s">
        <v>1013</v>
      </c>
      <c r="L291" s="2" t="s">
        <v>1014</v>
      </c>
      <c r="M291" s="2">
        <v>2</v>
      </c>
      <c r="N291" s="2" t="s">
        <v>142</v>
      </c>
      <c r="O291" s="15">
        <v>2</v>
      </c>
      <c r="P291" s="15" t="s">
        <v>970</v>
      </c>
    </row>
    <row r="292" spans="1:16">
      <c r="A292" s="2" t="s">
        <v>1477</v>
      </c>
      <c r="B292" s="2">
        <v>1</v>
      </c>
      <c r="C292" s="2" t="str">
        <f>IF(B292="","",VLOOKUP(B292,'Transacciones CHL'!$A$2:$B$14,2,FALSE))</f>
        <v>Producción bruta precio básico</v>
      </c>
      <c r="D292" s="2">
        <f>IF(B292="","",VLOOKUP(B292,'Transacciones CHL'!$A$2:$F$14,3,FALSE))</f>
        <v>1</v>
      </c>
      <c r="E292" s="2" t="str">
        <f>IF(B292="","",VLOOKUP(B292,'Transacciones CHL'!$A$2:$F$14,4,FALSE))</f>
        <v>Producción / Consumo intermedio</v>
      </c>
      <c r="F292" s="2">
        <f>IF(B292="","",VLOOKUP(B292,'Transacciones CHL'!$A$2:$F$14,5,FALSE))</f>
        <v>1</v>
      </c>
      <c r="G292" s="2" t="str">
        <f>IF(B292="","",VLOOKUP(B292,'Transacciones CHL'!$A$2:$F$14,6,FALSE))</f>
        <v>Producción / Consumo intermedio</v>
      </c>
      <c r="H292" s="2" t="s">
        <v>1075</v>
      </c>
      <c r="I292" s="2" t="s">
        <v>1011</v>
      </c>
      <c r="J292" s="2" t="s">
        <v>1012</v>
      </c>
      <c r="K292" s="2" t="s">
        <v>1013</v>
      </c>
      <c r="L292" s="2" t="s">
        <v>1014</v>
      </c>
      <c r="M292" s="2">
        <v>2</v>
      </c>
      <c r="N292" s="2" t="s">
        <v>142</v>
      </c>
      <c r="O292" s="15">
        <v>2</v>
      </c>
      <c r="P292" s="15" t="s">
        <v>970</v>
      </c>
    </row>
    <row r="293" spans="1:16">
      <c r="A293" s="2" t="s">
        <v>1478</v>
      </c>
      <c r="B293" s="2">
        <v>1</v>
      </c>
      <c r="C293" s="2" t="str">
        <f>IF(B293="","",VLOOKUP(B293,'Transacciones CHL'!$A$2:$B$14,2,FALSE))</f>
        <v>Producción bruta precio básico</v>
      </c>
      <c r="D293" s="2">
        <f>IF(B293="","",VLOOKUP(B293,'Transacciones CHL'!$A$2:$F$14,3,FALSE))</f>
        <v>1</v>
      </c>
      <c r="E293" s="2" t="str">
        <f>IF(B293="","",VLOOKUP(B293,'Transacciones CHL'!$A$2:$F$14,4,FALSE))</f>
        <v>Producción / Consumo intermedio</v>
      </c>
      <c r="F293" s="2">
        <f>IF(B293="","",VLOOKUP(B293,'Transacciones CHL'!$A$2:$F$14,5,FALSE))</f>
        <v>1</v>
      </c>
      <c r="G293" s="2" t="str">
        <f>IF(B293="","",VLOOKUP(B293,'Transacciones CHL'!$A$2:$F$14,6,FALSE))</f>
        <v>Producción / Consumo intermedio</v>
      </c>
      <c r="H293" s="2" t="s">
        <v>1077</v>
      </c>
      <c r="I293" s="2" t="s">
        <v>1011</v>
      </c>
      <c r="J293" s="2" t="s">
        <v>1012</v>
      </c>
      <c r="K293" s="2" t="s">
        <v>1013</v>
      </c>
      <c r="L293" s="2" t="s">
        <v>1014</v>
      </c>
      <c r="M293" s="2">
        <v>3</v>
      </c>
      <c r="N293" s="2" t="s">
        <v>67</v>
      </c>
      <c r="O293" s="15">
        <v>2</v>
      </c>
      <c r="P293" s="15" t="s">
        <v>970</v>
      </c>
    </row>
    <row r="294" spans="1:16">
      <c r="A294" s="2" t="s">
        <v>1479</v>
      </c>
      <c r="B294" s="2">
        <v>1</v>
      </c>
      <c r="C294" s="2" t="str">
        <f>IF(B294="","",VLOOKUP(B294,'Transacciones CHL'!$A$2:$B$14,2,FALSE))</f>
        <v>Producción bruta precio básico</v>
      </c>
      <c r="D294" s="2">
        <f>IF(B294="","",VLOOKUP(B294,'Transacciones CHL'!$A$2:$F$14,3,FALSE))</f>
        <v>1</v>
      </c>
      <c r="E294" s="2" t="str">
        <f>IF(B294="","",VLOOKUP(B294,'Transacciones CHL'!$A$2:$F$14,4,FALSE))</f>
        <v>Producción / Consumo intermedio</v>
      </c>
      <c r="F294" s="2">
        <f>IF(B294="","",VLOOKUP(B294,'Transacciones CHL'!$A$2:$F$14,5,FALSE))</f>
        <v>1</v>
      </c>
      <c r="G294" s="2" t="str">
        <f>IF(B294="","",VLOOKUP(B294,'Transacciones CHL'!$A$2:$F$14,6,FALSE))</f>
        <v>Producción / Consumo intermedio</v>
      </c>
      <c r="H294" s="2" t="s">
        <v>1079</v>
      </c>
      <c r="I294" s="2" t="s">
        <v>1011</v>
      </c>
      <c r="J294" s="2" t="s">
        <v>1012</v>
      </c>
      <c r="K294" s="2" t="s">
        <v>1013</v>
      </c>
      <c r="L294" s="2" t="s">
        <v>1014</v>
      </c>
      <c r="M294" s="2">
        <v>3</v>
      </c>
      <c r="N294" s="2" t="s">
        <v>67</v>
      </c>
      <c r="O294" s="15">
        <v>2</v>
      </c>
      <c r="P294" s="15" t="s">
        <v>970</v>
      </c>
    </row>
    <row r="295" spans="1:16">
      <c r="A295" s="2" t="s">
        <v>1480</v>
      </c>
      <c r="B295" s="2">
        <v>1</v>
      </c>
      <c r="C295" s="2" t="str">
        <f>IF(B295="","",VLOOKUP(B295,'Transacciones CHL'!$A$2:$B$14,2,FALSE))</f>
        <v>Producción bruta precio básico</v>
      </c>
      <c r="D295" s="2">
        <f>IF(B295="","",VLOOKUP(B295,'Transacciones CHL'!$A$2:$F$14,3,FALSE))</f>
        <v>1</v>
      </c>
      <c r="E295" s="2" t="str">
        <f>IF(B295="","",VLOOKUP(B295,'Transacciones CHL'!$A$2:$F$14,4,FALSE))</f>
        <v>Producción / Consumo intermedio</v>
      </c>
      <c r="F295" s="2">
        <f>IF(B295="","",VLOOKUP(B295,'Transacciones CHL'!$A$2:$F$14,5,FALSE))</f>
        <v>1</v>
      </c>
      <c r="G295" s="2" t="str">
        <f>IF(B295="","",VLOOKUP(B295,'Transacciones CHL'!$A$2:$F$14,6,FALSE))</f>
        <v>Producción / Consumo intermedio</v>
      </c>
      <c r="H295" s="2" t="s">
        <v>1081</v>
      </c>
      <c r="I295" s="2" t="s">
        <v>1011</v>
      </c>
      <c r="J295" s="2" t="s">
        <v>1012</v>
      </c>
      <c r="K295" s="2" t="s">
        <v>1013</v>
      </c>
      <c r="L295" s="2" t="s">
        <v>1014</v>
      </c>
      <c r="M295" s="2">
        <v>3</v>
      </c>
      <c r="N295" s="2" t="s">
        <v>67</v>
      </c>
      <c r="O295" s="15">
        <v>2</v>
      </c>
      <c r="P295" s="15" t="s">
        <v>970</v>
      </c>
    </row>
    <row r="296" spans="1:16">
      <c r="A296" s="2" t="s">
        <v>1481</v>
      </c>
      <c r="B296" s="2">
        <v>1</v>
      </c>
      <c r="C296" s="2" t="str">
        <f>IF(B296="","",VLOOKUP(B296,'Transacciones CHL'!$A$2:$B$14,2,FALSE))</f>
        <v>Producción bruta precio básico</v>
      </c>
      <c r="D296" s="2">
        <f>IF(B296="","",VLOOKUP(B296,'Transacciones CHL'!$A$2:$F$14,3,FALSE))</f>
        <v>1</v>
      </c>
      <c r="E296" s="2" t="str">
        <f>IF(B296="","",VLOOKUP(B296,'Transacciones CHL'!$A$2:$F$14,4,FALSE))</f>
        <v>Producción / Consumo intermedio</v>
      </c>
      <c r="F296" s="2">
        <f>IF(B296="","",VLOOKUP(B296,'Transacciones CHL'!$A$2:$F$14,5,FALSE))</f>
        <v>1</v>
      </c>
      <c r="G296" s="2" t="str">
        <f>IF(B296="","",VLOOKUP(B296,'Transacciones CHL'!$A$2:$F$14,6,FALSE))</f>
        <v>Producción / Consumo intermedio</v>
      </c>
      <c r="H296" s="2" t="s">
        <v>1083</v>
      </c>
      <c r="I296" s="2" t="s">
        <v>1011</v>
      </c>
      <c r="J296" s="2" t="s">
        <v>1012</v>
      </c>
      <c r="K296" s="2" t="s">
        <v>1013</v>
      </c>
      <c r="L296" s="2" t="s">
        <v>1014</v>
      </c>
      <c r="M296" s="2">
        <v>3</v>
      </c>
      <c r="N296" s="2" t="s">
        <v>67</v>
      </c>
      <c r="O296" s="15">
        <v>2</v>
      </c>
      <c r="P296" s="15" t="s">
        <v>970</v>
      </c>
    </row>
    <row r="297" spans="1:16">
      <c r="A297" s="2" t="s">
        <v>1482</v>
      </c>
      <c r="B297" s="2">
        <v>1</v>
      </c>
      <c r="C297" s="2" t="str">
        <f>IF(B297="","",VLOOKUP(B297,'Transacciones CHL'!$A$2:$B$14,2,FALSE))</f>
        <v>Producción bruta precio básico</v>
      </c>
      <c r="D297" s="2">
        <f>IF(B297="","",VLOOKUP(B297,'Transacciones CHL'!$A$2:$F$14,3,FALSE))</f>
        <v>1</v>
      </c>
      <c r="E297" s="2" t="str">
        <f>IF(B297="","",VLOOKUP(B297,'Transacciones CHL'!$A$2:$F$14,4,FALSE))</f>
        <v>Producción / Consumo intermedio</v>
      </c>
      <c r="F297" s="2">
        <f>IF(B297="","",VLOOKUP(B297,'Transacciones CHL'!$A$2:$F$14,5,FALSE))</f>
        <v>1</v>
      </c>
      <c r="G297" s="2" t="str">
        <f>IF(B297="","",VLOOKUP(B297,'Transacciones CHL'!$A$2:$F$14,6,FALSE))</f>
        <v>Producción / Consumo intermedio</v>
      </c>
      <c r="H297" s="2" t="s">
        <v>1085</v>
      </c>
      <c r="I297" s="2" t="s">
        <v>1011</v>
      </c>
      <c r="J297" s="2" t="s">
        <v>1012</v>
      </c>
      <c r="K297" s="2" t="s">
        <v>1013</v>
      </c>
      <c r="L297" s="2" t="s">
        <v>1014</v>
      </c>
      <c r="M297" s="2">
        <v>3</v>
      </c>
      <c r="N297" s="2" t="s">
        <v>67</v>
      </c>
      <c r="O297" s="15">
        <v>2</v>
      </c>
      <c r="P297" s="15" t="s">
        <v>970</v>
      </c>
    </row>
    <row r="298" spans="1:16">
      <c r="A298" s="2" t="s">
        <v>1483</v>
      </c>
      <c r="B298" s="2">
        <v>1</v>
      </c>
      <c r="C298" s="2" t="str">
        <f>IF(B298="","",VLOOKUP(B298,'Transacciones CHL'!$A$2:$B$14,2,FALSE))</f>
        <v>Producción bruta precio básico</v>
      </c>
      <c r="D298" s="2">
        <f>IF(B298="","",VLOOKUP(B298,'Transacciones CHL'!$A$2:$F$14,3,FALSE))</f>
        <v>1</v>
      </c>
      <c r="E298" s="2" t="str">
        <f>IF(B298="","",VLOOKUP(B298,'Transacciones CHL'!$A$2:$F$14,4,FALSE))</f>
        <v>Producción / Consumo intermedio</v>
      </c>
      <c r="F298" s="2">
        <f>IF(B298="","",VLOOKUP(B298,'Transacciones CHL'!$A$2:$F$14,5,FALSE))</f>
        <v>1</v>
      </c>
      <c r="G298" s="2" t="str">
        <f>IF(B298="","",VLOOKUP(B298,'Transacciones CHL'!$A$2:$F$14,6,FALSE))</f>
        <v>Producción / Consumo intermedio</v>
      </c>
      <c r="H298" s="2" t="s">
        <v>1087</v>
      </c>
      <c r="I298" s="2" t="s">
        <v>1011</v>
      </c>
      <c r="J298" s="2" t="s">
        <v>1012</v>
      </c>
      <c r="K298" s="2" t="s">
        <v>1013</v>
      </c>
      <c r="L298" s="2" t="s">
        <v>1014</v>
      </c>
      <c r="M298" s="2">
        <v>3</v>
      </c>
      <c r="N298" s="2" t="s">
        <v>67</v>
      </c>
      <c r="O298" s="15">
        <v>2</v>
      </c>
      <c r="P298" s="15" t="s">
        <v>970</v>
      </c>
    </row>
    <row r="299" spans="1:16">
      <c r="A299" s="2" t="s">
        <v>1484</v>
      </c>
      <c r="B299" s="2">
        <v>1</v>
      </c>
      <c r="C299" s="2" t="str">
        <f>IF(B299="","",VLOOKUP(B299,'Transacciones CHL'!$A$2:$B$14,2,FALSE))</f>
        <v>Producción bruta precio básico</v>
      </c>
      <c r="D299" s="2">
        <f>IF(B299="","",VLOOKUP(B299,'Transacciones CHL'!$A$2:$F$14,3,FALSE))</f>
        <v>1</v>
      </c>
      <c r="E299" s="2" t="str">
        <f>IF(B299="","",VLOOKUP(B299,'Transacciones CHL'!$A$2:$F$14,4,FALSE))</f>
        <v>Producción / Consumo intermedio</v>
      </c>
      <c r="F299" s="2">
        <f>IF(B299="","",VLOOKUP(B299,'Transacciones CHL'!$A$2:$F$14,5,FALSE))</f>
        <v>1</v>
      </c>
      <c r="G299" s="2" t="str">
        <f>IF(B299="","",VLOOKUP(B299,'Transacciones CHL'!$A$2:$F$14,6,FALSE))</f>
        <v>Producción / Consumo intermedio</v>
      </c>
      <c r="H299" s="2" t="s">
        <v>1089</v>
      </c>
      <c r="I299" s="2" t="s">
        <v>1011</v>
      </c>
      <c r="J299" s="2" t="s">
        <v>1012</v>
      </c>
      <c r="K299" s="2" t="s">
        <v>1013</v>
      </c>
      <c r="L299" s="2" t="s">
        <v>1014</v>
      </c>
      <c r="M299" s="2">
        <v>3</v>
      </c>
      <c r="N299" s="2" t="s">
        <v>67</v>
      </c>
      <c r="O299" s="15">
        <v>2</v>
      </c>
      <c r="P299" s="15" t="s">
        <v>970</v>
      </c>
    </row>
    <row r="300" spans="1:16">
      <c r="A300" s="2" t="s">
        <v>1485</v>
      </c>
      <c r="B300" s="2">
        <v>1</v>
      </c>
      <c r="C300" s="2" t="str">
        <f>IF(B300="","",VLOOKUP(B300,'Transacciones CHL'!$A$2:$B$14,2,FALSE))</f>
        <v>Producción bruta precio básico</v>
      </c>
      <c r="D300" s="2">
        <f>IF(B300="","",VLOOKUP(B300,'Transacciones CHL'!$A$2:$F$14,3,FALSE))</f>
        <v>1</v>
      </c>
      <c r="E300" s="2" t="str">
        <f>IF(B300="","",VLOOKUP(B300,'Transacciones CHL'!$A$2:$F$14,4,FALSE))</f>
        <v>Producción / Consumo intermedio</v>
      </c>
      <c r="F300" s="2">
        <f>IF(B300="","",VLOOKUP(B300,'Transacciones CHL'!$A$2:$F$14,5,FALSE))</f>
        <v>1</v>
      </c>
      <c r="G300" s="2" t="str">
        <f>IF(B300="","",VLOOKUP(B300,'Transacciones CHL'!$A$2:$F$14,6,FALSE))</f>
        <v>Producción / Consumo intermedio</v>
      </c>
      <c r="H300" s="2" t="s">
        <v>1091</v>
      </c>
      <c r="I300" s="2" t="s">
        <v>1011</v>
      </c>
      <c r="J300" s="2" t="s">
        <v>1012</v>
      </c>
      <c r="K300" s="2" t="s">
        <v>1013</v>
      </c>
      <c r="L300" s="2" t="s">
        <v>1014</v>
      </c>
      <c r="M300" s="2">
        <v>3</v>
      </c>
      <c r="N300" s="2" t="s">
        <v>67</v>
      </c>
      <c r="O300" s="15">
        <v>2</v>
      </c>
      <c r="P300" s="15" t="s">
        <v>970</v>
      </c>
    </row>
    <row r="301" spans="1:16">
      <c r="A301" s="2" t="s">
        <v>1486</v>
      </c>
      <c r="B301" s="2">
        <v>1</v>
      </c>
      <c r="C301" s="2" t="str">
        <f>IF(B301="","",VLOOKUP(B301,'Transacciones CHL'!$A$2:$B$14,2,FALSE))</f>
        <v>Producción bruta precio básico</v>
      </c>
      <c r="D301" s="2">
        <f>IF(B301="","",VLOOKUP(B301,'Transacciones CHL'!$A$2:$F$14,3,FALSE))</f>
        <v>1</v>
      </c>
      <c r="E301" s="2" t="str">
        <f>IF(B301="","",VLOOKUP(B301,'Transacciones CHL'!$A$2:$F$14,4,FALSE))</f>
        <v>Producción / Consumo intermedio</v>
      </c>
      <c r="F301" s="2">
        <f>IF(B301="","",VLOOKUP(B301,'Transacciones CHL'!$A$2:$F$14,5,FALSE))</f>
        <v>1</v>
      </c>
      <c r="G301" s="2" t="str">
        <f>IF(B301="","",VLOOKUP(B301,'Transacciones CHL'!$A$2:$F$14,6,FALSE))</f>
        <v>Producción / Consumo intermedio</v>
      </c>
      <c r="H301" s="2" t="s">
        <v>1093</v>
      </c>
      <c r="I301" s="2" t="s">
        <v>1011</v>
      </c>
      <c r="J301" s="2" t="s">
        <v>1012</v>
      </c>
      <c r="K301" s="2" t="s">
        <v>1013</v>
      </c>
      <c r="L301" s="2" t="s">
        <v>1014</v>
      </c>
      <c r="M301" s="2">
        <v>3</v>
      </c>
      <c r="N301" s="2" t="s">
        <v>67</v>
      </c>
      <c r="O301" s="15">
        <v>2</v>
      </c>
      <c r="P301" s="15" t="s">
        <v>970</v>
      </c>
    </row>
    <row r="302" spans="1:16">
      <c r="A302" s="2" t="s">
        <v>1487</v>
      </c>
      <c r="B302" s="2">
        <v>1</v>
      </c>
      <c r="C302" s="2" t="str">
        <f>IF(B302="","",VLOOKUP(B302,'Transacciones CHL'!$A$2:$B$14,2,FALSE))</f>
        <v>Producción bruta precio básico</v>
      </c>
      <c r="D302" s="2">
        <f>IF(B302="","",VLOOKUP(B302,'Transacciones CHL'!$A$2:$F$14,3,FALSE))</f>
        <v>1</v>
      </c>
      <c r="E302" s="2" t="str">
        <f>IF(B302="","",VLOOKUP(B302,'Transacciones CHL'!$A$2:$F$14,4,FALSE))</f>
        <v>Producción / Consumo intermedio</v>
      </c>
      <c r="F302" s="2">
        <f>IF(B302="","",VLOOKUP(B302,'Transacciones CHL'!$A$2:$F$14,5,FALSE))</f>
        <v>1</v>
      </c>
      <c r="G302" s="2" t="str">
        <f>IF(B302="","",VLOOKUP(B302,'Transacciones CHL'!$A$2:$F$14,6,FALSE))</f>
        <v>Producción / Consumo intermedio</v>
      </c>
      <c r="H302" s="2" t="s">
        <v>1095</v>
      </c>
      <c r="I302" s="2" t="s">
        <v>1011</v>
      </c>
      <c r="J302" s="2" t="s">
        <v>1012</v>
      </c>
      <c r="K302" s="2" t="s">
        <v>1013</v>
      </c>
      <c r="L302" s="2" t="s">
        <v>1014</v>
      </c>
      <c r="M302" s="2">
        <v>3</v>
      </c>
      <c r="N302" s="2" t="s">
        <v>67</v>
      </c>
      <c r="O302" s="15">
        <v>2</v>
      </c>
      <c r="P302" s="15" t="s">
        <v>970</v>
      </c>
    </row>
    <row r="303" spans="1:16">
      <c r="A303" s="2" t="s">
        <v>1488</v>
      </c>
      <c r="B303" s="2">
        <v>1</v>
      </c>
      <c r="C303" s="2" t="str">
        <f>IF(B303="","",VLOOKUP(B303,'Transacciones CHL'!$A$2:$B$14,2,FALSE))</f>
        <v>Producción bruta precio básico</v>
      </c>
      <c r="D303" s="2">
        <f>IF(B303="","",VLOOKUP(B303,'Transacciones CHL'!$A$2:$F$14,3,FALSE))</f>
        <v>1</v>
      </c>
      <c r="E303" s="2" t="str">
        <f>IF(B303="","",VLOOKUP(B303,'Transacciones CHL'!$A$2:$F$14,4,FALSE))</f>
        <v>Producción / Consumo intermedio</v>
      </c>
      <c r="F303" s="2">
        <f>IF(B303="","",VLOOKUP(B303,'Transacciones CHL'!$A$2:$F$14,5,FALSE))</f>
        <v>1</v>
      </c>
      <c r="G303" s="2" t="str">
        <f>IF(B303="","",VLOOKUP(B303,'Transacciones CHL'!$A$2:$F$14,6,FALSE))</f>
        <v>Producción / Consumo intermedio</v>
      </c>
      <c r="H303" s="2" t="s">
        <v>1097</v>
      </c>
      <c r="I303" s="2" t="s">
        <v>1011</v>
      </c>
      <c r="J303" s="2" t="s">
        <v>1012</v>
      </c>
      <c r="K303" s="2" t="s">
        <v>1013</v>
      </c>
      <c r="L303" s="2" t="s">
        <v>1014</v>
      </c>
      <c r="M303" s="2">
        <v>3</v>
      </c>
      <c r="N303" s="2" t="s">
        <v>67</v>
      </c>
      <c r="O303" s="15">
        <v>1</v>
      </c>
      <c r="P303" s="15" t="s">
        <v>1065</v>
      </c>
    </row>
    <row r="304" spans="1:16">
      <c r="A304" s="2" t="s">
        <v>1489</v>
      </c>
      <c r="B304" s="2">
        <v>1</v>
      </c>
      <c r="C304" s="2" t="str">
        <f>IF(B304="","",VLOOKUP(B304,'Transacciones CHL'!$A$2:$B$14,2,FALSE))</f>
        <v>Producción bruta precio básico</v>
      </c>
      <c r="D304" s="2">
        <f>IF(B304="","",VLOOKUP(B304,'Transacciones CHL'!$A$2:$F$14,3,FALSE))</f>
        <v>1</v>
      </c>
      <c r="E304" s="2" t="str">
        <f>IF(B304="","",VLOOKUP(B304,'Transacciones CHL'!$A$2:$F$14,4,FALSE))</f>
        <v>Producción / Consumo intermedio</v>
      </c>
      <c r="F304" s="2">
        <f>IF(B304="","",VLOOKUP(B304,'Transacciones CHL'!$A$2:$F$14,5,FALSE))</f>
        <v>1</v>
      </c>
      <c r="G304" s="2" t="str">
        <f>IF(B304="","",VLOOKUP(B304,'Transacciones CHL'!$A$2:$F$14,6,FALSE))</f>
        <v>Producción / Consumo intermedio</v>
      </c>
      <c r="H304" s="2" t="s">
        <v>1099</v>
      </c>
      <c r="I304" s="2" t="s">
        <v>1011</v>
      </c>
      <c r="J304" s="2" t="s">
        <v>1012</v>
      </c>
      <c r="K304" s="2" t="s">
        <v>1013</v>
      </c>
      <c r="L304" s="2" t="s">
        <v>1014</v>
      </c>
      <c r="M304" s="2">
        <v>3</v>
      </c>
      <c r="N304" s="2" t="s">
        <v>67</v>
      </c>
      <c r="O304" s="15">
        <v>2</v>
      </c>
      <c r="P304" s="15" t="s">
        <v>970</v>
      </c>
    </row>
    <row r="305" spans="1:16">
      <c r="A305" s="2" t="s">
        <v>1490</v>
      </c>
      <c r="B305" s="2">
        <v>1</v>
      </c>
      <c r="C305" s="2" t="str">
        <f>IF(B305="","",VLOOKUP(B305,'Transacciones CHL'!$A$2:$B$14,2,FALSE))</f>
        <v>Producción bruta precio básico</v>
      </c>
      <c r="D305" s="2">
        <f>IF(B305="","",VLOOKUP(B305,'Transacciones CHL'!$A$2:$F$14,3,FALSE))</f>
        <v>1</v>
      </c>
      <c r="E305" s="2" t="str">
        <f>IF(B305="","",VLOOKUP(B305,'Transacciones CHL'!$A$2:$F$14,4,FALSE))</f>
        <v>Producción / Consumo intermedio</v>
      </c>
      <c r="F305" s="2">
        <f>IF(B305="","",VLOOKUP(B305,'Transacciones CHL'!$A$2:$F$14,5,FALSE))</f>
        <v>1</v>
      </c>
      <c r="G305" s="2" t="str">
        <f>IF(B305="","",VLOOKUP(B305,'Transacciones CHL'!$A$2:$F$14,6,FALSE))</f>
        <v>Producción / Consumo intermedio</v>
      </c>
      <c r="H305" s="2" t="s">
        <v>1101</v>
      </c>
      <c r="I305" s="2" t="s">
        <v>1011</v>
      </c>
      <c r="J305" s="2" t="s">
        <v>1012</v>
      </c>
      <c r="K305" s="2" t="s">
        <v>1013</v>
      </c>
      <c r="L305" s="2" t="s">
        <v>1014</v>
      </c>
      <c r="M305" s="2">
        <v>3</v>
      </c>
      <c r="N305" s="2" t="s">
        <v>67</v>
      </c>
      <c r="O305" s="15">
        <v>2</v>
      </c>
      <c r="P305" s="15" t="s">
        <v>970</v>
      </c>
    </row>
    <row r="306" spans="1:16">
      <c r="A306" s="2" t="s">
        <v>1491</v>
      </c>
      <c r="B306" s="2">
        <v>1</v>
      </c>
      <c r="C306" s="2" t="str">
        <f>IF(B306="","",VLOOKUP(B306,'Transacciones CHL'!$A$2:$B$14,2,FALSE))</f>
        <v>Producción bruta precio básico</v>
      </c>
      <c r="D306" s="2">
        <f>IF(B306="","",VLOOKUP(B306,'Transacciones CHL'!$A$2:$F$14,3,FALSE))</f>
        <v>1</v>
      </c>
      <c r="E306" s="2" t="str">
        <f>IF(B306="","",VLOOKUP(B306,'Transacciones CHL'!$A$2:$F$14,4,FALSE))</f>
        <v>Producción / Consumo intermedio</v>
      </c>
      <c r="F306" s="2">
        <f>IF(B306="","",VLOOKUP(B306,'Transacciones CHL'!$A$2:$F$14,5,FALSE))</f>
        <v>1</v>
      </c>
      <c r="G306" s="2" t="str">
        <f>IF(B306="","",VLOOKUP(B306,'Transacciones CHL'!$A$2:$F$14,6,FALSE))</f>
        <v>Producción / Consumo intermedio</v>
      </c>
      <c r="H306" s="2" t="s">
        <v>1103</v>
      </c>
      <c r="I306" s="2" t="s">
        <v>1011</v>
      </c>
      <c r="J306" s="2" t="s">
        <v>1012</v>
      </c>
      <c r="K306" s="2" t="s">
        <v>1013</v>
      </c>
      <c r="L306" s="2" t="s">
        <v>1014</v>
      </c>
      <c r="M306" s="2">
        <v>3</v>
      </c>
      <c r="N306" s="2" t="s">
        <v>67</v>
      </c>
      <c r="O306" s="15">
        <v>1</v>
      </c>
      <c r="P306" s="15" t="s">
        <v>1065</v>
      </c>
    </row>
    <row r="307" spans="1:16">
      <c r="A307" s="2" t="s">
        <v>1492</v>
      </c>
      <c r="B307" s="2">
        <v>1</v>
      </c>
      <c r="C307" s="2" t="str">
        <f>IF(B307="","",VLOOKUP(B307,'Transacciones CHL'!$A$2:$B$14,2,FALSE))</f>
        <v>Producción bruta precio básico</v>
      </c>
      <c r="D307" s="2">
        <f>IF(B307="","",VLOOKUP(B307,'Transacciones CHL'!$A$2:$F$14,3,FALSE))</f>
        <v>1</v>
      </c>
      <c r="E307" s="2" t="str">
        <f>IF(B307="","",VLOOKUP(B307,'Transacciones CHL'!$A$2:$F$14,4,FALSE))</f>
        <v>Producción / Consumo intermedio</v>
      </c>
      <c r="F307" s="2">
        <f>IF(B307="","",VLOOKUP(B307,'Transacciones CHL'!$A$2:$F$14,5,FALSE))</f>
        <v>1</v>
      </c>
      <c r="G307" s="2" t="str">
        <f>IF(B307="","",VLOOKUP(B307,'Transacciones CHL'!$A$2:$F$14,6,FALSE))</f>
        <v>Producción / Consumo intermedio</v>
      </c>
      <c r="H307" s="2" t="s">
        <v>1105</v>
      </c>
      <c r="I307" s="2" t="s">
        <v>1106</v>
      </c>
      <c r="J307" s="2" t="s">
        <v>1107</v>
      </c>
      <c r="K307" s="2" t="s">
        <v>1108</v>
      </c>
      <c r="L307" s="2" t="s">
        <v>1109</v>
      </c>
      <c r="M307" s="2">
        <v>3</v>
      </c>
      <c r="N307" s="2" t="s">
        <v>67</v>
      </c>
      <c r="O307" s="15">
        <v>2</v>
      </c>
      <c r="P307" s="15" t="s">
        <v>970</v>
      </c>
    </row>
    <row r="308" spans="1:16">
      <c r="A308" s="2" t="s">
        <v>1493</v>
      </c>
      <c r="B308" s="2">
        <v>1</v>
      </c>
      <c r="C308" s="2" t="str">
        <f>IF(B308="","",VLOOKUP(B308,'Transacciones CHL'!$A$2:$B$14,2,FALSE))</f>
        <v>Producción bruta precio básico</v>
      </c>
      <c r="D308" s="2">
        <f>IF(B308="","",VLOOKUP(B308,'Transacciones CHL'!$A$2:$F$14,3,FALSE))</f>
        <v>1</v>
      </c>
      <c r="E308" s="2" t="str">
        <f>IF(B308="","",VLOOKUP(B308,'Transacciones CHL'!$A$2:$F$14,4,FALSE))</f>
        <v>Producción / Consumo intermedio</v>
      </c>
      <c r="F308" s="2">
        <f>IF(B308="","",VLOOKUP(B308,'Transacciones CHL'!$A$2:$F$14,5,FALSE))</f>
        <v>1</v>
      </c>
      <c r="G308" s="2" t="str">
        <f>IF(B308="","",VLOOKUP(B308,'Transacciones CHL'!$A$2:$F$14,6,FALSE))</f>
        <v>Producción / Consumo intermedio</v>
      </c>
      <c r="H308" s="2" t="s">
        <v>1111</v>
      </c>
      <c r="I308" s="2" t="s">
        <v>1106</v>
      </c>
      <c r="J308" s="2" t="s">
        <v>1107</v>
      </c>
      <c r="K308" s="2" t="s">
        <v>1108</v>
      </c>
      <c r="L308" s="2" t="s">
        <v>1109</v>
      </c>
      <c r="M308" s="2">
        <v>3</v>
      </c>
      <c r="N308" s="2" t="s">
        <v>67</v>
      </c>
      <c r="O308" s="15">
        <v>2</v>
      </c>
      <c r="P308" s="15" t="s">
        <v>970</v>
      </c>
    </row>
    <row r="309" spans="1:16">
      <c r="A309" s="2" t="s">
        <v>1494</v>
      </c>
      <c r="B309" s="2">
        <v>1</v>
      </c>
      <c r="C309" s="2" t="str">
        <f>IF(B309="","",VLOOKUP(B309,'Transacciones CHL'!$A$2:$B$14,2,FALSE))</f>
        <v>Producción bruta precio básico</v>
      </c>
      <c r="D309" s="2">
        <f>IF(B309="","",VLOOKUP(B309,'Transacciones CHL'!$A$2:$F$14,3,FALSE))</f>
        <v>1</v>
      </c>
      <c r="E309" s="2" t="str">
        <f>IF(B309="","",VLOOKUP(B309,'Transacciones CHL'!$A$2:$F$14,4,FALSE))</f>
        <v>Producción / Consumo intermedio</v>
      </c>
      <c r="F309" s="2">
        <f>IF(B309="","",VLOOKUP(B309,'Transacciones CHL'!$A$2:$F$14,5,FALSE))</f>
        <v>1</v>
      </c>
      <c r="G309" s="2" t="str">
        <f>IF(B309="","",VLOOKUP(B309,'Transacciones CHL'!$A$2:$F$14,6,FALSE))</f>
        <v>Producción / Consumo intermedio</v>
      </c>
      <c r="H309" s="2" t="s">
        <v>1113</v>
      </c>
      <c r="I309" s="2" t="s">
        <v>1106</v>
      </c>
      <c r="J309" s="2" t="s">
        <v>1107</v>
      </c>
      <c r="K309" s="2" t="s">
        <v>1108</v>
      </c>
      <c r="L309" s="2" t="s">
        <v>1109</v>
      </c>
      <c r="M309" s="2">
        <v>3</v>
      </c>
      <c r="N309" s="2" t="s">
        <v>67</v>
      </c>
      <c r="O309" s="15">
        <v>2</v>
      </c>
      <c r="P309" s="15" t="s">
        <v>970</v>
      </c>
    </row>
    <row r="310" spans="1:16">
      <c r="A310" s="2" t="s">
        <v>1495</v>
      </c>
      <c r="B310" s="2">
        <v>1</v>
      </c>
      <c r="C310" s="2" t="str">
        <f>IF(B310="","",VLOOKUP(B310,'Transacciones CHL'!$A$2:$B$14,2,FALSE))</f>
        <v>Producción bruta precio básico</v>
      </c>
      <c r="D310" s="2">
        <f>IF(B310="","",VLOOKUP(B310,'Transacciones CHL'!$A$2:$F$14,3,FALSE))</f>
        <v>1</v>
      </c>
      <c r="E310" s="2" t="str">
        <f>IF(B310="","",VLOOKUP(B310,'Transacciones CHL'!$A$2:$F$14,4,FALSE))</f>
        <v>Producción / Consumo intermedio</v>
      </c>
      <c r="F310" s="2">
        <f>IF(B310="","",VLOOKUP(B310,'Transacciones CHL'!$A$2:$F$14,5,FALSE))</f>
        <v>1</v>
      </c>
      <c r="G310" s="2" t="str">
        <f>IF(B310="","",VLOOKUP(B310,'Transacciones CHL'!$A$2:$F$14,6,FALSE))</f>
        <v>Producción / Consumo intermedio</v>
      </c>
      <c r="H310" s="2" t="s">
        <v>1115</v>
      </c>
      <c r="I310" s="2" t="s">
        <v>1106</v>
      </c>
      <c r="J310" s="2" t="s">
        <v>1107</v>
      </c>
      <c r="K310" s="2" t="s">
        <v>1108</v>
      </c>
      <c r="L310" s="2" t="s">
        <v>1109</v>
      </c>
      <c r="M310" s="2">
        <v>3</v>
      </c>
      <c r="N310" s="2" t="s">
        <v>67</v>
      </c>
      <c r="O310" s="15">
        <v>2</v>
      </c>
      <c r="P310" s="15" t="s">
        <v>970</v>
      </c>
    </row>
    <row r="311" spans="1:16">
      <c r="A311" s="2" t="s">
        <v>1496</v>
      </c>
      <c r="B311" s="2">
        <v>1</v>
      </c>
      <c r="C311" s="2" t="str">
        <f>IF(B311="","",VLOOKUP(B311,'Transacciones CHL'!$A$2:$B$14,2,FALSE))</f>
        <v>Producción bruta precio básico</v>
      </c>
      <c r="D311" s="2">
        <f>IF(B311="","",VLOOKUP(B311,'Transacciones CHL'!$A$2:$F$14,3,FALSE))</f>
        <v>1</v>
      </c>
      <c r="E311" s="2" t="str">
        <f>IF(B311="","",VLOOKUP(B311,'Transacciones CHL'!$A$2:$F$14,4,FALSE))</f>
        <v>Producción / Consumo intermedio</v>
      </c>
      <c r="F311" s="2">
        <f>IF(B311="","",VLOOKUP(B311,'Transacciones CHL'!$A$2:$F$14,5,FALSE))</f>
        <v>1</v>
      </c>
      <c r="G311" s="2" t="str">
        <f>IF(B311="","",VLOOKUP(B311,'Transacciones CHL'!$A$2:$F$14,6,FALSE))</f>
        <v>Producción / Consumo intermedio</v>
      </c>
      <c r="H311" s="2" t="s">
        <v>1117</v>
      </c>
      <c r="I311" s="2" t="s">
        <v>1118</v>
      </c>
      <c r="J311" s="2" t="s">
        <v>1119</v>
      </c>
      <c r="K311" s="2" t="s">
        <v>1117</v>
      </c>
      <c r="L311" s="2" t="s">
        <v>1120</v>
      </c>
      <c r="M311" s="2">
        <v>2</v>
      </c>
      <c r="N311" s="2" t="s">
        <v>142</v>
      </c>
      <c r="O311" s="15">
        <v>2</v>
      </c>
      <c r="P311" s="15" t="s">
        <v>970</v>
      </c>
    </row>
    <row r="312" spans="1:16">
      <c r="A312" s="2" t="s">
        <v>1497</v>
      </c>
      <c r="B312" s="2">
        <v>1</v>
      </c>
      <c r="C312" s="2" t="str">
        <f>IF(B312="","",VLOOKUP(B312,'Transacciones CHL'!$A$2:$B$14,2,FALSE))</f>
        <v>Producción bruta precio básico</v>
      </c>
      <c r="D312" s="2">
        <f>IF(B312="","",VLOOKUP(B312,'Transacciones CHL'!$A$2:$F$14,3,FALSE))</f>
        <v>1</v>
      </c>
      <c r="E312" s="2" t="str">
        <f>IF(B312="","",VLOOKUP(B312,'Transacciones CHL'!$A$2:$F$14,4,FALSE))</f>
        <v>Producción / Consumo intermedio</v>
      </c>
      <c r="F312" s="2">
        <f>IF(B312="","",VLOOKUP(B312,'Transacciones CHL'!$A$2:$F$14,5,FALSE))</f>
        <v>1</v>
      </c>
      <c r="G312" s="2" t="str">
        <f>IF(B312="","",VLOOKUP(B312,'Transacciones CHL'!$A$2:$F$14,6,FALSE))</f>
        <v>Producción / Consumo intermedio</v>
      </c>
      <c r="H312" s="2" t="s">
        <v>1122</v>
      </c>
      <c r="I312" s="2" t="s">
        <v>1118</v>
      </c>
      <c r="J312" s="2" t="s">
        <v>1119</v>
      </c>
      <c r="K312" s="2" t="s">
        <v>1117</v>
      </c>
      <c r="L312" s="2" t="s">
        <v>1120</v>
      </c>
      <c r="M312" s="2">
        <v>2</v>
      </c>
      <c r="N312" s="2" t="s">
        <v>142</v>
      </c>
      <c r="O312" s="15">
        <v>2</v>
      </c>
      <c r="P312" s="15" t="s">
        <v>970</v>
      </c>
    </row>
    <row r="313" spans="1:16">
      <c r="A313" s="2" t="s">
        <v>1498</v>
      </c>
      <c r="B313" s="2">
        <v>1</v>
      </c>
      <c r="C313" s="2" t="str">
        <f>IF(B313="","",VLOOKUP(B313,'Transacciones CHL'!$A$2:$B$14,2,FALSE))</f>
        <v>Producción bruta precio básico</v>
      </c>
      <c r="D313" s="2">
        <f>IF(B313="","",VLOOKUP(B313,'Transacciones CHL'!$A$2:$F$14,3,FALSE))</f>
        <v>1</v>
      </c>
      <c r="E313" s="2" t="str">
        <f>IF(B313="","",VLOOKUP(B313,'Transacciones CHL'!$A$2:$F$14,4,FALSE))</f>
        <v>Producción / Consumo intermedio</v>
      </c>
      <c r="F313" s="2">
        <f>IF(B313="","",VLOOKUP(B313,'Transacciones CHL'!$A$2:$F$14,5,FALSE))</f>
        <v>1</v>
      </c>
      <c r="G313" s="2" t="str">
        <f>IF(B313="","",VLOOKUP(B313,'Transacciones CHL'!$A$2:$F$14,6,FALSE))</f>
        <v>Producción / Consumo intermedio</v>
      </c>
      <c r="H313" s="2" t="s">
        <v>1124</v>
      </c>
      <c r="I313" s="2" t="s">
        <v>1125</v>
      </c>
      <c r="J313" s="2" t="s">
        <v>1126</v>
      </c>
      <c r="K313" s="2" t="s">
        <v>1126</v>
      </c>
      <c r="L313" s="2" t="s">
        <v>1127</v>
      </c>
      <c r="M313" s="2">
        <v>3</v>
      </c>
      <c r="N313" s="2" t="s">
        <v>67</v>
      </c>
      <c r="O313" s="15">
        <v>2</v>
      </c>
      <c r="P313" s="15" t="s">
        <v>970</v>
      </c>
    </row>
    <row r="314" spans="1:16">
      <c r="A314" s="2" t="s">
        <v>1499</v>
      </c>
      <c r="B314" s="2">
        <v>1</v>
      </c>
      <c r="C314" s="2" t="str">
        <f>IF(B314="","",VLOOKUP(B314,'Transacciones CHL'!$A$2:$B$14,2,FALSE))</f>
        <v>Producción bruta precio básico</v>
      </c>
      <c r="D314" s="2">
        <f>IF(B314="","",VLOOKUP(B314,'Transacciones CHL'!$A$2:$F$14,3,FALSE))</f>
        <v>1</v>
      </c>
      <c r="E314" s="2" t="str">
        <f>IF(B314="","",VLOOKUP(B314,'Transacciones CHL'!$A$2:$F$14,4,FALSE))</f>
        <v>Producción / Consumo intermedio</v>
      </c>
      <c r="F314" s="2">
        <f>IF(B314="","",VLOOKUP(B314,'Transacciones CHL'!$A$2:$F$14,5,FALSE))</f>
        <v>1</v>
      </c>
      <c r="G314" s="2" t="str">
        <f>IF(B314="","",VLOOKUP(B314,'Transacciones CHL'!$A$2:$F$14,6,FALSE))</f>
        <v>Producción / Consumo intermedio</v>
      </c>
      <c r="H314" s="2" t="s">
        <v>1129</v>
      </c>
      <c r="I314" s="2" t="s">
        <v>1125</v>
      </c>
      <c r="J314" s="2" t="s">
        <v>1126</v>
      </c>
      <c r="K314" s="2" t="s">
        <v>1126</v>
      </c>
      <c r="L314" s="2" t="s">
        <v>1127</v>
      </c>
      <c r="M314" s="2">
        <v>3</v>
      </c>
      <c r="N314" s="2" t="s">
        <v>67</v>
      </c>
      <c r="O314" s="15">
        <v>2</v>
      </c>
      <c r="P314" s="15" t="s">
        <v>970</v>
      </c>
    </row>
    <row r="315" spans="1:16">
      <c r="A315" s="2" t="s">
        <v>1500</v>
      </c>
      <c r="B315" s="2">
        <v>1</v>
      </c>
      <c r="C315" s="2" t="str">
        <f>IF(B315="","",VLOOKUP(B315,'Transacciones CHL'!$A$2:$B$14,2,FALSE))</f>
        <v>Producción bruta precio básico</v>
      </c>
      <c r="D315" s="2">
        <f>IF(B315="","",VLOOKUP(B315,'Transacciones CHL'!$A$2:$F$14,3,FALSE))</f>
        <v>1</v>
      </c>
      <c r="E315" s="2" t="str">
        <f>IF(B315="","",VLOOKUP(B315,'Transacciones CHL'!$A$2:$F$14,4,FALSE))</f>
        <v>Producción / Consumo intermedio</v>
      </c>
      <c r="F315" s="2">
        <f>IF(B315="","",VLOOKUP(B315,'Transacciones CHL'!$A$2:$F$14,5,FALSE))</f>
        <v>1</v>
      </c>
      <c r="G315" s="2" t="str">
        <f>IF(B315="","",VLOOKUP(B315,'Transacciones CHL'!$A$2:$F$14,6,FALSE))</f>
        <v>Producción / Consumo intermedio</v>
      </c>
      <c r="H315" s="2" t="s">
        <v>1131</v>
      </c>
      <c r="I315" s="2" t="s">
        <v>1125</v>
      </c>
      <c r="J315" s="2" t="s">
        <v>1126</v>
      </c>
      <c r="K315" s="2" t="s">
        <v>1126</v>
      </c>
      <c r="L315" s="2" t="s">
        <v>1127</v>
      </c>
      <c r="M315" s="2">
        <v>3</v>
      </c>
      <c r="N315" s="2" t="s">
        <v>67</v>
      </c>
      <c r="O315" s="15">
        <v>2</v>
      </c>
      <c r="P315" s="15" t="s">
        <v>970</v>
      </c>
    </row>
    <row r="316" spans="1:16">
      <c r="A316" s="2" t="s">
        <v>1501</v>
      </c>
      <c r="B316" s="2">
        <v>1</v>
      </c>
      <c r="C316" s="2" t="str">
        <f>IF(B316="","",VLOOKUP(B316,'Transacciones CHL'!$A$2:$B$14,2,FALSE))</f>
        <v>Producción bruta precio básico</v>
      </c>
      <c r="D316" s="2">
        <f>IF(B316="","",VLOOKUP(B316,'Transacciones CHL'!$A$2:$F$14,3,FALSE))</f>
        <v>1</v>
      </c>
      <c r="E316" s="2" t="str">
        <f>IF(B316="","",VLOOKUP(B316,'Transacciones CHL'!$A$2:$F$14,4,FALSE))</f>
        <v>Producción / Consumo intermedio</v>
      </c>
      <c r="F316" s="2">
        <f>IF(B316="","",VLOOKUP(B316,'Transacciones CHL'!$A$2:$F$14,5,FALSE))</f>
        <v>1</v>
      </c>
      <c r="G316" s="2" t="str">
        <f>IF(B316="","",VLOOKUP(B316,'Transacciones CHL'!$A$2:$F$14,6,FALSE))</f>
        <v>Producción / Consumo intermedio</v>
      </c>
      <c r="H316" s="2" t="s">
        <v>1133</v>
      </c>
      <c r="I316" s="2" t="s">
        <v>1125</v>
      </c>
      <c r="J316" s="2" t="s">
        <v>1126</v>
      </c>
      <c r="K316" s="2" t="s">
        <v>1126</v>
      </c>
      <c r="L316" s="2" t="s">
        <v>1127</v>
      </c>
      <c r="M316" s="2">
        <v>3</v>
      </c>
      <c r="N316" s="2" t="s">
        <v>67</v>
      </c>
      <c r="O316" s="15">
        <v>2</v>
      </c>
      <c r="P316" s="15" t="s">
        <v>970</v>
      </c>
    </row>
    <row r="317" spans="1:16">
      <c r="A317" s="2" t="s">
        <v>1502</v>
      </c>
      <c r="B317" s="2">
        <v>1</v>
      </c>
      <c r="C317" s="2" t="str">
        <f>IF(B317="","",VLOOKUP(B317,'Transacciones CHL'!$A$2:$B$14,2,FALSE))</f>
        <v>Producción bruta precio básico</v>
      </c>
      <c r="D317" s="2">
        <f>IF(B317="","",VLOOKUP(B317,'Transacciones CHL'!$A$2:$F$14,3,FALSE))</f>
        <v>1</v>
      </c>
      <c r="E317" s="2" t="str">
        <f>IF(B317="","",VLOOKUP(B317,'Transacciones CHL'!$A$2:$F$14,4,FALSE))</f>
        <v>Producción / Consumo intermedio</v>
      </c>
      <c r="F317" s="2">
        <f>IF(B317="","",VLOOKUP(B317,'Transacciones CHL'!$A$2:$F$14,5,FALSE))</f>
        <v>1</v>
      </c>
      <c r="G317" s="2" t="str">
        <f>IF(B317="","",VLOOKUP(B317,'Transacciones CHL'!$A$2:$F$14,6,FALSE))</f>
        <v>Producción / Consumo intermedio</v>
      </c>
      <c r="H317" s="2" t="s">
        <v>1135</v>
      </c>
      <c r="I317" s="2" t="s">
        <v>1136</v>
      </c>
      <c r="J317" s="2" t="s">
        <v>1137</v>
      </c>
      <c r="K317" s="2" t="s">
        <v>1138</v>
      </c>
      <c r="L317" s="2" t="s">
        <v>1139</v>
      </c>
      <c r="M317" s="2">
        <v>3</v>
      </c>
      <c r="N317" s="2" t="s">
        <v>67</v>
      </c>
      <c r="O317" s="15">
        <v>2</v>
      </c>
      <c r="P317" s="15" t="s">
        <v>970</v>
      </c>
    </row>
    <row r="318" spans="1:16">
      <c r="A318" s="2" t="s">
        <v>1503</v>
      </c>
      <c r="B318" s="2">
        <v>1</v>
      </c>
      <c r="C318" s="2" t="str">
        <f>IF(B318="","",VLOOKUP(B318,'Transacciones CHL'!$A$2:$B$14,2,FALSE))</f>
        <v>Producción bruta precio básico</v>
      </c>
      <c r="D318" s="2">
        <f>IF(B318="","",VLOOKUP(B318,'Transacciones CHL'!$A$2:$F$14,3,FALSE))</f>
        <v>1</v>
      </c>
      <c r="E318" s="2" t="str">
        <f>IF(B318="","",VLOOKUP(B318,'Transacciones CHL'!$A$2:$F$14,4,FALSE))</f>
        <v>Producción / Consumo intermedio</v>
      </c>
      <c r="F318" s="2">
        <f>IF(B318="","",VLOOKUP(B318,'Transacciones CHL'!$A$2:$F$14,5,FALSE))</f>
        <v>1</v>
      </c>
      <c r="G318" s="2" t="str">
        <f>IF(B318="","",VLOOKUP(B318,'Transacciones CHL'!$A$2:$F$14,6,FALSE))</f>
        <v>Producción / Consumo intermedio</v>
      </c>
      <c r="H318" s="2" t="s">
        <v>1141</v>
      </c>
      <c r="I318" s="2" t="s">
        <v>1136</v>
      </c>
      <c r="J318" s="2" t="s">
        <v>1137</v>
      </c>
      <c r="K318" s="2" t="s">
        <v>1138</v>
      </c>
      <c r="L318" s="2" t="s">
        <v>1139</v>
      </c>
      <c r="M318" s="2">
        <v>3</v>
      </c>
      <c r="N318" s="2" t="s">
        <v>67</v>
      </c>
      <c r="O318" s="15">
        <v>2</v>
      </c>
      <c r="P318" s="15" t="s">
        <v>970</v>
      </c>
    </row>
    <row r="319" spans="1:16">
      <c r="A319" s="2" t="s">
        <v>1504</v>
      </c>
      <c r="B319" s="2">
        <v>1</v>
      </c>
      <c r="C319" s="2" t="str">
        <f>IF(B319="","",VLOOKUP(B319,'Transacciones CHL'!$A$2:$B$14,2,FALSE))</f>
        <v>Producción bruta precio básico</v>
      </c>
      <c r="D319" s="2">
        <f>IF(B319="","",VLOOKUP(B319,'Transacciones CHL'!$A$2:$F$14,3,FALSE))</f>
        <v>1</v>
      </c>
      <c r="E319" s="2" t="str">
        <f>IF(B319="","",VLOOKUP(B319,'Transacciones CHL'!$A$2:$F$14,4,FALSE))</f>
        <v>Producción / Consumo intermedio</v>
      </c>
      <c r="F319" s="2">
        <f>IF(B319="","",VLOOKUP(B319,'Transacciones CHL'!$A$2:$F$14,5,FALSE))</f>
        <v>1</v>
      </c>
      <c r="G319" s="2" t="str">
        <f>IF(B319="","",VLOOKUP(B319,'Transacciones CHL'!$A$2:$F$14,6,FALSE))</f>
        <v>Producción / Consumo intermedio</v>
      </c>
      <c r="H319" s="2" t="s">
        <v>1143</v>
      </c>
      <c r="I319" s="2" t="s">
        <v>1136</v>
      </c>
      <c r="J319" s="2" t="s">
        <v>1137</v>
      </c>
      <c r="K319" s="2" t="s">
        <v>1138</v>
      </c>
      <c r="L319" s="2" t="s">
        <v>1139</v>
      </c>
      <c r="M319" s="2">
        <v>3</v>
      </c>
      <c r="N319" s="2" t="s">
        <v>67</v>
      </c>
      <c r="O319" s="15">
        <v>1</v>
      </c>
      <c r="P319" s="15" t="s">
        <v>1065</v>
      </c>
    </row>
    <row r="320" spans="1:16">
      <c r="A320" s="2" t="s">
        <v>1505</v>
      </c>
      <c r="B320" s="2">
        <v>1</v>
      </c>
      <c r="C320" s="2" t="str">
        <f>IF(B320="","",VLOOKUP(B320,'Transacciones CHL'!$A$2:$B$14,2,FALSE))</f>
        <v>Producción bruta precio básico</v>
      </c>
      <c r="D320" s="2">
        <f>IF(B320="","",VLOOKUP(B320,'Transacciones CHL'!$A$2:$F$14,3,FALSE))</f>
        <v>1</v>
      </c>
      <c r="E320" s="2" t="str">
        <f>IF(B320="","",VLOOKUP(B320,'Transacciones CHL'!$A$2:$F$14,4,FALSE))</f>
        <v>Producción / Consumo intermedio</v>
      </c>
      <c r="F320" s="2">
        <f>IF(B320="","",VLOOKUP(B320,'Transacciones CHL'!$A$2:$F$14,5,FALSE))</f>
        <v>1</v>
      </c>
      <c r="G320" s="2" t="str">
        <f>IF(B320="","",VLOOKUP(B320,'Transacciones CHL'!$A$2:$F$14,6,FALSE))</f>
        <v>Producción / Consumo intermedio</v>
      </c>
      <c r="H320" s="2" t="s">
        <v>1145</v>
      </c>
      <c r="I320" s="2" t="s">
        <v>1146</v>
      </c>
      <c r="J320" s="2" t="s">
        <v>1147</v>
      </c>
      <c r="K320" s="2" t="s">
        <v>1148</v>
      </c>
      <c r="L320" s="2" t="s">
        <v>1149</v>
      </c>
      <c r="M320" s="2">
        <v>3</v>
      </c>
      <c r="N320" s="2" t="s">
        <v>67</v>
      </c>
      <c r="O320" s="15">
        <v>2</v>
      </c>
      <c r="P320" s="15" t="s">
        <v>970</v>
      </c>
    </row>
    <row r="321" spans="1:16">
      <c r="A321" s="2" t="s">
        <v>1506</v>
      </c>
      <c r="B321" s="2">
        <v>1</v>
      </c>
      <c r="C321" s="2" t="str">
        <f>IF(B321="","",VLOOKUP(B321,'Transacciones CHL'!$A$2:$B$14,2,FALSE))</f>
        <v>Producción bruta precio básico</v>
      </c>
      <c r="D321" s="2">
        <f>IF(B321="","",VLOOKUP(B321,'Transacciones CHL'!$A$2:$F$14,3,FALSE))</f>
        <v>1</v>
      </c>
      <c r="E321" s="2" t="str">
        <f>IF(B321="","",VLOOKUP(B321,'Transacciones CHL'!$A$2:$F$14,4,FALSE))</f>
        <v>Producción / Consumo intermedio</v>
      </c>
      <c r="F321" s="2">
        <f>IF(B321="","",VLOOKUP(B321,'Transacciones CHL'!$A$2:$F$14,5,FALSE))</f>
        <v>1</v>
      </c>
      <c r="G321" s="2" t="str">
        <f>IF(B321="","",VLOOKUP(B321,'Transacciones CHL'!$A$2:$F$14,6,FALSE))</f>
        <v>Producción / Consumo intermedio</v>
      </c>
      <c r="H321" s="2" t="s">
        <v>1151</v>
      </c>
      <c r="I321" s="2" t="s">
        <v>1146</v>
      </c>
      <c r="J321" s="2" t="s">
        <v>1147</v>
      </c>
      <c r="K321" s="2" t="s">
        <v>1148</v>
      </c>
      <c r="L321" s="2" t="s">
        <v>1149</v>
      </c>
      <c r="M321" s="2">
        <v>2</v>
      </c>
      <c r="N321" s="2" t="s">
        <v>142</v>
      </c>
      <c r="O321" s="15">
        <v>2</v>
      </c>
      <c r="P321" s="15" t="s">
        <v>970</v>
      </c>
    </row>
    <row r="322" spans="1:16">
      <c r="A322" s="2" t="s">
        <v>1507</v>
      </c>
      <c r="B322" s="2">
        <v>1</v>
      </c>
      <c r="C322" s="2" t="str">
        <f>IF(B322="","",VLOOKUP(B322,'Transacciones CHL'!$A$2:$B$14,2,FALSE))</f>
        <v>Producción bruta precio básico</v>
      </c>
      <c r="D322" s="2">
        <f>IF(B322="","",VLOOKUP(B322,'Transacciones CHL'!$A$2:$F$14,3,FALSE))</f>
        <v>1</v>
      </c>
      <c r="E322" s="2" t="str">
        <f>IF(B322="","",VLOOKUP(B322,'Transacciones CHL'!$A$2:$F$14,4,FALSE))</f>
        <v>Producción / Consumo intermedio</v>
      </c>
      <c r="F322" s="2">
        <f>IF(B322="","",VLOOKUP(B322,'Transacciones CHL'!$A$2:$F$14,5,FALSE))</f>
        <v>1</v>
      </c>
      <c r="G322" s="2" t="str">
        <f>IF(B322="","",VLOOKUP(B322,'Transacciones CHL'!$A$2:$F$14,6,FALSE))</f>
        <v>Producción / Consumo intermedio</v>
      </c>
      <c r="H322" s="2" t="s">
        <v>1153</v>
      </c>
      <c r="I322" s="2" t="s">
        <v>1154</v>
      </c>
      <c r="J322" s="2" t="s">
        <v>1155</v>
      </c>
      <c r="K322" s="2" t="s">
        <v>1155</v>
      </c>
      <c r="L322" s="2" t="s">
        <v>1156</v>
      </c>
      <c r="M322" s="2">
        <v>3</v>
      </c>
      <c r="N322" s="2" t="s">
        <v>67</v>
      </c>
      <c r="O322" s="15">
        <v>2</v>
      </c>
      <c r="P322" s="15" t="s">
        <v>970</v>
      </c>
    </row>
    <row r="323" spans="1:16">
      <c r="A323" s="2" t="s">
        <v>1508</v>
      </c>
      <c r="B323" s="2">
        <v>1</v>
      </c>
      <c r="C323" s="2" t="str">
        <f>IF(B323="","",VLOOKUP(B323,'Transacciones CHL'!$A$2:$B$14,2,FALSE))</f>
        <v>Producción bruta precio básico</v>
      </c>
      <c r="D323" s="2">
        <f>IF(B323="","",VLOOKUP(B323,'Transacciones CHL'!$A$2:$F$14,3,FALSE))</f>
        <v>1</v>
      </c>
      <c r="E323" s="2" t="str">
        <f>IF(B323="","",VLOOKUP(B323,'Transacciones CHL'!$A$2:$F$14,4,FALSE))</f>
        <v>Producción / Consumo intermedio</v>
      </c>
      <c r="F323" s="2">
        <f>IF(B323="","",VLOOKUP(B323,'Transacciones CHL'!$A$2:$F$14,5,FALSE))</f>
        <v>1</v>
      </c>
      <c r="G323" s="2" t="str">
        <f>IF(B323="","",VLOOKUP(B323,'Transacciones CHL'!$A$2:$F$14,6,FALSE))</f>
        <v>Producción / Consumo intermedio</v>
      </c>
      <c r="H323" s="2" t="s">
        <v>1158</v>
      </c>
      <c r="I323" s="2" t="s">
        <v>1154</v>
      </c>
      <c r="J323" s="2" t="s">
        <v>1155</v>
      </c>
      <c r="K323" s="2" t="s">
        <v>1155</v>
      </c>
      <c r="L323" s="2" t="s">
        <v>1156</v>
      </c>
      <c r="M323" s="2">
        <v>3</v>
      </c>
      <c r="N323" s="2" t="s">
        <v>67</v>
      </c>
      <c r="O323" s="15">
        <v>2</v>
      </c>
      <c r="P323" s="15" t="s">
        <v>970</v>
      </c>
    </row>
    <row r="324" spans="1:16">
      <c r="A324" s="2" t="s">
        <v>1509</v>
      </c>
      <c r="B324" s="2">
        <v>1</v>
      </c>
      <c r="C324" s="2" t="str">
        <f>IF(B324="","",VLOOKUP(B324,'Transacciones CHL'!$A$2:$B$14,2,FALSE))</f>
        <v>Producción bruta precio básico</v>
      </c>
      <c r="D324" s="2">
        <f>IF(B324="","",VLOOKUP(B324,'Transacciones CHL'!$A$2:$F$14,3,FALSE))</f>
        <v>1</v>
      </c>
      <c r="E324" s="2" t="str">
        <f>IF(B324="","",VLOOKUP(B324,'Transacciones CHL'!$A$2:$F$14,4,FALSE))</f>
        <v>Producción / Consumo intermedio</v>
      </c>
      <c r="F324" s="2">
        <f>IF(B324="","",VLOOKUP(B324,'Transacciones CHL'!$A$2:$F$14,5,FALSE))</f>
        <v>1</v>
      </c>
      <c r="G324" s="2" t="str">
        <f>IF(B324="","",VLOOKUP(B324,'Transacciones CHL'!$A$2:$F$14,6,FALSE))</f>
        <v>Producción / Consumo intermedio</v>
      </c>
      <c r="H324" s="2" t="s">
        <v>1160</v>
      </c>
      <c r="I324" s="2" t="s">
        <v>1154</v>
      </c>
      <c r="J324" s="2" t="s">
        <v>1155</v>
      </c>
      <c r="K324" s="2" t="s">
        <v>1155</v>
      </c>
      <c r="L324" s="2" t="s">
        <v>1156</v>
      </c>
      <c r="M324" s="2">
        <v>3</v>
      </c>
      <c r="N324" s="2" t="s">
        <v>67</v>
      </c>
      <c r="O324" s="15">
        <v>2</v>
      </c>
      <c r="P324" s="15" t="s">
        <v>970</v>
      </c>
    </row>
    <row r="325" spans="1:16">
      <c r="A325" s="2" t="s">
        <v>1510</v>
      </c>
      <c r="B325" s="2">
        <v>1</v>
      </c>
      <c r="C325" s="2" t="str">
        <f>IF(B325="","",VLOOKUP(B325,'Transacciones CHL'!$A$2:$B$14,2,FALSE))</f>
        <v>Producción bruta precio básico</v>
      </c>
      <c r="D325" s="2">
        <f>IF(B325="","",VLOOKUP(B325,'Transacciones CHL'!$A$2:$F$14,3,FALSE))</f>
        <v>1</v>
      </c>
      <c r="E325" s="2" t="str">
        <f>IF(B325="","",VLOOKUP(B325,'Transacciones CHL'!$A$2:$F$14,4,FALSE))</f>
        <v>Producción / Consumo intermedio</v>
      </c>
      <c r="F325" s="2">
        <f>IF(B325="","",VLOOKUP(B325,'Transacciones CHL'!$A$2:$F$14,5,FALSE))</f>
        <v>1</v>
      </c>
      <c r="G325" s="2" t="str">
        <f>IF(B325="","",VLOOKUP(B325,'Transacciones CHL'!$A$2:$F$14,6,FALSE))</f>
        <v>Producción / Consumo intermedio</v>
      </c>
      <c r="H325" s="2" t="s">
        <v>298</v>
      </c>
      <c r="I325" s="2" t="s">
        <v>1154</v>
      </c>
      <c r="J325" s="2" t="s">
        <v>1155</v>
      </c>
      <c r="K325" s="2" t="s">
        <v>1155</v>
      </c>
      <c r="L325" s="2" t="s">
        <v>1156</v>
      </c>
      <c r="M325" s="2">
        <v>3</v>
      </c>
      <c r="N325" s="2" t="s">
        <v>67</v>
      </c>
      <c r="O325" s="15">
        <v>2</v>
      </c>
      <c r="P325" s="15" t="s">
        <v>970</v>
      </c>
    </row>
    <row r="326" spans="1:16">
      <c r="A326" s="2" t="s">
        <v>1511</v>
      </c>
      <c r="B326" s="2">
        <v>1</v>
      </c>
      <c r="C326" s="2" t="str">
        <f>IF(B326="","",VLOOKUP(B326,'Transacciones CHL'!$A$2:$B$14,2,FALSE))</f>
        <v>Producción bruta precio básico</v>
      </c>
      <c r="D326" s="2">
        <f>IF(B326="","",VLOOKUP(B326,'Transacciones CHL'!$A$2:$F$14,3,FALSE))</f>
        <v>1</v>
      </c>
      <c r="E326" s="2" t="str">
        <f>IF(B326="","",VLOOKUP(B326,'Transacciones CHL'!$A$2:$F$14,4,FALSE))</f>
        <v>Producción / Consumo intermedio</v>
      </c>
      <c r="F326" s="2">
        <f>IF(B326="","",VLOOKUP(B326,'Transacciones CHL'!$A$2:$F$14,5,FALSE))</f>
        <v>1</v>
      </c>
      <c r="G326" s="2" t="str">
        <f>IF(B326="","",VLOOKUP(B326,'Transacciones CHL'!$A$2:$F$14,6,FALSE))</f>
        <v>Producción / Consumo intermedio</v>
      </c>
      <c r="H326" s="2" t="s">
        <v>1163</v>
      </c>
      <c r="I326" s="2" t="s">
        <v>1154</v>
      </c>
      <c r="J326" s="2" t="s">
        <v>1155</v>
      </c>
      <c r="K326" s="2" t="s">
        <v>1155</v>
      </c>
      <c r="L326" s="2" t="s">
        <v>1156</v>
      </c>
      <c r="M326" s="2">
        <v>3</v>
      </c>
      <c r="N326" s="2" t="s">
        <v>67</v>
      </c>
      <c r="O326" s="15">
        <v>2</v>
      </c>
      <c r="P326" s="15" t="s">
        <v>970</v>
      </c>
    </row>
    <row r="327" spans="1:16">
      <c r="A327" s="2" t="s">
        <v>1512</v>
      </c>
      <c r="B327" s="2">
        <v>1</v>
      </c>
      <c r="C327" s="2" t="str">
        <f>IF(B327="","",VLOOKUP(B327,'Transacciones CHL'!$A$2:$B$14,2,FALSE))</f>
        <v>Producción bruta precio básico</v>
      </c>
      <c r="D327" s="2">
        <f>IF(B327="","",VLOOKUP(B327,'Transacciones CHL'!$A$2:$F$14,3,FALSE))</f>
        <v>1</v>
      </c>
      <c r="E327" s="2" t="str">
        <f>IF(B327="","",VLOOKUP(B327,'Transacciones CHL'!$A$2:$F$14,4,FALSE))</f>
        <v>Producción / Consumo intermedio</v>
      </c>
      <c r="F327" s="2">
        <f>IF(B327="","",VLOOKUP(B327,'Transacciones CHL'!$A$2:$F$14,5,FALSE))</f>
        <v>1</v>
      </c>
      <c r="G327" s="2" t="str">
        <f>IF(B327="","",VLOOKUP(B327,'Transacciones CHL'!$A$2:$F$14,6,FALSE))</f>
        <v>Producción / Consumo intermedio</v>
      </c>
      <c r="H327" s="2" t="s">
        <v>1165</v>
      </c>
      <c r="I327" s="2" t="s">
        <v>1154</v>
      </c>
      <c r="J327" s="2" t="s">
        <v>1155</v>
      </c>
      <c r="K327" s="2" t="s">
        <v>1155</v>
      </c>
      <c r="L327" s="2" t="s">
        <v>1156</v>
      </c>
      <c r="M327" s="2">
        <v>3</v>
      </c>
      <c r="N327" s="2" t="s">
        <v>67</v>
      </c>
      <c r="O327" s="15">
        <v>2</v>
      </c>
      <c r="P327" s="15" t="s">
        <v>970</v>
      </c>
    </row>
    <row r="328" spans="1:16">
      <c r="A328" s="2" t="s">
        <v>1513</v>
      </c>
      <c r="B328" s="2">
        <v>1</v>
      </c>
      <c r="C328" s="2" t="str">
        <f>IF(B328="","",VLOOKUP(B328,'Transacciones CHL'!$A$2:$B$14,2,FALSE))</f>
        <v>Producción bruta precio básico</v>
      </c>
      <c r="D328" s="2">
        <f>IF(B328="","",VLOOKUP(B328,'Transacciones CHL'!$A$2:$F$14,3,FALSE))</f>
        <v>1</v>
      </c>
      <c r="E328" s="2" t="str">
        <f>IF(B328="","",VLOOKUP(B328,'Transacciones CHL'!$A$2:$F$14,4,FALSE))</f>
        <v>Producción / Consumo intermedio</v>
      </c>
      <c r="F328" s="2">
        <f>IF(B328="","",VLOOKUP(B328,'Transacciones CHL'!$A$2:$F$14,5,FALSE))</f>
        <v>1</v>
      </c>
      <c r="G328" s="2" t="str">
        <f>IF(B328="","",VLOOKUP(B328,'Transacciones CHL'!$A$2:$F$14,6,FALSE))</f>
        <v>Producción / Consumo intermedio</v>
      </c>
      <c r="H328" s="2" t="s">
        <v>1167</v>
      </c>
      <c r="I328" s="2" t="s">
        <v>1154</v>
      </c>
      <c r="J328" s="2" t="s">
        <v>1155</v>
      </c>
      <c r="K328" s="2" t="s">
        <v>1155</v>
      </c>
      <c r="L328" s="2" t="s">
        <v>1156</v>
      </c>
      <c r="M328" s="2">
        <v>3</v>
      </c>
      <c r="N328" s="2" t="s">
        <v>67</v>
      </c>
      <c r="O328" s="15">
        <v>2</v>
      </c>
      <c r="P328" s="15" t="s">
        <v>970</v>
      </c>
    </row>
    <row r="329" spans="1:16">
      <c r="A329" s="2" t="s">
        <v>1514</v>
      </c>
      <c r="B329" s="2">
        <v>1</v>
      </c>
      <c r="C329" s="2" t="str">
        <f>IF(B329="","",VLOOKUP(B329,'Transacciones CHL'!$A$2:$B$14,2,FALSE))</f>
        <v>Producción bruta precio básico</v>
      </c>
      <c r="D329" s="2">
        <f>IF(B329="","",VLOOKUP(B329,'Transacciones CHL'!$A$2:$F$14,3,FALSE))</f>
        <v>1</v>
      </c>
      <c r="E329" s="2" t="str">
        <f>IF(B329="","",VLOOKUP(B329,'Transacciones CHL'!$A$2:$F$14,4,FALSE))</f>
        <v>Producción / Consumo intermedio</v>
      </c>
      <c r="F329" s="2">
        <f>IF(B329="","",VLOOKUP(B329,'Transacciones CHL'!$A$2:$F$14,5,FALSE))</f>
        <v>1</v>
      </c>
      <c r="G329" s="2" t="str">
        <f>IF(B329="","",VLOOKUP(B329,'Transacciones CHL'!$A$2:$F$14,6,FALSE))</f>
        <v>Producción / Consumo intermedio</v>
      </c>
      <c r="H329" s="2" t="s">
        <v>1169</v>
      </c>
      <c r="I329" s="2" t="s">
        <v>1154</v>
      </c>
      <c r="J329" s="2" t="s">
        <v>1155</v>
      </c>
      <c r="K329" s="2" t="s">
        <v>1155</v>
      </c>
      <c r="L329" s="2" t="s">
        <v>1156</v>
      </c>
      <c r="M329" s="2">
        <v>3</v>
      </c>
      <c r="N329" s="2" t="s">
        <v>67</v>
      </c>
      <c r="O329" s="15">
        <v>2</v>
      </c>
      <c r="P329" s="15" t="s">
        <v>970</v>
      </c>
    </row>
    <row r="330" spans="1:16">
      <c r="A330" s="2" t="s">
        <v>1515</v>
      </c>
      <c r="B330" s="2">
        <v>1</v>
      </c>
      <c r="C330" s="2" t="str">
        <f>IF(B330="","",VLOOKUP(B330,'Transacciones CHL'!$A$2:$B$14,2,FALSE))</f>
        <v>Producción bruta precio básico</v>
      </c>
      <c r="D330" s="2">
        <f>IF(B330="","",VLOOKUP(B330,'Transacciones CHL'!$A$2:$F$14,3,FALSE))</f>
        <v>1</v>
      </c>
      <c r="E330" s="2" t="str">
        <f>IF(B330="","",VLOOKUP(B330,'Transacciones CHL'!$A$2:$F$14,4,FALSE))</f>
        <v>Producción / Consumo intermedio</v>
      </c>
      <c r="F330" s="2">
        <f>IF(B330="","",VLOOKUP(B330,'Transacciones CHL'!$A$2:$F$14,5,FALSE))</f>
        <v>1</v>
      </c>
      <c r="G330" s="2" t="str">
        <f>IF(B330="","",VLOOKUP(B330,'Transacciones CHL'!$A$2:$F$14,6,FALSE))</f>
        <v>Producción / Consumo intermedio</v>
      </c>
      <c r="H330" s="2" t="s">
        <v>1171</v>
      </c>
      <c r="I330" s="2" t="s">
        <v>1154</v>
      </c>
      <c r="J330" s="2" t="s">
        <v>1155</v>
      </c>
      <c r="K330" s="2" t="s">
        <v>1155</v>
      </c>
      <c r="L330" s="2" t="s">
        <v>1156</v>
      </c>
      <c r="M330" s="2">
        <v>3</v>
      </c>
      <c r="N330" s="2" t="s">
        <v>67</v>
      </c>
      <c r="O330" s="15">
        <v>2</v>
      </c>
      <c r="P330" s="15" t="s">
        <v>970</v>
      </c>
    </row>
    <row r="331" spans="1:16">
      <c r="A331" s="2" t="s">
        <v>1516</v>
      </c>
      <c r="B331" s="2">
        <v>1</v>
      </c>
      <c r="C331" s="2" t="str">
        <f>IF(B331="","",VLOOKUP(B331,'Transacciones CHL'!$A$2:$B$14,2,FALSE))</f>
        <v>Producción bruta precio básico</v>
      </c>
      <c r="D331" s="2">
        <f>IF(B331="","",VLOOKUP(B331,'Transacciones CHL'!$A$2:$F$14,3,FALSE))</f>
        <v>1</v>
      </c>
      <c r="E331" s="2" t="str">
        <f>IF(B331="","",VLOOKUP(B331,'Transacciones CHL'!$A$2:$F$14,4,FALSE))</f>
        <v>Producción / Consumo intermedio</v>
      </c>
      <c r="F331" s="2">
        <f>IF(B331="","",VLOOKUP(B331,'Transacciones CHL'!$A$2:$F$14,5,FALSE))</f>
        <v>1</v>
      </c>
      <c r="G331" s="2" t="str">
        <f>IF(B331="","",VLOOKUP(B331,'Transacciones CHL'!$A$2:$F$14,6,FALSE))</f>
        <v>Producción / Consumo intermedio</v>
      </c>
      <c r="H331" s="2" t="s">
        <v>1173</v>
      </c>
      <c r="I331" s="2" t="s">
        <v>1174</v>
      </c>
      <c r="J331" s="2" t="s">
        <v>1175</v>
      </c>
      <c r="K331" s="2" t="s">
        <v>1175</v>
      </c>
      <c r="L331" s="2" t="s">
        <v>1176</v>
      </c>
      <c r="M331" s="2">
        <v>3</v>
      </c>
      <c r="N331" s="2" t="s">
        <v>67</v>
      </c>
      <c r="O331" s="15">
        <v>2</v>
      </c>
      <c r="P331" s="15" t="s">
        <v>970</v>
      </c>
    </row>
    <row r="332" spans="1:16">
      <c r="A332" s="2" t="s">
        <v>1517</v>
      </c>
      <c r="B332" s="2">
        <v>1</v>
      </c>
      <c r="C332" s="2" t="str">
        <f>IF(B332="","",VLOOKUP(B332,'Transacciones CHL'!$A$2:$B$14,2,FALSE))</f>
        <v>Producción bruta precio básico</v>
      </c>
      <c r="D332" s="2">
        <f>IF(B332="","",VLOOKUP(B332,'Transacciones CHL'!$A$2:$F$14,3,FALSE))</f>
        <v>1</v>
      </c>
      <c r="E332" s="2" t="str">
        <f>IF(B332="","",VLOOKUP(B332,'Transacciones CHL'!$A$2:$F$14,4,FALSE))</f>
        <v>Producción / Consumo intermedio</v>
      </c>
      <c r="F332" s="2">
        <f>IF(B332="","",VLOOKUP(B332,'Transacciones CHL'!$A$2:$F$14,5,FALSE))</f>
        <v>1</v>
      </c>
      <c r="G332" s="2" t="str">
        <f>IF(B332="","",VLOOKUP(B332,'Transacciones CHL'!$A$2:$F$14,6,FALSE))</f>
        <v>Producción / Consumo intermedio</v>
      </c>
      <c r="H332" s="2" t="s">
        <v>1178</v>
      </c>
      <c r="I332" s="2" t="s">
        <v>1174</v>
      </c>
      <c r="J332" s="2" t="s">
        <v>1175</v>
      </c>
      <c r="K332" s="2" t="s">
        <v>1175</v>
      </c>
      <c r="L332" s="2" t="s">
        <v>1176</v>
      </c>
      <c r="M332" s="2">
        <v>3</v>
      </c>
      <c r="N332" s="2" t="s">
        <v>67</v>
      </c>
      <c r="O332" s="15">
        <v>2</v>
      </c>
      <c r="P332" s="15" t="s">
        <v>970</v>
      </c>
    </row>
    <row r="333" spans="1:16">
      <c r="A333" s="2" t="s">
        <v>1518</v>
      </c>
      <c r="B333" s="2">
        <v>1</v>
      </c>
      <c r="C333" s="2" t="str">
        <f>IF(B333="","",VLOOKUP(B333,'Transacciones CHL'!$A$2:$B$14,2,FALSE))</f>
        <v>Producción bruta precio básico</v>
      </c>
      <c r="D333" s="2">
        <f>IF(B333="","",VLOOKUP(B333,'Transacciones CHL'!$A$2:$F$14,3,FALSE))</f>
        <v>1</v>
      </c>
      <c r="E333" s="2" t="str">
        <f>IF(B333="","",VLOOKUP(B333,'Transacciones CHL'!$A$2:$F$14,4,FALSE))</f>
        <v>Producción / Consumo intermedio</v>
      </c>
      <c r="F333" s="2">
        <f>IF(B333="","",VLOOKUP(B333,'Transacciones CHL'!$A$2:$F$14,5,FALSE))</f>
        <v>1</v>
      </c>
      <c r="G333" s="2" t="str">
        <f>IF(B333="","",VLOOKUP(B333,'Transacciones CHL'!$A$2:$F$14,6,FALSE))</f>
        <v>Producción / Consumo intermedio</v>
      </c>
      <c r="H333" s="2" t="s">
        <v>1180</v>
      </c>
      <c r="I333" s="2" t="s">
        <v>1174</v>
      </c>
      <c r="J333" s="2" t="s">
        <v>1175</v>
      </c>
      <c r="K333" s="2" t="s">
        <v>1175</v>
      </c>
      <c r="L333" s="2" t="s">
        <v>1176</v>
      </c>
      <c r="M333" s="2">
        <v>3</v>
      </c>
      <c r="N333" s="2" t="s">
        <v>67</v>
      </c>
      <c r="O333" s="15">
        <v>2</v>
      </c>
      <c r="P333" s="15" t="s">
        <v>970</v>
      </c>
    </row>
    <row r="334" spans="1:16">
      <c r="A334" s="2" t="s">
        <v>1519</v>
      </c>
      <c r="B334" s="2">
        <v>1</v>
      </c>
      <c r="C334" s="2" t="str">
        <f>IF(B334="","",VLOOKUP(B334,'Transacciones CHL'!$A$2:$B$14,2,FALSE))</f>
        <v>Producción bruta precio básico</v>
      </c>
      <c r="D334" s="2">
        <f>IF(B334="","",VLOOKUP(B334,'Transacciones CHL'!$A$2:$F$14,3,FALSE))</f>
        <v>1</v>
      </c>
      <c r="E334" s="2" t="str">
        <f>IF(B334="","",VLOOKUP(B334,'Transacciones CHL'!$A$2:$F$14,4,FALSE))</f>
        <v>Producción / Consumo intermedio</v>
      </c>
      <c r="F334" s="2">
        <f>IF(B334="","",VLOOKUP(B334,'Transacciones CHL'!$A$2:$F$14,5,FALSE))</f>
        <v>1</v>
      </c>
      <c r="G334" s="2" t="str">
        <f>IF(B334="","",VLOOKUP(B334,'Transacciones CHL'!$A$2:$F$14,6,FALSE))</f>
        <v>Producción / Consumo intermedio</v>
      </c>
      <c r="H334" s="2" t="s">
        <v>1182</v>
      </c>
      <c r="I334" s="2" t="s">
        <v>1174</v>
      </c>
      <c r="J334" s="2" t="s">
        <v>1175</v>
      </c>
      <c r="K334" s="2" t="s">
        <v>1175</v>
      </c>
      <c r="L334" s="2" t="s">
        <v>1176</v>
      </c>
      <c r="M334" s="2">
        <v>3</v>
      </c>
      <c r="N334" s="2" t="s">
        <v>67</v>
      </c>
      <c r="O334" s="15">
        <v>1</v>
      </c>
      <c r="P334" s="15" t="s">
        <v>1065</v>
      </c>
    </row>
    <row r="335" spans="1:16">
      <c r="A335" s="2" t="s">
        <v>1520</v>
      </c>
      <c r="B335" s="2">
        <v>1</v>
      </c>
      <c r="C335" s="2" t="str">
        <f>IF(B335="","",VLOOKUP(B335,'Transacciones CHL'!$A$2:$B$14,2,FALSE))</f>
        <v>Producción bruta precio básico</v>
      </c>
      <c r="D335" s="2">
        <f>IF(B335="","",VLOOKUP(B335,'Transacciones CHL'!$A$2:$F$14,3,FALSE))</f>
        <v>1</v>
      </c>
      <c r="E335" s="2" t="str">
        <f>IF(B335="","",VLOOKUP(B335,'Transacciones CHL'!$A$2:$F$14,4,FALSE))</f>
        <v>Producción / Consumo intermedio</v>
      </c>
      <c r="F335" s="2">
        <f>IF(B335="","",VLOOKUP(B335,'Transacciones CHL'!$A$2:$F$14,5,FALSE))</f>
        <v>1</v>
      </c>
      <c r="G335" s="2" t="str">
        <f>IF(B335="","",VLOOKUP(B335,'Transacciones CHL'!$A$2:$F$14,6,FALSE))</f>
        <v>Producción / Consumo intermedio</v>
      </c>
      <c r="H335" s="2" t="s">
        <v>1184</v>
      </c>
      <c r="I335" s="2" t="s">
        <v>1174</v>
      </c>
      <c r="J335" s="2" t="s">
        <v>1175</v>
      </c>
      <c r="K335" s="2" t="s">
        <v>1175</v>
      </c>
      <c r="L335" s="2" t="s">
        <v>1176</v>
      </c>
      <c r="M335" s="2">
        <v>3</v>
      </c>
      <c r="N335" s="2" t="s">
        <v>67</v>
      </c>
      <c r="O335" s="15">
        <v>2</v>
      </c>
      <c r="P335" s="15" t="s">
        <v>970</v>
      </c>
    </row>
    <row r="336" spans="1:16">
      <c r="A336" s="2" t="s">
        <v>1521</v>
      </c>
      <c r="B336" s="2">
        <v>1</v>
      </c>
      <c r="C336" s="2" t="str">
        <f>IF(B336="","",VLOOKUP(B336,'Transacciones CHL'!$A$2:$B$14,2,FALSE))</f>
        <v>Producción bruta precio básico</v>
      </c>
      <c r="D336" s="2">
        <f>IF(B336="","",VLOOKUP(B336,'Transacciones CHL'!$A$2:$F$14,3,FALSE))</f>
        <v>1</v>
      </c>
      <c r="E336" s="2" t="str">
        <f>IF(B336="","",VLOOKUP(B336,'Transacciones CHL'!$A$2:$F$14,4,FALSE))</f>
        <v>Producción / Consumo intermedio</v>
      </c>
      <c r="F336" s="2">
        <f>IF(B336="","",VLOOKUP(B336,'Transacciones CHL'!$A$2:$F$14,5,FALSE))</f>
        <v>1</v>
      </c>
      <c r="G336" s="2" t="str">
        <f>IF(B336="","",VLOOKUP(B336,'Transacciones CHL'!$A$2:$F$14,6,FALSE))</f>
        <v>Producción / Consumo intermedio</v>
      </c>
      <c r="H336" s="2" t="s">
        <v>1186</v>
      </c>
      <c r="I336" s="2" t="s">
        <v>1174</v>
      </c>
      <c r="J336" s="2" t="s">
        <v>1175</v>
      </c>
      <c r="K336" s="2" t="s">
        <v>1175</v>
      </c>
      <c r="L336" s="2" t="s">
        <v>1176</v>
      </c>
      <c r="M336" s="2">
        <v>3</v>
      </c>
      <c r="N336" s="2" t="s">
        <v>67</v>
      </c>
      <c r="O336" s="15">
        <v>1</v>
      </c>
      <c r="P336" s="15" t="s">
        <v>1065</v>
      </c>
    </row>
    <row r="337" spans="1:16">
      <c r="A337" s="2" t="s">
        <v>1522</v>
      </c>
      <c r="B337" s="2">
        <v>1</v>
      </c>
      <c r="C337" s="2" t="str">
        <f>IF(B337="","",VLOOKUP(B337,'Transacciones CHL'!$A$2:$B$14,2,FALSE))</f>
        <v>Producción bruta precio básico</v>
      </c>
      <c r="D337" s="2">
        <f>IF(B337="","",VLOOKUP(B337,'Transacciones CHL'!$A$2:$F$14,3,FALSE))</f>
        <v>1</v>
      </c>
      <c r="E337" s="2" t="str">
        <f>IF(B337="","",VLOOKUP(B337,'Transacciones CHL'!$A$2:$F$14,4,FALSE))</f>
        <v>Producción / Consumo intermedio</v>
      </c>
      <c r="F337" s="2">
        <f>IF(B337="","",VLOOKUP(B337,'Transacciones CHL'!$A$2:$F$14,5,FALSE))</f>
        <v>1</v>
      </c>
      <c r="G337" s="2" t="str">
        <f>IF(B337="","",VLOOKUP(B337,'Transacciones CHL'!$A$2:$F$14,6,FALSE))</f>
        <v>Producción / Consumo intermedio</v>
      </c>
      <c r="H337" s="2" t="s">
        <v>1188</v>
      </c>
      <c r="I337" s="2" t="s">
        <v>1189</v>
      </c>
      <c r="J337" s="2" t="s">
        <v>1190</v>
      </c>
      <c r="K337" s="2" t="s">
        <v>1191</v>
      </c>
      <c r="L337" s="2" t="s">
        <v>1192</v>
      </c>
      <c r="M337" s="2">
        <v>3</v>
      </c>
      <c r="N337" s="2" t="s">
        <v>67</v>
      </c>
      <c r="O337" s="15">
        <v>2</v>
      </c>
      <c r="P337" s="15" t="s">
        <v>970</v>
      </c>
    </row>
    <row r="338" spans="1:16">
      <c r="A338" s="2" t="s">
        <v>1523</v>
      </c>
      <c r="B338" s="2">
        <v>1</v>
      </c>
      <c r="C338" s="2" t="str">
        <f>IF(B338="","",VLOOKUP(B338,'Transacciones CHL'!$A$2:$B$14,2,FALSE))</f>
        <v>Producción bruta precio básico</v>
      </c>
      <c r="D338" s="2">
        <f>IF(B338="","",VLOOKUP(B338,'Transacciones CHL'!$A$2:$F$14,3,FALSE))</f>
        <v>1</v>
      </c>
      <c r="E338" s="2" t="str">
        <f>IF(B338="","",VLOOKUP(B338,'Transacciones CHL'!$A$2:$F$14,4,FALSE))</f>
        <v>Producción / Consumo intermedio</v>
      </c>
      <c r="F338" s="2">
        <f>IF(B338="","",VLOOKUP(B338,'Transacciones CHL'!$A$2:$F$14,5,FALSE))</f>
        <v>1</v>
      </c>
      <c r="G338" s="2" t="str">
        <f>IF(B338="","",VLOOKUP(B338,'Transacciones CHL'!$A$2:$F$14,6,FALSE))</f>
        <v>Producción / Consumo intermedio</v>
      </c>
      <c r="H338" s="2" t="s">
        <v>1194</v>
      </c>
      <c r="I338" s="2" t="s">
        <v>1189</v>
      </c>
      <c r="J338" s="2" t="s">
        <v>1190</v>
      </c>
      <c r="K338" s="2" t="s">
        <v>1191</v>
      </c>
      <c r="L338" s="2" t="s">
        <v>1192</v>
      </c>
      <c r="M338" s="2">
        <v>3</v>
      </c>
      <c r="N338" s="2" t="s">
        <v>67</v>
      </c>
      <c r="O338" s="15">
        <v>2</v>
      </c>
      <c r="P338" s="15" t="s">
        <v>970</v>
      </c>
    </row>
    <row r="339" spans="1:16">
      <c r="A339" s="2" t="s">
        <v>1524</v>
      </c>
      <c r="B339" s="2">
        <v>1</v>
      </c>
      <c r="C339" s="2" t="str">
        <f>IF(B339="","",VLOOKUP(B339,'Transacciones CHL'!$A$2:$B$14,2,FALSE))</f>
        <v>Producción bruta precio básico</v>
      </c>
      <c r="D339" s="2">
        <f>IF(B339="","",VLOOKUP(B339,'Transacciones CHL'!$A$2:$F$14,3,FALSE))</f>
        <v>1</v>
      </c>
      <c r="E339" s="2" t="str">
        <f>IF(B339="","",VLOOKUP(B339,'Transacciones CHL'!$A$2:$F$14,4,FALSE))</f>
        <v>Producción / Consumo intermedio</v>
      </c>
      <c r="F339" s="2">
        <f>IF(B339="","",VLOOKUP(B339,'Transacciones CHL'!$A$2:$F$14,5,FALSE))</f>
        <v>1</v>
      </c>
      <c r="G339" s="2" t="str">
        <f>IF(B339="","",VLOOKUP(B339,'Transacciones CHL'!$A$2:$F$14,6,FALSE))</f>
        <v>Producción / Consumo intermedio</v>
      </c>
      <c r="H339" s="2" t="s">
        <v>1196</v>
      </c>
      <c r="I339" s="2" t="s">
        <v>1189</v>
      </c>
      <c r="J339" s="2" t="s">
        <v>1190</v>
      </c>
      <c r="K339" s="2" t="s">
        <v>1191</v>
      </c>
      <c r="L339" s="2" t="s">
        <v>1192</v>
      </c>
      <c r="M339" s="2">
        <v>3</v>
      </c>
      <c r="N339" s="2" t="s">
        <v>67</v>
      </c>
      <c r="O339" s="15">
        <v>2</v>
      </c>
      <c r="P339" s="15" t="s">
        <v>970</v>
      </c>
    </row>
    <row r="340" spans="1:16">
      <c r="A340" s="2" t="s">
        <v>1525</v>
      </c>
      <c r="B340" s="2">
        <v>1</v>
      </c>
      <c r="C340" s="2" t="str">
        <f>IF(B340="","",VLOOKUP(B340,'Transacciones CHL'!$A$2:$B$14,2,FALSE))</f>
        <v>Producción bruta precio básico</v>
      </c>
      <c r="D340" s="2">
        <f>IF(B340="","",VLOOKUP(B340,'Transacciones CHL'!$A$2:$F$14,3,FALSE))</f>
        <v>1</v>
      </c>
      <c r="E340" s="2" t="str">
        <f>IF(B340="","",VLOOKUP(B340,'Transacciones CHL'!$A$2:$F$14,4,FALSE))</f>
        <v>Producción / Consumo intermedio</v>
      </c>
      <c r="F340" s="2">
        <f>IF(B340="","",VLOOKUP(B340,'Transacciones CHL'!$A$2:$F$14,5,FALSE))</f>
        <v>1</v>
      </c>
      <c r="G340" s="2" t="str">
        <f>IF(B340="","",VLOOKUP(B340,'Transacciones CHL'!$A$2:$F$14,6,FALSE))</f>
        <v>Producción / Consumo intermedio</v>
      </c>
      <c r="H340" s="2" t="s">
        <v>1198</v>
      </c>
      <c r="I340" s="2" t="s">
        <v>1199</v>
      </c>
      <c r="J340" s="2" t="s">
        <v>1198</v>
      </c>
      <c r="K340" s="2" t="s">
        <v>1200</v>
      </c>
      <c r="L340" s="2" t="s">
        <v>1201</v>
      </c>
      <c r="M340" s="2">
        <v>3</v>
      </c>
      <c r="N340" s="2" t="s">
        <v>67</v>
      </c>
      <c r="O340" s="15">
        <v>2</v>
      </c>
      <c r="P340" s="15" t="s">
        <v>970</v>
      </c>
    </row>
    <row r="341" spans="1:16">
      <c r="A341" s="2" t="s">
        <v>1526</v>
      </c>
      <c r="B341" s="2">
        <v>1</v>
      </c>
      <c r="C341" s="2" t="str">
        <f>IF(B341="","",VLOOKUP(B341,'Transacciones CHL'!$A$2:$B$14,2,FALSE))</f>
        <v>Producción bruta precio básico</v>
      </c>
      <c r="D341" s="2">
        <f>IF(B341="","",VLOOKUP(B341,'Transacciones CHL'!$A$2:$F$14,3,FALSE))</f>
        <v>1</v>
      </c>
      <c r="E341" s="2" t="str">
        <f>IF(B341="","",VLOOKUP(B341,'Transacciones CHL'!$A$2:$F$14,4,FALSE))</f>
        <v>Producción / Consumo intermedio</v>
      </c>
      <c r="F341" s="2">
        <f>IF(B341="","",VLOOKUP(B341,'Transacciones CHL'!$A$2:$F$14,5,FALSE))</f>
        <v>1</v>
      </c>
      <c r="G341" s="2" t="str">
        <f>IF(B341="","",VLOOKUP(B341,'Transacciones CHL'!$A$2:$F$14,6,FALSE))</f>
        <v>Producción / Consumo intermedio</v>
      </c>
      <c r="H341" s="2" t="s">
        <v>340</v>
      </c>
      <c r="I341" s="2" t="s">
        <v>1199</v>
      </c>
      <c r="J341" s="2" t="s">
        <v>1198</v>
      </c>
      <c r="K341" s="2" t="s">
        <v>1200</v>
      </c>
      <c r="L341" s="2" t="s">
        <v>1201</v>
      </c>
      <c r="M341" s="2">
        <v>3</v>
      </c>
      <c r="N341" s="2" t="s">
        <v>67</v>
      </c>
      <c r="O341" s="15">
        <v>2</v>
      </c>
      <c r="P341" s="15" t="s">
        <v>970</v>
      </c>
    </row>
    <row r="342" spans="1:16">
      <c r="A342" s="2" t="s">
        <v>1527</v>
      </c>
      <c r="B342" s="2">
        <v>1</v>
      </c>
      <c r="C342" s="2" t="str">
        <f>IF(B342="","",VLOOKUP(B342,'Transacciones CHL'!$A$2:$B$14,2,FALSE))</f>
        <v>Producción bruta precio básico</v>
      </c>
      <c r="D342" s="2">
        <f>IF(B342="","",VLOOKUP(B342,'Transacciones CHL'!$A$2:$F$14,3,FALSE))</f>
        <v>1</v>
      </c>
      <c r="E342" s="2" t="str">
        <f>IF(B342="","",VLOOKUP(B342,'Transacciones CHL'!$A$2:$F$14,4,FALSE))</f>
        <v>Producción / Consumo intermedio</v>
      </c>
      <c r="F342" s="2">
        <f>IF(B342="","",VLOOKUP(B342,'Transacciones CHL'!$A$2:$F$14,5,FALSE))</f>
        <v>1</v>
      </c>
      <c r="G342" s="2" t="str">
        <f>IF(B342="","",VLOOKUP(B342,'Transacciones CHL'!$A$2:$F$14,6,FALSE))</f>
        <v>Producción / Consumo intermedio</v>
      </c>
      <c r="H342" s="2" t="s">
        <v>1204</v>
      </c>
      <c r="I342" s="2" t="s">
        <v>1205</v>
      </c>
      <c r="J342" s="2" t="s">
        <v>1206</v>
      </c>
      <c r="K342" s="2" t="s">
        <v>1207</v>
      </c>
      <c r="L342" s="2" t="s">
        <v>1208</v>
      </c>
      <c r="M342" s="2">
        <v>3</v>
      </c>
      <c r="N342" s="2" t="s">
        <v>67</v>
      </c>
      <c r="O342" s="15">
        <v>2</v>
      </c>
      <c r="P342" s="15" t="s">
        <v>970</v>
      </c>
    </row>
    <row r="343" spans="1:16">
      <c r="A343" s="2" t="s">
        <v>1528</v>
      </c>
      <c r="B343" s="2">
        <v>1</v>
      </c>
      <c r="C343" s="2" t="str">
        <f>IF(B343="","",VLOOKUP(B343,'Transacciones CHL'!$A$2:$B$14,2,FALSE))</f>
        <v>Producción bruta precio básico</v>
      </c>
      <c r="D343" s="2">
        <f>IF(B343="","",VLOOKUP(B343,'Transacciones CHL'!$A$2:$F$14,3,FALSE))</f>
        <v>1</v>
      </c>
      <c r="E343" s="2" t="str">
        <f>IF(B343="","",VLOOKUP(B343,'Transacciones CHL'!$A$2:$F$14,4,FALSE))</f>
        <v>Producción / Consumo intermedio</v>
      </c>
      <c r="F343" s="2">
        <f>IF(B343="","",VLOOKUP(B343,'Transacciones CHL'!$A$2:$F$14,5,FALSE))</f>
        <v>1</v>
      </c>
      <c r="G343" s="2" t="str">
        <f>IF(B343="","",VLOOKUP(B343,'Transacciones CHL'!$A$2:$F$14,6,FALSE))</f>
        <v>Producción / Consumo intermedio</v>
      </c>
      <c r="H343" s="2" t="s">
        <v>1210</v>
      </c>
      <c r="I343" s="2" t="s">
        <v>1205</v>
      </c>
      <c r="J343" s="2" t="s">
        <v>1206</v>
      </c>
      <c r="K343" s="2" t="s">
        <v>1207</v>
      </c>
      <c r="L343" s="2" t="s">
        <v>1208</v>
      </c>
      <c r="M343" s="2">
        <v>3</v>
      </c>
      <c r="N343" s="2" t="s">
        <v>67</v>
      </c>
      <c r="O343" s="15">
        <v>1</v>
      </c>
      <c r="P343" s="15" t="s">
        <v>1065</v>
      </c>
    </row>
    <row r="344" spans="1:16">
      <c r="A344" s="2" t="s">
        <v>1529</v>
      </c>
      <c r="B344" s="2">
        <v>1</v>
      </c>
      <c r="C344" s="2" t="str">
        <f>IF(B344="","",VLOOKUP(B344,'Transacciones CHL'!$A$2:$B$14,2,FALSE))</f>
        <v>Producción bruta precio básico</v>
      </c>
      <c r="D344" s="2">
        <f>IF(B344="","",VLOOKUP(B344,'Transacciones CHL'!$A$2:$F$14,3,FALSE))</f>
        <v>1</v>
      </c>
      <c r="E344" s="2" t="str">
        <f>IF(B344="","",VLOOKUP(B344,'Transacciones CHL'!$A$2:$F$14,4,FALSE))</f>
        <v>Producción / Consumo intermedio</v>
      </c>
      <c r="F344" s="2">
        <f>IF(B344="","",VLOOKUP(B344,'Transacciones CHL'!$A$2:$F$14,5,FALSE))</f>
        <v>1</v>
      </c>
      <c r="G344" s="2" t="str">
        <f>IF(B344="","",VLOOKUP(B344,'Transacciones CHL'!$A$2:$F$14,6,FALSE))</f>
        <v>Producción / Consumo intermedio</v>
      </c>
      <c r="H344" s="2" t="s">
        <v>1212</v>
      </c>
      <c r="I344" s="2" t="s">
        <v>1205</v>
      </c>
      <c r="J344" s="2" t="s">
        <v>1206</v>
      </c>
      <c r="K344" s="2" t="s">
        <v>1207</v>
      </c>
      <c r="L344" s="2" t="s">
        <v>1208</v>
      </c>
      <c r="M344" s="2">
        <v>2</v>
      </c>
      <c r="N344" s="2" t="s">
        <v>142</v>
      </c>
      <c r="O344" s="15">
        <v>1</v>
      </c>
      <c r="P344" s="15" t="s">
        <v>1065</v>
      </c>
    </row>
    <row r="345" spans="1:16">
      <c r="A345" s="2" t="s">
        <v>1530</v>
      </c>
      <c r="B345" s="2">
        <v>1</v>
      </c>
      <c r="C345" s="2" t="str">
        <f>IF(B345="","",VLOOKUP(B345,'Transacciones CHL'!$A$2:$B$14,2,FALSE))</f>
        <v>Producción bruta precio básico</v>
      </c>
      <c r="D345" s="2">
        <f>IF(B345="","",VLOOKUP(B345,'Transacciones CHL'!$A$2:$F$14,3,FALSE))</f>
        <v>1</v>
      </c>
      <c r="E345" s="2" t="str">
        <f>IF(B345="","",VLOOKUP(B345,'Transacciones CHL'!$A$2:$F$14,4,FALSE))</f>
        <v>Producción / Consumo intermedio</v>
      </c>
      <c r="F345" s="2">
        <f>IF(B345="","",VLOOKUP(B345,'Transacciones CHL'!$A$2:$F$14,5,FALSE))</f>
        <v>1</v>
      </c>
      <c r="G345" s="2" t="str">
        <f>IF(B345="","",VLOOKUP(B345,'Transacciones CHL'!$A$2:$F$14,6,FALSE))</f>
        <v>Producción / Consumo intermedio</v>
      </c>
      <c r="H345" s="2" t="s">
        <v>1214</v>
      </c>
      <c r="I345" s="2" t="s">
        <v>1215</v>
      </c>
      <c r="J345" s="2" t="s">
        <v>1216</v>
      </c>
      <c r="K345" s="2" t="s">
        <v>1217</v>
      </c>
      <c r="L345" s="2" t="s">
        <v>1218</v>
      </c>
      <c r="M345" s="2">
        <v>3</v>
      </c>
      <c r="N345" s="2" t="s">
        <v>67</v>
      </c>
      <c r="O345" s="15">
        <v>2</v>
      </c>
      <c r="P345" s="15" t="s">
        <v>970</v>
      </c>
    </row>
    <row r="346" spans="1:16">
      <c r="A346" s="2" t="s">
        <v>1531</v>
      </c>
      <c r="B346" s="2">
        <v>1</v>
      </c>
      <c r="C346" s="2" t="str">
        <f>IF(B346="","",VLOOKUP(B346,'Transacciones CHL'!$A$2:$B$14,2,FALSE))</f>
        <v>Producción bruta precio básico</v>
      </c>
      <c r="D346" s="2">
        <f>IF(B346="","",VLOOKUP(B346,'Transacciones CHL'!$A$2:$F$14,3,FALSE))</f>
        <v>1</v>
      </c>
      <c r="E346" s="2" t="str">
        <f>IF(B346="","",VLOOKUP(B346,'Transacciones CHL'!$A$2:$F$14,4,FALSE))</f>
        <v>Producción / Consumo intermedio</v>
      </c>
      <c r="F346" s="2">
        <f>IF(B346="","",VLOOKUP(B346,'Transacciones CHL'!$A$2:$F$14,5,FALSE))</f>
        <v>1</v>
      </c>
      <c r="G346" s="2" t="str">
        <f>IF(B346="","",VLOOKUP(B346,'Transacciones CHL'!$A$2:$F$14,6,FALSE))</f>
        <v>Producción / Consumo intermedio</v>
      </c>
      <c r="H346" s="2" t="s">
        <v>1220</v>
      </c>
      <c r="I346" s="2" t="s">
        <v>1215</v>
      </c>
      <c r="J346" s="2" t="s">
        <v>1216</v>
      </c>
      <c r="K346" s="2" t="s">
        <v>1217</v>
      </c>
      <c r="L346" s="2" t="s">
        <v>1218</v>
      </c>
      <c r="M346" s="2">
        <v>3</v>
      </c>
      <c r="N346" s="2" t="s">
        <v>67</v>
      </c>
      <c r="O346" s="15">
        <v>2</v>
      </c>
      <c r="P346" s="15" t="s">
        <v>970</v>
      </c>
    </row>
    <row r="347" spans="1:16">
      <c r="A347" s="2" t="s">
        <v>1532</v>
      </c>
      <c r="B347" s="2">
        <v>1</v>
      </c>
      <c r="C347" s="2" t="str">
        <f>IF(B347="","",VLOOKUP(B347,'Transacciones CHL'!$A$2:$B$14,2,FALSE))</f>
        <v>Producción bruta precio básico</v>
      </c>
      <c r="D347" s="2">
        <f>IF(B347="","",VLOOKUP(B347,'Transacciones CHL'!$A$2:$F$14,3,FALSE))</f>
        <v>1</v>
      </c>
      <c r="E347" s="2" t="str">
        <f>IF(B347="","",VLOOKUP(B347,'Transacciones CHL'!$A$2:$F$14,4,FALSE))</f>
        <v>Producción / Consumo intermedio</v>
      </c>
      <c r="F347" s="2">
        <f>IF(B347="","",VLOOKUP(B347,'Transacciones CHL'!$A$2:$F$14,5,FALSE))</f>
        <v>1</v>
      </c>
      <c r="G347" s="2" t="str">
        <f>IF(B347="","",VLOOKUP(B347,'Transacciones CHL'!$A$2:$F$14,6,FALSE))</f>
        <v>Producción / Consumo intermedio</v>
      </c>
      <c r="H347" s="2" t="s">
        <v>1222</v>
      </c>
      <c r="I347" s="2" t="s">
        <v>1223</v>
      </c>
      <c r="J347" s="2" t="s">
        <v>1224</v>
      </c>
      <c r="K347" s="2" t="s">
        <v>1222</v>
      </c>
      <c r="L347" s="2" t="s">
        <v>1225</v>
      </c>
      <c r="M347" s="2">
        <v>3</v>
      </c>
      <c r="N347" s="2" t="s">
        <v>67</v>
      </c>
      <c r="O347" s="15">
        <v>2</v>
      </c>
      <c r="P347" s="15" t="s">
        <v>970</v>
      </c>
    </row>
    <row r="348" spans="1:16">
      <c r="A348" s="2" t="s">
        <v>1533</v>
      </c>
      <c r="B348" s="2">
        <v>1</v>
      </c>
      <c r="C348" s="2" t="str">
        <f>IF(B348="","",VLOOKUP(B348,'Transacciones CHL'!$A$2:$B$14,2,FALSE))</f>
        <v>Producción bruta precio básico</v>
      </c>
      <c r="D348" s="2">
        <f>IF(B348="","",VLOOKUP(B348,'Transacciones CHL'!$A$2:$F$14,3,FALSE))</f>
        <v>1</v>
      </c>
      <c r="E348" s="2" t="str">
        <f>IF(B348="","",VLOOKUP(B348,'Transacciones CHL'!$A$2:$F$14,4,FALSE))</f>
        <v>Producción / Consumo intermedio</v>
      </c>
      <c r="F348" s="2">
        <f>IF(B348="","",VLOOKUP(B348,'Transacciones CHL'!$A$2:$F$14,5,FALSE))</f>
        <v>1</v>
      </c>
      <c r="G348" s="2" t="str">
        <f>IF(B348="","",VLOOKUP(B348,'Transacciones CHL'!$A$2:$F$14,6,FALSE))</f>
        <v>Producción / Consumo intermedio</v>
      </c>
      <c r="H348" s="2" t="s">
        <v>1227</v>
      </c>
      <c r="I348" s="2" t="s">
        <v>1228</v>
      </c>
      <c r="J348" s="2" t="s">
        <v>1229</v>
      </c>
      <c r="K348" s="2" t="s">
        <v>1229</v>
      </c>
      <c r="L348" s="2" t="s">
        <v>1230</v>
      </c>
      <c r="M348" s="2">
        <v>3</v>
      </c>
      <c r="N348" s="2" t="s">
        <v>67</v>
      </c>
      <c r="O348" s="15">
        <v>2</v>
      </c>
      <c r="P348" s="15" t="s">
        <v>970</v>
      </c>
    </row>
    <row r="349" spans="1:16">
      <c r="A349" s="2" t="s">
        <v>1534</v>
      </c>
      <c r="B349" s="2">
        <v>1</v>
      </c>
      <c r="C349" s="2" t="str">
        <f>IF(B349="","",VLOOKUP(B349,'Transacciones CHL'!$A$2:$B$14,2,FALSE))</f>
        <v>Producción bruta precio básico</v>
      </c>
      <c r="D349" s="2">
        <f>IF(B349="","",VLOOKUP(B349,'Transacciones CHL'!$A$2:$F$14,3,FALSE))</f>
        <v>1</v>
      </c>
      <c r="E349" s="2" t="str">
        <f>IF(B349="","",VLOOKUP(B349,'Transacciones CHL'!$A$2:$F$14,4,FALSE))</f>
        <v>Producción / Consumo intermedio</v>
      </c>
      <c r="F349" s="2">
        <f>IF(B349="","",VLOOKUP(B349,'Transacciones CHL'!$A$2:$F$14,5,FALSE))</f>
        <v>1</v>
      </c>
      <c r="G349" s="2" t="str">
        <f>IF(B349="","",VLOOKUP(B349,'Transacciones CHL'!$A$2:$F$14,6,FALSE))</f>
        <v>Producción / Consumo intermedio</v>
      </c>
      <c r="H349" s="2" t="s">
        <v>1232</v>
      </c>
      <c r="I349" s="2" t="s">
        <v>1228</v>
      </c>
      <c r="J349" s="2" t="s">
        <v>1229</v>
      </c>
      <c r="K349" s="2" t="s">
        <v>1229</v>
      </c>
      <c r="L349" s="2" t="s">
        <v>1230</v>
      </c>
      <c r="M349" s="2">
        <v>3</v>
      </c>
      <c r="N349" s="2" t="s">
        <v>67</v>
      </c>
      <c r="O349" s="15">
        <v>1</v>
      </c>
      <c r="P349" s="15" t="s">
        <v>1065</v>
      </c>
    </row>
    <row r="350" spans="1:16">
      <c r="A350" s="2" t="s">
        <v>1535</v>
      </c>
      <c r="B350" s="2">
        <v>1</v>
      </c>
      <c r="C350" s="2" t="str">
        <f>IF(B350="","",VLOOKUP(B350,'Transacciones CHL'!$A$2:$B$14,2,FALSE))</f>
        <v>Producción bruta precio básico</v>
      </c>
      <c r="D350" s="2">
        <f>IF(B350="","",VLOOKUP(B350,'Transacciones CHL'!$A$2:$F$14,3,FALSE))</f>
        <v>1</v>
      </c>
      <c r="E350" s="2" t="str">
        <f>IF(B350="","",VLOOKUP(B350,'Transacciones CHL'!$A$2:$F$14,4,FALSE))</f>
        <v>Producción / Consumo intermedio</v>
      </c>
      <c r="F350" s="2">
        <f>IF(B350="","",VLOOKUP(B350,'Transacciones CHL'!$A$2:$F$14,5,FALSE))</f>
        <v>1</v>
      </c>
      <c r="G350" s="2" t="str">
        <f>IF(B350="","",VLOOKUP(B350,'Transacciones CHL'!$A$2:$F$14,6,FALSE))</f>
        <v>Producción / Consumo intermedio</v>
      </c>
      <c r="H350" s="2" t="s">
        <v>1234</v>
      </c>
      <c r="I350" s="2" t="s">
        <v>1235</v>
      </c>
      <c r="J350" s="2" t="s">
        <v>1236</v>
      </c>
      <c r="K350" s="2" t="s">
        <v>1237</v>
      </c>
      <c r="L350" s="2" t="s">
        <v>1238</v>
      </c>
      <c r="M350" s="2">
        <v>3</v>
      </c>
      <c r="N350" s="2" t="s">
        <v>67</v>
      </c>
      <c r="O350" s="15">
        <v>2</v>
      </c>
      <c r="P350" s="15" t="s">
        <v>970</v>
      </c>
    </row>
    <row r="351" spans="1:16">
      <c r="A351" s="2" t="s">
        <v>1536</v>
      </c>
      <c r="B351" s="2">
        <v>1</v>
      </c>
      <c r="C351" s="2" t="str">
        <f>IF(B351="","",VLOOKUP(B351,'Transacciones CHL'!$A$2:$B$14,2,FALSE))</f>
        <v>Producción bruta precio básico</v>
      </c>
      <c r="D351" s="2">
        <f>IF(B351="","",VLOOKUP(B351,'Transacciones CHL'!$A$2:$F$14,3,FALSE))</f>
        <v>1</v>
      </c>
      <c r="E351" s="2" t="str">
        <f>IF(B351="","",VLOOKUP(B351,'Transacciones CHL'!$A$2:$F$14,4,FALSE))</f>
        <v>Producción / Consumo intermedio</v>
      </c>
      <c r="F351" s="2">
        <f>IF(B351="","",VLOOKUP(B351,'Transacciones CHL'!$A$2:$F$14,5,FALSE))</f>
        <v>1</v>
      </c>
      <c r="G351" s="2" t="str">
        <f>IF(B351="","",VLOOKUP(B351,'Transacciones CHL'!$A$2:$F$14,6,FALSE))</f>
        <v>Producción / Consumo intermedio</v>
      </c>
      <c r="H351" s="2" t="s">
        <v>1240</v>
      </c>
      <c r="I351" s="2" t="s">
        <v>1235</v>
      </c>
      <c r="J351" s="2" t="s">
        <v>1236</v>
      </c>
      <c r="K351" s="2" t="s">
        <v>1237</v>
      </c>
      <c r="L351" s="2" t="s">
        <v>1238</v>
      </c>
      <c r="M351" s="2">
        <v>3</v>
      </c>
      <c r="N351" s="2" t="s">
        <v>67</v>
      </c>
      <c r="O351" s="15">
        <v>2</v>
      </c>
      <c r="P351" s="15" t="s">
        <v>970</v>
      </c>
    </row>
    <row r="352" spans="1:16">
      <c r="A352" s="2" t="s">
        <v>1537</v>
      </c>
      <c r="B352" s="2">
        <v>1</v>
      </c>
      <c r="C352" s="2" t="str">
        <f>IF(B352="","",VLOOKUP(B352,'Transacciones CHL'!$A$2:$B$14,2,FALSE))</f>
        <v>Producción bruta precio básico</v>
      </c>
      <c r="D352" s="2">
        <f>IF(B352="","",VLOOKUP(B352,'Transacciones CHL'!$A$2:$F$14,3,FALSE))</f>
        <v>1</v>
      </c>
      <c r="E352" s="2" t="str">
        <f>IF(B352="","",VLOOKUP(B352,'Transacciones CHL'!$A$2:$F$14,4,FALSE))</f>
        <v>Producción / Consumo intermedio</v>
      </c>
      <c r="F352" s="2">
        <f>IF(B352="","",VLOOKUP(B352,'Transacciones CHL'!$A$2:$F$14,5,FALSE))</f>
        <v>1</v>
      </c>
      <c r="G352" s="2" t="str">
        <f>IF(B352="","",VLOOKUP(B352,'Transacciones CHL'!$A$2:$F$14,6,FALSE))</f>
        <v>Producción / Consumo intermedio</v>
      </c>
      <c r="H352" s="2" t="s">
        <v>1242</v>
      </c>
      <c r="I352" s="2" t="s">
        <v>1243</v>
      </c>
      <c r="J352" s="2" t="s">
        <v>1244</v>
      </c>
      <c r="K352" s="2" t="s">
        <v>1245</v>
      </c>
      <c r="L352" s="2" t="s">
        <v>1246</v>
      </c>
      <c r="M352" s="2">
        <v>3</v>
      </c>
      <c r="N352" s="2" t="s">
        <v>67</v>
      </c>
      <c r="O352" s="15">
        <v>1</v>
      </c>
      <c r="P352" s="15" t="s">
        <v>1065</v>
      </c>
    </row>
    <row r="353" spans="1:16">
      <c r="A353" s="2" t="s">
        <v>1538</v>
      </c>
      <c r="B353" s="2">
        <v>1</v>
      </c>
      <c r="C353" s="2" t="str">
        <f>IF(B353="","",VLOOKUP(B353,'Transacciones CHL'!$A$2:$B$14,2,FALSE))</f>
        <v>Producción bruta precio básico</v>
      </c>
      <c r="D353" s="2">
        <f>IF(B353="","",VLOOKUP(B353,'Transacciones CHL'!$A$2:$F$14,3,FALSE))</f>
        <v>1</v>
      </c>
      <c r="E353" s="2" t="str">
        <f>IF(B353="","",VLOOKUP(B353,'Transacciones CHL'!$A$2:$F$14,4,FALSE))</f>
        <v>Producción / Consumo intermedio</v>
      </c>
      <c r="F353" s="2">
        <f>IF(B353="","",VLOOKUP(B353,'Transacciones CHL'!$A$2:$F$14,5,FALSE))</f>
        <v>1</v>
      </c>
      <c r="G353" s="2" t="str">
        <f>IF(B353="","",VLOOKUP(B353,'Transacciones CHL'!$A$2:$F$14,6,FALSE))</f>
        <v>Producción / Consumo intermedio</v>
      </c>
      <c r="H353" s="2" t="s">
        <v>1248</v>
      </c>
      <c r="I353" s="2" t="s">
        <v>1243</v>
      </c>
      <c r="J353" s="2" t="s">
        <v>1244</v>
      </c>
      <c r="K353" s="2" t="s">
        <v>1245</v>
      </c>
      <c r="L353" s="2" t="s">
        <v>1246</v>
      </c>
      <c r="M353" s="2">
        <v>3</v>
      </c>
      <c r="N353" s="2" t="s">
        <v>67</v>
      </c>
      <c r="O353" s="15">
        <v>1</v>
      </c>
      <c r="P353" s="15" t="s">
        <v>1065</v>
      </c>
    </row>
    <row r="354" spans="1:16">
      <c r="A354" s="2" t="s">
        <v>1539</v>
      </c>
      <c r="B354" s="2">
        <v>1</v>
      </c>
      <c r="C354" s="2" t="str">
        <f>IF(B354="","",VLOOKUP(B354,'Transacciones CHL'!$A$2:$B$14,2,FALSE))</f>
        <v>Producción bruta precio básico</v>
      </c>
      <c r="D354" s="2">
        <f>IF(B354="","",VLOOKUP(B354,'Transacciones CHL'!$A$2:$F$14,3,FALSE))</f>
        <v>1</v>
      </c>
      <c r="E354" s="2" t="str">
        <f>IF(B354="","",VLOOKUP(B354,'Transacciones CHL'!$A$2:$F$14,4,FALSE))</f>
        <v>Producción / Consumo intermedio</v>
      </c>
      <c r="F354" s="2">
        <f>IF(B354="","",VLOOKUP(B354,'Transacciones CHL'!$A$2:$F$14,5,FALSE))</f>
        <v>1</v>
      </c>
      <c r="G354" s="2" t="str">
        <f>IF(B354="","",VLOOKUP(B354,'Transacciones CHL'!$A$2:$F$14,6,FALSE))</f>
        <v>Producción / Consumo intermedio</v>
      </c>
      <c r="H354" s="2" t="s">
        <v>1250</v>
      </c>
      <c r="I354" s="2" t="s">
        <v>1251</v>
      </c>
      <c r="J354" s="2" t="s">
        <v>1252</v>
      </c>
      <c r="K354" s="2" t="s">
        <v>1253</v>
      </c>
      <c r="L354" s="2" t="s">
        <v>1254</v>
      </c>
      <c r="M354" s="2">
        <v>3</v>
      </c>
      <c r="N354" s="2" t="s">
        <v>67</v>
      </c>
      <c r="O354" s="15">
        <v>2</v>
      </c>
      <c r="P354" s="15" t="s">
        <v>970</v>
      </c>
    </row>
    <row r="355" spans="1:16">
      <c r="A355" s="2" t="s">
        <v>1540</v>
      </c>
      <c r="B355" s="2"/>
      <c r="C355" s="2" t="str">
        <f>IF(B355="","",VLOOKUP(B355,'Transacciones CHL'!$A$2:$B$14,2,FALSE))</f>
        <v/>
      </c>
      <c r="D355" s="2" t="str">
        <f>IF(B355="","",VLOOKUP(B355,'Transacciones CHL'!$A$2:$F$14,3,FALSE))</f>
        <v/>
      </c>
      <c r="E355" s="2" t="str">
        <f>IF(B355="","",VLOOKUP(B355,'Transacciones CHL'!$A$2:$F$14,4,FALSE))</f>
        <v/>
      </c>
      <c r="F355" s="2" t="str">
        <f>IF(B355="","",VLOOKUP(B355,'Transacciones CHL'!$A$2:$F$14,5,FALSE))</f>
        <v/>
      </c>
      <c r="G355" s="2" t="str">
        <f>IF(B355="","",VLOOKUP(B355,'Transacciones CHL'!$A$2:$F$14,6,FALSE))</f>
        <v/>
      </c>
      <c r="H355" s="2"/>
      <c r="I355" s="2"/>
      <c r="J355" s="2"/>
      <c r="K355" s="2"/>
      <c r="L355" s="2"/>
      <c r="M355" s="2"/>
      <c r="N355" s="2"/>
      <c r="O355" s="2"/>
      <c r="P355" s="2"/>
    </row>
    <row r="363" spans="1:16">
      <c r="O363" s="13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35"/>
  <sheetViews>
    <sheetView topLeftCell="A328" zoomScale="95" zoomScaleNormal="95" workbookViewId="0">
      <selection activeCell="L365" sqref="L365"/>
    </sheetView>
  </sheetViews>
  <sheetFormatPr baseColWidth="10" defaultColWidth="12" defaultRowHeight="13.15"/>
  <cols>
    <col min="1" max="1" width="9.0703125" customWidth="1"/>
    <col min="2" max="2" width="10.640625" customWidth="1"/>
    <col min="3" max="3" width="19.42578125" customWidth="1"/>
    <col min="4" max="4" width="8.140625" customWidth="1"/>
    <col min="5" max="6" width="7.5" customWidth="1"/>
    <col min="7" max="7" width="51.5703125" customWidth="1"/>
    <col min="8" max="8" width="12.2109375" customWidth="1"/>
    <col min="9" max="9" width="21.92578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1541</v>
      </c>
      <c r="K1" t="s">
        <v>1542</v>
      </c>
    </row>
    <row r="2" spans="1:11">
      <c r="A2" s="2" t="s">
        <v>9</v>
      </c>
      <c r="B2" s="2" t="s">
        <v>10</v>
      </c>
      <c r="C2" s="2" t="s">
        <v>11</v>
      </c>
      <c r="D2" s="2" t="s">
        <v>12</v>
      </c>
      <c r="E2" s="2" t="s">
        <v>11</v>
      </c>
      <c r="F2" s="3">
        <v>1</v>
      </c>
      <c r="G2" s="2" t="s">
        <v>13</v>
      </c>
      <c r="H2" s="2">
        <v>1</v>
      </c>
      <c r="I2" s="2" t="s">
        <v>14</v>
      </c>
      <c r="J2" s="2">
        <v>2</v>
      </c>
      <c r="K2" s="2" t="s">
        <v>970</v>
      </c>
    </row>
    <row r="3" spans="1:11">
      <c r="A3" s="2" t="s">
        <v>15</v>
      </c>
      <c r="B3" s="2" t="s">
        <v>10</v>
      </c>
      <c r="C3" s="2" t="s">
        <v>11</v>
      </c>
      <c r="D3" s="2" t="s">
        <v>12</v>
      </c>
      <c r="E3" s="2" t="s">
        <v>11</v>
      </c>
      <c r="F3" s="3">
        <v>2</v>
      </c>
      <c r="G3" s="2" t="s">
        <v>16</v>
      </c>
      <c r="H3" s="2">
        <v>1</v>
      </c>
      <c r="I3" s="2" t="s">
        <v>14</v>
      </c>
      <c r="J3" s="2">
        <v>2</v>
      </c>
      <c r="K3" s="2" t="s">
        <v>970</v>
      </c>
    </row>
    <row r="4" spans="1:11">
      <c r="A4" s="2" t="s">
        <v>17</v>
      </c>
      <c r="B4" s="2" t="s">
        <v>10</v>
      </c>
      <c r="C4" s="2" t="s">
        <v>11</v>
      </c>
      <c r="D4" s="2" t="s">
        <v>12</v>
      </c>
      <c r="E4" s="2" t="s">
        <v>11</v>
      </c>
      <c r="F4" s="3">
        <v>3</v>
      </c>
      <c r="G4" s="2" t="s">
        <v>18</v>
      </c>
      <c r="H4" s="2">
        <v>1</v>
      </c>
      <c r="I4" s="2" t="s">
        <v>14</v>
      </c>
      <c r="J4" s="2">
        <v>2</v>
      </c>
      <c r="K4" s="2" t="s">
        <v>970</v>
      </c>
    </row>
    <row r="5" spans="1:11">
      <c r="A5" s="2" t="s">
        <v>19</v>
      </c>
      <c r="B5" s="2" t="s">
        <v>10</v>
      </c>
      <c r="C5" s="2" t="s">
        <v>11</v>
      </c>
      <c r="D5" s="2" t="s">
        <v>12</v>
      </c>
      <c r="E5" s="2" t="s">
        <v>11</v>
      </c>
      <c r="F5" s="3">
        <v>4</v>
      </c>
      <c r="G5" s="2" t="s">
        <v>20</v>
      </c>
      <c r="H5" s="2">
        <v>1</v>
      </c>
      <c r="I5" s="2" t="s">
        <v>14</v>
      </c>
      <c r="J5" s="2">
        <v>2</v>
      </c>
      <c r="K5" s="2" t="s">
        <v>970</v>
      </c>
    </row>
    <row r="6" spans="1:11">
      <c r="A6" s="2" t="s">
        <v>21</v>
      </c>
      <c r="B6" s="2" t="s">
        <v>10</v>
      </c>
      <c r="C6" s="2" t="s">
        <v>11</v>
      </c>
      <c r="D6" s="2" t="s">
        <v>12</v>
      </c>
      <c r="E6" s="2" t="s">
        <v>11</v>
      </c>
      <c r="F6" s="3">
        <v>5</v>
      </c>
      <c r="G6" s="2" t="s">
        <v>22</v>
      </c>
      <c r="H6" s="2">
        <v>1</v>
      </c>
      <c r="I6" s="2" t="s">
        <v>14</v>
      </c>
      <c r="J6" s="2">
        <v>2</v>
      </c>
      <c r="K6" s="2" t="s">
        <v>970</v>
      </c>
    </row>
    <row r="7" spans="1:11">
      <c r="A7" s="2" t="s">
        <v>23</v>
      </c>
      <c r="B7" s="2" t="s">
        <v>10</v>
      </c>
      <c r="C7" s="2" t="s">
        <v>11</v>
      </c>
      <c r="D7" s="2" t="s">
        <v>12</v>
      </c>
      <c r="E7" s="2" t="s">
        <v>11</v>
      </c>
      <c r="F7" s="3">
        <v>6</v>
      </c>
      <c r="G7" s="2" t="s">
        <v>24</v>
      </c>
      <c r="H7" s="2">
        <v>1</v>
      </c>
      <c r="I7" s="2" t="s">
        <v>14</v>
      </c>
      <c r="J7" s="2">
        <v>2</v>
      </c>
      <c r="K7" s="2" t="s">
        <v>970</v>
      </c>
    </row>
    <row r="8" spans="1:11">
      <c r="A8" s="2" t="s">
        <v>25</v>
      </c>
      <c r="B8" s="2" t="s">
        <v>10</v>
      </c>
      <c r="C8" s="2" t="s">
        <v>11</v>
      </c>
      <c r="D8" s="2" t="s">
        <v>12</v>
      </c>
      <c r="E8" s="2" t="s">
        <v>11</v>
      </c>
      <c r="F8" s="3">
        <v>7</v>
      </c>
      <c r="G8" s="2" t="s">
        <v>26</v>
      </c>
      <c r="H8" s="2">
        <v>1</v>
      </c>
      <c r="I8" s="2" t="s">
        <v>14</v>
      </c>
      <c r="J8" s="2">
        <v>2</v>
      </c>
      <c r="K8" s="2" t="s">
        <v>970</v>
      </c>
    </row>
    <row r="9" spans="1:11">
      <c r="A9" s="2" t="s">
        <v>27</v>
      </c>
      <c r="B9" s="2" t="s">
        <v>10</v>
      </c>
      <c r="C9" s="2" t="s">
        <v>11</v>
      </c>
      <c r="D9" s="2" t="s">
        <v>12</v>
      </c>
      <c r="E9" s="2" t="s">
        <v>11</v>
      </c>
      <c r="F9" s="3">
        <v>8</v>
      </c>
      <c r="G9" s="2" t="s">
        <v>28</v>
      </c>
      <c r="H9" s="2">
        <v>1</v>
      </c>
      <c r="I9" s="2" t="s">
        <v>14</v>
      </c>
      <c r="J9" s="2">
        <v>2</v>
      </c>
      <c r="K9" s="2" t="s">
        <v>970</v>
      </c>
    </row>
    <row r="10" spans="1:11">
      <c r="A10" s="2" t="s">
        <v>29</v>
      </c>
      <c r="B10" s="2" t="s">
        <v>10</v>
      </c>
      <c r="C10" s="2" t="s">
        <v>11</v>
      </c>
      <c r="D10" s="2" t="s">
        <v>12</v>
      </c>
      <c r="E10" s="2" t="s">
        <v>11</v>
      </c>
      <c r="F10" s="3">
        <v>9</v>
      </c>
      <c r="G10" s="2" t="s">
        <v>30</v>
      </c>
      <c r="H10" s="2">
        <v>1</v>
      </c>
      <c r="I10" s="2" t="s">
        <v>14</v>
      </c>
      <c r="J10" s="2">
        <v>2</v>
      </c>
      <c r="K10" s="2" t="s">
        <v>970</v>
      </c>
    </row>
    <row r="11" spans="1:11">
      <c r="A11" s="2" t="s">
        <v>31</v>
      </c>
      <c r="B11" s="2" t="s">
        <v>10</v>
      </c>
      <c r="C11" s="2" t="s">
        <v>11</v>
      </c>
      <c r="D11" s="2" t="s">
        <v>12</v>
      </c>
      <c r="E11" s="2" t="s">
        <v>11</v>
      </c>
      <c r="F11" s="3">
        <v>10</v>
      </c>
      <c r="G11" s="2" t="s">
        <v>32</v>
      </c>
      <c r="H11" s="2">
        <v>1</v>
      </c>
      <c r="I11" s="2" t="s">
        <v>14</v>
      </c>
      <c r="J11" s="2">
        <v>2</v>
      </c>
      <c r="K11" s="2" t="s">
        <v>970</v>
      </c>
    </row>
    <row r="12" spans="1:11">
      <c r="A12" s="2" t="s">
        <v>33</v>
      </c>
      <c r="B12" s="2" t="s">
        <v>10</v>
      </c>
      <c r="C12" s="2" t="s">
        <v>11</v>
      </c>
      <c r="D12" s="2" t="s">
        <v>12</v>
      </c>
      <c r="E12" s="2" t="s">
        <v>11</v>
      </c>
      <c r="F12" s="3">
        <v>11</v>
      </c>
      <c r="G12" s="2" t="s">
        <v>34</v>
      </c>
      <c r="H12" s="2">
        <v>1</v>
      </c>
      <c r="I12" s="2" t="s">
        <v>14</v>
      </c>
      <c r="J12" s="2">
        <v>2</v>
      </c>
      <c r="K12" s="2" t="s">
        <v>970</v>
      </c>
    </row>
    <row r="13" spans="1:11">
      <c r="A13" s="2" t="s">
        <v>35</v>
      </c>
      <c r="B13" s="2" t="s">
        <v>10</v>
      </c>
      <c r="C13" s="2" t="s">
        <v>11</v>
      </c>
      <c r="D13" s="2" t="s">
        <v>12</v>
      </c>
      <c r="E13" s="2" t="s">
        <v>11</v>
      </c>
      <c r="F13" s="3">
        <v>12</v>
      </c>
      <c r="G13" s="2" t="s">
        <v>36</v>
      </c>
      <c r="H13" s="2">
        <v>1</v>
      </c>
      <c r="I13" s="2" t="s">
        <v>14</v>
      </c>
      <c r="J13" s="2">
        <v>2</v>
      </c>
      <c r="K13" s="2" t="s">
        <v>970</v>
      </c>
    </row>
    <row r="14" spans="1:11">
      <c r="A14" s="2" t="s">
        <v>37</v>
      </c>
      <c r="B14" s="2" t="s">
        <v>10</v>
      </c>
      <c r="C14" s="2" t="s">
        <v>11</v>
      </c>
      <c r="D14" s="2" t="s">
        <v>12</v>
      </c>
      <c r="E14" s="2" t="s">
        <v>11</v>
      </c>
      <c r="F14" s="3">
        <v>13</v>
      </c>
      <c r="G14" s="2" t="s">
        <v>38</v>
      </c>
      <c r="H14" s="2">
        <v>1</v>
      </c>
      <c r="I14" s="2" t="s">
        <v>14</v>
      </c>
      <c r="J14" s="2">
        <v>2</v>
      </c>
      <c r="K14" s="2" t="s">
        <v>970</v>
      </c>
    </row>
    <row r="15" spans="1:11">
      <c r="A15" s="2" t="s">
        <v>39</v>
      </c>
      <c r="B15" s="2" t="s">
        <v>10</v>
      </c>
      <c r="C15" s="2" t="s">
        <v>11</v>
      </c>
      <c r="D15" s="2" t="s">
        <v>12</v>
      </c>
      <c r="E15" s="2" t="s">
        <v>11</v>
      </c>
      <c r="F15" s="3">
        <v>14</v>
      </c>
      <c r="G15" s="2" t="s">
        <v>40</v>
      </c>
      <c r="H15" s="2">
        <v>1</v>
      </c>
      <c r="I15" s="2" t="s">
        <v>14</v>
      </c>
      <c r="J15" s="2">
        <v>2</v>
      </c>
      <c r="K15" s="2" t="s">
        <v>970</v>
      </c>
    </row>
    <row r="16" spans="1:11">
      <c r="A16" s="2" t="s">
        <v>41</v>
      </c>
      <c r="B16" s="2" t="s">
        <v>10</v>
      </c>
      <c r="C16" s="2" t="s">
        <v>11</v>
      </c>
      <c r="D16" s="2" t="s">
        <v>12</v>
      </c>
      <c r="E16" s="2" t="s">
        <v>11</v>
      </c>
      <c r="F16" s="3">
        <v>15</v>
      </c>
      <c r="G16" s="2" t="s">
        <v>42</v>
      </c>
      <c r="H16" s="2">
        <v>1</v>
      </c>
      <c r="I16" s="2" t="s">
        <v>14</v>
      </c>
      <c r="J16" s="2">
        <v>2</v>
      </c>
      <c r="K16" s="2" t="s">
        <v>970</v>
      </c>
    </row>
    <row r="17" spans="1:11">
      <c r="A17" s="2" t="s">
        <v>43</v>
      </c>
      <c r="B17" s="2" t="s">
        <v>10</v>
      </c>
      <c r="C17" s="2" t="s">
        <v>11</v>
      </c>
      <c r="D17" s="2" t="s">
        <v>12</v>
      </c>
      <c r="E17" s="2" t="s">
        <v>11</v>
      </c>
      <c r="F17" s="3">
        <v>16</v>
      </c>
      <c r="G17" s="2" t="s">
        <v>44</v>
      </c>
      <c r="H17" s="2">
        <v>1</v>
      </c>
      <c r="I17" s="2" t="s">
        <v>14</v>
      </c>
      <c r="J17" s="2">
        <v>2</v>
      </c>
      <c r="K17" s="2" t="s">
        <v>970</v>
      </c>
    </row>
    <row r="18" spans="1:11">
      <c r="A18" s="2" t="s">
        <v>45</v>
      </c>
      <c r="B18" s="2" t="s">
        <v>10</v>
      </c>
      <c r="C18" s="2" t="s">
        <v>11</v>
      </c>
      <c r="D18" s="2" t="s">
        <v>12</v>
      </c>
      <c r="E18" s="2" t="s">
        <v>11</v>
      </c>
      <c r="F18" s="3">
        <v>17</v>
      </c>
      <c r="G18" s="2" t="s">
        <v>46</v>
      </c>
      <c r="H18" s="2">
        <v>1</v>
      </c>
      <c r="I18" s="2" t="s">
        <v>14</v>
      </c>
      <c r="J18" s="2">
        <v>2</v>
      </c>
      <c r="K18" s="2" t="s">
        <v>970</v>
      </c>
    </row>
    <row r="19" spans="1:11">
      <c r="A19" s="2" t="s">
        <v>47</v>
      </c>
      <c r="B19" s="2" t="s">
        <v>10</v>
      </c>
      <c r="C19" s="2" t="s">
        <v>11</v>
      </c>
      <c r="D19" s="2" t="s">
        <v>12</v>
      </c>
      <c r="E19" s="2" t="s">
        <v>11</v>
      </c>
      <c r="F19" s="3">
        <v>18</v>
      </c>
      <c r="G19" s="2" t="s">
        <v>48</v>
      </c>
      <c r="H19" s="2">
        <v>1</v>
      </c>
      <c r="I19" s="2" t="s">
        <v>14</v>
      </c>
      <c r="J19" s="2">
        <v>2</v>
      </c>
      <c r="K19" s="2" t="s">
        <v>970</v>
      </c>
    </row>
    <row r="20" spans="1:11">
      <c r="A20" s="2" t="s">
        <v>49</v>
      </c>
      <c r="B20" s="2" t="s">
        <v>10</v>
      </c>
      <c r="C20" s="2" t="s">
        <v>11</v>
      </c>
      <c r="D20" s="2" t="s">
        <v>12</v>
      </c>
      <c r="E20" s="2" t="s">
        <v>11</v>
      </c>
      <c r="F20" s="3">
        <v>19</v>
      </c>
      <c r="G20" s="2" t="s">
        <v>50</v>
      </c>
      <c r="H20" s="2">
        <v>1</v>
      </c>
      <c r="I20" s="2" t="s">
        <v>14</v>
      </c>
      <c r="J20" s="2">
        <v>2</v>
      </c>
      <c r="K20" s="2" t="s">
        <v>970</v>
      </c>
    </row>
    <row r="21" spans="1:11">
      <c r="A21" s="2" t="s">
        <v>51</v>
      </c>
      <c r="B21" s="2" t="s">
        <v>10</v>
      </c>
      <c r="C21" s="2" t="s">
        <v>11</v>
      </c>
      <c r="D21" s="2" t="s">
        <v>12</v>
      </c>
      <c r="E21" s="2" t="s">
        <v>11</v>
      </c>
      <c r="F21" s="3">
        <v>20</v>
      </c>
      <c r="G21" s="2" t="s">
        <v>52</v>
      </c>
      <c r="H21" s="2">
        <v>1</v>
      </c>
      <c r="I21" s="2" t="s">
        <v>14</v>
      </c>
      <c r="J21" s="2">
        <v>2</v>
      </c>
      <c r="K21" s="2" t="s">
        <v>970</v>
      </c>
    </row>
    <row r="22" spans="1:11">
      <c r="A22" s="2" t="s">
        <v>53</v>
      </c>
      <c r="B22" s="2" t="s">
        <v>10</v>
      </c>
      <c r="C22" s="2" t="s">
        <v>11</v>
      </c>
      <c r="D22" s="2" t="s">
        <v>12</v>
      </c>
      <c r="E22" s="2" t="s">
        <v>11</v>
      </c>
      <c r="F22" s="3">
        <v>21</v>
      </c>
      <c r="G22" s="2" t="s">
        <v>54</v>
      </c>
      <c r="H22" s="2">
        <v>1</v>
      </c>
      <c r="I22" s="2" t="s">
        <v>14</v>
      </c>
      <c r="J22" s="2">
        <v>2</v>
      </c>
      <c r="K22" s="2" t="s">
        <v>970</v>
      </c>
    </row>
    <row r="23" spans="1:11">
      <c r="A23" s="2" t="s">
        <v>55</v>
      </c>
      <c r="B23" s="2" t="s">
        <v>10</v>
      </c>
      <c r="C23" s="2" t="s">
        <v>11</v>
      </c>
      <c r="D23" s="2" t="s">
        <v>12</v>
      </c>
      <c r="E23" s="2" t="s">
        <v>11</v>
      </c>
      <c r="F23" s="3">
        <v>22</v>
      </c>
      <c r="G23" s="2" t="s">
        <v>56</v>
      </c>
      <c r="H23" s="2">
        <v>1</v>
      </c>
      <c r="I23" s="2" t="s">
        <v>14</v>
      </c>
      <c r="J23" s="2">
        <v>2</v>
      </c>
      <c r="K23" s="2" t="s">
        <v>970</v>
      </c>
    </row>
    <row r="24" spans="1:11">
      <c r="A24" s="2" t="s">
        <v>57</v>
      </c>
      <c r="B24" s="2" t="s">
        <v>10</v>
      </c>
      <c r="C24" s="2" t="s">
        <v>11</v>
      </c>
      <c r="D24" s="2" t="s">
        <v>12</v>
      </c>
      <c r="E24" s="2" t="s">
        <v>11</v>
      </c>
      <c r="F24" s="3">
        <v>23</v>
      </c>
      <c r="G24" s="2" t="s">
        <v>58</v>
      </c>
      <c r="H24" s="2">
        <v>1</v>
      </c>
      <c r="I24" s="2" t="s">
        <v>14</v>
      </c>
      <c r="J24" s="2">
        <v>2</v>
      </c>
      <c r="K24" s="2" t="s">
        <v>970</v>
      </c>
    </row>
    <row r="25" spans="1:11">
      <c r="A25" s="2" t="s">
        <v>59</v>
      </c>
      <c r="B25" s="2" t="s">
        <v>10</v>
      </c>
      <c r="C25" s="2" t="s">
        <v>11</v>
      </c>
      <c r="D25" s="2" t="s">
        <v>12</v>
      </c>
      <c r="E25" s="2" t="s">
        <v>11</v>
      </c>
      <c r="F25" s="3">
        <v>24</v>
      </c>
      <c r="G25" s="2" t="s">
        <v>60</v>
      </c>
      <c r="H25" s="2">
        <v>1</v>
      </c>
      <c r="I25" s="2" t="s">
        <v>14</v>
      </c>
      <c r="J25" s="2">
        <v>2</v>
      </c>
      <c r="K25" s="2" t="s">
        <v>970</v>
      </c>
    </row>
    <row r="26" spans="1:11">
      <c r="A26" s="2" t="s">
        <v>61</v>
      </c>
      <c r="B26" s="2" t="s">
        <v>10</v>
      </c>
      <c r="C26" s="2" t="s">
        <v>11</v>
      </c>
      <c r="D26" s="2" t="s">
        <v>12</v>
      </c>
      <c r="E26" s="2" t="s">
        <v>11</v>
      </c>
      <c r="F26" s="3">
        <v>25</v>
      </c>
      <c r="G26" s="2" t="s">
        <v>62</v>
      </c>
      <c r="H26" s="2">
        <v>1</v>
      </c>
      <c r="I26" s="2" t="s">
        <v>14</v>
      </c>
      <c r="J26" s="2">
        <v>2</v>
      </c>
      <c r="K26" s="2" t="s">
        <v>970</v>
      </c>
    </row>
    <row r="27" spans="1:11">
      <c r="A27" s="2" t="s">
        <v>63</v>
      </c>
      <c r="B27" s="2" t="s">
        <v>10</v>
      </c>
      <c r="C27" s="2" t="s">
        <v>11</v>
      </c>
      <c r="D27" s="2" t="s">
        <v>12</v>
      </c>
      <c r="E27" s="2" t="s">
        <v>11</v>
      </c>
      <c r="F27" s="3">
        <v>26</v>
      </c>
      <c r="G27" s="2" t="s">
        <v>64</v>
      </c>
      <c r="H27" s="2">
        <v>1</v>
      </c>
      <c r="I27" s="2" t="s">
        <v>14</v>
      </c>
      <c r="J27" s="2">
        <v>2</v>
      </c>
      <c r="K27" s="2" t="s">
        <v>970</v>
      </c>
    </row>
    <row r="28" spans="1:11">
      <c r="A28" s="2" t="s">
        <v>65</v>
      </c>
      <c r="B28" s="2" t="s">
        <v>10</v>
      </c>
      <c r="C28" s="2" t="s">
        <v>11</v>
      </c>
      <c r="D28" s="2" t="s">
        <v>12</v>
      </c>
      <c r="E28" s="2" t="s">
        <v>11</v>
      </c>
      <c r="F28" s="3">
        <v>27</v>
      </c>
      <c r="G28" s="2" t="s">
        <v>66</v>
      </c>
      <c r="H28" s="2">
        <v>3</v>
      </c>
      <c r="I28" s="2" t="s">
        <v>67</v>
      </c>
      <c r="J28" s="2">
        <v>2</v>
      </c>
      <c r="K28" s="2" t="s">
        <v>970</v>
      </c>
    </row>
    <row r="29" spans="1:11">
      <c r="A29" s="2" t="s">
        <v>68</v>
      </c>
      <c r="B29" s="2" t="s">
        <v>10</v>
      </c>
      <c r="C29" s="2" t="s">
        <v>11</v>
      </c>
      <c r="D29" s="2" t="s">
        <v>12</v>
      </c>
      <c r="E29" s="2" t="s">
        <v>11</v>
      </c>
      <c r="F29" s="3">
        <v>28</v>
      </c>
      <c r="G29" s="2" t="s">
        <v>69</v>
      </c>
      <c r="H29" s="2">
        <v>3</v>
      </c>
      <c r="I29" s="2" t="s">
        <v>67</v>
      </c>
      <c r="J29" s="2">
        <v>2</v>
      </c>
      <c r="K29" s="2" t="s">
        <v>970</v>
      </c>
    </row>
    <row r="30" spans="1:11">
      <c r="A30" s="2" t="s">
        <v>70</v>
      </c>
      <c r="B30" s="2" t="s">
        <v>10</v>
      </c>
      <c r="C30" s="2" t="s">
        <v>11</v>
      </c>
      <c r="D30" s="2" t="s">
        <v>12</v>
      </c>
      <c r="E30" s="2" t="s">
        <v>11</v>
      </c>
      <c r="F30" s="3">
        <v>29</v>
      </c>
      <c r="G30" s="2" t="s">
        <v>71</v>
      </c>
      <c r="H30" s="2">
        <v>3</v>
      </c>
      <c r="I30" s="2" t="s">
        <v>67</v>
      </c>
      <c r="J30" s="2">
        <v>2</v>
      </c>
      <c r="K30" s="2" t="s">
        <v>970</v>
      </c>
    </row>
    <row r="31" spans="1:11">
      <c r="A31" s="2" t="s">
        <v>72</v>
      </c>
      <c r="B31" s="2" t="s">
        <v>10</v>
      </c>
      <c r="C31" s="2" t="s">
        <v>11</v>
      </c>
      <c r="D31" s="2" t="s">
        <v>12</v>
      </c>
      <c r="E31" s="2" t="s">
        <v>11</v>
      </c>
      <c r="F31" s="3">
        <v>30</v>
      </c>
      <c r="G31" s="2" t="s">
        <v>73</v>
      </c>
      <c r="H31" s="2">
        <v>3</v>
      </c>
      <c r="I31" s="2" t="s">
        <v>67</v>
      </c>
      <c r="J31" s="2">
        <v>2</v>
      </c>
      <c r="K31" s="2" t="s">
        <v>970</v>
      </c>
    </row>
    <row r="32" spans="1:11">
      <c r="A32" s="2" t="s">
        <v>74</v>
      </c>
      <c r="B32" s="2" t="s">
        <v>10</v>
      </c>
      <c r="C32" s="2" t="s">
        <v>11</v>
      </c>
      <c r="D32" s="2" t="s">
        <v>12</v>
      </c>
      <c r="E32" s="2" t="s">
        <v>11</v>
      </c>
      <c r="F32" s="3">
        <v>31</v>
      </c>
      <c r="G32" s="2" t="s">
        <v>75</v>
      </c>
      <c r="H32" s="2">
        <v>3</v>
      </c>
      <c r="I32" s="2" t="s">
        <v>67</v>
      </c>
      <c r="J32" s="2">
        <v>2</v>
      </c>
      <c r="K32" s="2" t="s">
        <v>970</v>
      </c>
    </row>
    <row r="33" spans="1:11">
      <c r="A33" s="2" t="s">
        <v>76</v>
      </c>
      <c r="B33" s="2" t="s">
        <v>10</v>
      </c>
      <c r="C33" s="2" t="s">
        <v>11</v>
      </c>
      <c r="D33" s="2" t="s">
        <v>12</v>
      </c>
      <c r="E33" s="2" t="s">
        <v>11</v>
      </c>
      <c r="F33" s="3">
        <v>32</v>
      </c>
      <c r="G33" s="2" t="s">
        <v>77</v>
      </c>
      <c r="H33" s="2">
        <v>3</v>
      </c>
      <c r="I33" s="2" t="s">
        <v>67</v>
      </c>
      <c r="J33" s="2">
        <v>2</v>
      </c>
      <c r="K33" s="2" t="s">
        <v>970</v>
      </c>
    </row>
    <row r="34" spans="1:11">
      <c r="A34" s="2" t="s">
        <v>78</v>
      </c>
      <c r="B34" s="2" t="s">
        <v>10</v>
      </c>
      <c r="C34" s="2" t="s">
        <v>11</v>
      </c>
      <c r="D34" s="2" t="s">
        <v>12</v>
      </c>
      <c r="E34" s="2" t="s">
        <v>11</v>
      </c>
      <c r="F34" s="3">
        <v>33</v>
      </c>
      <c r="G34" s="2" t="s">
        <v>79</v>
      </c>
      <c r="H34" s="2">
        <v>3</v>
      </c>
      <c r="I34" s="2" t="s">
        <v>67</v>
      </c>
      <c r="J34" s="2">
        <v>2</v>
      </c>
      <c r="K34" s="2" t="s">
        <v>970</v>
      </c>
    </row>
    <row r="35" spans="1:11">
      <c r="A35" s="2" t="s">
        <v>80</v>
      </c>
      <c r="B35" s="2" t="s">
        <v>10</v>
      </c>
      <c r="C35" s="2" t="s">
        <v>11</v>
      </c>
      <c r="D35" s="2" t="s">
        <v>12</v>
      </c>
      <c r="E35" s="2" t="s">
        <v>11</v>
      </c>
      <c r="F35" s="3">
        <v>34</v>
      </c>
      <c r="G35" s="2" t="s">
        <v>81</v>
      </c>
      <c r="H35" s="2">
        <v>3</v>
      </c>
      <c r="I35" s="2" t="s">
        <v>67</v>
      </c>
      <c r="J35" s="2">
        <v>2</v>
      </c>
      <c r="K35" s="2" t="s">
        <v>970</v>
      </c>
    </row>
    <row r="36" spans="1:11">
      <c r="A36" s="2" t="s">
        <v>82</v>
      </c>
      <c r="B36" s="2" t="s">
        <v>10</v>
      </c>
      <c r="C36" s="2" t="s">
        <v>11</v>
      </c>
      <c r="D36" s="2" t="s">
        <v>12</v>
      </c>
      <c r="E36" s="2" t="s">
        <v>11</v>
      </c>
      <c r="F36" s="3">
        <v>35</v>
      </c>
      <c r="G36" s="2" t="s">
        <v>83</v>
      </c>
      <c r="H36" s="2">
        <v>3</v>
      </c>
      <c r="I36" s="2" t="s">
        <v>67</v>
      </c>
      <c r="J36" s="2">
        <v>2</v>
      </c>
      <c r="K36" s="2" t="s">
        <v>970</v>
      </c>
    </row>
    <row r="37" spans="1:11">
      <c r="A37" s="2" t="s">
        <v>84</v>
      </c>
      <c r="B37" s="2" t="s">
        <v>10</v>
      </c>
      <c r="C37" s="2" t="s">
        <v>11</v>
      </c>
      <c r="D37" s="2" t="s">
        <v>12</v>
      </c>
      <c r="E37" s="2" t="s">
        <v>11</v>
      </c>
      <c r="F37" s="3">
        <v>36</v>
      </c>
      <c r="G37" s="2" t="s">
        <v>85</v>
      </c>
      <c r="H37" s="2">
        <v>3</v>
      </c>
      <c r="I37" s="2" t="s">
        <v>67</v>
      </c>
      <c r="J37" s="2">
        <v>2</v>
      </c>
      <c r="K37" s="2" t="s">
        <v>970</v>
      </c>
    </row>
    <row r="38" spans="1:11">
      <c r="A38" s="2" t="s">
        <v>86</v>
      </c>
      <c r="B38" s="2" t="s">
        <v>10</v>
      </c>
      <c r="C38" s="2" t="s">
        <v>11</v>
      </c>
      <c r="D38" s="2" t="s">
        <v>12</v>
      </c>
      <c r="E38" s="2" t="s">
        <v>11</v>
      </c>
      <c r="F38" s="3">
        <v>37</v>
      </c>
      <c r="G38" s="2" t="s">
        <v>87</v>
      </c>
      <c r="H38" s="2">
        <v>1</v>
      </c>
      <c r="I38" s="2" t="s">
        <v>14</v>
      </c>
      <c r="J38" s="2">
        <v>2</v>
      </c>
      <c r="K38" s="2" t="s">
        <v>970</v>
      </c>
    </row>
    <row r="39" spans="1:11">
      <c r="A39" s="2" t="s">
        <v>88</v>
      </c>
      <c r="B39" s="2" t="s">
        <v>10</v>
      </c>
      <c r="C39" s="2" t="s">
        <v>11</v>
      </c>
      <c r="D39" s="2" t="s">
        <v>12</v>
      </c>
      <c r="E39" s="2" t="s">
        <v>11</v>
      </c>
      <c r="F39" s="3">
        <v>38</v>
      </c>
      <c r="G39" s="2" t="s">
        <v>89</v>
      </c>
      <c r="H39" s="2">
        <v>1</v>
      </c>
      <c r="I39" s="2" t="s">
        <v>14</v>
      </c>
      <c r="J39" s="2">
        <v>2</v>
      </c>
      <c r="K39" s="2" t="s">
        <v>970</v>
      </c>
    </row>
    <row r="40" spans="1:11">
      <c r="A40" s="2" t="s">
        <v>90</v>
      </c>
      <c r="B40" s="2" t="s">
        <v>10</v>
      </c>
      <c r="C40" s="2" t="s">
        <v>11</v>
      </c>
      <c r="D40" s="2" t="s">
        <v>12</v>
      </c>
      <c r="E40" s="2" t="s">
        <v>11</v>
      </c>
      <c r="F40" s="3">
        <v>39</v>
      </c>
      <c r="G40" s="2" t="s">
        <v>91</v>
      </c>
      <c r="H40" s="2">
        <v>1</v>
      </c>
      <c r="I40" s="2" t="s">
        <v>14</v>
      </c>
      <c r="J40" s="2">
        <v>2</v>
      </c>
      <c r="K40" s="2" t="s">
        <v>970</v>
      </c>
    </row>
    <row r="41" spans="1:11">
      <c r="A41" s="2" t="s">
        <v>92</v>
      </c>
      <c r="B41" s="2" t="s">
        <v>10</v>
      </c>
      <c r="C41" s="2" t="s">
        <v>11</v>
      </c>
      <c r="D41" s="2" t="s">
        <v>12</v>
      </c>
      <c r="E41" s="2" t="s">
        <v>11</v>
      </c>
      <c r="F41" s="3">
        <v>40</v>
      </c>
      <c r="G41" s="2" t="s">
        <v>93</v>
      </c>
      <c r="H41" s="2">
        <v>1</v>
      </c>
      <c r="I41" s="2" t="s">
        <v>14</v>
      </c>
      <c r="J41" s="2">
        <v>2</v>
      </c>
      <c r="K41" s="2" t="s">
        <v>970</v>
      </c>
    </row>
    <row r="42" spans="1:11">
      <c r="A42" s="2" t="s">
        <v>94</v>
      </c>
      <c r="B42" s="2" t="s">
        <v>10</v>
      </c>
      <c r="C42" s="2" t="s">
        <v>11</v>
      </c>
      <c r="D42" s="2" t="s">
        <v>12</v>
      </c>
      <c r="E42" s="2" t="s">
        <v>11</v>
      </c>
      <c r="F42" s="3">
        <v>41</v>
      </c>
      <c r="G42" s="2" t="s">
        <v>95</v>
      </c>
      <c r="H42" s="2">
        <v>1</v>
      </c>
      <c r="I42" s="2" t="s">
        <v>14</v>
      </c>
      <c r="J42" s="2">
        <v>2</v>
      </c>
      <c r="K42" s="2" t="s">
        <v>970</v>
      </c>
    </row>
    <row r="43" spans="1:11">
      <c r="A43" s="2" t="s">
        <v>96</v>
      </c>
      <c r="B43" s="2" t="s">
        <v>10</v>
      </c>
      <c r="C43" s="2" t="s">
        <v>11</v>
      </c>
      <c r="D43" s="2" t="s">
        <v>12</v>
      </c>
      <c r="E43" s="2" t="s">
        <v>11</v>
      </c>
      <c r="F43" s="3">
        <v>42</v>
      </c>
      <c r="G43" s="2" t="s">
        <v>97</v>
      </c>
      <c r="H43" s="2">
        <v>1</v>
      </c>
      <c r="I43" s="2" t="s">
        <v>14</v>
      </c>
      <c r="J43" s="2">
        <v>2</v>
      </c>
      <c r="K43" s="2" t="s">
        <v>970</v>
      </c>
    </row>
    <row r="44" spans="1:11">
      <c r="A44" s="2" t="s">
        <v>98</v>
      </c>
      <c r="B44" s="2" t="s">
        <v>10</v>
      </c>
      <c r="C44" s="2" t="s">
        <v>11</v>
      </c>
      <c r="D44" s="2" t="s">
        <v>12</v>
      </c>
      <c r="E44" s="2" t="s">
        <v>11</v>
      </c>
      <c r="F44" s="3">
        <v>43</v>
      </c>
      <c r="G44" s="2" t="s">
        <v>99</v>
      </c>
      <c r="H44" s="2">
        <v>1</v>
      </c>
      <c r="I44" s="2" t="s">
        <v>14</v>
      </c>
      <c r="J44" s="2">
        <v>2</v>
      </c>
      <c r="K44" s="2" t="s">
        <v>970</v>
      </c>
    </row>
    <row r="45" spans="1:11">
      <c r="A45" s="2" t="s">
        <v>100</v>
      </c>
      <c r="B45" s="2" t="s">
        <v>10</v>
      </c>
      <c r="C45" s="2" t="s">
        <v>11</v>
      </c>
      <c r="D45" s="2" t="s">
        <v>12</v>
      </c>
      <c r="E45" s="2" t="s">
        <v>11</v>
      </c>
      <c r="F45" s="3">
        <v>44</v>
      </c>
      <c r="G45" s="2" t="s">
        <v>101</v>
      </c>
      <c r="H45" s="2">
        <v>1</v>
      </c>
      <c r="I45" s="2" t="s">
        <v>14</v>
      </c>
      <c r="J45" s="2">
        <v>2</v>
      </c>
      <c r="K45" s="2" t="s">
        <v>970</v>
      </c>
    </row>
    <row r="46" spans="1:11">
      <c r="A46" s="2" t="s">
        <v>102</v>
      </c>
      <c r="B46" s="2" t="s">
        <v>10</v>
      </c>
      <c r="C46" s="2" t="s">
        <v>11</v>
      </c>
      <c r="D46" s="2" t="s">
        <v>12</v>
      </c>
      <c r="E46" s="2" t="s">
        <v>11</v>
      </c>
      <c r="F46" s="3">
        <v>45</v>
      </c>
      <c r="G46" s="2" t="s">
        <v>103</v>
      </c>
      <c r="H46" s="2">
        <v>1</v>
      </c>
      <c r="I46" s="2" t="s">
        <v>14</v>
      </c>
      <c r="J46" s="2">
        <v>2</v>
      </c>
      <c r="K46" s="2" t="s">
        <v>970</v>
      </c>
    </row>
    <row r="47" spans="1:11">
      <c r="A47" s="2" t="s">
        <v>104</v>
      </c>
      <c r="B47" s="2" t="s">
        <v>10</v>
      </c>
      <c r="C47" s="2" t="s">
        <v>11</v>
      </c>
      <c r="D47" s="2" t="s">
        <v>12</v>
      </c>
      <c r="E47" s="2" t="s">
        <v>11</v>
      </c>
      <c r="F47" s="3">
        <v>46</v>
      </c>
      <c r="G47" s="2" t="s">
        <v>105</v>
      </c>
      <c r="H47" s="2">
        <v>1</v>
      </c>
      <c r="I47" s="2" t="s">
        <v>14</v>
      </c>
      <c r="J47" s="2">
        <v>2</v>
      </c>
      <c r="K47" s="2" t="s">
        <v>970</v>
      </c>
    </row>
    <row r="48" spans="1:11">
      <c r="A48" s="2" t="s">
        <v>106</v>
      </c>
      <c r="B48" s="2" t="s">
        <v>10</v>
      </c>
      <c r="C48" s="2" t="s">
        <v>11</v>
      </c>
      <c r="D48" s="2" t="s">
        <v>12</v>
      </c>
      <c r="E48" s="2" t="s">
        <v>11</v>
      </c>
      <c r="F48" s="3">
        <v>47</v>
      </c>
      <c r="G48" s="2" t="s">
        <v>107</v>
      </c>
      <c r="H48" s="2">
        <v>1</v>
      </c>
      <c r="I48" s="2" t="s">
        <v>14</v>
      </c>
      <c r="J48" s="2">
        <v>2</v>
      </c>
      <c r="K48" s="2" t="s">
        <v>970</v>
      </c>
    </row>
    <row r="49" spans="1:11">
      <c r="A49" s="2" t="s">
        <v>108</v>
      </c>
      <c r="B49" s="2" t="s">
        <v>10</v>
      </c>
      <c r="C49" s="2" t="s">
        <v>11</v>
      </c>
      <c r="D49" s="2" t="s">
        <v>12</v>
      </c>
      <c r="E49" s="2" t="s">
        <v>11</v>
      </c>
      <c r="F49" s="3">
        <v>48</v>
      </c>
      <c r="G49" s="2" t="s">
        <v>109</v>
      </c>
      <c r="H49" s="2">
        <v>1</v>
      </c>
      <c r="I49" s="2" t="s">
        <v>14</v>
      </c>
      <c r="J49" s="2">
        <v>2</v>
      </c>
      <c r="K49" s="2" t="s">
        <v>970</v>
      </c>
    </row>
    <row r="50" spans="1:11">
      <c r="A50" s="2" t="s">
        <v>110</v>
      </c>
      <c r="B50" s="2" t="s">
        <v>10</v>
      </c>
      <c r="C50" s="2" t="s">
        <v>11</v>
      </c>
      <c r="D50" s="2" t="s">
        <v>12</v>
      </c>
      <c r="E50" s="2" t="s">
        <v>11</v>
      </c>
      <c r="F50" s="3">
        <v>49</v>
      </c>
      <c r="G50" s="2" t="s">
        <v>111</v>
      </c>
      <c r="H50" s="2">
        <v>1</v>
      </c>
      <c r="I50" s="2" t="s">
        <v>14</v>
      </c>
      <c r="J50" s="2">
        <v>2</v>
      </c>
      <c r="K50" s="2" t="s">
        <v>970</v>
      </c>
    </row>
    <row r="51" spans="1:11">
      <c r="A51" s="2" t="s">
        <v>112</v>
      </c>
      <c r="B51" s="2" t="s">
        <v>10</v>
      </c>
      <c r="C51" s="2" t="s">
        <v>11</v>
      </c>
      <c r="D51" s="2" t="s">
        <v>12</v>
      </c>
      <c r="E51" s="2" t="s">
        <v>11</v>
      </c>
      <c r="F51" s="3">
        <v>50</v>
      </c>
      <c r="G51" s="2" t="s">
        <v>113</v>
      </c>
      <c r="H51" s="2">
        <v>1</v>
      </c>
      <c r="I51" s="2" t="s">
        <v>14</v>
      </c>
      <c r="J51" s="2">
        <v>2</v>
      </c>
      <c r="K51" s="2" t="s">
        <v>970</v>
      </c>
    </row>
    <row r="52" spans="1:11">
      <c r="A52" s="2" t="s">
        <v>114</v>
      </c>
      <c r="B52" s="2" t="s">
        <v>10</v>
      </c>
      <c r="C52" s="2" t="s">
        <v>11</v>
      </c>
      <c r="D52" s="2" t="s">
        <v>12</v>
      </c>
      <c r="E52" s="2" t="s">
        <v>11</v>
      </c>
      <c r="F52" s="3">
        <v>51</v>
      </c>
      <c r="G52" s="2" t="s">
        <v>115</v>
      </c>
      <c r="H52" s="2">
        <v>1</v>
      </c>
      <c r="I52" s="2" t="s">
        <v>14</v>
      </c>
      <c r="J52" s="2">
        <v>2</v>
      </c>
      <c r="K52" s="2" t="s">
        <v>970</v>
      </c>
    </row>
    <row r="53" spans="1:11">
      <c r="A53" s="2" t="s">
        <v>116</v>
      </c>
      <c r="B53" s="2" t="s">
        <v>10</v>
      </c>
      <c r="C53" s="2" t="s">
        <v>11</v>
      </c>
      <c r="D53" s="2" t="s">
        <v>12</v>
      </c>
      <c r="E53" s="2" t="s">
        <v>11</v>
      </c>
      <c r="F53" s="3">
        <v>52</v>
      </c>
      <c r="G53" s="2" t="s">
        <v>117</v>
      </c>
      <c r="H53" s="2">
        <v>1</v>
      </c>
      <c r="I53" s="2" t="s">
        <v>14</v>
      </c>
      <c r="J53" s="2">
        <v>2</v>
      </c>
      <c r="K53" s="2" t="s">
        <v>970</v>
      </c>
    </row>
    <row r="54" spans="1:11">
      <c r="A54" s="2" t="s">
        <v>118</v>
      </c>
      <c r="B54" s="2" t="s">
        <v>10</v>
      </c>
      <c r="C54" s="2" t="s">
        <v>11</v>
      </c>
      <c r="D54" s="2" t="s">
        <v>12</v>
      </c>
      <c r="E54" s="2" t="s">
        <v>11</v>
      </c>
      <c r="F54" s="3">
        <v>53</v>
      </c>
      <c r="G54" s="2" t="s">
        <v>119</v>
      </c>
      <c r="H54" s="2">
        <v>1</v>
      </c>
      <c r="I54" s="2" t="s">
        <v>14</v>
      </c>
      <c r="J54" s="2">
        <v>2</v>
      </c>
      <c r="K54" s="2" t="s">
        <v>970</v>
      </c>
    </row>
    <row r="55" spans="1:11">
      <c r="A55" s="2" t="s">
        <v>120</v>
      </c>
      <c r="B55" s="2" t="s">
        <v>10</v>
      </c>
      <c r="C55" s="2" t="s">
        <v>11</v>
      </c>
      <c r="D55" s="2" t="s">
        <v>12</v>
      </c>
      <c r="E55" s="2" t="s">
        <v>11</v>
      </c>
      <c r="F55" s="3">
        <v>54</v>
      </c>
      <c r="G55" s="2" t="s">
        <v>121</v>
      </c>
      <c r="H55" s="2">
        <v>1</v>
      </c>
      <c r="I55" s="2" t="s">
        <v>14</v>
      </c>
      <c r="J55" s="2">
        <v>2</v>
      </c>
      <c r="K55" s="2" t="s">
        <v>970</v>
      </c>
    </row>
    <row r="56" spans="1:11">
      <c r="A56" s="2" t="s">
        <v>122</v>
      </c>
      <c r="B56" s="2" t="s">
        <v>10</v>
      </c>
      <c r="C56" s="2" t="s">
        <v>11</v>
      </c>
      <c r="D56" s="2" t="s">
        <v>12</v>
      </c>
      <c r="E56" s="2" t="s">
        <v>11</v>
      </c>
      <c r="F56" s="3">
        <v>55</v>
      </c>
      <c r="G56" s="2" t="s">
        <v>123</v>
      </c>
      <c r="H56" s="2">
        <v>1</v>
      </c>
      <c r="I56" s="2" t="s">
        <v>14</v>
      </c>
      <c r="J56" s="2">
        <v>2</v>
      </c>
      <c r="K56" s="2" t="s">
        <v>970</v>
      </c>
    </row>
    <row r="57" spans="1:11">
      <c r="A57" s="2" t="s">
        <v>124</v>
      </c>
      <c r="B57" s="2" t="s">
        <v>10</v>
      </c>
      <c r="C57" s="2" t="s">
        <v>11</v>
      </c>
      <c r="D57" s="2" t="s">
        <v>12</v>
      </c>
      <c r="E57" s="2" t="s">
        <v>11</v>
      </c>
      <c r="F57" s="3">
        <v>56</v>
      </c>
      <c r="G57" s="2" t="s">
        <v>125</v>
      </c>
      <c r="H57" s="2">
        <v>1</v>
      </c>
      <c r="I57" s="2" t="s">
        <v>14</v>
      </c>
      <c r="J57" s="2">
        <v>2</v>
      </c>
      <c r="K57" s="2" t="s">
        <v>970</v>
      </c>
    </row>
    <row r="58" spans="1:11">
      <c r="A58" s="2" t="s">
        <v>126</v>
      </c>
      <c r="B58" s="2" t="s">
        <v>10</v>
      </c>
      <c r="C58" s="2" t="s">
        <v>11</v>
      </c>
      <c r="D58" s="2" t="s">
        <v>12</v>
      </c>
      <c r="E58" s="2" t="s">
        <v>11</v>
      </c>
      <c r="F58" s="3">
        <v>57</v>
      </c>
      <c r="G58" s="2" t="s">
        <v>127</v>
      </c>
      <c r="H58" s="2">
        <v>1</v>
      </c>
      <c r="I58" s="2" t="s">
        <v>14</v>
      </c>
      <c r="J58" s="2">
        <v>2</v>
      </c>
      <c r="K58" s="2" t="s">
        <v>970</v>
      </c>
    </row>
    <row r="59" spans="1:11">
      <c r="A59" s="2" t="s">
        <v>128</v>
      </c>
      <c r="B59" s="2" t="s">
        <v>10</v>
      </c>
      <c r="C59" s="2" t="s">
        <v>11</v>
      </c>
      <c r="D59" s="2" t="s">
        <v>12</v>
      </c>
      <c r="E59" s="2" t="s">
        <v>11</v>
      </c>
      <c r="F59" s="3">
        <v>58</v>
      </c>
      <c r="G59" s="2" t="s">
        <v>129</v>
      </c>
      <c r="H59" s="2">
        <v>1</v>
      </c>
      <c r="I59" s="2" t="s">
        <v>14</v>
      </c>
      <c r="J59" s="2">
        <v>2</v>
      </c>
      <c r="K59" s="2" t="s">
        <v>970</v>
      </c>
    </row>
    <row r="60" spans="1:11">
      <c r="A60" s="2" t="s">
        <v>130</v>
      </c>
      <c r="B60" s="2" t="s">
        <v>10</v>
      </c>
      <c r="C60" s="2" t="s">
        <v>11</v>
      </c>
      <c r="D60" s="2" t="s">
        <v>12</v>
      </c>
      <c r="E60" s="2" t="s">
        <v>11</v>
      </c>
      <c r="F60" s="3">
        <v>59</v>
      </c>
      <c r="G60" s="2" t="s">
        <v>131</v>
      </c>
      <c r="H60" s="2">
        <v>1</v>
      </c>
      <c r="I60" s="2" t="s">
        <v>14</v>
      </c>
      <c r="J60" s="2">
        <v>2</v>
      </c>
      <c r="K60" s="2" t="s">
        <v>970</v>
      </c>
    </row>
    <row r="61" spans="1:11">
      <c r="A61" s="2" t="s">
        <v>132</v>
      </c>
      <c r="B61" s="2" t="s">
        <v>10</v>
      </c>
      <c r="C61" s="2" t="s">
        <v>11</v>
      </c>
      <c r="D61" s="2" t="s">
        <v>12</v>
      </c>
      <c r="E61" s="2" t="s">
        <v>11</v>
      </c>
      <c r="F61" s="3">
        <v>60</v>
      </c>
      <c r="G61" s="2" t="s">
        <v>133</v>
      </c>
      <c r="H61" s="2">
        <v>1</v>
      </c>
      <c r="I61" s="2" t="s">
        <v>14</v>
      </c>
      <c r="J61" s="2">
        <v>2</v>
      </c>
      <c r="K61" s="2" t="s">
        <v>970</v>
      </c>
    </row>
    <row r="62" spans="1:11">
      <c r="A62" s="2" t="s">
        <v>134</v>
      </c>
      <c r="B62" s="2" t="s">
        <v>10</v>
      </c>
      <c r="C62" s="2" t="s">
        <v>11</v>
      </c>
      <c r="D62" s="2" t="s">
        <v>12</v>
      </c>
      <c r="E62" s="2" t="s">
        <v>11</v>
      </c>
      <c r="F62" s="3">
        <v>61</v>
      </c>
      <c r="G62" s="2" t="s">
        <v>135</v>
      </c>
      <c r="H62" s="2">
        <v>1</v>
      </c>
      <c r="I62" s="2" t="s">
        <v>14</v>
      </c>
      <c r="J62" s="2">
        <v>2</v>
      </c>
      <c r="K62" s="2" t="s">
        <v>970</v>
      </c>
    </row>
    <row r="63" spans="1:11">
      <c r="A63" s="2" t="s">
        <v>136</v>
      </c>
      <c r="B63" s="2" t="s">
        <v>10</v>
      </c>
      <c r="C63" s="2" t="s">
        <v>11</v>
      </c>
      <c r="D63" s="2" t="s">
        <v>12</v>
      </c>
      <c r="E63" s="2" t="s">
        <v>11</v>
      </c>
      <c r="F63" s="3">
        <v>62</v>
      </c>
      <c r="G63" s="2" t="s">
        <v>137</v>
      </c>
      <c r="H63" s="2">
        <v>1</v>
      </c>
      <c r="I63" s="2" t="s">
        <v>14</v>
      </c>
      <c r="J63" s="2">
        <v>2</v>
      </c>
      <c r="K63" s="2" t="s">
        <v>970</v>
      </c>
    </row>
    <row r="64" spans="1:11">
      <c r="A64" s="2" t="s">
        <v>138</v>
      </c>
      <c r="B64" s="2" t="s">
        <v>10</v>
      </c>
      <c r="C64" s="2" t="s">
        <v>11</v>
      </c>
      <c r="D64" s="2" t="s">
        <v>12</v>
      </c>
      <c r="E64" s="2" t="s">
        <v>11</v>
      </c>
      <c r="F64" s="3">
        <v>63</v>
      </c>
      <c r="G64" s="2" t="s">
        <v>139</v>
      </c>
      <c r="H64" s="2">
        <v>1</v>
      </c>
      <c r="I64" s="2" t="s">
        <v>14</v>
      </c>
      <c r="J64" s="2">
        <v>2</v>
      </c>
      <c r="K64" s="2" t="s">
        <v>970</v>
      </c>
    </row>
    <row r="65" spans="1:11">
      <c r="A65" s="2" t="s">
        <v>140</v>
      </c>
      <c r="B65" s="2" t="s">
        <v>10</v>
      </c>
      <c r="C65" s="2" t="s">
        <v>11</v>
      </c>
      <c r="D65" s="2" t="s">
        <v>12</v>
      </c>
      <c r="E65" s="2" t="s">
        <v>11</v>
      </c>
      <c r="F65" s="3">
        <v>64</v>
      </c>
      <c r="G65" s="2" t="s">
        <v>141</v>
      </c>
      <c r="H65" s="2">
        <v>2</v>
      </c>
      <c r="I65" s="2" t="s">
        <v>142</v>
      </c>
      <c r="J65" s="2">
        <v>2</v>
      </c>
      <c r="K65" s="2" t="s">
        <v>970</v>
      </c>
    </row>
    <row r="66" spans="1:11">
      <c r="A66" s="2" t="s">
        <v>143</v>
      </c>
      <c r="B66" s="2" t="s">
        <v>10</v>
      </c>
      <c r="C66" s="2" t="s">
        <v>11</v>
      </c>
      <c r="D66" s="2" t="s">
        <v>12</v>
      </c>
      <c r="E66" s="2" t="s">
        <v>11</v>
      </c>
      <c r="F66" s="3">
        <v>65</v>
      </c>
      <c r="G66" s="2" t="s">
        <v>144</v>
      </c>
      <c r="H66" s="2">
        <v>2</v>
      </c>
      <c r="I66" s="2" t="s">
        <v>142</v>
      </c>
      <c r="J66" s="2">
        <v>2</v>
      </c>
      <c r="K66" s="2" t="s">
        <v>970</v>
      </c>
    </row>
    <row r="67" spans="1:11">
      <c r="A67" s="2" t="s">
        <v>145</v>
      </c>
      <c r="B67" s="2" t="s">
        <v>10</v>
      </c>
      <c r="C67" s="2" t="s">
        <v>11</v>
      </c>
      <c r="D67" s="2" t="s">
        <v>12</v>
      </c>
      <c r="E67" s="2" t="s">
        <v>11</v>
      </c>
      <c r="F67" s="3">
        <v>66</v>
      </c>
      <c r="G67" s="2" t="s">
        <v>146</v>
      </c>
      <c r="H67" s="2">
        <v>1</v>
      </c>
      <c r="I67" s="2" t="s">
        <v>14</v>
      </c>
      <c r="J67" s="2">
        <v>2</v>
      </c>
      <c r="K67" s="2" t="s">
        <v>970</v>
      </c>
    </row>
    <row r="68" spans="1:11">
      <c r="A68" s="2" t="s">
        <v>147</v>
      </c>
      <c r="B68" s="2" t="s">
        <v>10</v>
      </c>
      <c r="C68" s="2" t="s">
        <v>11</v>
      </c>
      <c r="D68" s="2" t="s">
        <v>12</v>
      </c>
      <c r="E68" s="2" t="s">
        <v>11</v>
      </c>
      <c r="F68" s="3">
        <v>67</v>
      </c>
      <c r="G68" s="2" t="s">
        <v>148</v>
      </c>
      <c r="H68" s="2">
        <v>2</v>
      </c>
      <c r="I68" s="2" t="s">
        <v>142</v>
      </c>
      <c r="J68" s="2">
        <v>2</v>
      </c>
      <c r="K68" s="2" t="s">
        <v>970</v>
      </c>
    </row>
    <row r="69" spans="1:11">
      <c r="A69" s="2" t="s">
        <v>149</v>
      </c>
      <c r="B69" s="2" t="s">
        <v>10</v>
      </c>
      <c r="C69" s="2" t="s">
        <v>11</v>
      </c>
      <c r="D69" s="2" t="s">
        <v>12</v>
      </c>
      <c r="E69" s="2" t="s">
        <v>11</v>
      </c>
      <c r="F69" s="3">
        <v>68</v>
      </c>
      <c r="G69" s="2" t="s">
        <v>150</v>
      </c>
      <c r="H69" s="2">
        <v>2</v>
      </c>
      <c r="I69" s="2" t="s">
        <v>142</v>
      </c>
      <c r="J69" s="2">
        <v>2</v>
      </c>
      <c r="K69" s="2" t="s">
        <v>970</v>
      </c>
    </row>
    <row r="70" spans="1:11">
      <c r="A70" s="2" t="s">
        <v>151</v>
      </c>
      <c r="B70" s="2" t="s">
        <v>10</v>
      </c>
      <c r="C70" s="2" t="s">
        <v>11</v>
      </c>
      <c r="D70" s="2" t="s">
        <v>12</v>
      </c>
      <c r="E70" s="2" t="s">
        <v>11</v>
      </c>
      <c r="F70" s="3">
        <v>69</v>
      </c>
      <c r="G70" s="2" t="s">
        <v>152</v>
      </c>
      <c r="H70" s="2">
        <v>2</v>
      </c>
      <c r="I70" s="2" t="s">
        <v>142</v>
      </c>
      <c r="J70" s="2">
        <v>2</v>
      </c>
      <c r="K70" s="2" t="s">
        <v>970</v>
      </c>
    </row>
    <row r="71" spans="1:11">
      <c r="A71" s="2" t="s">
        <v>153</v>
      </c>
      <c r="B71" s="2" t="s">
        <v>10</v>
      </c>
      <c r="C71" s="2" t="s">
        <v>11</v>
      </c>
      <c r="D71" s="2" t="s">
        <v>12</v>
      </c>
      <c r="E71" s="2" t="s">
        <v>11</v>
      </c>
      <c r="F71" s="3">
        <v>70</v>
      </c>
      <c r="G71" s="2" t="s">
        <v>154</v>
      </c>
      <c r="H71" s="2">
        <v>2</v>
      </c>
      <c r="I71" s="2" t="s">
        <v>142</v>
      </c>
      <c r="J71" s="2">
        <v>2</v>
      </c>
      <c r="K71" s="2" t="s">
        <v>970</v>
      </c>
    </row>
    <row r="72" spans="1:11">
      <c r="A72" s="2" t="s">
        <v>155</v>
      </c>
      <c r="B72" s="2" t="s">
        <v>10</v>
      </c>
      <c r="C72" s="2" t="s">
        <v>11</v>
      </c>
      <c r="D72" s="2" t="s">
        <v>12</v>
      </c>
      <c r="E72" s="2" t="s">
        <v>11</v>
      </c>
      <c r="F72" s="3">
        <v>71</v>
      </c>
      <c r="G72" s="2" t="s">
        <v>156</v>
      </c>
      <c r="H72" s="2">
        <v>2</v>
      </c>
      <c r="I72" s="2" t="s">
        <v>142</v>
      </c>
      <c r="J72" s="2">
        <v>2</v>
      </c>
      <c r="K72" s="2" t="s">
        <v>970</v>
      </c>
    </row>
    <row r="73" spans="1:11">
      <c r="A73" s="2" t="s">
        <v>157</v>
      </c>
      <c r="B73" s="2" t="s">
        <v>10</v>
      </c>
      <c r="C73" s="2" t="s">
        <v>11</v>
      </c>
      <c r="D73" s="2" t="s">
        <v>12</v>
      </c>
      <c r="E73" s="2" t="s">
        <v>11</v>
      </c>
      <c r="F73" s="3">
        <v>72</v>
      </c>
      <c r="G73" s="2" t="s">
        <v>158</v>
      </c>
      <c r="H73" s="2">
        <v>2</v>
      </c>
      <c r="I73" s="2" t="s">
        <v>142</v>
      </c>
      <c r="J73" s="2">
        <v>2</v>
      </c>
      <c r="K73" s="2" t="s">
        <v>970</v>
      </c>
    </row>
    <row r="74" spans="1:11">
      <c r="A74" s="2" t="s">
        <v>159</v>
      </c>
      <c r="B74" s="2" t="s">
        <v>10</v>
      </c>
      <c r="C74" s="2" t="s">
        <v>11</v>
      </c>
      <c r="D74" s="2" t="s">
        <v>12</v>
      </c>
      <c r="E74" s="2" t="s">
        <v>11</v>
      </c>
      <c r="F74" s="3">
        <v>73</v>
      </c>
      <c r="G74" s="2" t="s">
        <v>160</v>
      </c>
      <c r="H74" s="2">
        <v>2</v>
      </c>
      <c r="I74" s="2" t="s">
        <v>142</v>
      </c>
      <c r="J74" s="2">
        <v>2</v>
      </c>
      <c r="K74" s="2" t="s">
        <v>970</v>
      </c>
    </row>
    <row r="75" spans="1:11">
      <c r="A75" s="2" t="s">
        <v>161</v>
      </c>
      <c r="B75" s="2" t="s">
        <v>10</v>
      </c>
      <c r="C75" s="2" t="s">
        <v>11</v>
      </c>
      <c r="D75" s="2" t="s">
        <v>12</v>
      </c>
      <c r="E75" s="2" t="s">
        <v>11</v>
      </c>
      <c r="F75" s="3">
        <v>74</v>
      </c>
      <c r="G75" s="2" t="s">
        <v>162</v>
      </c>
      <c r="H75" s="2">
        <v>2</v>
      </c>
      <c r="I75" s="2" t="s">
        <v>142</v>
      </c>
      <c r="J75" s="2">
        <v>2</v>
      </c>
      <c r="K75" s="2" t="s">
        <v>970</v>
      </c>
    </row>
    <row r="76" spans="1:11">
      <c r="A76" s="2" t="s">
        <v>163</v>
      </c>
      <c r="B76" s="2" t="s">
        <v>10</v>
      </c>
      <c r="C76" s="2" t="s">
        <v>11</v>
      </c>
      <c r="D76" s="2" t="s">
        <v>12</v>
      </c>
      <c r="E76" s="2" t="s">
        <v>11</v>
      </c>
      <c r="F76" s="3">
        <v>75</v>
      </c>
      <c r="G76" s="2" t="s">
        <v>164</v>
      </c>
      <c r="H76" s="2">
        <v>2</v>
      </c>
      <c r="I76" s="2" t="s">
        <v>142</v>
      </c>
      <c r="J76" s="2">
        <v>2</v>
      </c>
      <c r="K76" s="2" t="s">
        <v>970</v>
      </c>
    </row>
    <row r="77" spans="1:11">
      <c r="A77" s="2" t="s">
        <v>165</v>
      </c>
      <c r="B77" s="2" t="s">
        <v>10</v>
      </c>
      <c r="C77" s="2" t="s">
        <v>11</v>
      </c>
      <c r="D77" s="2" t="s">
        <v>12</v>
      </c>
      <c r="E77" s="2" t="s">
        <v>11</v>
      </c>
      <c r="F77" s="3">
        <v>76</v>
      </c>
      <c r="G77" s="2" t="s">
        <v>166</v>
      </c>
      <c r="H77" s="2">
        <v>3</v>
      </c>
      <c r="I77" s="2" t="s">
        <v>67</v>
      </c>
      <c r="J77" s="2">
        <v>2</v>
      </c>
      <c r="K77" s="2" t="s">
        <v>970</v>
      </c>
    </row>
    <row r="78" spans="1:11">
      <c r="A78" s="2" t="s">
        <v>167</v>
      </c>
      <c r="B78" s="2" t="s">
        <v>10</v>
      </c>
      <c r="C78" s="2" t="s">
        <v>11</v>
      </c>
      <c r="D78" s="2" t="s">
        <v>12</v>
      </c>
      <c r="E78" s="2" t="s">
        <v>11</v>
      </c>
      <c r="F78" s="3">
        <v>77</v>
      </c>
      <c r="G78" s="2" t="s">
        <v>168</v>
      </c>
      <c r="H78" s="2">
        <v>3</v>
      </c>
      <c r="I78" s="2" t="s">
        <v>67</v>
      </c>
      <c r="J78" s="2">
        <v>2</v>
      </c>
      <c r="K78" s="2" t="s">
        <v>970</v>
      </c>
    </row>
    <row r="79" spans="1:11">
      <c r="A79" s="2" t="s">
        <v>169</v>
      </c>
      <c r="B79" s="2" t="s">
        <v>10</v>
      </c>
      <c r="C79" s="2" t="s">
        <v>11</v>
      </c>
      <c r="D79" s="2" t="s">
        <v>12</v>
      </c>
      <c r="E79" s="2" t="s">
        <v>11</v>
      </c>
      <c r="F79" s="3">
        <v>78</v>
      </c>
      <c r="G79" s="2" t="s">
        <v>170</v>
      </c>
      <c r="H79" s="2">
        <v>3</v>
      </c>
      <c r="I79" s="2" t="s">
        <v>67</v>
      </c>
      <c r="J79" s="2">
        <v>2</v>
      </c>
      <c r="K79" s="2" t="s">
        <v>970</v>
      </c>
    </row>
    <row r="80" spans="1:11">
      <c r="A80" s="2" t="s">
        <v>171</v>
      </c>
      <c r="B80" s="2" t="s">
        <v>10</v>
      </c>
      <c r="C80" s="2" t="s">
        <v>11</v>
      </c>
      <c r="D80" s="2" t="s">
        <v>12</v>
      </c>
      <c r="E80" s="2" t="s">
        <v>11</v>
      </c>
      <c r="F80" s="3">
        <v>79</v>
      </c>
      <c r="G80" s="2" t="s">
        <v>172</v>
      </c>
      <c r="H80" s="2">
        <v>3</v>
      </c>
      <c r="I80" s="2" t="s">
        <v>67</v>
      </c>
      <c r="J80" s="2">
        <v>2</v>
      </c>
      <c r="K80" s="2" t="s">
        <v>970</v>
      </c>
    </row>
    <row r="81" spans="1:11">
      <c r="A81" s="2" t="s">
        <v>173</v>
      </c>
      <c r="B81" s="2" t="s">
        <v>10</v>
      </c>
      <c r="C81" s="2" t="s">
        <v>11</v>
      </c>
      <c r="D81" s="2" t="s">
        <v>12</v>
      </c>
      <c r="E81" s="2" t="s">
        <v>11</v>
      </c>
      <c r="F81" s="3">
        <v>80</v>
      </c>
      <c r="G81" s="2" t="s">
        <v>174</v>
      </c>
      <c r="H81" s="2">
        <v>3</v>
      </c>
      <c r="I81" s="2" t="s">
        <v>67</v>
      </c>
      <c r="J81" s="2">
        <v>2</v>
      </c>
      <c r="K81" s="2" t="s">
        <v>970</v>
      </c>
    </row>
    <row r="82" spans="1:11">
      <c r="A82" s="2" t="s">
        <v>175</v>
      </c>
      <c r="B82" s="2" t="s">
        <v>10</v>
      </c>
      <c r="C82" s="2" t="s">
        <v>11</v>
      </c>
      <c r="D82" s="2" t="s">
        <v>12</v>
      </c>
      <c r="E82" s="2" t="s">
        <v>11</v>
      </c>
      <c r="F82" s="3">
        <v>81</v>
      </c>
      <c r="G82" s="2" t="s">
        <v>176</v>
      </c>
      <c r="H82" s="2">
        <v>3</v>
      </c>
      <c r="I82" s="2" t="s">
        <v>67</v>
      </c>
      <c r="J82" s="2">
        <v>2</v>
      </c>
      <c r="K82" s="2" t="s">
        <v>970</v>
      </c>
    </row>
    <row r="83" spans="1:11">
      <c r="A83" s="2" t="s">
        <v>177</v>
      </c>
      <c r="B83" s="2" t="s">
        <v>10</v>
      </c>
      <c r="C83" s="2" t="s">
        <v>11</v>
      </c>
      <c r="D83" s="2" t="s">
        <v>12</v>
      </c>
      <c r="E83" s="2" t="s">
        <v>11</v>
      </c>
      <c r="F83" s="3">
        <v>82</v>
      </c>
      <c r="G83" s="2" t="s">
        <v>178</v>
      </c>
      <c r="H83" s="2">
        <v>2</v>
      </c>
      <c r="I83" s="2" t="s">
        <v>142</v>
      </c>
      <c r="J83" s="2">
        <v>2</v>
      </c>
      <c r="K83" s="2" t="s">
        <v>970</v>
      </c>
    </row>
    <row r="84" spans="1:11">
      <c r="A84" s="2" t="s">
        <v>179</v>
      </c>
      <c r="B84" s="2" t="s">
        <v>10</v>
      </c>
      <c r="C84" s="2" t="s">
        <v>11</v>
      </c>
      <c r="D84" s="2" t="s">
        <v>12</v>
      </c>
      <c r="E84" s="2" t="s">
        <v>11</v>
      </c>
      <c r="F84" s="3">
        <v>83</v>
      </c>
      <c r="G84" s="2" t="s">
        <v>180</v>
      </c>
      <c r="H84" s="2">
        <v>3</v>
      </c>
      <c r="I84" s="2" t="s">
        <v>67</v>
      </c>
      <c r="J84" s="2">
        <v>2</v>
      </c>
      <c r="K84" s="2" t="s">
        <v>970</v>
      </c>
    </row>
    <row r="85" spans="1:11">
      <c r="A85" s="2" t="s">
        <v>181</v>
      </c>
      <c r="B85" s="2" t="s">
        <v>10</v>
      </c>
      <c r="C85" s="2" t="s">
        <v>11</v>
      </c>
      <c r="D85" s="2" t="s">
        <v>12</v>
      </c>
      <c r="E85" s="2" t="s">
        <v>11</v>
      </c>
      <c r="F85" s="3">
        <v>84</v>
      </c>
      <c r="G85" s="2" t="s">
        <v>182</v>
      </c>
      <c r="H85" s="2">
        <v>3</v>
      </c>
      <c r="I85" s="2" t="s">
        <v>67</v>
      </c>
      <c r="J85" s="2">
        <v>2</v>
      </c>
      <c r="K85" s="2" t="s">
        <v>970</v>
      </c>
    </row>
    <row r="86" spans="1:11">
      <c r="A86" s="2" t="s">
        <v>183</v>
      </c>
      <c r="B86" s="2" t="s">
        <v>10</v>
      </c>
      <c r="C86" s="2" t="s">
        <v>11</v>
      </c>
      <c r="D86" s="2" t="s">
        <v>12</v>
      </c>
      <c r="E86" s="2" t="s">
        <v>11</v>
      </c>
      <c r="F86" s="3">
        <v>85</v>
      </c>
      <c r="G86" s="2" t="s">
        <v>184</v>
      </c>
      <c r="H86" s="2">
        <v>3</v>
      </c>
      <c r="I86" s="2" t="s">
        <v>67</v>
      </c>
      <c r="J86" s="2">
        <v>2</v>
      </c>
      <c r="K86" s="2" t="s">
        <v>970</v>
      </c>
    </row>
    <row r="87" spans="1:11">
      <c r="A87" s="2" t="s">
        <v>185</v>
      </c>
      <c r="B87" s="2" t="s">
        <v>10</v>
      </c>
      <c r="C87" s="2" t="s">
        <v>11</v>
      </c>
      <c r="D87" s="2" t="s">
        <v>12</v>
      </c>
      <c r="E87" s="2" t="s">
        <v>11</v>
      </c>
      <c r="F87" s="3">
        <v>86</v>
      </c>
      <c r="G87" s="2" t="s">
        <v>186</v>
      </c>
      <c r="H87" s="2">
        <v>2</v>
      </c>
      <c r="I87" s="2" t="s">
        <v>142</v>
      </c>
      <c r="J87" s="2">
        <v>2</v>
      </c>
      <c r="K87" s="2" t="s">
        <v>970</v>
      </c>
    </row>
    <row r="88" spans="1:11">
      <c r="A88" s="2" t="s">
        <v>187</v>
      </c>
      <c r="B88" s="2" t="s">
        <v>10</v>
      </c>
      <c r="C88" s="2" t="s">
        <v>11</v>
      </c>
      <c r="D88" s="2" t="s">
        <v>12</v>
      </c>
      <c r="E88" s="2" t="s">
        <v>11</v>
      </c>
      <c r="F88" s="3">
        <v>87</v>
      </c>
      <c r="G88" s="2" t="s">
        <v>188</v>
      </c>
      <c r="H88" s="2">
        <v>2</v>
      </c>
      <c r="I88" s="2" t="s">
        <v>142</v>
      </c>
      <c r="J88" s="2">
        <v>2</v>
      </c>
      <c r="K88" s="2" t="s">
        <v>970</v>
      </c>
    </row>
    <row r="89" spans="1:11">
      <c r="A89" s="2" t="s">
        <v>189</v>
      </c>
      <c r="B89" s="2" t="s">
        <v>10</v>
      </c>
      <c r="C89" s="2" t="s">
        <v>11</v>
      </c>
      <c r="D89" s="2" t="s">
        <v>12</v>
      </c>
      <c r="E89" s="2" t="s">
        <v>11</v>
      </c>
      <c r="F89" s="3">
        <v>88</v>
      </c>
      <c r="G89" s="2" t="s">
        <v>190</v>
      </c>
      <c r="H89" s="2">
        <v>3</v>
      </c>
      <c r="I89" s="2" t="s">
        <v>67</v>
      </c>
      <c r="J89" s="2">
        <v>2</v>
      </c>
      <c r="K89" s="2" t="s">
        <v>970</v>
      </c>
    </row>
    <row r="90" spans="1:11">
      <c r="A90" s="2" t="s">
        <v>191</v>
      </c>
      <c r="B90" s="2" t="s">
        <v>10</v>
      </c>
      <c r="C90" s="2" t="s">
        <v>11</v>
      </c>
      <c r="D90" s="2" t="s">
        <v>12</v>
      </c>
      <c r="E90" s="2" t="s">
        <v>11</v>
      </c>
      <c r="F90" s="3">
        <v>89</v>
      </c>
      <c r="G90" s="2" t="s">
        <v>192</v>
      </c>
      <c r="H90" s="2">
        <v>3</v>
      </c>
      <c r="I90" s="2" t="s">
        <v>67</v>
      </c>
      <c r="J90" s="2">
        <v>2</v>
      </c>
      <c r="K90" s="2" t="s">
        <v>970</v>
      </c>
    </row>
    <row r="91" spans="1:11">
      <c r="A91" s="2" t="s">
        <v>193</v>
      </c>
      <c r="B91" s="2" t="s">
        <v>10</v>
      </c>
      <c r="C91" s="2" t="s">
        <v>11</v>
      </c>
      <c r="D91" s="2" t="s">
        <v>12</v>
      </c>
      <c r="E91" s="2" t="s">
        <v>11</v>
      </c>
      <c r="F91" s="3">
        <v>90</v>
      </c>
      <c r="G91" s="2" t="s">
        <v>194</v>
      </c>
      <c r="H91" s="2">
        <v>3</v>
      </c>
      <c r="I91" s="2" t="s">
        <v>67</v>
      </c>
      <c r="J91" s="2">
        <v>2</v>
      </c>
      <c r="K91" s="2" t="s">
        <v>970</v>
      </c>
    </row>
    <row r="92" spans="1:11">
      <c r="A92" s="2" t="s">
        <v>195</v>
      </c>
      <c r="B92" s="2" t="s">
        <v>10</v>
      </c>
      <c r="C92" s="2" t="s">
        <v>11</v>
      </c>
      <c r="D92" s="2" t="s">
        <v>12</v>
      </c>
      <c r="E92" s="2" t="s">
        <v>11</v>
      </c>
      <c r="F92" s="3">
        <v>91</v>
      </c>
      <c r="G92" s="2" t="s">
        <v>196</v>
      </c>
      <c r="H92" s="2">
        <v>3</v>
      </c>
      <c r="I92" s="2" t="s">
        <v>67</v>
      </c>
      <c r="J92" s="2">
        <v>2</v>
      </c>
      <c r="K92" s="2" t="s">
        <v>970</v>
      </c>
    </row>
    <row r="93" spans="1:11">
      <c r="A93" s="2" t="s">
        <v>197</v>
      </c>
      <c r="B93" s="2" t="s">
        <v>10</v>
      </c>
      <c r="C93" s="2" t="s">
        <v>11</v>
      </c>
      <c r="D93" s="2" t="s">
        <v>12</v>
      </c>
      <c r="E93" s="2" t="s">
        <v>11</v>
      </c>
      <c r="F93" s="3">
        <v>92</v>
      </c>
      <c r="G93" s="2" t="s">
        <v>198</v>
      </c>
      <c r="H93" s="2">
        <v>3</v>
      </c>
      <c r="I93" s="2" t="s">
        <v>67</v>
      </c>
      <c r="J93" s="2">
        <v>2</v>
      </c>
      <c r="K93" s="2" t="s">
        <v>970</v>
      </c>
    </row>
    <row r="94" spans="1:11">
      <c r="A94" s="2" t="s">
        <v>199</v>
      </c>
      <c r="B94" s="2" t="s">
        <v>10</v>
      </c>
      <c r="C94" s="2" t="s">
        <v>11</v>
      </c>
      <c r="D94" s="2" t="s">
        <v>12</v>
      </c>
      <c r="E94" s="2" t="s">
        <v>11</v>
      </c>
      <c r="F94" s="3">
        <v>93</v>
      </c>
      <c r="G94" s="2" t="s">
        <v>200</v>
      </c>
      <c r="H94" s="2">
        <v>3</v>
      </c>
      <c r="I94" s="2" t="s">
        <v>67</v>
      </c>
      <c r="J94" s="2">
        <v>2</v>
      </c>
      <c r="K94" s="2" t="s">
        <v>970</v>
      </c>
    </row>
    <row r="95" spans="1:11">
      <c r="A95" s="2" t="s">
        <v>201</v>
      </c>
      <c r="B95" s="2" t="s">
        <v>10</v>
      </c>
      <c r="C95" s="2" t="s">
        <v>11</v>
      </c>
      <c r="D95" s="2" t="s">
        <v>12</v>
      </c>
      <c r="E95" s="2" t="s">
        <v>11</v>
      </c>
      <c r="F95" s="3">
        <v>94</v>
      </c>
      <c r="G95" s="2" t="s">
        <v>202</v>
      </c>
      <c r="H95" s="2">
        <v>3</v>
      </c>
      <c r="I95" s="2" t="s">
        <v>67</v>
      </c>
      <c r="J95" s="2">
        <v>2</v>
      </c>
      <c r="K95" s="2" t="s">
        <v>970</v>
      </c>
    </row>
    <row r="96" spans="1:11">
      <c r="A96" s="2" t="s">
        <v>203</v>
      </c>
      <c r="B96" s="2" t="s">
        <v>10</v>
      </c>
      <c r="C96" s="2" t="s">
        <v>11</v>
      </c>
      <c r="D96" s="2" t="s">
        <v>12</v>
      </c>
      <c r="E96" s="2" t="s">
        <v>11</v>
      </c>
      <c r="F96" s="3">
        <v>95</v>
      </c>
      <c r="G96" s="2" t="s">
        <v>204</v>
      </c>
      <c r="H96" s="2">
        <v>3</v>
      </c>
      <c r="I96" s="2" t="s">
        <v>67</v>
      </c>
      <c r="J96" s="2">
        <v>2</v>
      </c>
      <c r="K96" s="2" t="s">
        <v>970</v>
      </c>
    </row>
    <row r="97" spans="1:11">
      <c r="A97" s="2" t="s">
        <v>205</v>
      </c>
      <c r="B97" s="2" t="s">
        <v>10</v>
      </c>
      <c r="C97" s="2" t="s">
        <v>11</v>
      </c>
      <c r="D97" s="2" t="s">
        <v>12</v>
      </c>
      <c r="E97" s="2" t="s">
        <v>11</v>
      </c>
      <c r="F97" s="3">
        <v>96</v>
      </c>
      <c r="G97" s="2" t="s">
        <v>206</v>
      </c>
      <c r="H97" s="2">
        <v>3</v>
      </c>
      <c r="I97" s="2" t="s">
        <v>67</v>
      </c>
      <c r="J97" s="2">
        <v>2</v>
      </c>
      <c r="K97" s="2" t="s">
        <v>970</v>
      </c>
    </row>
    <row r="98" spans="1:11">
      <c r="A98" s="2" t="s">
        <v>207</v>
      </c>
      <c r="B98" s="2" t="s">
        <v>10</v>
      </c>
      <c r="C98" s="2" t="s">
        <v>11</v>
      </c>
      <c r="D98" s="2" t="s">
        <v>12</v>
      </c>
      <c r="E98" s="2" t="s">
        <v>11</v>
      </c>
      <c r="F98" s="3">
        <v>97</v>
      </c>
      <c r="G98" s="2" t="s">
        <v>208</v>
      </c>
      <c r="H98" s="2">
        <v>3</v>
      </c>
      <c r="I98" s="2" t="s">
        <v>67</v>
      </c>
      <c r="J98" s="2">
        <v>2</v>
      </c>
      <c r="K98" s="2" t="s">
        <v>970</v>
      </c>
    </row>
    <row r="99" spans="1:11">
      <c r="A99" s="2" t="s">
        <v>209</v>
      </c>
      <c r="B99" s="2" t="s">
        <v>10</v>
      </c>
      <c r="C99" s="2" t="s">
        <v>11</v>
      </c>
      <c r="D99" s="2" t="s">
        <v>12</v>
      </c>
      <c r="E99" s="2" t="s">
        <v>11</v>
      </c>
      <c r="F99" s="3">
        <v>98</v>
      </c>
      <c r="G99" s="2" t="s">
        <v>210</v>
      </c>
      <c r="H99" s="2">
        <v>3</v>
      </c>
      <c r="I99" s="2" t="s">
        <v>67</v>
      </c>
      <c r="J99" s="2">
        <v>2</v>
      </c>
      <c r="K99" s="2" t="s">
        <v>970</v>
      </c>
    </row>
    <row r="100" spans="1:11">
      <c r="A100" s="2" t="s">
        <v>211</v>
      </c>
      <c r="B100" s="2" t="s">
        <v>10</v>
      </c>
      <c r="C100" s="2" t="s">
        <v>11</v>
      </c>
      <c r="D100" s="2" t="s">
        <v>12</v>
      </c>
      <c r="E100" s="2" t="s">
        <v>11</v>
      </c>
      <c r="F100" s="3">
        <v>99</v>
      </c>
      <c r="G100" s="2" t="s">
        <v>212</v>
      </c>
      <c r="H100" s="2">
        <v>3</v>
      </c>
      <c r="I100" s="2" t="s">
        <v>67</v>
      </c>
      <c r="J100" s="2">
        <v>2</v>
      </c>
      <c r="K100" s="2" t="s">
        <v>970</v>
      </c>
    </row>
    <row r="101" spans="1:11">
      <c r="A101" s="2" t="s">
        <v>213</v>
      </c>
      <c r="B101" s="2" t="s">
        <v>10</v>
      </c>
      <c r="C101" s="2" t="s">
        <v>11</v>
      </c>
      <c r="D101" s="2" t="s">
        <v>12</v>
      </c>
      <c r="E101" s="2" t="s">
        <v>11</v>
      </c>
      <c r="F101" s="3">
        <v>100</v>
      </c>
      <c r="G101" s="2" t="s">
        <v>214</v>
      </c>
      <c r="H101" s="2">
        <v>3</v>
      </c>
      <c r="I101" s="2" t="s">
        <v>67</v>
      </c>
      <c r="J101" s="2">
        <v>2</v>
      </c>
      <c r="K101" s="2" t="s">
        <v>970</v>
      </c>
    </row>
    <row r="102" spans="1:11">
      <c r="A102" s="2" t="s">
        <v>215</v>
      </c>
      <c r="B102" s="2" t="s">
        <v>10</v>
      </c>
      <c r="C102" s="2" t="s">
        <v>11</v>
      </c>
      <c r="D102" s="2" t="s">
        <v>12</v>
      </c>
      <c r="E102" s="2" t="s">
        <v>11</v>
      </c>
      <c r="F102" s="3">
        <v>101</v>
      </c>
      <c r="G102" s="2" t="s">
        <v>216</v>
      </c>
      <c r="H102" s="2">
        <v>3</v>
      </c>
      <c r="I102" s="2" t="s">
        <v>67</v>
      </c>
      <c r="J102" s="2">
        <v>2</v>
      </c>
      <c r="K102" s="2" t="s">
        <v>970</v>
      </c>
    </row>
    <row r="103" spans="1:11">
      <c r="A103" s="2" t="s">
        <v>217</v>
      </c>
      <c r="B103" s="2" t="s">
        <v>10</v>
      </c>
      <c r="C103" s="2" t="s">
        <v>11</v>
      </c>
      <c r="D103" s="2" t="s">
        <v>12</v>
      </c>
      <c r="E103" s="2" t="s">
        <v>11</v>
      </c>
      <c r="F103" s="3">
        <v>102</v>
      </c>
      <c r="G103" s="2" t="s">
        <v>218</v>
      </c>
      <c r="H103" s="2">
        <v>3</v>
      </c>
      <c r="I103" s="2" t="s">
        <v>67</v>
      </c>
      <c r="J103" s="2">
        <v>2</v>
      </c>
      <c r="K103" s="2" t="s">
        <v>970</v>
      </c>
    </row>
    <row r="104" spans="1:11">
      <c r="A104" s="2" t="s">
        <v>219</v>
      </c>
      <c r="B104" s="2" t="s">
        <v>10</v>
      </c>
      <c r="C104" s="2" t="s">
        <v>11</v>
      </c>
      <c r="D104" s="2" t="s">
        <v>12</v>
      </c>
      <c r="E104" s="2" t="s">
        <v>11</v>
      </c>
      <c r="F104" s="3">
        <v>103</v>
      </c>
      <c r="G104" s="2" t="s">
        <v>220</v>
      </c>
      <c r="H104" s="2">
        <v>3</v>
      </c>
      <c r="I104" s="2" t="s">
        <v>67</v>
      </c>
      <c r="J104" s="2">
        <v>2</v>
      </c>
      <c r="K104" s="2" t="s">
        <v>970</v>
      </c>
    </row>
    <row r="105" spans="1:11">
      <c r="A105" s="2" t="s">
        <v>221</v>
      </c>
      <c r="B105" s="2" t="s">
        <v>10</v>
      </c>
      <c r="C105" s="2" t="s">
        <v>11</v>
      </c>
      <c r="D105" s="2" t="s">
        <v>12</v>
      </c>
      <c r="E105" s="2" t="s">
        <v>11</v>
      </c>
      <c r="F105" s="3">
        <v>104</v>
      </c>
      <c r="G105" s="2" t="s">
        <v>222</v>
      </c>
      <c r="H105" s="2">
        <v>3</v>
      </c>
      <c r="I105" s="2" t="s">
        <v>67</v>
      </c>
      <c r="J105" s="2">
        <v>2</v>
      </c>
      <c r="K105" s="2" t="s">
        <v>970</v>
      </c>
    </row>
    <row r="106" spans="1:11">
      <c r="A106" s="2" t="s">
        <v>223</v>
      </c>
      <c r="B106" s="2" t="s">
        <v>10</v>
      </c>
      <c r="C106" s="2" t="s">
        <v>11</v>
      </c>
      <c r="D106" s="2" t="s">
        <v>12</v>
      </c>
      <c r="E106" s="2" t="s">
        <v>11</v>
      </c>
      <c r="F106" s="3">
        <v>105</v>
      </c>
      <c r="G106" s="2" t="s">
        <v>224</v>
      </c>
      <c r="H106" s="2">
        <v>3</v>
      </c>
      <c r="I106" s="2" t="s">
        <v>67</v>
      </c>
      <c r="J106" s="2">
        <v>2</v>
      </c>
      <c r="K106" s="2" t="s">
        <v>970</v>
      </c>
    </row>
    <row r="107" spans="1:11">
      <c r="A107" s="2" t="s">
        <v>225</v>
      </c>
      <c r="B107" s="2" t="s">
        <v>10</v>
      </c>
      <c r="C107" s="2" t="s">
        <v>11</v>
      </c>
      <c r="D107" s="2" t="s">
        <v>12</v>
      </c>
      <c r="E107" s="2" t="s">
        <v>11</v>
      </c>
      <c r="F107" s="3">
        <v>106</v>
      </c>
      <c r="G107" s="2" t="s">
        <v>226</v>
      </c>
      <c r="H107" s="2">
        <v>3</v>
      </c>
      <c r="I107" s="2" t="s">
        <v>67</v>
      </c>
      <c r="J107" s="2">
        <v>2</v>
      </c>
      <c r="K107" s="2" t="s">
        <v>970</v>
      </c>
    </row>
    <row r="108" spans="1:11">
      <c r="A108" s="2" t="s">
        <v>227</v>
      </c>
      <c r="B108" s="2" t="s">
        <v>10</v>
      </c>
      <c r="C108" s="2" t="s">
        <v>11</v>
      </c>
      <c r="D108" s="2" t="s">
        <v>12</v>
      </c>
      <c r="E108" s="2" t="s">
        <v>11</v>
      </c>
      <c r="F108" s="3">
        <v>107</v>
      </c>
      <c r="G108" s="2" t="s">
        <v>228</v>
      </c>
      <c r="H108" s="2">
        <v>3</v>
      </c>
      <c r="I108" s="2" t="s">
        <v>67</v>
      </c>
      <c r="J108" s="2">
        <v>2</v>
      </c>
      <c r="K108" s="2" t="s">
        <v>970</v>
      </c>
    </row>
    <row r="109" spans="1:11">
      <c r="A109" s="2" t="s">
        <v>229</v>
      </c>
      <c r="B109" s="2" t="s">
        <v>10</v>
      </c>
      <c r="C109" s="2" t="s">
        <v>11</v>
      </c>
      <c r="D109" s="2" t="s">
        <v>12</v>
      </c>
      <c r="E109" s="2" t="s">
        <v>11</v>
      </c>
      <c r="F109" s="3">
        <v>108</v>
      </c>
      <c r="G109" s="2" t="s">
        <v>230</v>
      </c>
      <c r="H109" s="2">
        <v>3</v>
      </c>
      <c r="I109" s="2" t="s">
        <v>67</v>
      </c>
      <c r="J109" s="2">
        <v>2</v>
      </c>
      <c r="K109" s="2" t="s">
        <v>970</v>
      </c>
    </row>
    <row r="110" spans="1:11">
      <c r="A110" s="2" t="s">
        <v>231</v>
      </c>
      <c r="B110" s="2" t="s">
        <v>10</v>
      </c>
      <c r="C110" s="2" t="s">
        <v>11</v>
      </c>
      <c r="D110" s="2" t="s">
        <v>12</v>
      </c>
      <c r="E110" s="2" t="s">
        <v>11</v>
      </c>
      <c r="F110" s="3">
        <v>109</v>
      </c>
      <c r="G110" s="2" t="s">
        <v>232</v>
      </c>
      <c r="H110" s="2">
        <v>3</v>
      </c>
      <c r="I110" s="2" t="s">
        <v>67</v>
      </c>
      <c r="J110" s="2">
        <v>2</v>
      </c>
      <c r="K110" s="2" t="s">
        <v>970</v>
      </c>
    </row>
    <row r="111" spans="1:11">
      <c r="A111" s="2" t="s">
        <v>233</v>
      </c>
      <c r="B111" s="2" t="s">
        <v>10</v>
      </c>
      <c r="C111" s="2" t="s">
        <v>11</v>
      </c>
      <c r="D111" s="2" t="s">
        <v>12</v>
      </c>
      <c r="E111" s="2" t="s">
        <v>11</v>
      </c>
      <c r="F111" s="3">
        <v>110</v>
      </c>
      <c r="G111" s="2" t="s">
        <v>234</v>
      </c>
      <c r="H111" s="2">
        <v>3</v>
      </c>
      <c r="I111" s="2" t="s">
        <v>67</v>
      </c>
      <c r="J111" s="2">
        <v>2</v>
      </c>
      <c r="K111" s="2" t="s">
        <v>970</v>
      </c>
    </row>
    <row r="112" spans="1:11">
      <c r="A112" s="2" t="s">
        <v>235</v>
      </c>
      <c r="B112" s="2" t="s">
        <v>10</v>
      </c>
      <c r="C112" s="2" t="s">
        <v>11</v>
      </c>
      <c r="D112" s="2" t="s">
        <v>12</v>
      </c>
      <c r="E112" s="2" t="s">
        <v>11</v>
      </c>
      <c r="F112" s="3">
        <v>111</v>
      </c>
      <c r="G112" s="2" t="s">
        <v>236</v>
      </c>
      <c r="H112" s="2">
        <v>3</v>
      </c>
      <c r="I112" s="2" t="s">
        <v>67</v>
      </c>
      <c r="J112" s="2">
        <v>2</v>
      </c>
      <c r="K112" s="2" t="s">
        <v>970</v>
      </c>
    </row>
    <row r="113" spans="1:11">
      <c r="A113" s="2" t="s">
        <v>237</v>
      </c>
      <c r="B113" s="2" t="s">
        <v>10</v>
      </c>
      <c r="C113" s="2" t="s">
        <v>11</v>
      </c>
      <c r="D113" s="2" t="s">
        <v>12</v>
      </c>
      <c r="E113" s="2" t="s">
        <v>11</v>
      </c>
      <c r="F113" s="3">
        <v>112</v>
      </c>
      <c r="G113" s="2" t="s">
        <v>238</v>
      </c>
      <c r="H113" s="2">
        <v>3</v>
      </c>
      <c r="I113" s="2" t="s">
        <v>67</v>
      </c>
      <c r="J113" s="2">
        <v>2</v>
      </c>
      <c r="K113" s="2" t="s">
        <v>970</v>
      </c>
    </row>
    <row r="114" spans="1:11">
      <c r="A114" s="2" t="s">
        <v>239</v>
      </c>
      <c r="B114" s="2" t="s">
        <v>10</v>
      </c>
      <c r="C114" s="2" t="s">
        <v>11</v>
      </c>
      <c r="D114" s="2" t="s">
        <v>12</v>
      </c>
      <c r="E114" s="2" t="s">
        <v>11</v>
      </c>
      <c r="F114" s="3">
        <v>113</v>
      </c>
      <c r="G114" s="2" t="s">
        <v>240</v>
      </c>
      <c r="H114" s="2">
        <v>3</v>
      </c>
      <c r="I114" s="2" t="s">
        <v>67</v>
      </c>
      <c r="J114" s="2">
        <v>2</v>
      </c>
      <c r="K114" s="2" t="s">
        <v>970</v>
      </c>
    </row>
    <row r="115" spans="1:11">
      <c r="A115" s="2" t="s">
        <v>241</v>
      </c>
      <c r="B115" s="2" t="s">
        <v>10</v>
      </c>
      <c r="C115" s="2" t="s">
        <v>11</v>
      </c>
      <c r="D115" s="2" t="s">
        <v>12</v>
      </c>
      <c r="E115" s="2" t="s">
        <v>11</v>
      </c>
      <c r="F115" s="3">
        <v>114</v>
      </c>
      <c r="G115" s="2" t="s">
        <v>242</v>
      </c>
      <c r="H115" s="2">
        <v>3</v>
      </c>
      <c r="I115" s="2" t="s">
        <v>67</v>
      </c>
      <c r="J115" s="2">
        <v>2</v>
      </c>
      <c r="K115" s="2" t="s">
        <v>970</v>
      </c>
    </row>
    <row r="116" spans="1:11">
      <c r="A116" s="2" t="s">
        <v>243</v>
      </c>
      <c r="B116" s="2" t="s">
        <v>10</v>
      </c>
      <c r="C116" s="2" t="s">
        <v>11</v>
      </c>
      <c r="D116" s="2" t="s">
        <v>12</v>
      </c>
      <c r="E116" s="2" t="s">
        <v>11</v>
      </c>
      <c r="F116" s="3">
        <v>115</v>
      </c>
      <c r="G116" s="2" t="s">
        <v>244</v>
      </c>
      <c r="H116" s="2">
        <v>3</v>
      </c>
      <c r="I116" s="2" t="s">
        <v>67</v>
      </c>
      <c r="J116" s="2">
        <v>2</v>
      </c>
      <c r="K116" s="2" t="s">
        <v>970</v>
      </c>
    </row>
    <row r="117" spans="1:11">
      <c r="A117" s="2" t="s">
        <v>245</v>
      </c>
      <c r="B117" s="2" t="s">
        <v>10</v>
      </c>
      <c r="C117" s="2" t="s">
        <v>11</v>
      </c>
      <c r="D117" s="2" t="s">
        <v>12</v>
      </c>
      <c r="E117" s="2" t="s">
        <v>11</v>
      </c>
      <c r="F117" s="3">
        <v>116</v>
      </c>
      <c r="G117" s="2" t="s">
        <v>246</v>
      </c>
      <c r="H117" s="2">
        <v>3</v>
      </c>
      <c r="I117" s="2" t="s">
        <v>67</v>
      </c>
      <c r="J117" s="2">
        <v>2</v>
      </c>
      <c r="K117" s="2" t="s">
        <v>970</v>
      </c>
    </row>
    <row r="118" spans="1:11">
      <c r="A118" s="2" t="s">
        <v>247</v>
      </c>
      <c r="B118" s="2" t="s">
        <v>10</v>
      </c>
      <c r="C118" s="2" t="s">
        <v>11</v>
      </c>
      <c r="D118" s="2" t="s">
        <v>12</v>
      </c>
      <c r="E118" s="2" t="s">
        <v>11</v>
      </c>
      <c r="F118" s="3">
        <v>117</v>
      </c>
      <c r="G118" s="2" t="s">
        <v>248</v>
      </c>
      <c r="H118" s="2">
        <v>3</v>
      </c>
      <c r="I118" s="2" t="s">
        <v>67</v>
      </c>
      <c r="J118" s="2">
        <v>2</v>
      </c>
      <c r="K118" s="2" t="s">
        <v>970</v>
      </c>
    </row>
    <row r="119" spans="1:11">
      <c r="A119" s="2" t="s">
        <v>249</v>
      </c>
      <c r="B119" s="2" t="s">
        <v>10</v>
      </c>
      <c r="C119" s="2" t="s">
        <v>11</v>
      </c>
      <c r="D119" s="2" t="s">
        <v>12</v>
      </c>
      <c r="E119" s="2" t="s">
        <v>11</v>
      </c>
      <c r="F119" s="3">
        <v>118</v>
      </c>
      <c r="G119" s="2" t="s">
        <v>250</v>
      </c>
      <c r="H119" s="2">
        <v>3</v>
      </c>
      <c r="I119" s="2" t="s">
        <v>67</v>
      </c>
      <c r="J119" s="2">
        <v>2</v>
      </c>
      <c r="K119" s="2" t="s">
        <v>970</v>
      </c>
    </row>
    <row r="120" spans="1:11">
      <c r="A120" s="2" t="s">
        <v>251</v>
      </c>
      <c r="B120" s="2" t="s">
        <v>10</v>
      </c>
      <c r="C120" s="2" t="s">
        <v>11</v>
      </c>
      <c r="D120" s="2" t="s">
        <v>12</v>
      </c>
      <c r="E120" s="2" t="s">
        <v>11</v>
      </c>
      <c r="F120" s="3">
        <v>119</v>
      </c>
      <c r="G120" s="2" t="s">
        <v>252</v>
      </c>
      <c r="H120" s="2">
        <v>3</v>
      </c>
      <c r="I120" s="2" t="s">
        <v>67</v>
      </c>
      <c r="J120" s="2">
        <v>2</v>
      </c>
      <c r="K120" s="2" t="s">
        <v>970</v>
      </c>
    </row>
    <row r="121" spans="1:11">
      <c r="A121" s="2" t="s">
        <v>253</v>
      </c>
      <c r="B121" s="2" t="s">
        <v>10</v>
      </c>
      <c r="C121" s="2" t="s">
        <v>11</v>
      </c>
      <c r="D121" s="2" t="s">
        <v>12</v>
      </c>
      <c r="E121" s="2" t="s">
        <v>11</v>
      </c>
      <c r="F121" s="3">
        <v>120</v>
      </c>
      <c r="G121" s="2" t="s">
        <v>254</v>
      </c>
      <c r="H121" s="2">
        <v>3</v>
      </c>
      <c r="I121" s="2" t="s">
        <v>67</v>
      </c>
      <c r="J121" s="2">
        <v>2</v>
      </c>
      <c r="K121" s="2" t="s">
        <v>970</v>
      </c>
    </row>
    <row r="122" spans="1:11">
      <c r="A122" s="2" t="s">
        <v>255</v>
      </c>
      <c r="B122" s="2" t="s">
        <v>10</v>
      </c>
      <c r="C122" s="2" t="s">
        <v>11</v>
      </c>
      <c r="D122" s="2" t="s">
        <v>12</v>
      </c>
      <c r="E122" s="2" t="s">
        <v>11</v>
      </c>
      <c r="F122" s="3">
        <v>121</v>
      </c>
      <c r="G122" s="2" t="s">
        <v>256</v>
      </c>
      <c r="H122" s="2">
        <v>3</v>
      </c>
      <c r="I122" s="2" t="s">
        <v>67</v>
      </c>
      <c r="J122" s="2">
        <v>2</v>
      </c>
      <c r="K122" s="2" t="s">
        <v>970</v>
      </c>
    </row>
    <row r="123" spans="1:11">
      <c r="A123" s="2" t="s">
        <v>257</v>
      </c>
      <c r="B123" s="2" t="s">
        <v>10</v>
      </c>
      <c r="C123" s="2" t="s">
        <v>11</v>
      </c>
      <c r="D123" s="2" t="s">
        <v>12</v>
      </c>
      <c r="E123" s="2" t="s">
        <v>11</v>
      </c>
      <c r="F123" s="3">
        <v>122</v>
      </c>
      <c r="G123" s="2" t="s">
        <v>258</v>
      </c>
      <c r="H123" s="2">
        <v>3</v>
      </c>
      <c r="I123" s="2" t="s">
        <v>67</v>
      </c>
      <c r="J123" s="2">
        <v>2</v>
      </c>
      <c r="K123" s="2" t="s">
        <v>970</v>
      </c>
    </row>
    <row r="124" spans="1:11">
      <c r="A124" s="2" t="s">
        <v>259</v>
      </c>
      <c r="B124" s="2" t="s">
        <v>10</v>
      </c>
      <c r="C124" s="2" t="s">
        <v>11</v>
      </c>
      <c r="D124" s="2" t="s">
        <v>12</v>
      </c>
      <c r="E124" s="2" t="s">
        <v>11</v>
      </c>
      <c r="F124" s="3">
        <v>123</v>
      </c>
      <c r="G124" s="2" t="s">
        <v>260</v>
      </c>
      <c r="H124" s="2">
        <v>2</v>
      </c>
      <c r="I124" s="2" t="s">
        <v>142</v>
      </c>
      <c r="J124" s="2">
        <v>2</v>
      </c>
      <c r="K124" s="2" t="s">
        <v>970</v>
      </c>
    </row>
    <row r="125" spans="1:11">
      <c r="A125" s="2" t="s">
        <v>261</v>
      </c>
      <c r="B125" s="2" t="s">
        <v>10</v>
      </c>
      <c r="C125" s="2" t="s">
        <v>11</v>
      </c>
      <c r="D125" s="2" t="s">
        <v>12</v>
      </c>
      <c r="E125" s="2" t="s">
        <v>11</v>
      </c>
      <c r="F125" s="3">
        <v>124</v>
      </c>
      <c r="G125" s="2" t="s">
        <v>262</v>
      </c>
      <c r="H125" s="2">
        <v>2</v>
      </c>
      <c r="I125" s="2" t="s">
        <v>142</v>
      </c>
      <c r="J125" s="2">
        <v>2</v>
      </c>
      <c r="K125" s="2" t="s">
        <v>970</v>
      </c>
    </row>
    <row r="126" spans="1:11">
      <c r="A126" s="2" t="s">
        <v>263</v>
      </c>
      <c r="B126" s="2" t="s">
        <v>10</v>
      </c>
      <c r="C126" s="2" t="s">
        <v>11</v>
      </c>
      <c r="D126" s="2" t="s">
        <v>12</v>
      </c>
      <c r="E126" s="2" t="s">
        <v>11</v>
      </c>
      <c r="F126" s="3">
        <v>125</v>
      </c>
      <c r="G126" s="2" t="s">
        <v>264</v>
      </c>
      <c r="H126" s="2">
        <v>3</v>
      </c>
      <c r="I126" s="2" t="s">
        <v>67</v>
      </c>
      <c r="J126" s="2">
        <v>2</v>
      </c>
      <c r="K126" s="2" t="s">
        <v>970</v>
      </c>
    </row>
    <row r="127" spans="1:11">
      <c r="A127" s="2" t="s">
        <v>265</v>
      </c>
      <c r="B127" s="2" t="s">
        <v>10</v>
      </c>
      <c r="C127" s="2" t="s">
        <v>11</v>
      </c>
      <c r="D127" s="2" t="s">
        <v>12</v>
      </c>
      <c r="E127" s="2" t="s">
        <v>11</v>
      </c>
      <c r="F127" s="3">
        <v>126</v>
      </c>
      <c r="G127" s="2" t="s">
        <v>266</v>
      </c>
      <c r="H127" s="2">
        <v>3</v>
      </c>
      <c r="I127" s="2" t="s">
        <v>67</v>
      </c>
      <c r="J127" s="2">
        <v>2</v>
      </c>
      <c r="K127" s="2" t="s">
        <v>970</v>
      </c>
    </row>
    <row r="128" spans="1:11">
      <c r="A128" s="2" t="s">
        <v>267</v>
      </c>
      <c r="B128" s="2" t="s">
        <v>10</v>
      </c>
      <c r="C128" s="2" t="s">
        <v>11</v>
      </c>
      <c r="D128" s="2" t="s">
        <v>12</v>
      </c>
      <c r="E128" s="2" t="s">
        <v>11</v>
      </c>
      <c r="F128" s="3">
        <v>127</v>
      </c>
      <c r="G128" s="2" t="s">
        <v>268</v>
      </c>
      <c r="H128" s="2">
        <v>3</v>
      </c>
      <c r="I128" s="2" t="s">
        <v>67</v>
      </c>
      <c r="J128" s="2">
        <v>2</v>
      </c>
      <c r="K128" s="2" t="s">
        <v>970</v>
      </c>
    </row>
    <row r="129" spans="1:11">
      <c r="A129" s="2" t="s">
        <v>269</v>
      </c>
      <c r="B129" s="2" t="s">
        <v>10</v>
      </c>
      <c r="C129" s="2" t="s">
        <v>11</v>
      </c>
      <c r="D129" s="2" t="s">
        <v>12</v>
      </c>
      <c r="E129" s="2" t="s">
        <v>11</v>
      </c>
      <c r="F129" s="3">
        <v>128</v>
      </c>
      <c r="G129" s="2" t="s">
        <v>270</v>
      </c>
      <c r="H129" s="2">
        <v>3</v>
      </c>
      <c r="I129" s="2" t="s">
        <v>67</v>
      </c>
      <c r="J129" s="2">
        <v>2</v>
      </c>
      <c r="K129" s="2" t="s">
        <v>970</v>
      </c>
    </row>
    <row r="130" spans="1:11">
      <c r="A130" s="2" t="s">
        <v>271</v>
      </c>
      <c r="B130" s="2" t="s">
        <v>10</v>
      </c>
      <c r="C130" s="2" t="s">
        <v>11</v>
      </c>
      <c r="D130" s="2" t="s">
        <v>12</v>
      </c>
      <c r="E130" s="2" t="s">
        <v>11</v>
      </c>
      <c r="F130" s="3">
        <v>129</v>
      </c>
      <c r="G130" s="2" t="s">
        <v>272</v>
      </c>
      <c r="H130" s="2">
        <v>3</v>
      </c>
      <c r="I130" s="2" t="s">
        <v>67</v>
      </c>
      <c r="J130" s="2">
        <v>2</v>
      </c>
      <c r="K130" s="2" t="s">
        <v>970</v>
      </c>
    </row>
    <row r="131" spans="1:11">
      <c r="A131" s="2" t="s">
        <v>273</v>
      </c>
      <c r="B131" s="2" t="s">
        <v>10</v>
      </c>
      <c r="C131" s="2" t="s">
        <v>11</v>
      </c>
      <c r="D131" s="2" t="s">
        <v>12</v>
      </c>
      <c r="E131" s="2" t="s">
        <v>11</v>
      </c>
      <c r="F131" s="3">
        <v>130</v>
      </c>
      <c r="G131" s="2" t="s">
        <v>274</v>
      </c>
      <c r="H131" s="2">
        <v>3</v>
      </c>
      <c r="I131" s="2" t="s">
        <v>67</v>
      </c>
      <c r="J131" s="2">
        <v>2</v>
      </c>
      <c r="K131" s="2" t="s">
        <v>970</v>
      </c>
    </row>
    <row r="132" spans="1:11">
      <c r="A132" s="2" t="s">
        <v>275</v>
      </c>
      <c r="B132" s="2" t="s">
        <v>10</v>
      </c>
      <c r="C132" s="2" t="s">
        <v>11</v>
      </c>
      <c r="D132" s="2" t="s">
        <v>12</v>
      </c>
      <c r="E132" s="2" t="s">
        <v>11</v>
      </c>
      <c r="F132" s="3">
        <v>131</v>
      </c>
      <c r="G132" s="2" t="s">
        <v>276</v>
      </c>
      <c r="H132" s="2">
        <v>3</v>
      </c>
      <c r="I132" s="2" t="s">
        <v>67</v>
      </c>
      <c r="J132" s="2">
        <v>2</v>
      </c>
      <c r="K132" s="2" t="s">
        <v>970</v>
      </c>
    </row>
    <row r="133" spans="1:11">
      <c r="A133" s="2" t="s">
        <v>277</v>
      </c>
      <c r="B133" s="2" t="s">
        <v>10</v>
      </c>
      <c r="C133" s="2" t="s">
        <v>11</v>
      </c>
      <c r="D133" s="2" t="s">
        <v>12</v>
      </c>
      <c r="E133" s="2" t="s">
        <v>11</v>
      </c>
      <c r="F133" s="3">
        <v>132</v>
      </c>
      <c r="G133" s="2" t="s">
        <v>278</v>
      </c>
      <c r="H133" s="2">
        <v>3</v>
      </c>
      <c r="I133" s="2" t="s">
        <v>67</v>
      </c>
      <c r="J133" s="2">
        <v>2</v>
      </c>
      <c r="K133" s="2" t="s">
        <v>970</v>
      </c>
    </row>
    <row r="134" spans="1:11">
      <c r="A134" s="2" t="s">
        <v>279</v>
      </c>
      <c r="B134" s="2" t="s">
        <v>10</v>
      </c>
      <c r="C134" s="2" t="s">
        <v>11</v>
      </c>
      <c r="D134" s="2" t="s">
        <v>12</v>
      </c>
      <c r="E134" s="2" t="s">
        <v>11</v>
      </c>
      <c r="F134" s="3">
        <v>133</v>
      </c>
      <c r="G134" s="2" t="s">
        <v>280</v>
      </c>
      <c r="H134" s="2">
        <v>3</v>
      </c>
      <c r="I134" s="2" t="s">
        <v>67</v>
      </c>
      <c r="J134" s="2">
        <v>2</v>
      </c>
      <c r="K134" s="2" t="s">
        <v>970</v>
      </c>
    </row>
    <row r="135" spans="1:11">
      <c r="A135" s="2" t="s">
        <v>281</v>
      </c>
      <c r="B135" s="2" t="s">
        <v>10</v>
      </c>
      <c r="C135" s="2" t="s">
        <v>11</v>
      </c>
      <c r="D135" s="2" t="s">
        <v>12</v>
      </c>
      <c r="E135" s="2" t="s">
        <v>11</v>
      </c>
      <c r="F135" s="3">
        <v>134</v>
      </c>
      <c r="G135" s="2" t="s">
        <v>282</v>
      </c>
      <c r="H135" s="2">
        <v>3</v>
      </c>
      <c r="I135" s="2" t="s">
        <v>67</v>
      </c>
      <c r="J135" s="2">
        <v>2</v>
      </c>
      <c r="K135" s="2" t="s">
        <v>970</v>
      </c>
    </row>
    <row r="136" spans="1:11">
      <c r="A136" s="2" t="s">
        <v>283</v>
      </c>
      <c r="B136" s="2" t="s">
        <v>10</v>
      </c>
      <c r="C136" s="2" t="s">
        <v>11</v>
      </c>
      <c r="D136" s="2" t="s">
        <v>12</v>
      </c>
      <c r="E136" s="2" t="s">
        <v>11</v>
      </c>
      <c r="F136" s="3">
        <v>135</v>
      </c>
      <c r="G136" s="2" t="s">
        <v>284</v>
      </c>
      <c r="H136" s="2">
        <v>3</v>
      </c>
      <c r="I136" s="2" t="s">
        <v>67</v>
      </c>
      <c r="J136" s="2">
        <v>2</v>
      </c>
      <c r="K136" s="2" t="s">
        <v>970</v>
      </c>
    </row>
    <row r="137" spans="1:11">
      <c r="A137" s="2" t="s">
        <v>285</v>
      </c>
      <c r="B137" s="2" t="s">
        <v>10</v>
      </c>
      <c r="C137" s="2" t="s">
        <v>11</v>
      </c>
      <c r="D137" s="2" t="s">
        <v>12</v>
      </c>
      <c r="E137" s="2" t="s">
        <v>11</v>
      </c>
      <c r="F137" s="3">
        <v>136</v>
      </c>
      <c r="G137" s="2" t="s">
        <v>286</v>
      </c>
      <c r="H137" s="2">
        <v>3</v>
      </c>
      <c r="I137" s="2" t="s">
        <v>67</v>
      </c>
      <c r="J137" s="2">
        <v>2</v>
      </c>
      <c r="K137" s="2" t="s">
        <v>970</v>
      </c>
    </row>
    <row r="138" spans="1:11">
      <c r="A138" s="2" t="s">
        <v>287</v>
      </c>
      <c r="B138" s="2" t="s">
        <v>10</v>
      </c>
      <c r="C138" s="2" t="s">
        <v>11</v>
      </c>
      <c r="D138" s="2" t="s">
        <v>12</v>
      </c>
      <c r="E138" s="2" t="s">
        <v>11</v>
      </c>
      <c r="F138" s="3">
        <v>137</v>
      </c>
      <c r="G138" s="2" t="s">
        <v>288</v>
      </c>
      <c r="H138" s="2">
        <v>3</v>
      </c>
      <c r="I138" s="2" t="s">
        <v>67</v>
      </c>
      <c r="J138" s="2">
        <v>2</v>
      </c>
      <c r="K138" s="2" t="s">
        <v>970</v>
      </c>
    </row>
    <row r="139" spans="1:11">
      <c r="A139" s="2" t="s">
        <v>289</v>
      </c>
      <c r="B139" s="2" t="s">
        <v>10</v>
      </c>
      <c r="C139" s="2" t="s">
        <v>11</v>
      </c>
      <c r="D139" s="2" t="s">
        <v>12</v>
      </c>
      <c r="E139" s="2" t="s">
        <v>11</v>
      </c>
      <c r="F139" s="3">
        <v>138</v>
      </c>
      <c r="G139" s="2" t="s">
        <v>290</v>
      </c>
      <c r="H139" s="2">
        <v>2</v>
      </c>
      <c r="I139" s="2" t="s">
        <v>142</v>
      </c>
      <c r="J139" s="2">
        <v>2</v>
      </c>
      <c r="K139" s="2" t="s">
        <v>970</v>
      </c>
    </row>
    <row r="140" spans="1:11">
      <c r="A140" s="2" t="s">
        <v>291</v>
      </c>
      <c r="B140" s="2" t="s">
        <v>10</v>
      </c>
      <c r="C140" s="2" t="s">
        <v>11</v>
      </c>
      <c r="D140" s="2" t="s">
        <v>12</v>
      </c>
      <c r="E140" s="2" t="s">
        <v>11</v>
      </c>
      <c r="F140" s="3">
        <v>139</v>
      </c>
      <c r="G140" s="2" t="s">
        <v>292</v>
      </c>
      <c r="H140" s="2">
        <v>3</v>
      </c>
      <c r="I140" s="2" t="s">
        <v>67</v>
      </c>
      <c r="J140" s="2">
        <v>2</v>
      </c>
      <c r="K140" s="2" t="s">
        <v>970</v>
      </c>
    </row>
    <row r="141" spans="1:11">
      <c r="A141" s="2" t="s">
        <v>293</v>
      </c>
      <c r="B141" s="2" t="s">
        <v>10</v>
      </c>
      <c r="C141" s="2" t="s">
        <v>11</v>
      </c>
      <c r="D141" s="2" t="s">
        <v>12</v>
      </c>
      <c r="E141" s="2" t="s">
        <v>11</v>
      </c>
      <c r="F141" s="3">
        <v>140</v>
      </c>
      <c r="G141" s="2" t="s">
        <v>294</v>
      </c>
      <c r="H141" s="2">
        <v>3</v>
      </c>
      <c r="I141" s="2" t="s">
        <v>67</v>
      </c>
      <c r="J141" s="2">
        <v>2</v>
      </c>
      <c r="K141" s="2" t="s">
        <v>970</v>
      </c>
    </row>
    <row r="142" spans="1:11">
      <c r="A142" s="2" t="s">
        <v>295</v>
      </c>
      <c r="B142" s="2" t="s">
        <v>10</v>
      </c>
      <c r="C142" s="2" t="s">
        <v>11</v>
      </c>
      <c r="D142" s="2" t="s">
        <v>12</v>
      </c>
      <c r="E142" s="2" t="s">
        <v>11</v>
      </c>
      <c r="F142" s="3">
        <v>141</v>
      </c>
      <c r="G142" s="2" t="s">
        <v>296</v>
      </c>
      <c r="H142" s="2">
        <v>3</v>
      </c>
      <c r="I142" s="2" t="s">
        <v>67</v>
      </c>
      <c r="J142" s="2">
        <v>2</v>
      </c>
      <c r="K142" s="2" t="s">
        <v>970</v>
      </c>
    </row>
    <row r="143" spans="1:11">
      <c r="A143" s="2" t="s">
        <v>297</v>
      </c>
      <c r="B143" s="2" t="s">
        <v>10</v>
      </c>
      <c r="C143" s="2" t="s">
        <v>11</v>
      </c>
      <c r="D143" s="2" t="s">
        <v>12</v>
      </c>
      <c r="E143" s="2" t="s">
        <v>11</v>
      </c>
      <c r="F143" s="3">
        <v>142</v>
      </c>
      <c r="G143" s="2" t="s">
        <v>298</v>
      </c>
      <c r="H143" s="2">
        <v>3</v>
      </c>
      <c r="I143" s="2" t="s">
        <v>67</v>
      </c>
      <c r="J143" s="2">
        <v>2</v>
      </c>
      <c r="K143" s="2" t="s">
        <v>970</v>
      </c>
    </row>
    <row r="144" spans="1:11">
      <c r="A144" s="2" t="s">
        <v>299</v>
      </c>
      <c r="B144" s="2" t="s">
        <v>10</v>
      </c>
      <c r="C144" s="2" t="s">
        <v>11</v>
      </c>
      <c r="D144" s="2" t="s">
        <v>12</v>
      </c>
      <c r="E144" s="2" t="s">
        <v>11</v>
      </c>
      <c r="F144" s="3">
        <v>143</v>
      </c>
      <c r="G144" s="2" t="s">
        <v>300</v>
      </c>
      <c r="H144" s="2">
        <v>3</v>
      </c>
      <c r="I144" s="2" t="s">
        <v>67</v>
      </c>
      <c r="J144" s="2">
        <v>2</v>
      </c>
      <c r="K144" s="2" t="s">
        <v>970</v>
      </c>
    </row>
    <row r="145" spans="1:11">
      <c r="A145" s="2" t="s">
        <v>301</v>
      </c>
      <c r="B145" s="2" t="s">
        <v>10</v>
      </c>
      <c r="C145" s="2" t="s">
        <v>11</v>
      </c>
      <c r="D145" s="2" t="s">
        <v>12</v>
      </c>
      <c r="E145" s="2" t="s">
        <v>11</v>
      </c>
      <c r="F145" s="3">
        <v>144</v>
      </c>
      <c r="G145" s="2" t="s">
        <v>302</v>
      </c>
      <c r="H145" s="2">
        <v>3</v>
      </c>
      <c r="I145" s="2" t="s">
        <v>67</v>
      </c>
      <c r="J145" s="2">
        <v>2</v>
      </c>
      <c r="K145" s="2" t="s">
        <v>970</v>
      </c>
    </row>
    <row r="146" spans="1:11">
      <c r="A146" s="2" t="s">
        <v>303</v>
      </c>
      <c r="B146" s="2" t="s">
        <v>10</v>
      </c>
      <c r="C146" s="2" t="s">
        <v>11</v>
      </c>
      <c r="D146" s="2" t="s">
        <v>12</v>
      </c>
      <c r="E146" s="2" t="s">
        <v>11</v>
      </c>
      <c r="F146" s="3">
        <v>145</v>
      </c>
      <c r="G146" s="2" t="s">
        <v>304</v>
      </c>
      <c r="H146" s="2">
        <v>3</v>
      </c>
      <c r="I146" s="2" t="s">
        <v>67</v>
      </c>
      <c r="J146" s="2">
        <v>2</v>
      </c>
      <c r="K146" s="2" t="s">
        <v>970</v>
      </c>
    </row>
    <row r="147" spans="1:11">
      <c r="A147" s="2" t="s">
        <v>305</v>
      </c>
      <c r="B147" s="2" t="s">
        <v>10</v>
      </c>
      <c r="C147" s="2" t="s">
        <v>11</v>
      </c>
      <c r="D147" s="2" t="s">
        <v>12</v>
      </c>
      <c r="E147" s="2" t="s">
        <v>11</v>
      </c>
      <c r="F147" s="3">
        <v>146</v>
      </c>
      <c r="G147" s="2" t="s">
        <v>306</v>
      </c>
      <c r="H147" s="2">
        <v>3</v>
      </c>
      <c r="I147" s="2" t="s">
        <v>67</v>
      </c>
      <c r="J147" s="2">
        <v>2</v>
      </c>
      <c r="K147" s="2" t="s">
        <v>970</v>
      </c>
    </row>
    <row r="148" spans="1:11">
      <c r="A148" s="2" t="s">
        <v>307</v>
      </c>
      <c r="B148" s="2" t="s">
        <v>10</v>
      </c>
      <c r="C148" s="2" t="s">
        <v>11</v>
      </c>
      <c r="D148" s="2" t="s">
        <v>12</v>
      </c>
      <c r="E148" s="2" t="s">
        <v>11</v>
      </c>
      <c r="F148" s="3">
        <v>147</v>
      </c>
      <c r="G148" s="2" t="s">
        <v>308</v>
      </c>
      <c r="H148" s="2">
        <v>3</v>
      </c>
      <c r="I148" s="2" t="s">
        <v>67</v>
      </c>
      <c r="J148" s="2">
        <v>2</v>
      </c>
      <c r="K148" s="2" t="s">
        <v>970</v>
      </c>
    </row>
    <row r="149" spans="1:11">
      <c r="A149" s="2" t="s">
        <v>309</v>
      </c>
      <c r="B149" s="2" t="s">
        <v>10</v>
      </c>
      <c r="C149" s="2" t="s">
        <v>11</v>
      </c>
      <c r="D149" s="2" t="s">
        <v>12</v>
      </c>
      <c r="E149" s="2" t="s">
        <v>11</v>
      </c>
      <c r="F149" s="3">
        <v>148</v>
      </c>
      <c r="G149" s="2" t="s">
        <v>310</v>
      </c>
      <c r="H149" s="2">
        <v>3</v>
      </c>
      <c r="I149" s="2" t="s">
        <v>67</v>
      </c>
      <c r="J149" s="2">
        <v>2</v>
      </c>
      <c r="K149" s="2" t="s">
        <v>970</v>
      </c>
    </row>
    <row r="150" spans="1:11">
      <c r="A150" s="2" t="s">
        <v>311</v>
      </c>
      <c r="B150" s="2" t="s">
        <v>10</v>
      </c>
      <c r="C150" s="2" t="s">
        <v>11</v>
      </c>
      <c r="D150" s="2" t="s">
        <v>12</v>
      </c>
      <c r="E150" s="2" t="s">
        <v>11</v>
      </c>
      <c r="F150" s="3">
        <v>149</v>
      </c>
      <c r="G150" s="2" t="s">
        <v>312</v>
      </c>
      <c r="H150" s="2">
        <v>3</v>
      </c>
      <c r="I150" s="2" t="s">
        <v>67</v>
      </c>
      <c r="J150" s="2">
        <v>2</v>
      </c>
      <c r="K150" s="2" t="s">
        <v>970</v>
      </c>
    </row>
    <row r="151" spans="1:11">
      <c r="A151" s="2" t="s">
        <v>313</v>
      </c>
      <c r="B151" s="2" t="s">
        <v>10</v>
      </c>
      <c r="C151" s="2" t="s">
        <v>11</v>
      </c>
      <c r="D151" s="2" t="s">
        <v>12</v>
      </c>
      <c r="E151" s="2" t="s">
        <v>11</v>
      </c>
      <c r="F151" s="3">
        <v>150</v>
      </c>
      <c r="G151" s="2" t="s">
        <v>314</v>
      </c>
      <c r="H151" s="2">
        <v>3</v>
      </c>
      <c r="I151" s="2" t="s">
        <v>67</v>
      </c>
      <c r="J151" s="2">
        <v>2</v>
      </c>
      <c r="K151" s="2" t="s">
        <v>970</v>
      </c>
    </row>
    <row r="152" spans="1:11">
      <c r="A152" s="2" t="s">
        <v>315</v>
      </c>
      <c r="B152" s="2" t="s">
        <v>10</v>
      </c>
      <c r="C152" s="2" t="s">
        <v>11</v>
      </c>
      <c r="D152" s="2" t="s">
        <v>12</v>
      </c>
      <c r="E152" s="2" t="s">
        <v>11</v>
      </c>
      <c r="F152" s="3">
        <v>151</v>
      </c>
      <c r="G152" s="2" t="s">
        <v>316</v>
      </c>
      <c r="H152" s="2">
        <v>3</v>
      </c>
      <c r="I152" s="2" t="s">
        <v>67</v>
      </c>
      <c r="J152" s="2">
        <v>2</v>
      </c>
      <c r="K152" s="2" t="s">
        <v>970</v>
      </c>
    </row>
    <row r="153" spans="1:11">
      <c r="A153" s="2" t="s">
        <v>317</v>
      </c>
      <c r="B153" s="2" t="s">
        <v>10</v>
      </c>
      <c r="C153" s="2" t="s">
        <v>11</v>
      </c>
      <c r="D153" s="2" t="s">
        <v>12</v>
      </c>
      <c r="E153" s="2" t="s">
        <v>11</v>
      </c>
      <c r="F153" s="3">
        <v>152</v>
      </c>
      <c r="G153" s="2" t="s">
        <v>318</v>
      </c>
      <c r="H153" s="2">
        <v>3</v>
      </c>
      <c r="I153" s="2" t="s">
        <v>67</v>
      </c>
      <c r="J153" s="2">
        <v>2</v>
      </c>
      <c r="K153" s="2" t="s">
        <v>970</v>
      </c>
    </row>
    <row r="154" spans="1:11">
      <c r="A154" s="2" t="s">
        <v>319</v>
      </c>
      <c r="B154" s="2" t="s">
        <v>10</v>
      </c>
      <c r="C154" s="2" t="s">
        <v>11</v>
      </c>
      <c r="D154" s="2" t="s">
        <v>12</v>
      </c>
      <c r="E154" s="2" t="s">
        <v>11</v>
      </c>
      <c r="F154" s="3">
        <v>153</v>
      </c>
      <c r="G154" s="2" t="s">
        <v>320</v>
      </c>
      <c r="H154" s="2">
        <v>3</v>
      </c>
      <c r="I154" s="2" t="s">
        <v>67</v>
      </c>
      <c r="J154" s="2">
        <v>2</v>
      </c>
      <c r="K154" s="2" t="s">
        <v>970</v>
      </c>
    </row>
    <row r="155" spans="1:11">
      <c r="A155" s="2" t="s">
        <v>321</v>
      </c>
      <c r="B155" s="2" t="s">
        <v>10</v>
      </c>
      <c r="C155" s="2" t="s">
        <v>11</v>
      </c>
      <c r="D155" s="2" t="s">
        <v>12</v>
      </c>
      <c r="E155" s="2" t="s">
        <v>11</v>
      </c>
      <c r="F155" s="3">
        <v>154</v>
      </c>
      <c r="G155" s="2" t="s">
        <v>322</v>
      </c>
      <c r="H155" s="2">
        <v>3</v>
      </c>
      <c r="I155" s="2" t="s">
        <v>67</v>
      </c>
      <c r="J155" s="2">
        <v>2</v>
      </c>
      <c r="K155" s="2" t="s">
        <v>970</v>
      </c>
    </row>
    <row r="156" spans="1:11">
      <c r="A156" s="2" t="s">
        <v>323</v>
      </c>
      <c r="B156" s="2" t="s">
        <v>10</v>
      </c>
      <c r="C156" s="2" t="s">
        <v>11</v>
      </c>
      <c r="D156" s="2" t="s">
        <v>12</v>
      </c>
      <c r="E156" s="2" t="s">
        <v>11</v>
      </c>
      <c r="F156" s="3">
        <v>155</v>
      </c>
      <c r="G156" s="2" t="s">
        <v>324</v>
      </c>
      <c r="H156" s="2">
        <v>3</v>
      </c>
      <c r="I156" s="2" t="s">
        <v>67</v>
      </c>
      <c r="J156" s="2">
        <v>2</v>
      </c>
      <c r="K156" s="2" t="s">
        <v>970</v>
      </c>
    </row>
    <row r="157" spans="1:11">
      <c r="A157" s="2" t="s">
        <v>325</v>
      </c>
      <c r="B157" s="2" t="s">
        <v>10</v>
      </c>
      <c r="C157" s="2" t="s">
        <v>11</v>
      </c>
      <c r="D157" s="2" t="s">
        <v>12</v>
      </c>
      <c r="E157" s="2" t="s">
        <v>11</v>
      </c>
      <c r="F157" s="3">
        <v>156</v>
      </c>
      <c r="G157" s="2" t="s">
        <v>326</v>
      </c>
      <c r="H157" s="2">
        <v>3</v>
      </c>
      <c r="I157" s="2" t="s">
        <v>67</v>
      </c>
      <c r="J157" s="2">
        <v>2</v>
      </c>
      <c r="K157" s="2" t="s">
        <v>970</v>
      </c>
    </row>
    <row r="158" spans="1:11">
      <c r="A158" s="2" t="s">
        <v>327</v>
      </c>
      <c r="B158" s="2" t="s">
        <v>10</v>
      </c>
      <c r="C158" s="2" t="s">
        <v>11</v>
      </c>
      <c r="D158" s="2" t="s">
        <v>12</v>
      </c>
      <c r="E158" s="2" t="s">
        <v>11</v>
      </c>
      <c r="F158" s="3">
        <v>157</v>
      </c>
      <c r="G158" s="2" t="s">
        <v>328</v>
      </c>
      <c r="H158" s="2">
        <v>3</v>
      </c>
      <c r="I158" s="2" t="s">
        <v>67</v>
      </c>
      <c r="J158" s="2">
        <v>2</v>
      </c>
      <c r="K158" s="2" t="s">
        <v>970</v>
      </c>
    </row>
    <row r="159" spans="1:11">
      <c r="A159" s="2" t="s">
        <v>329</v>
      </c>
      <c r="B159" s="2" t="s">
        <v>10</v>
      </c>
      <c r="C159" s="2" t="s">
        <v>11</v>
      </c>
      <c r="D159" s="2" t="s">
        <v>12</v>
      </c>
      <c r="E159" s="2" t="s">
        <v>11</v>
      </c>
      <c r="F159" s="3">
        <v>158</v>
      </c>
      <c r="G159" s="2" t="s">
        <v>330</v>
      </c>
      <c r="H159" s="2">
        <v>3</v>
      </c>
      <c r="I159" s="2" t="s">
        <v>67</v>
      </c>
      <c r="J159" s="2">
        <v>2</v>
      </c>
      <c r="K159" s="2" t="s">
        <v>970</v>
      </c>
    </row>
    <row r="160" spans="1:11">
      <c r="A160" s="2" t="s">
        <v>331</v>
      </c>
      <c r="B160" s="2" t="s">
        <v>10</v>
      </c>
      <c r="C160" s="2" t="s">
        <v>11</v>
      </c>
      <c r="D160" s="2" t="s">
        <v>12</v>
      </c>
      <c r="E160" s="2" t="s">
        <v>11</v>
      </c>
      <c r="F160" s="3">
        <v>159</v>
      </c>
      <c r="G160" s="2" t="s">
        <v>332</v>
      </c>
      <c r="H160" s="2">
        <v>3</v>
      </c>
      <c r="I160" s="2" t="s">
        <v>67</v>
      </c>
      <c r="J160" s="2">
        <v>2</v>
      </c>
      <c r="K160" s="2" t="s">
        <v>970</v>
      </c>
    </row>
    <row r="161" spans="1:11">
      <c r="A161" s="2" t="s">
        <v>333</v>
      </c>
      <c r="B161" s="2" t="s">
        <v>10</v>
      </c>
      <c r="C161" s="2" t="s">
        <v>11</v>
      </c>
      <c r="D161" s="2" t="s">
        <v>12</v>
      </c>
      <c r="E161" s="2" t="s">
        <v>11</v>
      </c>
      <c r="F161" s="3">
        <v>160</v>
      </c>
      <c r="G161" s="2" t="s">
        <v>334</v>
      </c>
      <c r="H161" s="2">
        <v>3</v>
      </c>
      <c r="I161" s="2" t="s">
        <v>67</v>
      </c>
      <c r="J161" s="2">
        <v>2</v>
      </c>
      <c r="K161" s="2" t="s">
        <v>970</v>
      </c>
    </row>
    <row r="162" spans="1:11">
      <c r="A162" s="2" t="s">
        <v>335</v>
      </c>
      <c r="B162" s="2" t="s">
        <v>10</v>
      </c>
      <c r="C162" s="2" t="s">
        <v>11</v>
      </c>
      <c r="D162" s="2" t="s">
        <v>12</v>
      </c>
      <c r="E162" s="2" t="s">
        <v>11</v>
      </c>
      <c r="F162" s="3">
        <v>161</v>
      </c>
      <c r="G162" s="2" t="s">
        <v>336</v>
      </c>
      <c r="H162" s="2">
        <v>3</v>
      </c>
      <c r="I162" s="2" t="s">
        <v>67</v>
      </c>
      <c r="J162" s="2">
        <v>2</v>
      </c>
      <c r="K162" s="2" t="s">
        <v>970</v>
      </c>
    </row>
    <row r="163" spans="1:11">
      <c r="A163" s="2" t="s">
        <v>337</v>
      </c>
      <c r="B163" s="2" t="s">
        <v>10</v>
      </c>
      <c r="C163" s="2" t="s">
        <v>11</v>
      </c>
      <c r="D163" s="2" t="s">
        <v>12</v>
      </c>
      <c r="E163" s="2" t="s">
        <v>11</v>
      </c>
      <c r="F163" s="3">
        <v>162</v>
      </c>
      <c r="G163" s="2" t="s">
        <v>338</v>
      </c>
      <c r="H163" s="2">
        <v>3</v>
      </c>
      <c r="I163" s="2" t="s">
        <v>67</v>
      </c>
      <c r="J163" s="2">
        <v>2</v>
      </c>
      <c r="K163" s="2" t="s">
        <v>970</v>
      </c>
    </row>
    <row r="164" spans="1:11">
      <c r="A164" s="2" t="s">
        <v>339</v>
      </c>
      <c r="B164" s="2" t="s">
        <v>10</v>
      </c>
      <c r="C164" s="2" t="s">
        <v>11</v>
      </c>
      <c r="D164" s="2" t="s">
        <v>12</v>
      </c>
      <c r="E164" s="2" t="s">
        <v>11</v>
      </c>
      <c r="F164" s="3">
        <v>163</v>
      </c>
      <c r="G164" s="2" t="s">
        <v>340</v>
      </c>
      <c r="H164" s="2">
        <v>3</v>
      </c>
      <c r="I164" s="2" t="s">
        <v>67</v>
      </c>
      <c r="J164" s="2">
        <v>2</v>
      </c>
      <c r="K164" s="2" t="s">
        <v>970</v>
      </c>
    </row>
    <row r="165" spans="1:11">
      <c r="A165" s="2" t="s">
        <v>341</v>
      </c>
      <c r="B165" s="2" t="s">
        <v>10</v>
      </c>
      <c r="C165" s="2" t="s">
        <v>11</v>
      </c>
      <c r="D165" s="2" t="s">
        <v>12</v>
      </c>
      <c r="E165" s="2" t="s">
        <v>11</v>
      </c>
      <c r="F165" s="3">
        <v>164</v>
      </c>
      <c r="G165" s="2" t="s">
        <v>342</v>
      </c>
      <c r="H165" s="2">
        <v>3</v>
      </c>
      <c r="I165" s="2" t="s">
        <v>67</v>
      </c>
      <c r="J165" s="2">
        <v>2</v>
      </c>
      <c r="K165" s="2" t="s">
        <v>970</v>
      </c>
    </row>
    <row r="166" spans="1:11">
      <c r="A166" s="2" t="s">
        <v>343</v>
      </c>
      <c r="B166" s="2" t="s">
        <v>10</v>
      </c>
      <c r="C166" s="2" t="s">
        <v>11</v>
      </c>
      <c r="D166" s="2" t="s">
        <v>12</v>
      </c>
      <c r="E166" s="2" t="s">
        <v>11</v>
      </c>
      <c r="F166" s="3">
        <v>165</v>
      </c>
      <c r="G166" s="2" t="s">
        <v>344</v>
      </c>
      <c r="H166" s="2">
        <v>3</v>
      </c>
      <c r="I166" s="2" t="s">
        <v>67</v>
      </c>
      <c r="J166" s="2">
        <v>2</v>
      </c>
      <c r="K166" s="2" t="s">
        <v>970</v>
      </c>
    </row>
    <row r="167" spans="1:11">
      <c r="A167" s="2" t="s">
        <v>345</v>
      </c>
      <c r="B167" s="2" t="s">
        <v>10</v>
      </c>
      <c r="C167" s="2" t="s">
        <v>11</v>
      </c>
      <c r="D167" s="2" t="s">
        <v>12</v>
      </c>
      <c r="E167" s="2" t="s">
        <v>11</v>
      </c>
      <c r="F167" s="3">
        <v>166</v>
      </c>
      <c r="G167" s="2" t="s">
        <v>346</v>
      </c>
      <c r="H167" s="2">
        <v>3</v>
      </c>
      <c r="I167" s="2" t="s">
        <v>67</v>
      </c>
      <c r="J167" s="2">
        <v>2</v>
      </c>
      <c r="K167" s="2" t="s">
        <v>970</v>
      </c>
    </row>
    <row r="168" spans="1:11">
      <c r="A168" s="2" t="s">
        <v>347</v>
      </c>
      <c r="B168" s="2" t="s">
        <v>10</v>
      </c>
      <c r="C168" s="2" t="s">
        <v>11</v>
      </c>
      <c r="D168" s="2" t="s">
        <v>12</v>
      </c>
      <c r="E168" s="2" t="s">
        <v>11</v>
      </c>
      <c r="F168" s="3">
        <v>167</v>
      </c>
      <c r="G168" s="2" t="s">
        <v>348</v>
      </c>
      <c r="H168" s="2">
        <v>2</v>
      </c>
      <c r="I168" s="2" t="s">
        <v>142</v>
      </c>
      <c r="J168" s="2">
        <v>2</v>
      </c>
      <c r="K168" s="2" t="s">
        <v>970</v>
      </c>
    </row>
    <row r="169" spans="1:11">
      <c r="A169" s="2" t="s">
        <v>349</v>
      </c>
      <c r="B169" s="2" t="s">
        <v>10</v>
      </c>
      <c r="C169" s="2" t="s">
        <v>11</v>
      </c>
      <c r="D169" s="2" t="s">
        <v>12</v>
      </c>
      <c r="E169" s="2" t="s">
        <v>11</v>
      </c>
      <c r="F169" s="3">
        <v>168</v>
      </c>
      <c r="G169" s="2" t="s">
        <v>350</v>
      </c>
      <c r="H169" s="2">
        <v>3</v>
      </c>
      <c r="I169" s="2" t="s">
        <v>67</v>
      </c>
      <c r="J169" s="2">
        <v>2</v>
      </c>
      <c r="K169" s="2" t="s">
        <v>970</v>
      </c>
    </row>
    <row r="170" spans="1:11">
      <c r="A170" s="2" t="s">
        <v>351</v>
      </c>
      <c r="B170" s="2" t="s">
        <v>10</v>
      </c>
      <c r="C170" s="2" t="s">
        <v>11</v>
      </c>
      <c r="D170" s="2" t="s">
        <v>12</v>
      </c>
      <c r="E170" s="2" t="s">
        <v>11</v>
      </c>
      <c r="F170" s="3">
        <v>169</v>
      </c>
      <c r="G170" s="2" t="s">
        <v>352</v>
      </c>
      <c r="H170" s="2">
        <v>3</v>
      </c>
      <c r="I170" s="2" t="s">
        <v>67</v>
      </c>
      <c r="J170" s="2">
        <v>2</v>
      </c>
      <c r="K170" s="2" t="s">
        <v>970</v>
      </c>
    </row>
    <row r="171" spans="1:11">
      <c r="A171" s="2" t="s">
        <v>353</v>
      </c>
      <c r="B171" s="2" t="s">
        <v>10</v>
      </c>
      <c r="C171" s="2" t="s">
        <v>11</v>
      </c>
      <c r="D171" s="2" t="s">
        <v>12</v>
      </c>
      <c r="E171" s="2" t="s">
        <v>11</v>
      </c>
      <c r="F171" s="3">
        <v>170</v>
      </c>
      <c r="G171" s="2" t="s">
        <v>354</v>
      </c>
      <c r="H171" s="2">
        <v>3</v>
      </c>
      <c r="I171" s="2" t="s">
        <v>67</v>
      </c>
      <c r="J171" s="2">
        <v>2</v>
      </c>
      <c r="K171" s="2" t="s">
        <v>970</v>
      </c>
    </row>
    <row r="172" spans="1:11">
      <c r="A172" s="2" t="s">
        <v>355</v>
      </c>
      <c r="B172" s="2" t="s">
        <v>10</v>
      </c>
      <c r="C172" s="2" t="s">
        <v>11</v>
      </c>
      <c r="D172" s="2" t="s">
        <v>12</v>
      </c>
      <c r="E172" s="2" t="s">
        <v>11</v>
      </c>
      <c r="F172" s="3">
        <v>171</v>
      </c>
      <c r="G172" s="2" t="s">
        <v>356</v>
      </c>
      <c r="H172" s="2">
        <v>3</v>
      </c>
      <c r="I172" s="2" t="s">
        <v>67</v>
      </c>
      <c r="J172" s="2">
        <v>2</v>
      </c>
      <c r="K172" s="2" t="s">
        <v>970</v>
      </c>
    </row>
    <row r="173" spans="1:11">
      <c r="A173" s="2" t="s">
        <v>357</v>
      </c>
      <c r="B173" s="2" t="s">
        <v>10</v>
      </c>
      <c r="C173" s="2" t="s">
        <v>11</v>
      </c>
      <c r="D173" s="2" t="s">
        <v>12</v>
      </c>
      <c r="E173" s="2" t="s">
        <v>11</v>
      </c>
      <c r="F173" s="3">
        <v>172</v>
      </c>
      <c r="G173" s="2" t="s">
        <v>358</v>
      </c>
      <c r="H173" s="2">
        <v>3</v>
      </c>
      <c r="I173" s="2" t="s">
        <v>67</v>
      </c>
      <c r="J173" s="2">
        <v>2</v>
      </c>
      <c r="K173" s="2" t="s">
        <v>970</v>
      </c>
    </row>
    <row r="174" spans="1:11">
      <c r="A174" s="2" t="s">
        <v>359</v>
      </c>
      <c r="B174" s="2" t="s">
        <v>10</v>
      </c>
      <c r="C174" s="2" t="s">
        <v>11</v>
      </c>
      <c r="D174" s="2" t="s">
        <v>12</v>
      </c>
      <c r="E174" s="2" t="s">
        <v>11</v>
      </c>
      <c r="F174" s="3">
        <v>173</v>
      </c>
      <c r="G174" s="2" t="s">
        <v>360</v>
      </c>
      <c r="H174" s="2">
        <v>3</v>
      </c>
      <c r="I174" s="2" t="s">
        <v>67</v>
      </c>
      <c r="J174" s="2">
        <v>2</v>
      </c>
      <c r="K174" s="2" t="s">
        <v>970</v>
      </c>
    </row>
    <row r="175" spans="1:11">
      <c r="A175" s="2" t="s">
        <v>361</v>
      </c>
      <c r="B175" s="2" t="s">
        <v>10</v>
      </c>
      <c r="C175" s="2" t="s">
        <v>11</v>
      </c>
      <c r="D175" s="2" t="s">
        <v>12</v>
      </c>
      <c r="E175" s="2" t="s">
        <v>11</v>
      </c>
      <c r="F175" s="3">
        <v>174</v>
      </c>
      <c r="G175" s="2" t="s">
        <v>362</v>
      </c>
      <c r="H175" s="2">
        <v>3</v>
      </c>
      <c r="I175" s="2" t="s">
        <v>67</v>
      </c>
      <c r="J175" s="2">
        <v>2</v>
      </c>
      <c r="K175" s="2" t="s">
        <v>970</v>
      </c>
    </row>
    <row r="176" spans="1:11">
      <c r="A176" s="2" t="s">
        <v>363</v>
      </c>
      <c r="B176" s="2" t="s">
        <v>10</v>
      </c>
      <c r="C176" s="2" t="s">
        <v>11</v>
      </c>
      <c r="D176" s="2" t="s">
        <v>12</v>
      </c>
      <c r="E176" s="2" t="s">
        <v>11</v>
      </c>
      <c r="F176" s="3">
        <v>175</v>
      </c>
      <c r="G176" s="2" t="s">
        <v>364</v>
      </c>
      <c r="H176" s="2">
        <v>3</v>
      </c>
      <c r="I176" s="2" t="s">
        <v>67</v>
      </c>
      <c r="J176" s="2">
        <v>2</v>
      </c>
      <c r="K176" s="2" t="s">
        <v>970</v>
      </c>
    </row>
    <row r="177" spans="1:11">
      <c r="A177" s="2" t="s">
        <v>365</v>
      </c>
      <c r="B177" s="2" t="s">
        <v>10</v>
      </c>
      <c r="C177" s="2" t="s">
        <v>11</v>
      </c>
      <c r="D177" s="2" t="s">
        <v>12</v>
      </c>
      <c r="E177" s="2" t="s">
        <v>11</v>
      </c>
      <c r="F177" s="3">
        <v>176</v>
      </c>
      <c r="G177" s="2" t="s">
        <v>366</v>
      </c>
      <c r="H177" s="2">
        <v>3</v>
      </c>
      <c r="I177" s="2" t="s">
        <v>67</v>
      </c>
      <c r="J177" s="2">
        <v>2</v>
      </c>
      <c r="K177" s="2" t="s">
        <v>970</v>
      </c>
    </row>
    <row r="178" spans="1:11">
      <c r="A178" s="2" t="s">
        <v>367</v>
      </c>
      <c r="B178" s="2" t="s">
        <v>10</v>
      </c>
      <c r="C178" s="2" t="s">
        <v>11</v>
      </c>
      <c r="D178" s="2" t="s">
        <v>12</v>
      </c>
      <c r="E178" s="2" t="s">
        <v>11</v>
      </c>
      <c r="F178" s="3">
        <v>177</v>
      </c>
      <c r="G178" s="2" t="s">
        <v>368</v>
      </c>
      <c r="H178" s="2">
        <v>3</v>
      </c>
      <c r="I178" s="2" t="s">
        <v>67</v>
      </c>
      <c r="J178" s="2">
        <v>2</v>
      </c>
      <c r="K178" s="2" t="s">
        <v>970</v>
      </c>
    </row>
    <row r="179" spans="1:11">
      <c r="A179" s="2" t="s">
        <v>369</v>
      </c>
      <c r="B179" s="2" t="s">
        <v>10</v>
      </c>
      <c r="C179" s="2" t="s">
        <v>11</v>
      </c>
      <c r="D179" s="2" t="s">
        <v>12</v>
      </c>
      <c r="E179" s="2" t="s">
        <v>11</v>
      </c>
      <c r="F179" s="3">
        <v>178</v>
      </c>
      <c r="G179" s="2" t="s">
        <v>370</v>
      </c>
      <c r="H179" s="2">
        <v>3</v>
      </c>
      <c r="I179" s="2" t="s">
        <v>67</v>
      </c>
      <c r="J179" s="2">
        <v>2</v>
      </c>
      <c r="K179" s="2" t="s">
        <v>970</v>
      </c>
    </row>
    <row r="180" spans="1:11">
      <c r="A180" s="2" t="s">
        <v>371</v>
      </c>
      <c r="B180" s="2" t="s">
        <v>10</v>
      </c>
      <c r="C180" s="2" t="s">
        <v>11</v>
      </c>
      <c r="D180" s="2" t="s">
        <v>12</v>
      </c>
      <c r="E180" s="2" t="s">
        <v>11</v>
      </c>
      <c r="F180" s="3">
        <v>179</v>
      </c>
      <c r="G180" s="2" t="s">
        <v>372</v>
      </c>
      <c r="H180" s="2">
        <v>3</v>
      </c>
      <c r="I180" s="2" t="s">
        <v>67</v>
      </c>
      <c r="J180" s="2">
        <v>2</v>
      </c>
      <c r="K180" s="2" t="s">
        <v>970</v>
      </c>
    </row>
    <row r="181" spans="1:11">
      <c r="A181" s="2" t="s">
        <v>373</v>
      </c>
      <c r="B181" s="2" t="s">
        <v>10</v>
      </c>
      <c r="C181" s="2" t="s">
        <v>11</v>
      </c>
      <c r="D181" s="2" t="s">
        <v>12</v>
      </c>
      <c r="E181" s="2" t="s">
        <v>11</v>
      </c>
      <c r="F181" s="3">
        <v>180</v>
      </c>
      <c r="G181" s="2" t="s">
        <v>374</v>
      </c>
      <c r="H181" s="2">
        <v>3</v>
      </c>
      <c r="I181" s="2" t="s">
        <v>67</v>
      </c>
      <c r="J181" s="2">
        <v>2</v>
      </c>
      <c r="K181" s="2" t="s">
        <v>970</v>
      </c>
    </row>
    <row r="182" spans="1:11">
      <c r="A182" s="2" t="s">
        <v>375</v>
      </c>
      <c r="B182" s="2" t="s">
        <v>10</v>
      </c>
      <c r="C182" s="2" t="s">
        <v>11</v>
      </c>
      <c r="D182" s="2" t="s">
        <v>12</v>
      </c>
      <c r="E182" s="2" t="s">
        <v>11</v>
      </c>
      <c r="F182" s="3">
        <v>181</v>
      </c>
      <c r="G182" s="2" t="s">
        <v>376</v>
      </c>
      <c r="H182" s="2">
        <v>3</v>
      </c>
      <c r="I182" s="2" t="s">
        <v>67</v>
      </c>
      <c r="J182" s="2">
        <v>2</v>
      </c>
      <c r="K182" s="2" t="s">
        <v>970</v>
      </c>
    </row>
    <row r="183" spans="1:11">
      <c r="A183" s="4" t="s">
        <v>377</v>
      </c>
      <c r="B183" s="4" t="s">
        <v>10</v>
      </c>
      <c r="C183" s="4" t="s">
        <v>11</v>
      </c>
      <c r="D183" s="4" t="s">
        <v>12</v>
      </c>
      <c r="E183" s="4" t="s">
        <v>11</v>
      </c>
      <c r="F183" s="5">
        <v>1</v>
      </c>
      <c r="G183" s="4" t="s">
        <v>13</v>
      </c>
      <c r="H183" s="4">
        <v>1</v>
      </c>
      <c r="I183" s="4" t="s">
        <v>14</v>
      </c>
      <c r="J183" s="4">
        <v>2</v>
      </c>
      <c r="K183" s="4" t="s">
        <v>970</v>
      </c>
    </row>
    <row r="184" spans="1:11">
      <c r="A184" s="4" t="s">
        <v>378</v>
      </c>
      <c r="B184" s="4" t="s">
        <v>10</v>
      </c>
      <c r="C184" s="4" t="s">
        <v>11</v>
      </c>
      <c r="D184" s="4" t="s">
        <v>12</v>
      </c>
      <c r="E184" s="4" t="s">
        <v>11</v>
      </c>
      <c r="F184" s="5">
        <v>2</v>
      </c>
      <c r="G184" s="4" t="s">
        <v>16</v>
      </c>
      <c r="H184" s="4">
        <v>1</v>
      </c>
      <c r="I184" s="4" t="s">
        <v>14</v>
      </c>
      <c r="J184" s="4">
        <v>2</v>
      </c>
      <c r="K184" s="4" t="s">
        <v>970</v>
      </c>
    </row>
    <row r="185" spans="1:11">
      <c r="A185" s="4" t="s">
        <v>379</v>
      </c>
      <c r="B185" s="4" t="s">
        <v>10</v>
      </c>
      <c r="C185" s="4" t="s">
        <v>11</v>
      </c>
      <c r="D185" s="4" t="s">
        <v>12</v>
      </c>
      <c r="E185" s="4" t="s">
        <v>11</v>
      </c>
      <c r="F185" s="5">
        <v>3</v>
      </c>
      <c r="G185" s="4" t="s">
        <v>18</v>
      </c>
      <c r="H185" s="4">
        <v>1</v>
      </c>
      <c r="I185" s="4" t="s">
        <v>14</v>
      </c>
      <c r="J185" s="4">
        <v>2</v>
      </c>
      <c r="K185" s="4" t="s">
        <v>970</v>
      </c>
    </row>
    <row r="186" spans="1:11">
      <c r="A186" s="4" t="s">
        <v>380</v>
      </c>
      <c r="B186" s="4" t="s">
        <v>10</v>
      </c>
      <c r="C186" s="4" t="s">
        <v>11</v>
      </c>
      <c r="D186" s="4" t="s">
        <v>12</v>
      </c>
      <c r="E186" s="4" t="s">
        <v>11</v>
      </c>
      <c r="F186" s="5">
        <v>4</v>
      </c>
      <c r="G186" s="4" t="s">
        <v>20</v>
      </c>
      <c r="H186" s="4">
        <v>1</v>
      </c>
      <c r="I186" s="4" t="s">
        <v>14</v>
      </c>
      <c r="J186" s="4">
        <v>2</v>
      </c>
      <c r="K186" s="4" t="s">
        <v>970</v>
      </c>
    </row>
    <row r="187" spans="1:11">
      <c r="A187" s="4" t="s">
        <v>381</v>
      </c>
      <c r="B187" s="4" t="s">
        <v>10</v>
      </c>
      <c r="C187" s="4" t="s">
        <v>11</v>
      </c>
      <c r="D187" s="4" t="s">
        <v>12</v>
      </c>
      <c r="E187" s="4" t="s">
        <v>11</v>
      </c>
      <c r="F187" s="5">
        <v>5</v>
      </c>
      <c r="G187" s="4" t="s">
        <v>22</v>
      </c>
      <c r="H187" s="4">
        <v>1</v>
      </c>
      <c r="I187" s="4" t="s">
        <v>14</v>
      </c>
      <c r="J187" s="4">
        <v>2</v>
      </c>
      <c r="K187" s="4" t="s">
        <v>970</v>
      </c>
    </row>
    <row r="188" spans="1:11">
      <c r="A188" s="4" t="s">
        <v>382</v>
      </c>
      <c r="B188" s="4" t="s">
        <v>10</v>
      </c>
      <c r="C188" s="4" t="s">
        <v>11</v>
      </c>
      <c r="D188" s="4" t="s">
        <v>12</v>
      </c>
      <c r="E188" s="4" t="s">
        <v>11</v>
      </c>
      <c r="F188" s="5">
        <v>6</v>
      </c>
      <c r="G188" s="4" t="s">
        <v>24</v>
      </c>
      <c r="H188" s="4">
        <v>1</v>
      </c>
      <c r="I188" s="4" t="s">
        <v>14</v>
      </c>
      <c r="J188" s="4">
        <v>2</v>
      </c>
      <c r="K188" s="4" t="s">
        <v>970</v>
      </c>
    </row>
    <row r="189" spans="1:11">
      <c r="A189" s="4" t="s">
        <v>383</v>
      </c>
      <c r="B189" s="4" t="s">
        <v>10</v>
      </c>
      <c r="C189" s="4" t="s">
        <v>11</v>
      </c>
      <c r="D189" s="4" t="s">
        <v>12</v>
      </c>
      <c r="E189" s="4" t="s">
        <v>11</v>
      </c>
      <c r="F189" s="5">
        <v>7</v>
      </c>
      <c r="G189" s="4" t="s">
        <v>26</v>
      </c>
      <c r="H189" s="4">
        <v>1</v>
      </c>
      <c r="I189" s="4" t="s">
        <v>14</v>
      </c>
      <c r="J189" s="4">
        <v>2</v>
      </c>
      <c r="K189" s="4" t="s">
        <v>970</v>
      </c>
    </row>
    <row r="190" spans="1:11">
      <c r="A190" s="4" t="s">
        <v>384</v>
      </c>
      <c r="B190" s="4" t="s">
        <v>10</v>
      </c>
      <c r="C190" s="4" t="s">
        <v>11</v>
      </c>
      <c r="D190" s="4" t="s">
        <v>12</v>
      </c>
      <c r="E190" s="4" t="s">
        <v>11</v>
      </c>
      <c r="F190" s="5">
        <v>8</v>
      </c>
      <c r="G190" s="4" t="s">
        <v>28</v>
      </c>
      <c r="H190" s="4">
        <v>1</v>
      </c>
      <c r="I190" s="4" t="s">
        <v>14</v>
      </c>
      <c r="J190" s="4">
        <v>2</v>
      </c>
      <c r="K190" s="4" t="s">
        <v>970</v>
      </c>
    </row>
    <row r="191" spans="1:11">
      <c r="A191" s="4" t="s">
        <v>385</v>
      </c>
      <c r="B191" s="4" t="s">
        <v>10</v>
      </c>
      <c r="C191" s="4" t="s">
        <v>11</v>
      </c>
      <c r="D191" s="4" t="s">
        <v>12</v>
      </c>
      <c r="E191" s="4" t="s">
        <v>11</v>
      </c>
      <c r="F191" s="5">
        <v>9</v>
      </c>
      <c r="G191" s="4" t="s">
        <v>30</v>
      </c>
      <c r="H191" s="4">
        <v>1</v>
      </c>
      <c r="I191" s="4" t="s">
        <v>14</v>
      </c>
      <c r="J191" s="4">
        <v>2</v>
      </c>
      <c r="K191" s="4" t="s">
        <v>970</v>
      </c>
    </row>
    <row r="192" spans="1:11">
      <c r="A192" s="4" t="s">
        <v>386</v>
      </c>
      <c r="B192" s="4" t="s">
        <v>10</v>
      </c>
      <c r="C192" s="4" t="s">
        <v>11</v>
      </c>
      <c r="D192" s="4" t="s">
        <v>12</v>
      </c>
      <c r="E192" s="4" t="s">
        <v>11</v>
      </c>
      <c r="F192" s="5">
        <v>10</v>
      </c>
      <c r="G192" s="4" t="s">
        <v>32</v>
      </c>
      <c r="H192" s="4">
        <v>1</v>
      </c>
      <c r="I192" s="4" t="s">
        <v>14</v>
      </c>
      <c r="J192" s="4">
        <v>2</v>
      </c>
      <c r="K192" s="4" t="s">
        <v>970</v>
      </c>
    </row>
    <row r="193" spans="1:11">
      <c r="A193" s="4" t="s">
        <v>387</v>
      </c>
      <c r="B193" s="4" t="s">
        <v>10</v>
      </c>
      <c r="C193" s="4" t="s">
        <v>11</v>
      </c>
      <c r="D193" s="4" t="s">
        <v>12</v>
      </c>
      <c r="E193" s="4" t="s">
        <v>11</v>
      </c>
      <c r="F193" s="5">
        <v>11</v>
      </c>
      <c r="G193" s="4" t="s">
        <v>34</v>
      </c>
      <c r="H193" s="4">
        <v>1</v>
      </c>
      <c r="I193" s="4" t="s">
        <v>14</v>
      </c>
      <c r="J193" s="4">
        <v>2</v>
      </c>
      <c r="K193" s="4" t="s">
        <v>970</v>
      </c>
    </row>
    <row r="194" spans="1:11">
      <c r="A194" s="4" t="s">
        <v>388</v>
      </c>
      <c r="B194" s="4" t="s">
        <v>10</v>
      </c>
      <c r="C194" s="4" t="s">
        <v>11</v>
      </c>
      <c r="D194" s="4" t="s">
        <v>12</v>
      </c>
      <c r="E194" s="4" t="s">
        <v>11</v>
      </c>
      <c r="F194" s="5">
        <v>12</v>
      </c>
      <c r="G194" s="4" t="s">
        <v>36</v>
      </c>
      <c r="H194" s="4">
        <v>1</v>
      </c>
      <c r="I194" s="4" t="s">
        <v>14</v>
      </c>
      <c r="J194" s="4">
        <v>2</v>
      </c>
      <c r="K194" s="4" t="s">
        <v>970</v>
      </c>
    </row>
    <row r="195" spans="1:11">
      <c r="A195" s="4" t="s">
        <v>389</v>
      </c>
      <c r="B195" s="4" t="s">
        <v>10</v>
      </c>
      <c r="C195" s="4" t="s">
        <v>11</v>
      </c>
      <c r="D195" s="4" t="s">
        <v>12</v>
      </c>
      <c r="E195" s="4" t="s">
        <v>11</v>
      </c>
      <c r="F195" s="5">
        <v>13</v>
      </c>
      <c r="G195" s="4" t="s">
        <v>38</v>
      </c>
      <c r="H195" s="4">
        <v>1</v>
      </c>
      <c r="I195" s="4" t="s">
        <v>14</v>
      </c>
      <c r="J195" s="4">
        <v>2</v>
      </c>
      <c r="K195" s="4" t="s">
        <v>970</v>
      </c>
    </row>
    <row r="196" spans="1:11">
      <c r="A196" s="4" t="s">
        <v>390</v>
      </c>
      <c r="B196" s="4" t="s">
        <v>10</v>
      </c>
      <c r="C196" s="4" t="s">
        <v>11</v>
      </c>
      <c r="D196" s="4" t="s">
        <v>12</v>
      </c>
      <c r="E196" s="4" t="s">
        <v>11</v>
      </c>
      <c r="F196" s="5">
        <v>14</v>
      </c>
      <c r="G196" s="4" t="s">
        <v>40</v>
      </c>
      <c r="H196" s="4">
        <v>1</v>
      </c>
      <c r="I196" s="4" t="s">
        <v>14</v>
      </c>
      <c r="J196" s="4">
        <v>2</v>
      </c>
      <c r="K196" s="4" t="s">
        <v>970</v>
      </c>
    </row>
    <row r="197" spans="1:11">
      <c r="A197" s="4" t="s">
        <v>391</v>
      </c>
      <c r="B197" s="4" t="s">
        <v>10</v>
      </c>
      <c r="C197" s="4" t="s">
        <v>11</v>
      </c>
      <c r="D197" s="4" t="s">
        <v>12</v>
      </c>
      <c r="E197" s="4" t="s">
        <v>11</v>
      </c>
      <c r="F197" s="5">
        <v>15</v>
      </c>
      <c r="G197" s="4" t="s">
        <v>42</v>
      </c>
      <c r="H197" s="4">
        <v>1</v>
      </c>
      <c r="I197" s="4" t="s">
        <v>14</v>
      </c>
      <c r="J197" s="4">
        <v>2</v>
      </c>
      <c r="K197" s="4" t="s">
        <v>970</v>
      </c>
    </row>
    <row r="198" spans="1:11">
      <c r="A198" s="4" t="s">
        <v>392</v>
      </c>
      <c r="B198" s="4" t="s">
        <v>10</v>
      </c>
      <c r="C198" s="4" t="s">
        <v>11</v>
      </c>
      <c r="D198" s="4" t="s">
        <v>12</v>
      </c>
      <c r="E198" s="4" t="s">
        <v>11</v>
      </c>
      <c r="F198" s="5">
        <v>16</v>
      </c>
      <c r="G198" s="4" t="s">
        <v>44</v>
      </c>
      <c r="H198" s="4">
        <v>1</v>
      </c>
      <c r="I198" s="4" t="s">
        <v>14</v>
      </c>
      <c r="J198" s="4">
        <v>2</v>
      </c>
      <c r="K198" s="4" t="s">
        <v>970</v>
      </c>
    </row>
    <row r="199" spans="1:11">
      <c r="A199" s="4" t="s">
        <v>393</v>
      </c>
      <c r="B199" s="4" t="s">
        <v>10</v>
      </c>
      <c r="C199" s="4" t="s">
        <v>11</v>
      </c>
      <c r="D199" s="4" t="s">
        <v>12</v>
      </c>
      <c r="E199" s="4" t="s">
        <v>11</v>
      </c>
      <c r="F199" s="5">
        <v>17</v>
      </c>
      <c r="G199" s="4" t="s">
        <v>46</v>
      </c>
      <c r="H199" s="4">
        <v>1</v>
      </c>
      <c r="I199" s="4" t="s">
        <v>14</v>
      </c>
      <c r="J199" s="4">
        <v>2</v>
      </c>
      <c r="K199" s="4" t="s">
        <v>970</v>
      </c>
    </row>
    <row r="200" spans="1:11">
      <c r="A200" s="4" t="s">
        <v>394</v>
      </c>
      <c r="B200" s="4" t="s">
        <v>10</v>
      </c>
      <c r="C200" s="4" t="s">
        <v>11</v>
      </c>
      <c r="D200" s="4" t="s">
        <v>12</v>
      </c>
      <c r="E200" s="4" t="s">
        <v>11</v>
      </c>
      <c r="F200" s="5">
        <v>18</v>
      </c>
      <c r="G200" s="4" t="s">
        <v>48</v>
      </c>
      <c r="H200" s="4">
        <v>1</v>
      </c>
      <c r="I200" s="4" t="s">
        <v>14</v>
      </c>
      <c r="J200" s="4">
        <v>2</v>
      </c>
      <c r="K200" s="4" t="s">
        <v>970</v>
      </c>
    </row>
    <row r="201" spans="1:11">
      <c r="A201" s="4" t="s">
        <v>395</v>
      </c>
      <c r="B201" s="4" t="s">
        <v>10</v>
      </c>
      <c r="C201" s="4" t="s">
        <v>11</v>
      </c>
      <c r="D201" s="4" t="s">
        <v>12</v>
      </c>
      <c r="E201" s="4" t="s">
        <v>11</v>
      </c>
      <c r="F201" s="5">
        <v>19</v>
      </c>
      <c r="G201" s="4" t="s">
        <v>50</v>
      </c>
      <c r="H201" s="4">
        <v>1</v>
      </c>
      <c r="I201" s="4" t="s">
        <v>14</v>
      </c>
      <c r="J201" s="4">
        <v>2</v>
      </c>
      <c r="K201" s="4" t="s">
        <v>970</v>
      </c>
    </row>
    <row r="202" spans="1:11">
      <c r="A202" s="4" t="s">
        <v>396</v>
      </c>
      <c r="B202" s="4" t="s">
        <v>10</v>
      </c>
      <c r="C202" s="4" t="s">
        <v>11</v>
      </c>
      <c r="D202" s="4" t="s">
        <v>12</v>
      </c>
      <c r="E202" s="4" t="s">
        <v>11</v>
      </c>
      <c r="F202" s="5">
        <v>20</v>
      </c>
      <c r="G202" s="4" t="s">
        <v>52</v>
      </c>
      <c r="H202" s="4">
        <v>1</v>
      </c>
      <c r="I202" s="4" t="s">
        <v>14</v>
      </c>
      <c r="J202" s="4">
        <v>2</v>
      </c>
      <c r="K202" s="4" t="s">
        <v>970</v>
      </c>
    </row>
    <row r="203" spans="1:11">
      <c r="A203" s="4" t="s">
        <v>397</v>
      </c>
      <c r="B203" s="4" t="s">
        <v>10</v>
      </c>
      <c r="C203" s="4" t="s">
        <v>11</v>
      </c>
      <c r="D203" s="4" t="s">
        <v>12</v>
      </c>
      <c r="E203" s="4" t="s">
        <v>11</v>
      </c>
      <c r="F203" s="5">
        <v>21</v>
      </c>
      <c r="G203" s="4" t="s">
        <v>54</v>
      </c>
      <c r="H203" s="4">
        <v>1</v>
      </c>
      <c r="I203" s="4" t="s">
        <v>14</v>
      </c>
      <c r="J203" s="4">
        <v>2</v>
      </c>
      <c r="K203" s="4" t="s">
        <v>970</v>
      </c>
    </row>
    <row r="204" spans="1:11">
      <c r="A204" s="4" t="s">
        <v>398</v>
      </c>
      <c r="B204" s="4" t="s">
        <v>10</v>
      </c>
      <c r="C204" s="4" t="s">
        <v>11</v>
      </c>
      <c r="D204" s="4" t="s">
        <v>12</v>
      </c>
      <c r="E204" s="4" t="s">
        <v>11</v>
      </c>
      <c r="F204" s="5">
        <v>22</v>
      </c>
      <c r="G204" s="4" t="s">
        <v>56</v>
      </c>
      <c r="H204" s="4">
        <v>1</v>
      </c>
      <c r="I204" s="4" t="s">
        <v>14</v>
      </c>
      <c r="J204" s="4">
        <v>2</v>
      </c>
      <c r="K204" s="4" t="s">
        <v>970</v>
      </c>
    </row>
    <row r="205" spans="1:11">
      <c r="A205" s="4" t="s">
        <v>399</v>
      </c>
      <c r="B205" s="4" t="s">
        <v>10</v>
      </c>
      <c r="C205" s="4" t="s">
        <v>11</v>
      </c>
      <c r="D205" s="4" t="s">
        <v>12</v>
      </c>
      <c r="E205" s="4" t="s">
        <v>11</v>
      </c>
      <c r="F205" s="5">
        <v>23</v>
      </c>
      <c r="G205" s="4" t="s">
        <v>58</v>
      </c>
      <c r="H205" s="4">
        <v>1</v>
      </c>
      <c r="I205" s="4" t="s">
        <v>14</v>
      </c>
      <c r="J205" s="4">
        <v>2</v>
      </c>
      <c r="K205" s="4" t="s">
        <v>970</v>
      </c>
    </row>
    <row r="206" spans="1:11">
      <c r="A206" s="4" t="s">
        <v>400</v>
      </c>
      <c r="B206" s="4" t="s">
        <v>10</v>
      </c>
      <c r="C206" s="4" t="s">
        <v>11</v>
      </c>
      <c r="D206" s="4" t="s">
        <v>12</v>
      </c>
      <c r="E206" s="4" t="s">
        <v>11</v>
      </c>
      <c r="F206" s="5">
        <v>24</v>
      </c>
      <c r="G206" s="4" t="s">
        <v>60</v>
      </c>
      <c r="H206" s="4">
        <v>1</v>
      </c>
      <c r="I206" s="4" t="s">
        <v>14</v>
      </c>
      <c r="J206" s="4">
        <v>2</v>
      </c>
      <c r="K206" s="4" t="s">
        <v>970</v>
      </c>
    </row>
    <row r="207" spans="1:11">
      <c r="A207" s="4" t="s">
        <v>401</v>
      </c>
      <c r="B207" s="4" t="s">
        <v>10</v>
      </c>
      <c r="C207" s="4" t="s">
        <v>11</v>
      </c>
      <c r="D207" s="4" t="s">
        <v>12</v>
      </c>
      <c r="E207" s="4" t="s">
        <v>11</v>
      </c>
      <c r="F207" s="5">
        <v>25</v>
      </c>
      <c r="G207" s="4" t="s">
        <v>62</v>
      </c>
      <c r="H207" s="4">
        <v>1</v>
      </c>
      <c r="I207" s="4" t="s">
        <v>14</v>
      </c>
      <c r="J207" s="4">
        <v>2</v>
      </c>
      <c r="K207" s="4" t="s">
        <v>970</v>
      </c>
    </row>
    <row r="208" spans="1:11">
      <c r="A208" s="4" t="s">
        <v>402</v>
      </c>
      <c r="B208" s="4" t="s">
        <v>10</v>
      </c>
      <c r="C208" s="4" t="s">
        <v>11</v>
      </c>
      <c r="D208" s="4" t="s">
        <v>12</v>
      </c>
      <c r="E208" s="4" t="s">
        <v>11</v>
      </c>
      <c r="F208" s="5">
        <v>26</v>
      </c>
      <c r="G208" s="4" t="s">
        <v>64</v>
      </c>
      <c r="H208" s="4">
        <v>1</v>
      </c>
      <c r="I208" s="4" t="s">
        <v>14</v>
      </c>
      <c r="J208" s="4">
        <v>2</v>
      </c>
      <c r="K208" s="4" t="s">
        <v>970</v>
      </c>
    </row>
    <row r="209" spans="1:11">
      <c r="A209" s="4" t="s">
        <v>403</v>
      </c>
      <c r="B209" s="4" t="s">
        <v>10</v>
      </c>
      <c r="C209" s="4" t="s">
        <v>11</v>
      </c>
      <c r="D209" s="4" t="s">
        <v>12</v>
      </c>
      <c r="E209" s="4" t="s">
        <v>11</v>
      </c>
      <c r="F209" s="5">
        <v>27</v>
      </c>
      <c r="G209" s="4" t="s">
        <v>66</v>
      </c>
      <c r="H209" s="4">
        <v>3</v>
      </c>
      <c r="I209" s="4" t="s">
        <v>67</v>
      </c>
      <c r="J209" s="4">
        <v>2</v>
      </c>
      <c r="K209" s="4" t="s">
        <v>970</v>
      </c>
    </row>
    <row r="210" spans="1:11">
      <c r="A210" s="4" t="s">
        <v>404</v>
      </c>
      <c r="B210" s="4" t="s">
        <v>10</v>
      </c>
      <c r="C210" s="4" t="s">
        <v>11</v>
      </c>
      <c r="D210" s="4" t="s">
        <v>12</v>
      </c>
      <c r="E210" s="4" t="s">
        <v>11</v>
      </c>
      <c r="F210" s="5">
        <v>28</v>
      </c>
      <c r="G210" s="4" t="s">
        <v>69</v>
      </c>
      <c r="H210" s="4">
        <v>3</v>
      </c>
      <c r="I210" s="4" t="s">
        <v>67</v>
      </c>
      <c r="J210" s="4">
        <v>2</v>
      </c>
      <c r="K210" s="4" t="s">
        <v>970</v>
      </c>
    </row>
    <row r="211" spans="1:11">
      <c r="A211" s="4" t="s">
        <v>405</v>
      </c>
      <c r="B211" s="4" t="s">
        <v>10</v>
      </c>
      <c r="C211" s="4" t="s">
        <v>11</v>
      </c>
      <c r="D211" s="4" t="s">
        <v>12</v>
      </c>
      <c r="E211" s="4" t="s">
        <v>11</v>
      </c>
      <c r="F211" s="5">
        <v>29</v>
      </c>
      <c r="G211" s="4" t="s">
        <v>71</v>
      </c>
      <c r="H211" s="4">
        <v>3</v>
      </c>
      <c r="I211" s="4" t="s">
        <v>67</v>
      </c>
      <c r="J211" s="4">
        <v>2</v>
      </c>
      <c r="K211" s="4" t="s">
        <v>970</v>
      </c>
    </row>
    <row r="212" spans="1:11">
      <c r="A212" s="4" t="s">
        <v>406</v>
      </c>
      <c r="B212" s="4" t="s">
        <v>10</v>
      </c>
      <c r="C212" s="4" t="s">
        <v>11</v>
      </c>
      <c r="D212" s="4" t="s">
        <v>12</v>
      </c>
      <c r="E212" s="4" t="s">
        <v>11</v>
      </c>
      <c r="F212" s="5">
        <v>30</v>
      </c>
      <c r="G212" s="4" t="s">
        <v>73</v>
      </c>
      <c r="H212" s="4">
        <v>3</v>
      </c>
      <c r="I212" s="4" t="s">
        <v>67</v>
      </c>
      <c r="J212" s="4">
        <v>2</v>
      </c>
      <c r="K212" s="4" t="s">
        <v>970</v>
      </c>
    </row>
    <row r="213" spans="1:11">
      <c r="A213" s="4" t="s">
        <v>407</v>
      </c>
      <c r="B213" s="4" t="s">
        <v>10</v>
      </c>
      <c r="C213" s="4" t="s">
        <v>11</v>
      </c>
      <c r="D213" s="4" t="s">
        <v>12</v>
      </c>
      <c r="E213" s="4" t="s">
        <v>11</v>
      </c>
      <c r="F213" s="5">
        <v>31</v>
      </c>
      <c r="G213" s="4" t="s">
        <v>75</v>
      </c>
      <c r="H213" s="4">
        <v>3</v>
      </c>
      <c r="I213" s="4" t="s">
        <v>67</v>
      </c>
      <c r="J213" s="4">
        <v>2</v>
      </c>
      <c r="K213" s="4" t="s">
        <v>970</v>
      </c>
    </row>
    <row r="214" spans="1:11">
      <c r="A214" s="4" t="s">
        <v>408</v>
      </c>
      <c r="B214" s="4" t="s">
        <v>10</v>
      </c>
      <c r="C214" s="4" t="s">
        <v>11</v>
      </c>
      <c r="D214" s="4" t="s">
        <v>12</v>
      </c>
      <c r="E214" s="4" t="s">
        <v>11</v>
      </c>
      <c r="F214" s="5">
        <v>32</v>
      </c>
      <c r="G214" s="4" t="s">
        <v>77</v>
      </c>
      <c r="H214" s="4">
        <v>3</v>
      </c>
      <c r="I214" s="4" t="s">
        <v>67</v>
      </c>
      <c r="J214" s="4">
        <v>2</v>
      </c>
      <c r="K214" s="4" t="s">
        <v>970</v>
      </c>
    </row>
    <row r="215" spans="1:11">
      <c r="A215" s="4" t="s">
        <v>409</v>
      </c>
      <c r="B215" s="4" t="s">
        <v>10</v>
      </c>
      <c r="C215" s="4" t="s">
        <v>11</v>
      </c>
      <c r="D215" s="4" t="s">
        <v>12</v>
      </c>
      <c r="E215" s="4" t="s">
        <v>11</v>
      </c>
      <c r="F215" s="5">
        <v>33</v>
      </c>
      <c r="G215" s="4" t="s">
        <v>79</v>
      </c>
      <c r="H215" s="4">
        <v>3</v>
      </c>
      <c r="I215" s="4" t="s">
        <v>67</v>
      </c>
      <c r="J215" s="4">
        <v>2</v>
      </c>
      <c r="K215" s="4" t="s">
        <v>970</v>
      </c>
    </row>
    <row r="216" spans="1:11">
      <c r="A216" s="4" t="s">
        <v>410</v>
      </c>
      <c r="B216" s="4" t="s">
        <v>10</v>
      </c>
      <c r="C216" s="4" t="s">
        <v>11</v>
      </c>
      <c r="D216" s="4" t="s">
        <v>12</v>
      </c>
      <c r="E216" s="4" t="s">
        <v>11</v>
      </c>
      <c r="F216" s="5">
        <v>34</v>
      </c>
      <c r="G216" s="4" t="s">
        <v>81</v>
      </c>
      <c r="H216" s="4">
        <v>3</v>
      </c>
      <c r="I216" s="4" t="s">
        <v>67</v>
      </c>
      <c r="J216" s="4">
        <v>2</v>
      </c>
      <c r="K216" s="4" t="s">
        <v>970</v>
      </c>
    </row>
    <row r="217" spans="1:11">
      <c r="A217" s="4" t="s">
        <v>411</v>
      </c>
      <c r="B217" s="4" t="s">
        <v>10</v>
      </c>
      <c r="C217" s="4" t="s">
        <v>11</v>
      </c>
      <c r="D217" s="4" t="s">
        <v>12</v>
      </c>
      <c r="E217" s="4" t="s">
        <v>11</v>
      </c>
      <c r="F217" s="5">
        <v>35</v>
      </c>
      <c r="G217" s="4" t="s">
        <v>83</v>
      </c>
      <c r="H217" s="4">
        <v>3</v>
      </c>
      <c r="I217" s="4" t="s">
        <v>67</v>
      </c>
      <c r="J217" s="4">
        <v>2</v>
      </c>
      <c r="K217" s="4" t="s">
        <v>970</v>
      </c>
    </row>
    <row r="218" spans="1:11">
      <c r="A218" s="4" t="s">
        <v>412</v>
      </c>
      <c r="B218" s="4" t="s">
        <v>10</v>
      </c>
      <c r="C218" s="4" t="s">
        <v>11</v>
      </c>
      <c r="D218" s="4" t="s">
        <v>12</v>
      </c>
      <c r="E218" s="4" t="s">
        <v>11</v>
      </c>
      <c r="F218" s="5">
        <v>36</v>
      </c>
      <c r="G218" s="4" t="s">
        <v>85</v>
      </c>
      <c r="H218" s="4">
        <v>3</v>
      </c>
      <c r="I218" s="4" t="s">
        <v>67</v>
      </c>
      <c r="J218" s="4">
        <v>2</v>
      </c>
      <c r="K218" s="4" t="s">
        <v>970</v>
      </c>
    </row>
    <row r="219" spans="1:11">
      <c r="A219" s="4" t="s">
        <v>413</v>
      </c>
      <c r="B219" s="4" t="s">
        <v>10</v>
      </c>
      <c r="C219" s="4" t="s">
        <v>11</v>
      </c>
      <c r="D219" s="4" t="s">
        <v>12</v>
      </c>
      <c r="E219" s="4" t="s">
        <v>11</v>
      </c>
      <c r="F219" s="5">
        <v>37</v>
      </c>
      <c r="G219" s="4" t="s">
        <v>87</v>
      </c>
      <c r="H219" s="4">
        <v>1</v>
      </c>
      <c r="I219" s="4" t="s">
        <v>14</v>
      </c>
      <c r="J219" s="4">
        <v>2</v>
      </c>
      <c r="K219" s="4" t="s">
        <v>970</v>
      </c>
    </row>
    <row r="220" spans="1:11">
      <c r="A220" s="4" t="s">
        <v>414</v>
      </c>
      <c r="B220" s="4" t="s">
        <v>10</v>
      </c>
      <c r="C220" s="4" t="s">
        <v>11</v>
      </c>
      <c r="D220" s="4" t="s">
        <v>12</v>
      </c>
      <c r="E220" s="4" t="s">
        <v>11</v>
      </c>
      <c r="F220" s="5">
        <v>38</v>
      </c>
      <c r="G220" s="4" t="s">
        <v>89</v>
      </c>
      <c r="H220" s="4">
        <v>1</v>
      </c>
      <c r="I220" s="4" t="s">
        <v>14</v>
      </c>
      <c r="J220" s="4">
        <v>2</v>
      </c>
      <c r="K220" s="4" t="s">
        <v>970</v>
      </c>
    </row>
    <row r="221" spans="1:11">
      <c r="A221" s="4" t="s">
        <v>415</v>
      </c>
      <c r="B221" s="4" t="s">
        <v>10</v>
      </c>
      <c r="C221" s="4" t="s">
        <v>11</v>
      </c>
      <c r="D221" s="4" t="s">
        <v>12</v>
      </c>
      <c r="E221" s="4" t="s">
        <v>11</v>
      </c>
      <c r="F221" s="5">
        <v>39</v>
      </c>
      <c r="G221" s="4" t="s">
        <v>91</v>
      </c>
      <c r="H221" s="4">
        <v>1</v>
      </c>
      <c r="I221" s="4" t="s">
        <v>14</v>
      </c>
      <c r="J221" s="4">
        <v>2</v>
      </c>
      <c r="K221" s="4" t="s">
        <v>970</v>
      </c>
    </row>
    <row r="222" spans="1:11">
      <c r="A222" s="4" t="s">
        <v>416</v>
      </c>
      <c r="B222" s="4" t="s">
        <v>10</v>
      </c>
      <c r="C222" s="4" t="s">
        <v>11</v>
      </c>
      <c r="D222" s="4" t="s">
        <v>12</v>
      </c>
      <c r="E222" s="4" t="s">
        <v>11</v>
      </c>
      <c r="F222" s="5">
        <v>40</v>
      </c>
      <c r="G222" s="4" t="s">
        <v>93</v>
      </c>
      <c r="H222" s="4">
        <v>1</v>
      </c>
      <c r="I222" s="4" t="s">
        <v>14</v>
      </c>
      <c r="J222" s="4">
        <v>2</v>
      </c>
      <c r="K222" s="4" t="s">
        <v>970</v>
      </c>
    </row>
    <row r="223" spans="1:11">
      <c r="A223" s="4" t="s">
        <v>417</v>
      </c>
      <c r="B223" s="4" t="s">
        <v>10</v>
      </c>
      <c r="C223" s="4" t="s">
        <v>11</v>
      </c>
      <c r="D223" s="4" t="s">
        <v>12</v>
      </c>
      <c r="E223" s="4" t="s">
        <v>11</v>
      </c>
      <c r="F223" s="5">
        <v>41</v>
      </c>
      <c r="G223" s="4" t="s">
        <v>95</v>
      </c>
      <c r="H223" s="4">
        <v>1</v>
      </c>
      <c r="I223" s="4" t="s">
        <v>14</v>
      </c>
      <c r="J223" s="4">
        <v>2</v>
      </c>
      <c r="K223" s="4" t="s">
        <v>970</v>
      </c>
    </row>
    <row r="224" spans="1:11">
      <c r="A224" s="4" t="s">
        <v>418</v>
      </c>
      <c r="B224" s="4" t="s">
        <v>10</v>
      </c>
      <c r="C224" s="4" t="s">
        <v>11</v>
      </c>
      <c r="D224" s="4" t="s">
        <v>12</v>
      </c>
      <c r="E224" s="4" t="s">
        <v>11</v>
      </c>
      <c r="F224" s="5">
        <v>42</v>
      </c>
      <c r="G224" s="4" t="s">
        <v>97</v>
      </c>
      <c r="H224" s="4">
        <v>1</v>
      </c>
      <c r="I224" s="4" t="s">
        <v>14</v>
      </c>
      <c r="J224" s="4">
        <v>2</v>
      </c>
      <c r="K224" s="4" t="s">
        <v>970</v>
      </c>
    </row>
    <row r="225" spans="1:11">
      <c r="A225" s="4" t="s">
        <v>419</v>
      </c>
      <c r="B225" s="4" t="s">
        <v>10</v>
      </c>
      <c r="C225" s="4" t="s">
        <v>11</v>
      </c>
      <c r="D225" s="4" t="s">
        <v>12</v>
      </c>
      <c r="E225" s="4" t="s">
        <v>11</v>
      </c>
      <c r="F225" s="5">
        <v>43</v>
      </c>
      <c r="G225" s="4" t="s">
        <v>99</v>
      </c>
      <c r="H225" s="4">
        <v>1</v>
      </c>
      <c r="I225" s="4" t="s">
        <v>14</v>
      </c>
      <c r="J225" s="4">
        <v>2</v>
      </c>
      <c r="K225" s="4" t="s">
        <v>970</v>
      </c>
    </row>
    <row r="226" spans="1:11">
      <c r="A226" s="4" t="s">
        <v>420</v>
      </c>
      <c r="B226" s="4" t="s">
        <v>10</v>
      </c>
      <c r="C226" s="4" t="s">
        <v>11</v>
      </c>
      <c r="D226" s="4" t="s">
        <v>12</v>
      </c>
      <c r="E226" s="4" t="s">
        <v>11</v>
      </c>
      <c r="F226" s="5">
        <v>44</v>
      </c>
      <c r="G226" s="4" t="s">
        <v>101</v>
      </c>
      <c r="H226" s="4">
        <v>1</v>
      </c>
      <c r="I226" s="4" t="s">
        <v>14</v>
      </c>
      <c r="J226" s="4">
        <v>2</v>
      </c>
      <c r="K226" s="4" t="s">
        <v>970</v>
      </c>
    </row>
    <row r="227" spans="1:11">
      <c r="A227" s="4" t="s">
        <v>421</v>
      </c>
      <c r="B227" s="4" t="s">
        <v>10</v>
      </c>
      <c r="C227" s="4" t="s">
        <v>11</v>
      </c>
      <c r="D227" s="4" t="s">
        <v>12</v>
      </c>
      <c r="E227" s="4" t="s">
        <v>11</v>
      </c>
      <c r="F227" s="5">
        <v>45</v>
      </c>
      <c r="G227" s="4" t="s">
        <v>103</v>
      </c>
      <c r="H227" s="4">
        <v>1</v>
      </c>
      <c r="I227" s="4" t="s">
        <v>14</v>
      </c>
      <c r="J227" s="4">
        <v>2</v>
      </c>
      <c r="K227" s="4" t="s">
        <v>970</v>
      </c>
    </row>
    <row r="228" spans="1:11">
      <c r="A228" s="4" t="s">
        <v>422</v>
      </c>
      <c r="B228" s="4" t="s">
        <v>10</v>
      </c>
      <c r="C228" s="4" t="s">
        <v>11</v>
      </c>
      <c r="D228" s="4" t="s">
        <v>12</v>
      </c>
      <c r="E228" s="4" t="s">
        <v>11</v>
      </c>
      <c r="F228" s="5">
        <v>46</v>
      </c>
      <c r="G228" s="4" t="s">
        <v>105</v>
      </c>
      <c r="H228" s="4">
        <v>1</v>
      </c>
      <c r="I228" s="4" t="s">
        <v>14</v>
      </c>
      <c r="J228" s="4">
        <v>2</v>
      </c>
      <c r="K228" s="4" t="s">
        <v>970</v>
      </c>
    </row>
    <row r="229" spans="1:11">
      <c r="A229" s="4" t="s">
        <v>423</v>
      </c>
      <c r="B229" s="4" t="s">
        <v>10</v>
      </c>
      <c r="C229" s="4" t="s">
        <v>11</v>
      </c>
      <c r="D229" s="4" t="s">
        <v>12</v>
      </c>
      <c r="E229" s="4" t="s">
        <v>11</v>
      </c>
      <c r="F229" s="5">
        <v>47</v>
      </c>
      <c r="G229" s="4" t="s">
        <v>107</v>
      </c>
      <c r="H229" s="4">
        <v>1</v>
      </c>
      <c r="I229" s="4" t="s">
        <v>14</v>
      </c>
      <c r="J229" s="4">
        <v>2</v>
      </c>
      <c r="K229" s="4" t="s">
        <v>970</v>
      </c>
    </row>
    <row r="230" spans="1:11">
      <c r="A230" s="4" t="s">
        <v>424</v>
      </c>
      <c r="B230" s="4" t="s">
        <v>10</v>
      </c>
      <c r="C230" s="4" t="s">
        <v>11</v>
      </c>
      <c r="D230" s="4" t="s">
        <v>12</v>
      </c>
      <c r="E230" s="4" t="s">
        <v>11</v>
      </c>
      <c r="F230" s="5">
        <v>48</v>
      </c>
      <c r="G230" s="4" t="s">
        <v>109</v>
      </c>
      <c r="H230" s="4">
        <v>1</v>
      </c>
      <c r="I230" s="4" t="s">
        <v>14</v>
      </c>
      <c r="J230" s="4">
        <v>2</v>
      </c>
      <c r="K230" s="4" t="s">
        <v>970</v>
      </c>
    </row>
    <row r="231" spans="1:11">
      <c r="A231" s="4" t="s">
        <v>425</v>
      </c>
      <c r="B231" s="4" t="s">
        <v>10</v>
      </c>
      <c r="C231" s="4" t="s">
        <v>11</v>
      </c>
      <c r="D231" s="4" t="s">
        <v>12</v>
      </c>
      <c r="E231" s="4" t="s">
        <v>11</v>
      </c>
      <c r="F231" s="5">
        <v>49</v>
      </c>
      <c r="G231" s="4" t="s">
        <v>111</v>
      </c>
      <c r="H231" s="4">
        <v>1</v>
      </c>
      <c r="I231" s="4" t="s">
        <v>14</v>
      </c>
      <c r="J231" s="4">
        <v>2</v>
      </c>
      <c r="K231" s="4" t="s">
        <v>970</v>
      </c>
    </row>
    <row r="232" spans="1:11">
      <c r="A232" s="4" t="s">
        <v>426</v>
      </c>
      <c r="B232" s="4" t="s">
        <v>10</v>
      </c>
      <c r="C232" s="4" t="s">
        <v>11</v>
      </c>
      <c r="D232" s="4" t="s">
        <v>12</v>
      </c>
      <c r="E232" s="4" t="s">
        <v>11</v>
      </c>
      <c r="F232" s="5">
        <v>50</v>
      </c>
      <c r="G232" s="4" t="s">
        <v>113</v>
      </c>
      <c r="H232" s="4">
        <v>1</v>
      </c>
      <c r="I232" s="4" t="s">
        <v>14</v>
      </c>
      <c r="J232" s="4">
        <v>2</v>
      </c>
      <c r="K232" s="4" t="s">
        <v>970</v>
      </c>
    </row>
    <row r="233" spans="1:11">
      <c r="A233" s="4" t="s">
        <v>427</v>
      </c>
      <c r="B233" s="4" t="s">
        <v>10</v>
      </c>
      <c r="C233" s="4" t="s">
        <v>11</v>
      </c>
      <c r="D233" s="4" t="s">
        <v>12</v>
      </c>
      <c r="E233" s="4" t="s">
        <v>11</v>
      </c>
      <c r="F233" s="5">
        <v>51</v>
      </c>
      <c r="G233" s="4" t="s">
        <v>115</v>
      </c>
      <c r="H233" s="4">
        <v>1</v>
      </c>
      <c r="I233" s="4" t="s">
        <v>14</v>
      </c>
      <c r="J233" s="4">
        <v>2</v>
      </c>
      <c r="K233" s="4" t="s">
        <v>970</v>
      </c>
    </row>
    <row r="234" spans="1:11">
      <c r="A234" s="4" t="s">
        <v>428</v>
      </c>
      <c r="B234" s="4" t="s">
        <v>10</v>
      </c>
      <c r="C234" s="4" t="s">
        <v>11</v>
      </c>
      <c r="D234" s="4" t="s">
        <v>12</v>
      </c>
      <c r="E234" s="4" t="s">
        <v>11</v>
      </c>
      <c r="F234" s="5">
        <v>52</v>
      </c>
      <c r="G234" s="4" t="s">
        <v>117</v>
      </c>
      <c r="H234" s="4">
        <v>1</v>
      </c>
      <c r="I234" s="4" t="s">
        <v>14</v>
      </c>
      <c r="J234" s="4">
        <v>2</v>
      </c>
      <c r="K234" s="4" t="s">
        <v>970</v>
      </c>
    </row>
    <row r="235" spans="1:11">
      <c r="A235" s="4" t="s">
        <v>429</v>
      </c>
      <c r="B235" s="4" t="s">
        <v>10</v>
      </c>
      <c r="C235" s="4" t="s">
        <v>11</v>
      </c>
      <c r="D235" s="4" t="s">
        <v>12</v>
      </c>
      <c r="E235" s="4" t="s">
        <v>11</v>
      </c>
      <c r="F235" s="5">
        <v>53</v>
      </c>
      <c r="G235" s="4" t="s">
        <v>119</v>
      </c>
      <c r="H235" s="4">
        <v>1</v>
      </c>
      <c r="I235" s="4" t="s">
        <v>14</v>
      </c>
      <c r="J235" s="4">
        <v>2</v>
      </c>
      <c r="K235" s="4" t="s">
        <v>970</v>
      </c>
    </row>
    <row r="236" spans="1:11">
      <c r="A236" s="4" t="s">
        <v>430</v>
      </c>
      <c r="B236" s="4" t="s">
        <v>10</v>
      </c>
      <c r="C236" s="4" t="s">
        <v>11</v>
      </c>
      <c r="D236" s="4" t="s">
        <v>12</v>
      </c>
      <c r="E236" s="4" t="s">
        <v>11</v>
      </c>
      <c r="F236" s="5">
        <v>54</v>
      </c>
      <c r="G236" s="4" t="s">
        <v>121</v>
      </c>
      <c r="H236" s="4">
        <v>1</v>
      </c>
      <c r="I236" s="4" t="s">
        <v>14</v>
      </c>
      <c r="J236" s="4">
        <v>2</v>
      </c>
      <c r="K236" s="4" t="s">
        <v>970</v>
      </c>
    </row>
    <row r="237" spans="1:11">
      <c r="A237" s="4" t="s">
        <v>431</v>
      </c>
      <c r="B237" s="4" t="s">
        <v>10</v>
      </c>
      <c r="C237" s="4" t="s">
        <v>11</v>
      </c>
      <c r="D237" s="4" t="s">
        <v>12</v>
      </c>
      <c r="E237" s="4" t="s">
        <v>11</v>
      </c>
      <c r="F237" s="5">
        <v>55</v>
      </c>
      <c r="G237" s="4" t="s">
        <v>123</v>
      </c>
      <c r="H237" s="4">
        <v>1</v>
      </c>
      <c r="I237" s="4" t="s">
        <v>14</v>
      </c>
      <c r="J237" s="4">
        <v>2</v>
      </c>
      <c r="K237" s="4" t="s">
        <v>970</v>
      </c>
    </row>
    <row r="238" spans="1:11">
      <c r="A238" s="4" t="s">
        <v>432</v>
      </c>
      <c r="B238" s="4" t="s">
        <v>10</v>
      </c>
      <c r="C238" s="4" t="s">
        <v>11</v>
      </c>
      <c r="D238" s="4" t="s">
        <v>12</v>
      </c>
      <c r="E238" s="4" t="s">
        <v>11</v>
      </c>
      <c r="F238" s="5">
        <v>56</v>
      </c>
      <c r="G238" s="4" t="s">
        <v>125</v>
      </c>
      <c r="H238" s="4">
        <v>1</v>
      </c>
      <c r="I238" s="4" t="s">
        <v>14</v>
      </c>
      <c r="J238" s="4">
        <v>2</v>
      </c>
      <c r="K238" s="4" t="s">
        <v>970</v>
      </c>
    </row>
    <row r="239" spans="1:11">
      <c r="A239" s="4" t="s">
        <v>433</v>
      </c>
      <c r="B239" s="4" t="s">
        <v>10</v>
      </c>
      <c r="C239" s="4" t="s">
        <v>11</v>
      </c>
      <c r="D239" s="4" t="s">
        <v>12</v>
      </c>
      <c r="E239" s="4" t="s">
        <v>11</v>
      </c>
      <c r="F239" s="5">
        <v>57</v>
      </c>
      <c r="G239" s="4" t="s">
        <v>127</v>
      </c>
      <c r="H239" s="4">
        <v>1</v>
      </c>
      <c r="I239" s="4" t="s">
        <v>14</v>
      </c>
      <c r="J239" s="4">
        <v>2</v>
      </c>
      <c r="K239" s="4" t="s">
        <v>970</v>
      </c>
    </row>
    <row r="240" spans="1:11">
      <c r="A240" s="4" t="s">
        <v>434</v>
      </c>
      <c r="B240" s="4" t="s">
        <v>10</v>
      </c>
      <c r="C240" s="4" t="s">
        <v>11</v>
      </c>
      <c r="D240" s="4" t="s">
        <v>12</v>
      </c>
      <c r="E240" s="4" t="s">
        <v>11</v>
      </c>
      <c r="F240" s="5">
        <v>58</v>
      </c>
      <c r="G240" s="4" t="s">
        <v>129</v>
      </c>
      <c r="H240" s="4">
        <v>1</v>
      </c>
      <c r="I240" s="4" t="s">
        <v>14</v>
      </c>
      <c r="J240" s="4">
        <v>2</v>
      </c>
      <c r="K240" s="4" t="s">
        <v>970</v>
      </c>
    </row>
    <row r="241" spans="1:11">
      <c r="A241" s="4" t="s">
        <v>435</v>
      </c>
      <c r="B241" s="4" t="s">
        <v>10</v>
      </c>
      <c r="C241" s="4" t="s">
        <v>11</v>
      </c>
      <c r="D241" s="4" t="s">
        <v>12</v>
      </c>
      <c r="E241" s="4" t="s">
        <v>11</v>
      </c>
      <c r="F241" s="5">
        <v>59</v>
      </c>
      <c r="G241" s="4" t="s">
        <v>131</v>
      </c>
      <c r="H241" s="4">
        <v>1</v>
      </c>
      <c r="I241" s="4" t="s">
        <v>14</v>
      </c>
      <c r="J241" s="4">
        <v>2</v>
      </c>
      <c r="K241" s="4" t="s">
        <v>970</v>
      </c>
    </row>
    <row r="242" spans="1:11">
      <c r="A242" s="4" t="s">
        <v>436</v>
      </c>
      <c r="B242" s="4" t="s">
        <v>10</v>
      </c>
      <c r="C242" s="4" t="s">
        <v>11</v>
      </c>
      <c r="D242" s="4" t="s">
        <v>12</v>
      </c>
      <c r="E242" s="4" t="s">
        <v>11</v>
      </c>
      <c r="F242" s="5">
        <v>60</v>
      </c>
      <c r="G242" s="4" t="s">
        <v>133</v>
      </c>
      <c r="H242" s="4">
        <v>1</v>
      </c>
      <c r="I242" s="4" t="s">
        <v>14</v>
      </c>
      <c r="J242" s="4">
        <v>2</v>
      </c>
      <c r="K242" s="4" t="s">
        <v>970</v>
      </c>
    </row>
    <row r="243" spans="1:11">
      <c r="A243" s="4" t="s">
        <v>437</v>
      </c>
      <c r="B243" s="4" t="s">
        <v>10</v>
      </c>
      <c r="C243" s="4" t="s">
        <v>11</v>
      </c>
      <c r="D243" s="4" t="s">
        <v>12</v>
      </c>
      <c r="E243" s="4" t="s">
        <v>11</v>
      </c>
      <c r="F243" s="5">
        <v>61</v>
      </c>
      <c r="G243" s="4" t="s">
        <v>135</v>
      </c>
      <c r="H243" s="4">
        <v>1</v>
      </c>
      <c r="I243" s="4" t="s">
        <v>14</v>
      </c>
      <c r="J243" s="4">
        <v>2</v>
      </c>
      <c r="K243" s="4" t="s">
        <v>970</v>
      </c>
    </row>
    <row r="244" spans="1:11">
      <c r="A244" s="4" t="s">
        <v>438</v>
      </c>
      <c r="B244" s="4" t="s">
        <v>10</v>
      </c>
      <c r="C244" s="4" t="s">
        <v>11</v>
      </c>
      <c r="D244" s="4" t="s">
        <v>12</v>
      </c>
      <c r="E244" s="4" t="s">
        <v>11</v>
      </c>
      <c r="F244" s="5">
        <v>62</v>
      </c>
      <c r="G244" s="4" t="s">
        <v>137</v>
      </c>
      <c r="H244" s="4">
        <v>1</v>
      </c>
      <c r="I244" s="4" t="s">
        <v>14</v>
      </c>
      <c r="J244" s="4">
        <v>2</v>
      </c>
      <c r="K244" s="4" t="s">
        <v>970</v>
      </c>
    </row>
    <row r="245" spans="1:11">
      <c r="A245" s="4" t="s">
        <v>439</v>
      </c>
      <c r="B245" s="4" t="s">
        <v>10</v>
      </c>
      <c r="C245" s="4" t="s">
        <v>11</v>
      </c>
      <c r="D245" s="4" t="s">
        <v>12</v>
      </c>
      <c r="E245" s="4" t="s">
        <v>11</v>
      </c>
      <c r="F245" s="5">
        <v>63</v>
      </c>
      <c r="G245" s="4" t="s">
        <v>139</v>
      </c>
      <c r="H245" s="4">
        <v>1</v>
      </c>
      <c r="I245" s="4" t="s">
        <v>14</v>
      </c>
      <c r="J245" s="4">
        <v>2</v>
      </c>
      <c r="K245" s="4" t="s">
        <v>970</v>
      </c>
    </row>
    <row r="246" spans="1:11">
      <c r="A246" s="4" t="s">
        <v>440</v>
      </c>
      <c r="B246" s="4" t="s">
        <v>10</v>
      </c>
      <c r="C246" s="4" t="s">
        <v>11</v>
      </c>
      <c r="D246" s="4" t="s">
        <v>12</v>
      </c>
      <c r="E246" s="4" t="s">
        <v>11</v>
      </c>
      <c r="F246" s="5">
        <v>64</v>
      </c>
      <c r="G246" s="4" t="s">
        <v>141</v>
      </c>
      <c r="H246" s="4">
        <v>2</v>
      </c>
      <c r="I246" s="4" t="s">
        <v>142</v>
      </c>
      <c r="J246" s="4">
        <v>2</v>
      </c>
      <c r="K246" s="4" t="s">
        <v>970</v>
      </c>
    </row>
    <row r="247" spans="1:11">
      <c r="A247" s="4" t="s">
        <v>441</v>
      </c>
      <c r="B247" s="4" t="s">
        <v>10</v>
      </c>
      <c r="C247" s="4" t="s">
        <v>11</v>
      </c>
      <c r="D247" s="4" t="s">
        <v>12</v>
      </c>
      <c r="E247" s="4" t="s">
        <v>11</v>
      </c>
      <c r="F247" s="5">
        <v>65</v>
      </c>
      <c r="G247" s="4" t="s">
        <v>144</v>
      </c>
      <c r="H247" s="4">
        <v>2</v>
      </c>
      <c r="I247" s="4" t="s">
        <v>142</v>
      </c>
      <c r="J247" s="4">
        <v>2</v>
      </c>
      <c r="K247" s="4" t="s">
        <v>970</v>
      </c>
    </row>
    <row r="248" spans="1:11">
      <c r="A248" s="4" t="s">
        <v>442</v>
      </c>
      <c r="B248" s="4" t="s">
        <v>10</v>
      </c>
      <c r="C248" s="4" t="s">
        <v>11</v>
      </c>
      <c r="D248" s="4" t="s">
        <v>12</v>
      </c>
      <c r="E248" s="4" t="s">
        <v>11</v>
      </c>
      <c r="F248" s="5">
        <v>66</v>
      </c>
      <c r="G248" s="4" t="s">
        <v>146</v>
      </c>
      <c r="H248" s="4">
        <v>1</v>
      </c>
      <c r="I248" s="4" t="s">
        <v>14</v>
      </c>
      <c r="J248" s="4">
        <v>2</v>
      </c>
      <c r="K248" s="4" t="s">
        <v>970</v>
      </c>
    </row>
    <row r="249" spans="1:11">
      <c r="A249" s="4" t="s">
        <v>443</v>
      </c>
      <c r="B249" s="4" t="s">
        <v>10</v>
      </c>
      <c r="C249" s="4" t="s">
        <v>11</v>
      </c>
      <c r="D249" s="4" t="s">
        <v>12</v>
      </c>
      <c r="E249" s="4" t="s">
        <v>11</v>
      </c>
      <c r="F249" s="5">
        <v>67</v>
      </c>
      <c r="G249" s="4" t="s">
        <v>148</v>
      </c>
      <c r="H249" s="4">
        <v>2</v>
      </c>
      <c r="I249" s="4" t="s">
        <v>142</v>
      </c>
      <c r="J249" s="4">
        <v>2</v>
      </c>
      <c r="K249" s="4" t="s">
        <v>970</v>
      </c>
    </row>
    <row r="250" spans="1:11">
      <c r="A250" s="4" t="s">
        <v>444</v>
      </c>
      <c r="B250" s="4" t="s">
        <v>10</v>
      </c>
      <c r="C250" s="4" t="s">
        <v>11</v>
      </c>
      <c r="D250" s="4" t="s">
        <v>12</v>
      </c>
      <c r="E250" s="4" t="s">
        <v>11</v>
      </c>
      <c r="F250" s="5">
        <v>68</v>
      </c>
      <c r="G250" s="4" t="s">
        <v>150</v>
      </c>
      <c r="H250" s="4">
        <v>2</v>
      </c>
      <c r="I250" s="4" t="s">
        <v>142</v>
      </c>
      <c r="J250" s="4">
        <v>2</v>
      </c>
      <c r="K250" s="4" t="s">
        <v>970</v>
      </c>
    </row>
    <row r="251" spans="1:11">
      <c r="A251" s="4" t="s">
        <v>445</v>
      </c>
      <c r="B251" s="4" t="s">
        <v>10</v>
      </c>
      <c r="C251" s="4" t="s">
        <v>11</v>
      </c>
      <c r="D251" s="4" t="s">
        <v>12</v>
      </c>
      <c r="E251" s="4" t="s">
        <v>11</v>
      </c>
      <c r="F251" s="5">
        <v>69</v>
      </c>
      <c r="G251" s="4" t="s">
        <v>152</v>
      </c>
      <c r="H251" s="4">
        <v>2</v>
      </c>
      <c r="I251" s="4" t="s">
        <v>142</v>
      </c>
      <c r="J251" s="4">
        <v>2</v>
      </c>
      <c r="K251" s="4" t="s">
        <v>970</v>
      </c>
    </row>
    <row r="252" spans="1:11">
      <c r="A252" s="4" t="s">
        <v>446</v>
      </c>
      <c r="B252" s="4" t="s">
        <v>10</v>
      </c>
      <c r="C252" s="4" t="s">
        <v>11</v>
      </c>
      <c r="D252" s="4" t="s">
        <v>12</v>
      </c>
      <c r="E252" s="4" t="s">
        <v>11</v>
      </c>
      <c r="F252" s="5">
        <v>70</v>
      </c>
      <c r="G252" s="4" t="s">
        <v>154</v>
      </c>
      <c r="H252" s="4">
        <v>2</v>
      </c>
      <c r="I252" s="4" t="s">
        <v>142</v>
      </c>
      <c r="J252" s="4">
        <v>2</v>
      </c>
      <c r="K252" s="4" t="s">
        <v>970</v>
      </c>
    </row>
    <row r="253" spans="1:11">
      <c r="A253" s="4" t="s">
        <v>447</v>
      </c>
      <c r="B253" s="4" t="s">
        <v>10</v>
      </c>
      <c r="C253" s="4" t="s">
        <v>11</v>
      </c>
      <c r="D253" s="4" t="s">
        <v>12</v>
      </c>
      <c r="E253" s="4" t="s">
        <v>11</v>
      </c>
      <c r="F253" s="5">
        <v>71</v>
      </c>
      <c r="G253" s="4" t="s">
        <v>156</v>
      </c>
      <c r="H253" s="4">
        <v>2</v>
      </c>
      <c r="I253" s="4" t="s">
        <v>142</v>
      </c>
      <c r="J253" s="4">
        <v>2</v>
      </c>
      <c r="K253" s="4" t="s">
        <v>970</v>
      </c>
    </row>
    <row r="254" spans="1:11">
      <c r="A254" s="4" t="s">
        <v>448</v>
      </c>
      <c r="B254" s="4" t="s">
        <v>10</v>
      </c>
      <c r="C254" s="4" t="s">
        <v>11</v>
      </c>
      <c r="D254" s="4" t="s">
        <v>12</v>
      </c>
      <c r="E254" s="4" t="s">
        <v>11</v>
      </c>
      <c r="F254" s="5">
        <v>72</v>
      </c>
      <c r="G254" s="4" t="s">
        <v>158</v>
      </c>
      <c r="H254" s="4">
        <v>2</v>
      </c>
      <c r="I254" s="4" t="s">
        <v>142</v>
      </c>
      <c r="J254" s="4">
        <v>2</v>
      </c>
      <c r="K254" s="4" t="s">
        <v>970</v>
      </c>
    </row>
    <row r="255" spans="1:11">
      <c r="A255" s="4" t="s">
        <v>449</v>
      </c>
      <c r="B255" s="4" t="s">
        <v>10</v>
      </c>
      <c r="C255" s="4" t="s">
        <v>11</v>
      </c>
      <c r="D255" s="4" t="s">
        <v>12</v>
      </c>
      <c r="E255" s="4" t="s">
        <v>11</v>
      </c>
      <c r="F255" s="5">
        <v>73</v>
      </c>
      <c r="G255" s="4" t="s">
        <v>160</v>
      </c>
      <c r="H255" s="4">
        <v>2</v>
      </c>
      <c r="I255" s="4" t="s">
        <v>142</v>
      </c>
      <c r="J255" s="4">
        <v>2</v>
      </c>
      <c r="K255" s="4" t="s">
        <v>970</v>
      </c>
    </row>
    <row r="256" spans="1:11">
      <c r="A256" s="4" t="s">
        <v>450</v>
      </c>
      <c r="B256" s="4" t="s">
        <v>10</v>
      </c>
      <c r="C256" s="4" t="s">
        <v>11</v>
      </c>
      <c r="D256" s="4" t="s">
        <v>12</v>
      </c>
      <c r="E256" s="4" t="s">
        <v>11</v>
      </c>
      <c r="F256" s="5">
        <v>74</v>
      </c>
      <c r="G256" s="4" t="s">
        <v>162</v>
      </c>
      <c r="H256" s="4">
        <v>2</v>
      </c>
      <c r="I256" s="4" t="s">
        <v>142</v>
      </c>
      <c r="J256" s="4">
        <v>2</v>
      </c>
      <c r="K256" s="4" t="s">
        <v>970</v>
      </c>
    </row>
    <row r="257" spans="1:11">
      <c r="A257" s="4" t="s">
        <v>451</v>
      </c>
      <c r="B257" s="4" t="s">
        <v>10</v>
      </c>
      <c r="C257" s="4" t="s">
        <v>11</v>
      </c>
      <c r="D257" s="4" t="s">
        <v>12</v>
      </c>
      <c r="E257" s="4" t="s">
        <v>11</v>
      </c>
      <c r="F257" s="5">
        <v>75</v>
      </c>
      <c r="G257" s="4" t="s">
        <v>164</v>
      </c>
      <c r="H257" s="4">
        <v>2</v>
      </c>
      <c r="I257" s="4" t="s">
        <v>142</v>
      </c>
      <c r="J257" s="4">
        <v>2</v>
      </c>
      <c r="K257" s="4" t="s">
        <v>970</v>
      </c>
    </row>
    <row r="258" spans="1:11">
      <c r="A258" s="4" t="s">
        <v>452</v>
      </c>
      <c r="B258" s="4" t="s">
        <v>10</v>
      </c>
      <c r="C258" s="4" t="s">
        <v>11</v>
      </c>
      <c r="D258" s="4" t="s">
        <v>12</v>
      </c>
      <c r="E258" s="4" t="s">
        <v>11</v>
      </c>
      <c r="F258" s="5">
        <v>76</v>
      </c>
      <c r="G258" s="4" t="s">
        <v>166</v>
      </c>
      <c r="H258" s="4">
        <v>3</v>
      </c>
      <c r="I258" s="4" t="s">
        <v>67</v>
      </c>
      <c r="J258" s="4">
        <v>2</v>
      </c>
      <c r="K258" s="4" t="s">
        <v>970</v>
      </c>
    </row>
    <row r="259" spans="1:11">
      <c r="A259" s="4" t="s">
        <v>453</v>
      </c>
      <c r="B259" s="4" t="s">
        <v>10</v>
      </c>
      <c r="C259" s="4" t="s">
        <v>11</v>
      </c>
      <c r="D259" s="4" t="s">
        <v>12</v>
      </c>
      <c r="E259" s="4" t="s">
        <v>11</v>
      </c>
      <c r="F259" s="5">
        <v>77</v>
      </c>
      <c r="G259" s="4" t="s">
        <v>168</v>
      </c>
      <c r="H259" s="4">
        <v>3</v>
      </c>
      <c r="I259" s="4" t="s">
        <v>67</v>
      </c>
      <c r="J259" s="4">
        <v>2</v>
      </c>
      <c r="K259" s="4" t="s">
        <v>970</v>
      </c>
    </row>
    <row r="260" spans="1:11">
      <c r="A260" s="4" t="s">
        <v>454</v>
      </c>
      <c r="B260" s="4" t="s">
        <v>10</v>
      </c>
      <c r="C260" s="4" t="s">
        <v>11</v>
      </c>
      <c r="D260" s="4" t="s">
        <v>12</v>
      </c>
      <c r="E260" s="4" t="s">
        <v>11</v>
      </c>
      <c r="F260" s="5">
        <v>78</v>
      </c>
      <c r="G260" s="4" t="s">
        <v>170</v>
      </c>
      <c r="H260" s="4">
        <v>3</v>
      </c>
      <c r="I260" s="4" t="s">
        <v>67</v>
      </c>
      <c r="J260" s="4">
        <v>2</v>
      </c>
      <c r="K260" s="4" t="s">
        <v>970</v>
      </c>
    </row>
    <row r="261" spans="1:11">
      <c r="A261" s="4" t="s">
        <v>455</v>
      </c>
      <c r="B261" s="4" t="s">
        <v>10</v>
      </c>
      <c r="C261" s="4" t="s">
        <v>11</v>
      </c>
      <c r="D261" s="4" t="s">
        <v>12</v>
      </c>
      <c r="E261" s="4" t="s">
        <v>11</v>
      </c>
      <c r="F261" s="5">
        <v>79</v>
      </c>
      <c r="G261" s="4" t="s">
        <v>172</v>
      </c>
      <c r="H261" s="4">
        <v>3</v>
      </c>
      <c r="I261" s="4" t="s">
        <v>67</v>
      </c>
      <c r="J261" s="4">
        <v>2</v>
      </c>
      <c r="K261" s="4" t="s">
        <v>970</v>
      </c>
    </row>
    <row r="262" spans="1:11">
      <c r="A262" s="4" t="s">
        <v>456</v>
      </c>
      <c r="B262" s="4" t="s">
        <v>10</v>
      </c>
      <c r="C262" s="4" t="s">
        <v>11</v>
      </c>
      <c r="D262" s="4" t="s">
        <v>12</v>
      </c>
      <c r="E262" s="4" t="s">
        <v>11</v>
      </c>
      <c r="F262" s="5">
        <v>80</v>
      </c>
      <c r="G262" s="4" t="s">
        <v>174</v>
      </c>
      <c r="H262" s="4">
        <v>3</v>
      </c>
      <c r="I262" s="4" t="s">
        <v>67</v>
      </c>
      <c r="J262" s="4">
        <v>2</v>
      </c>
      <c r="K262" s="4" t="s">
        <v>970</v>
      </c>
    </row>
    <row r="263" spans="1:11">
      <c r="A263" s="4" t="s">
        <v>457</v>
      </c>
      <c r="B263" s="4" t="s">
        <v>10</v>
      </c>
      <c r="C263" s="4" t="s">
        <v>11</v>
      </c>
      <c r="D263" s="4" t="s">
        <v>12</v>
      </c>
      <c r="E263" s="4" t="s">
        <v>11</v>
      </c>
      <c r="F263" s="5">
        <v>81</v>
      </c>
      <c r="G263" s="4" t="s">
        <v>176</v>
      </c>
      <c r="H263" s="4">
        <v>3</v>
      </c>
      <c r="I263" s="4" t="s">
        <v>67</v>
      </c>
      <c r="J263" s="4">
        <v>2</v>
      </c>
      <c r="K263" s="4" t="s">
        <v>970</v>
      </c>
    </row>
    <row r="264" spans="1:11">
      <c r="A264" s="4" t="s">
        <v>458</v>
      </c>
      <c r="B264" s="4" t="s">
        <v>10</v>
      </c>
      <c r="C264" s="4" t="s">
        <v>11</v>
      </c>
      <c r="D264" s="4" t="s">
        <v>12</v>
      </c>
      <c r="E264" s="4" t="s">
        <v>11</v>
      </c>
      <c r="F264" s="5">
        <v>82</v>
      </c>
      <c r="G264" s="4" t="s">
        <v>178</v>
      </c>
      <c r="H264" s="4">
        <v>2</v>
      </c>
      <c r="I264" s="4" t="s">
        <v>142</v>
      </c>
      <c r="J264" s="4">
        <v>2</v>
      </c>
      <c r="K264" s="4" t="s">
        <v>970</v>
      </c>
    </row>
    <row r="265" spans="1:11">
      <c r="A265" s="4" t="s">
        <v>459</v>
      </c>
      <c r="B265" s="4" t="s">
        <v>10</v>
      </c>
      <c r="C265" s="4" t="s">
        <v>11</v>
      </c>
      <c r="D265" s="4" t="s">
        <v>12</v>
      </c>
      <c r="E265" s="4" t="s">
        <v>11</v>
      </c>
      <c r="F265" s="5">
        <v>83</v>
      </c>
      <c r="G265" s="4" t="s">
        <v>180</v>
      </c>
      <c r="H265" s="4">
        <v>3</v>
      </c>
      <c r="I265" s="4" t="s">
        <v>67</v>
      </c>
      <c r="J265" s="4">
        <v>2</v>
      </c>
      <c r="K265" s="4" t="s">
        <v>970</v>
      </c>
    </row>
    <row r="266" spans="1:11">
      <c r="A266" s="4" t="s">
        <v>460</v>
      </c>
      <c r="B266" s="4" t="s">
        <v>10</v>
      </c>
      <c r="C266" s="4" t="s">
        <v>11</v>
      </c>
      <c r="D266" s="4" t="s">
        <v>12</v>
      </c>
      <c r="E266" s="4" t="s">
        <v>11</v>
      </c>
      <c r="F266" s="5">
        <v>84</v>
      </c>
      <c r="G266" s="4" t="s">
        <v>182</v>
      </c>
      <c r="H266" s="4">
        <v>3</v>
      </c>
      <c r="I266" s="4" t="s">
        <v>67</v>
      </c>
      <c r="J266" s="4">
        <v>2</v>
      </c>
      <c r="K266" s="4" t="s">
        <v>970</v>
      </c>
    </row>
    <row r="267" spans="1:11">
      <c r="A267" s="4" t="s">
        <v>461</v>
      </c>
      <c r="B267" s="4" t="s">
        <v>10</v>
      </c>
      <c r="C267" s="4" t="s">
        <v>11</v>
      </c>
      <c r="D267" s="4" t="s">
        <v>12</v>
      </c>
      <c r="E267" s="4" t="s">
        <v>11</v>
      </c>
      <c r="F267" s="5">
        <v>85</v>
      </c>
      <c r="G267" s="4" t="s">
        <v>184</v>
      </c>
      <c r="H267" s="4">
        <v>3</v>
      </c>
      <c r="I267" s="4" t="s">
        <v>67</v>
      </c>
      <c r="J267" s="4">
        <v>2</v>
      </c>
      <c r="K267" s="4" t="s">
        <v>970</v>
      </c>
    </row>
    <row r="268" spans="1:11">
      <c r="A268" s="4" t="s">
        <v>462</v>
      </c>
      <c r="B268" s="4" t="s">
        <v>10</v>
      </c>
      <c r="C268" s="4" t="s">
        <v>11</v>
      </c>
      <c r="D268" s="4" t="s">
        <v>12</v>
      </c>
      <c r="E268" s="4" t="s">
        <v>11</v>
      </c>
      <c r="F268" s="5">
        <v>86</v>
      </c>
      <c r="G268" s="4" t="s">
        <v>186</v>
      </c>
      <c r="H268" s="4">
        <v>2</v>
      </c>
      <c r="I268" s="4" t="s">
        <v>142</v>
      </c>
      <c r="J268" s="4">
        <v>2</v>
      </c>
      <c r="K268" s="4" t="s">
        <v>970</v>
      </c>
    </row>
    <row r="269" spans="1:11">
      <c r="A269" s="4" t="s">
        <v>463</v>
      </c>
      <c r="B269" s="4" t="s">
        <v>10</v>
      </c>
      <c r="C269" s="4" t="s">
        <v>11</v>
      </c>
      <c r="D269" s="4" t="s">
        <v>12</v>
      </c>
      <c r="E269" s="4" t="s">
        <v>11</v>
      </c>
      <c r="F269" s="5">
        <v>87</v>
      </c>
      <c r="G269" s="4" t="s">
        <v>188</v>
      </c>
      <c r="H269" s="4">
        <v>2</v>
      </c>
      <c r="I269" s="4" t="s">
        <v>142</v>
      </c>
      <c r="J269" s="4">
        <v>2</v>
      </c>
      <c r="K269" s="4" t="s">
        <v>970</v>
      </c>
    </row>
    <row r="270" spans="1:11">
      <c r="A270" s="4" t="s">
        <v>464</v>
      </c>
      <c r="B270" s="4" t="s">
        <v>10</v>
      </c>
      <c r="C270" s="4" t="s">
        <v>11</v>
      </c>
      <c r="D270" s="4" t="s">
        <v>12</v>
      </c>
      <c r="E270" s="4" t="s">
        <v>11</v>
      </c>
      <c r="F270" s="5">
        <v>88</v>
      </c>
      <c r="G270" s="4" t="s">
        <v>190</v>
      </c>
      <c r="H270" s="4">
        <v>3</v>
      </c>
      <c r="I270" s="4" t="s">
        <v>67</v>
      </c>
      <c r="J270" s="4">
        <v>2</v>
      </c>
      <c r="K270" s="4" t="s">
        <v>970</v>
      </c>
    </row>
    <row r="271" spans="1:11">
      <c r="A271" s="4" t="s">
        <v>465</v>
      </c>
      <c r="B271" s="4" t="s">
        <v>10</v>
      </c>
      <c r="C271" s="4" t="s">
        <v>11</v>
      </c>
      <c r="D271" s="4" t="s">
        <v>12</v>
      </c>
      <c r="E271" s="4" t="s">
        <v>11</v>
      </c>
      <c r="F271" s="5">
        <v>89</v>
      </c>
      <c r="G271" s="4" t="s">
        <v>192</v>
      </c>
      <c r="H271" s="4">
        <v>3</v>
      </c>
      <c r="I271" s="4" t="s">
        <v>67</v>
      </c>
      <c r="J271" s="4">
        <v>2</v>
      </c>
      <c r="K271" s="4" t="s">
        <v>970</v>
      </c>
    </row>
    <row r="272" spans="1:11">
      <c r="A272" s="4" t="s">
        <v>466</v>
      </c>
      <c r="B272" s="4" t="s">
        <v>10</v>
      </c>
      <c r="C272" s="4" t="s">
        <v>11</v>
      </c>
      <c r="D272" s="4" t="s">
        <v>12</v>
      </c>
      <c r="E272" s="4" t="s">
        <v>11</v>
      </c>
      <c r="F272" s="5">
        <v>90</v>
      </c>
      <c r="G272" s="4" t="s">
        <v>194</v>
      </c>
      <c r="H272" s="4">
        <v>3</v>
      </c>
      <c r="I272" s="4" t="s">
        <v>67</v>
      </c>
      <c r="J272" s="4">
        <v>2</v>
      </c>
      <c r="K272" s="4" t="s">
        <v>970</v>
      </c>
    </row>
    <row r="273" spans="1:11">
      <c r="A273" s="4" t="s">
        <v>467</v>
      </c>
      <c r="B273" s="4" t="s">
        <v>10</v>
      </c>
      <c r="C273" s="4" t="s">
        <v>11</v>
      </c>
      <c r="D273" s="4" t="s">
        <v>12</v>
      </c>
      <c r="E273" s="4" t="s">
        <v>11</v>
      </c>
      <c r="F273" s="5">
        <v>91</v>
      </c>
      <c r="G273" s="4" t="s">
        <v>196</v>
      </c>
      <c r="H273" s="4">
        <v>3</v>
      </c>
      <c r="I273" s="4" t="s">
        <v>67</v>
      </c>
      <c r="J273" s="4">
        <v>2</v>
      </c>
      <c r="K273" s="4" t="s">
        <v>970</v>
      </c>
    </row>
    <row r="274" spans="1:11">
      <c r="A274" s="4" t="s">
        <v>468</v>
      </c>
      <c r="B274" s="4" t="s">
        <v>10</v>
      </c>
      <c r="C274" s="4" t="s">
        <v>11</v>
      </c>
      <c r="D274" s="4" t="s">
        <v>12</v>
      </c>
      <c r="E274" s="4" t="s">
        <v>11</v>
      </c>
      <c r="F274" s="5">
        <v>92</v>
      </c>
      <c r="G274" s="4" t="s">
        <v>198</v>
      </c>
      <c r="H274" s="4">
        <v>3</v>
      </c>
      <c r="I274" s="4" t="s">
        <v>67</v>
      </c>
      <c r="J274" s="4">
        <v>2</v>
      </c>
      <c r="K274" s="4" t="s">
        <v>970</v>
      </c>
    </row>
    <row r="275" spans="1:11">
      <c r="A275" s="4" t="s">
        <v>469</v>
      </c>
      <c r="B275" s="4" t="s">
        <v>10</v>
      </c>
      <c r="C275" s="4" t="s">
        <v>11</v>
      </c>
      <c r="D275" s="4" t="s">
        <v>12</v>
      </c>
      <c r="E275" s="4" t="s">
        <v>11</v>
      </c>
      <c r="F275" s="5">
        <v>93</v>
      </c>
      <c r="G275" s="4" t="s">
        <v>200</v>
      </c>
      <c r="H275" s="4">
        <v>3</v>
      </c>
      <c r="I275" s="4" t="s">
        <v>67</v>
      </c>
      <c r="J275" s="4">
        <v>2</v>
      </c>
      <c r="K275" s="4" t="s">
        <v>970</v>
      </c>
    </row>
    <row r="276" spans="1:11">
      <c r="A276" s="4" t="s">
        <v>470</v>
      </c>
      <c r="B276" s="4" t="s">
        <v>10</v>
      </c>
      <c r="C276" s="4" t="s">
        <v>11</v>
      </c>
      <c r="D276" s="4" t="s">
        <v>12</v>
      </c>
      <c r="E276" s="4" t="s">
        <v>11</v>
      </c>
      <c r="F276" s="5">
        <v>94</v>
      </c>
      <c r="G276" s="4" t="s">
        <v>202</v>
      </c>
      <c r="H276" s="4">
        <v>3</v>
      </c>
      <c r="I276" s="4" t="s">
        <v>67</v>
      </c>
      <c r="J276" s="4">
        <v>2</v>
      </c>
      <c r="K276" s="4" t="s">
        <v>970</v>
      </c>
    </row>
    <row r="277" spans="1:11">
      <c r="A277" s="4" t="s">
        <v>471</v>
      </c>
      <c r="B277" s="4" t="s">
        <v>10</v>
      </c>
      <c r="C277" s="4" t="s">
        <v>11</v>
      </c>
      <c r="D277" s="4" t="s">
        <v>12</v>
      </c>
      <c r="E277" s="4" t="s">
        <v>11</v>
      </c>
      <c r="F277" s="5">
        <v>95</v>
      </c>
      <c r="G277" s="4" t="s">
        <v>204</v>
      </c>
      <c r="H277" s="4">
        <v>3</v>
      </c>
      <c r="I277" s="4" t="s">
        <v>67</v>
      </c>
      <c r="J277" s="4">
        <v>2</v>
      </c>
      <c r="K277" s="4" t="s">
        <v>970</v>
      </c>
    </row>
    <row r="278" spans="1:11">
      <c r="A278" s="4" t="s">
        <v>472</v>
      </c>
      <c r="B278" s="4" t="s">
        <v>10</v>
      </c>
      <c r="C278" s="4" t="s">
        <v>11</v>
      </c>
      <c r="D278" s="4" t="s">
        <v>12</v>
      </c>
      <c r="E278" s="4" t="s">
        <v>11</v>
      </c>
      <c r="F278" s="5">
        <v>96</v>
      </c>
      <c r="G278" s="4" t="s">
        <v>206</v>
      </c>
      <c r="H278" s="4">
        <v>3</v>
      </c>
      <c r="I278" s="4" t="s">
        <v>67</v>
      </c>
      <c r="J278" s="4">
        <v>2</v>
      </c>
      <c r="K278" s="4" t="s">
        <v>970</v>
      </c>
    </row>
    <row r="279" spans="1:11">
      <c r="A279" s="4" t="s">
        <v>473</v>
      </c>
      <c r="B279" s="4" t="s">
        <v>10</v>
      </c>
      <c r="C279" s="4" t="s">
        <v>11</v>
      </c>
      <c r="D279" s="4" t="s">
        <v>12</v>
      </c>
      <c r="E279" s="4" t="s">
        <v>11</v>
      </c>
      <c r="F279" s="5">
        <v>97</v>
      </c>
      <c r="G279" s="4" t="s">
        <v>208</v>
      </c>
      <c r="H279" s="4">
        <v>3</v>
      </c>
      <c r="I279" s="4" t="s">
        <v>67</v>
      </c>
      <c r="J279" s="4">
        <v>2</v>
      </c>
      <c r="K279" s="4" t="s">
        <v>970</v>
      </c>
    </row>
    <row r="280" spans="1:11">
      <c r="A280" s="4" t="s">
        <v>474</v>
      </c>
      <c r="B280" s="4" t="s">
        <v>10</v>
      </c>
      <c r="C280" s="4" t="s">
        <v>11</v>
      </c>
      <c r="D280" s="4" t="s">
        <v>12</v>
      </c>
      <c r="E280" s="4" t="s">
        <v>11</v>
      </c>
      <c r="F280" s="5">
        <v>98</v>
      </c>
      <c r="G280" s="4" t="s">
        <v>210</v>
      </c>
      <c r="H280" s="4">
        <v>3</v>
      </c>
      <c r="I280" s="4" t="s">
        <v>67</v>
      </c>
      <c r="J280" s="4">
        <v>2</v>
      </c>
      <c r="K280" s="4" t="s">
        <v>970</v>
      </c>
    </row>
    <row r="281" spans="1:11">
      <c r="A281" s="4" t="s">
        <v>475</v>
      </c>
      <c r="B281" s="4" t="s">
        <v>10</v>
      </c>
      <c r="C281" s="4" t="s">
        <v>11</v>
      </c>
      <c r="D281" s="4" t="s">
        <v>12</v>
      </c>
      <c r="E281" s="4" t="s">
        <v>11</v>
      </c>
      <c r="F281" s="5">
        <v>99</v>
      </c>
      <c r="G281" s="4" t="s">
        <v>212</v>
      </c>
      <c r="H281" s="4">
        <v>3</v>
      </c>
      <c r="I281" s="4" t="s">
        <v>67</v>
      </c>
      <c r="J281" s="4">
        <v>2</v>
      </c>
      <c r="K281" s="4" t="s">
        <v>970</v>
      </c>
    </row>
    <row r="282" spans="1:11">
      <c r="A282" s="4" t="s">
        <v>476</v>
      </c>
      <c r="B282" s="4" t="s">
        <v>10</v>
      </c>
      <c r="C282" s="4" t="s">
        <v>11</v>
      </c>
      <c r="D282" s="4" t="s">
        <v>12</v>
      </c>
      <c r="E282" s="4" t="s">
        <v>11</v>
      </c>
      <c r="F282" s="5">
        <v>100</v>
      </c>
      <c r="G282" s="4" t="s">
        <v>214</v>
      </c>
      <c r="H282" s="4">
        <v>3</v>
      </c>
      <c r="I282" s="4" t="s">
        <v>67</v>
      </c>
      <c r="J282" s="4">
        <v>2</v>
      </c>
      <c r="K282" s="4" t="s">
        <v>970</v>
      </c>
    </row>
    <row r="283" spans="1:11">
      <c r="A283" s="4" t="s">
        <v>477</v>
      </c>
      <c r="B283" s="4" t="s">
        <v>10</v>
      </c>
      <c r="C283" s="4" t="s">
        <v>11</v>
      </c>
      <c r="D283" s="4" t="s">
        <v>12</v>
      </c>
      <c r="E283" s="4" t="s">
        <v>11</v>
      </c>
      <c r="F283" s="5">
        <v>101</v>
      </c>
      <c r="G283" s="4" t="s">
        <v>216</v>
      </c>
      <c r="H283" s="4">
        <v>3</v>
      </c>
      <c r="I283" s="4" t="s">
        <v>67</v>
      </c>
      <c r="J283" s="4">
        <v>2</v>
      </c>
      <c r="K283" s="4" t="s">
        <v>970</v>
      </c>
    </row>
    <row r="284" spans="1:11">
      <c r="A284" s="4" t="s">
        <v>478</v>
      </c>
      <c r="B284" s="4" t="s">
        <v>10</v>
      </c>
      <c r="C284" s="4" t="s">
        <v>11</v>
      </c>
      <c r="D284" s="4" t="s">
        <v>12</v>
      </c>
      <c r="E284" s="4" t="s">
        <v>11</v>
      </c>
      <c r="F284" s="5">
        <v>102</v>
      </c>
      <c r="G284" s="4" t="s">
        <v>218</v>
      </c>
      <c r="H284" s="4">
        <v>3</v>
      </c>
      <c r="I284" s="4" t="s">
        <v>67</v>
      </c>
      <c r="J284" s="4">
        <v>2</v>
      </c>
      <c r="K284" s="4" t="s">
        <v>970</v>
      </c>
    </row>
    <row r="285" spans="1:11">
      <c r="A285" s="4" t="s">
        <v>479</v>
      </c>
      <c r="B285" s="4" t="s">
        <v>10</v>
      </c>
      <c r="C285" s="4" t="s">
        <v>11</v>
      </c>
      <c r="D285" s="4" t="s">
        <v>12</v>
      </c>
      <c r="E285" s="4" t="s">
        <v>11</v>
      </c>
      <c r="F285" s="5">
        <v>103</v>
      </c>
      <c r="G285" s="4" t="s">
        <v>220</v>
      </c>
      <c r="H285" s="4">
        <v>3</v>
      </c>
      <c r="I285" s="4" t="s">
        <v>67</v>
      </c>
      <c r="J285" s="4">
        <v>2</v>
      </c>
      <c r="K285" s="4" t="s">
        <v>970</v>
      </c>
    </row>
    <row r="286" spans="1:11">
      <c r="A286" s="4" t="s">
        <v>480</v>
      </c>
      <c r="B286" s="4" t="s">
        <v>10</v>
      </c>
      <c r="C286" s="4" t="s">
        <v>11</v>
      </c>
      <c r="D286" s="4" t="s">
        <v>12</v>
      </c>
      <c r="E286" s="4" t="s">
        <v>11</v>
      </c>
      <c r="F286" s="5">
        <v>104</v>
      </c>
      <c r="G286" s="4" t="s">
        <v>222</v>
      </c>
      <c r="H286" s="4">
        <v>3</v>
      </c>
      <c r="I286" s="4" t="s">
        <v>67</v>
      </c>
      <c r="J286" s="4">
        <v>2</v>
      </c>
      <c r="K286" s="4" t="s">
        <v>970</v>
      </c>
    </row>
    <row r="287" spans="1:11">
      <c r="A287" s="4" t="s">
        <v>481</v>
      </c>
      <c r="B287" s="4" t="s">
        <v>10</v>
      </c>
      <c r="C287" s="4" t="s">
        <v>11</v>
      </c>
      <c r="D287" s="4" t="s">
        <v>12</v>
      </c>
      <c r="E287" s="4" t="s">
        <v>11</v>
      </c>
      <c r="F287" s="5">
        <v>105</v>
      </c>
      <c r="G287" s="4" t="s">
        <v>224</v>
      </c>
      <c r="H287" s="4">
        <v>3</v>
      </c>
      <c r="I287" s="4" t="s">
        <v>67</v>
      </c>
      <c r="J287" s="4">
        <v>2</v>
      </c>
      <c r="K287" s="4" t="s">
        <v>970</v>
      </c>
    </row>
    <row r="288" spans="1:11">
      <c r="A288" s="4" t="s">
        <v>482</v>
      </c>
      <c r="B288" s="4" t="s">
        <v>10</v>
      </c>
      <c r="C288" s="4" t="s">
        <v>11</v>
      </c>
      <c r="D288" s="4" t="s">
        <v>12</v>
      </c>
      <c r="E288" s="4" t="s">
        <v>11</v>
      </c>
      <c r="F288" s="5">
        <v>106</v>
      </c>
      <c r="G288" s="4" t="s">
        <v>226</v>
      </c>
      <c r="H288" s="4">
        <v>3</v>
      </c>
      <c r="I288" s="4" t="s">
        <v>67</v>
      </c>
      <c r="J288" s="4">
        <v>2</v>
      </c>
      <c r="K288" s="4" t="s">
        <v>970</v>
      </c>
    </row>
    <row r="289" spans="1:11">
      <c r="A289" s="4" t="s">
        <v>483</v>
      </c>
      <c r="B289" s="4" t="s">
        <v>10</v>
      </c>
      <c r="C289" s="4" t="s">
        <v>11</v>
      </c>
      <c r="D289" s="4" t="s">
        <v>12</v>
      </c>
      <c r="E289" s="4" t="s">
        <v>11</v>
      </c>
      <c r="F289" s="5">
        <v>107</v>
      </c>
      <c r="G289" s="4" t="s">
        <v>228</v>
      </c>
      <c r="H289" s="4">
        <v>3</v>
      </c>
      <c r="I289" s="4" t="s">
        <v>67</v>
      </c>
      <c r="J289" s="4">
        <v>2</v>
      </c>
      <c r="K289" s="4" t="s">
        <v>970</v>
      </c>
    </row>
    <row r="290" spans="1:11">
      <c r="A290" s="4" t="s">
        <v>484</v>
      </c>
      <c r="B290" s="4" t="s">
        <v>10</v>
      </c>
      <c r="C290" s="4" t="s">
        <v>11</v>
      </c>
      <c r="D290" s="4" t="s">
        <v>12</v>
      </c>
      <c r="E290" s="4" t="s">
        <v>11</v>
      </c>
      <c r="F290" s="5">
        <v>108</v>
      </c>
      <c r="G290" s="4" t="s">
        <v>230</v>
      </c>
      <c r="H290" s="4">
        <v>3</v>
      </c>
      <c r="I290" s="4" t="s">
        <v>67</v>
      </c>
      <c r="J290" s="4">
        <v>2</v>
      </c>
      <c r="K290" s="4" t="s">
        <v>970</v>
      </c>
    </row>
    <row r="291" spans="1:11">
      <c r="A291" s="4" t="s">
        <v>485</v>
      </c>
      <c r="B291" s="4" t="s">
        <v>10</v>
      </c>
      <c r="C291" s="4" t="s">
        <v>11</v>
      </c>
      <c r="D291" s="4" t="s">
        <v>12</v>
      </c>
      <c r="E291" s="4" t="s">
        <v>11</v>
      </c>
      <c r="F291" s="5">
        <v>109</v>
      </c>
      <c r="G291" s="4" t="s">
        <v>232</v>
      </c>
      <c r="H291" s="4">
        <v>3</v>
      </c>
      <c r="I291" s="4" t="s">
        <v>67</v>
      </c>
      <c r="J291" s="4">
        <v>2</v>
      </c>
      <c r="K291" s="4" t="s">
        <v>970</v>
      </c>
    </row>
    <row r="292" spans="1:11">
      <c r="A292" s="4" t="s">
        <v>486</v>
      </c>
      <c r="B292" s="4" t="s">
        <v>10</v>
      </c>
      <c r="C292" s="4" t="s">
        <v>11</v>
      </c>
      <c r="D292" s="4" t="s">
        <v>12</v>
      </c>
      <c r="E292" s="4" t="s">
        <v>11</v>
      </c>
      <c r="F292" s="5">
        <v>110</v>
      </c>
      <c r="G292" s="4" t="s">
        <v>234</v>
      </c>
      <c r="H292" s="4">
        <v>3</v>
      </c>
      <c r="I292" s="4" t="s">
        <v>67</v>
      </c>
      <c r="J292" s="4">
        <v>2</v>
      </c>
      <c r="K292" s="4" t="s">
        <v>970</v>
      </c>
    </row>
    <row r="293" spans="1:11">
      <c r="A293" s="4" t="s">
        <v>487</v>
      </c>
      <c r="B293" s="4" t="s">
        <v>10</v>
      </c>
      <c r="C293" s="4" t="s">
        <v>11</v>
      </c>
      <c r="D293" s="4" t="s">
        <v>12</v>
      </c>
      <c r="E293" s="4" t="s">
        <v>11</v>
      </c>
      <c r="F293" s="5">
        <v>111</v>
      </c>
      <c r="G293" s="4" t="s">
        <v>236</v>
      </c>
      <c r="H293" s="4">
        <v>3</v>
      </c>
      <c r="I293" s="4" t="s">
        <v>67</v>
      </c>
      <c r="J293" s="4">
        <v>2</v>
      </c>
      <c r="K293" s="4" t="s">
        <v>970</v>
      </c>
    </row>
    <row r="294" spans="1:11">
      <c r="A294" s="4" t="s">
        <v>488</v>
      </c>
      <c r="B294" s="4" t="s">
        <v>10</v>
      </c>
      <c r="C294" s="4" t="s">
        <v>11</v>
      </c>
      <c r="D294" s="4" t="s">
        <v>12</v>
      </c>
      <c r="E294" s="4" t="s">
        <v>11</v>
      </c>
      <c r="F294" s="5">
        <v>112</v>
      </c>
      <c r="G294" s="4" t="s">
        <v>238</v>
      </c>
      <c r="H294" s="4">
        <v>3</v>
      </c>
      <c r="I294" s="4" t="s">
        <v>67</v>
      </c>
      <c r="J294" s="4">
        <v>2</v>
      </c>
      <c r="K294" s="4" t="s">
        <v>970</v>
      </c>
    </row>
    <row r="295" spans="1:11">
      <c r="A295" s="4" t="s">
        <v>489</v>
      </c>
      <c r="B295" s="4" t="s">
        <v>10</v>
      </c>
      <c r="C295" s="4" t="s">
        <v>11</v>
      </c>
      <c r="D295" s="4" t="s">
        <v>12</v>
      </c>
      <c r="E295" s="4" t="s">
        <v>11</v>
      </c>
      <c r="F295" s="5">
        <v>113</v>
      </c>
      <c r="G295" s="4" t="s">
        <v>240</v>
      </c>
      <c r="H295" s="4">
        <v>3</v>
      </c>
      <c r="I295" s="4" t="s">
        <v>67</v>
      </c>
      <c r="J295" s="4">
        <v>2</v>
      </c>
      <c r="K295" s="4" t="s">
        <v>970</v>
      </c>
    </row>
    <row r="296" spans="1:11">
      <c r="A296" s="4" t="s">
        <v>490</v>
      </c>
      <c r="B296" s="4" t="s">
        <v>10</v>
      </c>
      <c r="C296" s="4" t="s">
        <v>11</v>
      </c>
      <c r="D296" s="4" t="s">
        <v>12</v>
      </c>
      <c r="E296" s="4" t="s">
        <v>11</v>
      </c>
      <c r="F296" s="5">
        <v>114</v>
      </c>
      <c r="G296" s="4" t="s">
        <v>242</v>
      </c>
      <c r="H296" s="4">
        <v>3</v>
      </c>
      <c r="I296" s="4" t="s">
        <v>67</v>
      </c>
      <c r="J296" s="4">
        <v>2</v>
      </c>
      <c r="K296" s="4" t="s">
        <v>970</v>
      </c>
    </row>
    <row r="297" spans="1:11">
      <c r="A297" s="4" t="s">
        <v>491</v>
      </c>
      <c r="B297" s="4" t="s">
        <v>10</v>
      </c>
      <c r="C297" s="4" t="s">
        <v>11</v>
      </c>
      <c r="D297" s="4" t="s">
        <v>12</v>
      </c>
      <c r="E297" s="4" t="s">
        <v>11</v>
      </c>
      <c r="F297" s="5">
        <v>115</v>
      </c>
      <c r="G297" s="4" t="s">
        <v>244</v>
      </c>
      <c r="H297" s="4">
        <v>3</v>
      </c>
      <c r="I297" s="4" t="s">
        <v>67</v>
      </c>
      <c r="J297" s="4">
        <v>2</v>
      </c>
      <c r="K297" s="4" t="s">
        <v>970</v>
      </c>
    </row>
    <row r="298" spans="1:11">
      <c r="A298" s="4" t="s">
        <v>492</v>
      </c>
      <c r="B298" s="4" t="s">
        <v>10</v>
      </c>
      <c r="C298" s="4" t="s">
        <v>11</v>
      </c>
      <c r="D298" s="4" t="s">
        <v>12</v>
      </c>
      <c r="E298" s="4" t="s">
        <v>11</v>
      </c>
      <c r="F298" s="5">
        <v>116</v>
      </c>
      <c r="G298" s="4" t="s">
        <v>246</v>
      </c>
      <c r="H298" s="4">
        <v>3</v>
      </c>
      <c r="I298" s="4" t="s">
        <v>67</v>
      </c>
      <c r="J298" s="4">
        <v>2</v>
      </c>
      <c r="K298" s="4" t="s">
        <v>970</v>
      </c>
    </row>
    <row r="299" spans="1:11">
      <c r="A299" s="4" t="s">
        <v>493</v>
      </c>
      <c r="B299" s="4" t="s">
        <v>10</v>
      </c>
      <c r="C299" s="4" t="s">
        <v>11</v>
      </c>
      <c r="D299" s="4" t="s">
        <v>12</v>
      </c>
      <c r="E299" s="4" t="s">
        <v>11</v>
      </c>
      <c r="F299" s="5">
        <v>117</v>
      </c>
      <c r="G299" s="4" t="s">
        <v>248</v>
      </c>
      <c r="H299" s="4">
        <v>3</v>
      </c>
      <c r="I299" s="4" t="s">
        <v>67</v>
      </c>
      <c r="J299" s="4">
        <v>2</v>
      </c>
      <c r="K299" s="4" t="s">
        <v>970</v>
      </c>
    </row>
    <row r="300" spans="1:11">
      <c r="A300" s="4" t="s">
        <v>494</v>
      </c>
      <c r="B300" s="4" t="s">
        <v>10</v>
      </c>
      <c r="C300" s="4" t="s">
        <v>11</v>
      </c>
      <c r="D300" s="4" t="s">
        <v>12</v>
      </c>
      <c r="E300" s="4" t="s">
        <v>11</v>
      </c>
      <c r="F300" s="5">
        <v>118</v>
      </c>
      <c r="G300" s="4" t="s">
        <v>250</v>
      </c>
      <c r="H300" s="4">
        <v>3</v>
      </c>
      <c r="I300" s="4" t="s">
        <v>67</v>
      </c>
      <c r="J300" s="4">
        <v>2</v>
      </c>
      <c r="K300" s="4" t="s">
        <v>970</v>
      </c>
    </row>
    <row r="301" spans="1:11">
      <c r="A301" s="4" t="s">
        <v>495</v>
      </c>
      <c r="B301" s="4" t="s">
        <v>10</v>
      </c>
      <c r="C301" s="4" t="s">
        <v>11</v>
      </c>
      <c r="D301" s="4" t="s">
        <v>12</v>
      </c>
      <c r="E301" s="4" t="s">
        <v>11</v>
      </c>
      <c r="F301" s="5">
        <v>119</v>
      </c>
      <c r="G301" s="4" t="s">
        <v>252</v>
      </c>
      <c r="H301" s="4">
        <v>3</v>
      </c>
      <c r="I301" s="4" t="s">
        <v>67</v>
      </c>
      <c r="J301" s="4">
        <v>2</v>
      </c>
      <c r="K301" s="4" t="s">
        <v>970</v>
      </c>
    </row>
    <row r="302" spans="1:11">
      <c r="A302" s="4" t="s">
        <v>496</v>
      </c>
      <c r="B302" s="4" t="s">
        <v>10</v>
      </c>
      <c r="C302" s="4" t="s">
        <v>11</v>
      </c>
      <c r="D302" s="4" t="s">
        <v>12</v>
      </c>
      <c r="E302" s="4" t="s">
        <v>11</v>
      </c>
      <c r="F302" s="5">
        <v>120</v>
      </c>
      <c r="G302" s="4" t="s">
        <v>254</v>
      </c>
      <c r="H302" s="4">
        <v>3</v>
      </c>
      <c r="I302" s="4" t="s">
        <v>67</v>
      </c>
      <c r="J302" s="4">
        <v>2</v>
      </c>
      <c r="K302" s="4" t="s">
        <v>970</v>
      </c>
    </row>
    <row r="303" spans="1:11">
      <c r="A303" s="4" t="s">
        <v>497</v>
      </c>
      <c r="B303" s="4" t="s">
        <v>10</v>
      </c>
      <c r="C303" s="4" t="s">
        <v>11</v>
      </c>
      <c r="D303" s="4" t="s">
        <v>12</v>
      </c>
      <c r="E303" s="4" t="s">
        <v>11</v>
      </c>
      <c r="F303" s="5">
        <v>121</v>
      </c>
      <c r="G303" s="4" t="s">
        <v>256</v>
      </c>
      <c r="H303" s="4">
        <v>3</v>
      </c>
      <c r="I303" s="4" t="s">
        <v>67</v>
      </c>
      <c r="J303" s="4">
        <v>2</v>
      </c>
      <c r="K303" s="4" t="s">
        <v>970</v>
      </c>
    </row>
    <row r="304" spans="1:11">
      <c r="A304" s="4" t="s">
        <v>498</v>
      </c>
      <c r="B304" s="4" t="s">
        <v>10</v>
      </c>
      <c r="C304" s="4" t="s">
        <v>11</v>
      </c>
      <c r="D304" s="4" t="s">
        <v>12</v>
      </c>
      <c r="E304" s="4" t="s">
        <v>11</v>
      </c>
      <c r="F304" s="5">
        <v>122</v>
      </c>
      <c r="G304" s="4" t="s">
        <v>258</v>
      </c>
      <c r="H304" s="4">
        <v>3</v>
      </c>
      <c r="I304" s="4" t="s">
        <v>67</v>
      </c>
      <c r="J304" s="4">
        <v>2</v>
      </c>
      <c r="K304" s="4" t="s">
        <v>970</v>
      </c>
    </row>
    <row r="305" spans="1:11">
      <c r="A305" s="4" t="s">
        <v>499</v>
      </c>
      <c r="B305" s="4" t="s">
        <v>10</v>
      </c>
      <c r="C305" s="4" t="s">
        <v>11</v>
      </c>
      <c r="D305" s="4" t="s">
        <v>12</v>
      </c>
      <c r="E305" s="4" t="s">
        <v>11</v>
      </c>
      <c r="F305" s="5">
        <v>123</v>
      </c>
      <c r="G305" s="4" t="s">
        <v>260</v>
      </c>
      <c r="H305" s="4">
        <v>2</v>
      </c>
      <c r="I305" s="4" t="s">
        <v>142</v>
      </c>
      <c r="J305" s="4">
        <v>2</v>
      </c>
      <c r="K305" s="4" t="s">
        <v>970</v>
      </c>
    </row>
    <row r="306" spans="1:11">
      <c r="A306" s="4" t="s">
        <v>500</v>
      </c>
      <c r="B306" s="4" t="s">
        <v>10</v>
      </c>
      <c r="C306" s="4" t="s">
        <v>11</v>
      </c>
      <c r="D306" s="4" t="s">
        <v>12</v>
      </c>
      <c r="E306" s="4" t="s">
        <v>11</v>
      </c>
      <c r="F306" s="5">
        <v>124</v>
      </c>
      <c r="G306" s="4" t="s">
        <v>262</v>
      </c>
      <c r="H306" s="4">
        <v>2</v>
      </c>
      <c r="I306" s="4" t="s">
        <v>142</v>
      </c>
      <c r="J306" s="4">
        <v>2</v>
      </c>
      <c r="K306" s="4" t="s">
        <v>970</v>
      </c>
    </row>
    <row r="307" spans="1:11">
      <c r="A307" s="4" t="s">
        <v>501</v>
      </c>
      <c r="B307" s="4" t="s">
        <v>10</v>
      </c>
      <c r="C307" s="4" t="s">
        <v>11</v>
      </c>
      <c r="D307" s="4" t="s">
        <v>12</v>
      </c>
      <c r="E307" s="4" t="s">
        <v>11</v>
      </c>
      <c r="F307" s="5">
        <v>125</v>
      </c>
      <c r="G307" s="4" t="s">
        <v>264</v>
      </c>
      <c r="H307" s="4">
        <v>3</v>
      </c>
      <c r="I307" s="4" t="s">
        <v>67</v>
      </c>
      <c r="J307" s="4">
        <v>2</v>
      </c>
      <c r="K307" s="4" t="s">
        <v>970</v>
      </c>
    </row>
    <row r="308" spans="1:11">
      <c r="A308" s="4" t="s">
        <v>502</v>
      </c>
      <c r="B308" s="4" t="s">
        <v>10</v>
      </c>
      <c r="C308" s="4" t="s">
        <v>11</v>
      </c>
      <c r="D308" s="4" t="s">
        <v>12</v>
      </c>
      <c r="E308" s="4" t="s">
        <v>11</v>
      </c>
      <c r="F308" s="5">
        <v>126</v>
      </c>
      <c r="G308" s="4" t="s">
        <v>266</v>
      </c>
      <c r="H308" s="4">
        <v>3</v>
      </c>
      <c r="I308" s="4" t="s">
        <v>67</v>
      </c>
      <c r="J308" s="4">
        <v>2</v>
      </c>
      <c r="K308" s="4" t="s">
        <v>970</v>
      </c>
    </row>
    <row r="309" spans="1:11">
      <c r="A309" s="4" t="s">
        <v>503</v>
      </c>
      <c r="B309" s="4" t="s">
        <v>10</v>
      </c>
      <c r="C309" s="4" t="s">
        <v>11</v>
      </c>
      <c r="D309" s="4" t="s">
        <v>12</v>
      </c>
      <c r="E309" s="4" t="s">
        <v>11</v>
      </c>
      <c r="F309" s="5">
        <v>127</v>
      </c>
      <c r="G309" s="4" t="s">
        <v>268</v>
      </c>
      <c r="H309" s="4">
        <v>3</v>
      </c>
      <c r="I309" s="4" t="s">
        <v>67</v>
      </c>
      <c r="J309" s="4">
        <v>2</v>
      </c>
      <c r="K309" s="4" t="s">
        <v>970</v>
      </c>
    </row>
    <row r="310" spans="1:11">
      <c r="A310" s="4" t="s">
        <v>504</v>
      </c>
      <c r="B310" s="4" t="s">
        <v>10</v>
      </c>
      <c r="C310" s="4" t="s">
        <v>11</v>
      </c>
      <c r="D310" s="4" t="s">
        <v>12</v>
      </c>
      <c r="E310" s="4" t="s">
        <v>11</v>
      </c>
      <c r="F310" s="5">
        <v>128</v>
      </c>
      <c r="G310" s="4" t="s">
        <v>270</v>
      </c>
      <c r="H310" s="4">
        <v>3</v>
      </c>
      <c r="I310" s="4" t="s">
        <v>67</v>
      </c>
      <c r="J310" s="4">
        <v>2</v>
      </c>
      <c r="K310" s="4" t="s">
        <v>970</v>
      </c>
    </row>
    <row r="311" spans="1:11">
      <c r="A311" s="4" t="s">
        <v>505</v>
      </c>
      <c r="B311" s="4" t="s">
        <v>10</v>
      </c>
      <c r="C311" s="4" t="s">
        <v>11</v>
      </c>
      <c r="D311" s="4" t="s">
        <v>12</v>
      </c>
      <c r="E311" s="4" t="s">
        <v>11</v>
      </c>
      <c r="F311" s="5">
        <v>129</v>
      </c>
      <c r="G311" s="4" t="s">
        <v>272</v>
      </c>
      <c r="H311" s="4">
        <v>3</v>
      </c>
      <c r="I311" s="4" t="s">
        <v>67</v>
      </c>
      <c r="J311" s="4">
        <v>2</v>
      </c>
      <c r="K311" s="4" t="s">
        <v>970</v>
      </c>
    </row>
    <row r="312" spans="1:11">
      <c r="A312" s="4" t="s">
        <v>506</v>
      </c>
      <c r="B312" s="4" t="s">
        <v>10</v>
      </c>
      <c r="C312" s="4" t="s">
        <v>11</v>
      </c>
      <c r="D312" s="4" t="s">
        <v>12</v>
      </c>
      <c r="E312" s="4" t="s">
        <v>11</v>
      </c>
      <c r="F312" s="5">
        <v>130</v>
      </c>
      <c r="G312" s="4" t="s">
        <v>274</v>
      </c>
      <c r="H312" s="4">
        <v>3</v>
      </c>
      <c r="I312" s="4" t="s">
        <v>67</v>
      </c>
      <c r="J312" s="4">
        <v>2</v>
      </c>
      <c r="K312" s="4" t="s">
        <v>970</v>
      </c>
    </row>
    <row r="313" spans="1:11">
      <c r="A313" s="4" t="s">
        <v>507</v>
      </c>
      <c r="B313" s="4" t="s">
        <v>10</v>
      </c>
      <c r="C313" s="4" t="s">
        <v>11</v>
      </c>
      <c r="D313" s="4" t="s">
        <v>12</v>
      </c>
      <c r="E313" s="4" t="s">
        <v>11</v>
      </c>
      <c r="F313" s="5">
        <v>131</v>
      </c>
      <c r="G313" s="4" t="s">
        <v>276</v>
      </c>
      <c r="H313" s="4">
        <v>3</v>
      </c>
      <c r="I313" s="4" t="s">
        <v>67</v>
      </c>
      <c r="J313" s="4">
        <v>2</v>
      </c>
      <c r="K313" s="4" t="s">
        <v>970</v>
      </c>
    </row>
    <row r="314" spans="1:11">
      <c r="A314" s="4" t="s">
        <v>508</v>
      </c>
      <c r="B314" s="4" t="s">
        <v>10</v>
      </c>
      <c r="C314" s="4" t="s">
        <v>11</v>
      </c>
      <c r="D314" s="4" t="s">
        <v>12</v>
      </c>
      <c r="E314" s="4" t="s">
        <v>11</v>
      </c>
      <c r="F314" s="5">
        <v>132</v>
      </c>
      <c r="G314" s="4" t="s">
        <v>278</v>
      </c>
      <c r="H314" s="4">
        <v>3</v>
      </c>
      <c r="I314" s="4" t="s">
        <v>67</v>
      </c>
      <c r="J314" s="4">
        <v>2</v>
      </c>
      <c r="K314" s="4" t="s">
        <v>970</v>
      </c>
    </row>
    <row r="315" spans="1:11">
      <c r="A315" s="4" t="s">
        <v>509</v>
      </c>
      <c r="B315" s="4" t="s">
        <v>10</v>
      </c>
      <c r="C315" s="4" t="s">
        <v>11</v>
      </c>
      <c r="D315" s="4" t="s">
        <v>12</v>
      </c>
      <c r="E315" s="4" t="s">
        <v>11</v>
      </c>
      <c r="F315" s="5">
        <v>133</v>
      </c>
      <c r="G315" s="4" t="s">
        <v>280</v>
      </c>
      <c r="H315" s="4">
        <v>3</v>
      </c>
      <c r="I315" s="4" t="s">
        <v>67</v>
      </c>
      <c r="J315" s="4">
        <v>2</v>
      </c>
      <c r="K315" s="4" t="s">
        <v>970</v>
      </c>
    </row>
    <row r="316" spans="1:11">
      <c r="A316" s="4" t="s">
        <v>510</v>
      </c>
      <c r="B316" s="4" t="s">
        <v>10</v>
      </c>
      <c r="C316" s="4" t="s">
        <v>11</v>
      </c>
      <c r="D316" s="4" t="s">
        <v>12</v>
      </c>
      <c r="E316" s="4" t="s">
        <v>11</v>
      </c>
      <c r="F316" s="5">
        <v>134</v>
      </c>
      <c r="G316" s="4" t="s">
        <v>282</v>
      </c>
      <c r="H316" s="4">
        <v>3</v>
      </c>
      <c r="I316" s="4" t="s">
        <v>67</v>
      </c>
      <c r="J316" s="4">
        <v>2</v>
      </c>
      <c r="K316" s="4" t="s">
        <v>970</v>
      </c>
    </row>
    <row r="317" spans="1:11">
      <c r="A317" s="4" t="s">
        <v>511</v>
      </c>
      <c r="B317" s="4" t="s">
        <v>10</v>
      </c>
      <c r="C317" s="4" t="s">
        <v>11</v>
      </c>
      <c r="D317" s="4" t="s">
        <v>12</v>
      </c>
      <c r="E317" s="4" t="s">
        <v>11</v>
      </c>
      <c r="F317" s="5">
        <v>135</v>
      </c>
      <c r="G317" s="4" t="s">
        <v>284</v>
      </c>
      <c r="H317" s="4">
        <v>3</v>
      </c>
      <c r="I317" s="4" t="s">
        <v>67</v>
      </c>
      <c r="J317" s="4">
        <v>2</v>
      </c>
      <c r="K317" s="4" t="s">
        <v>970</v>
      </c>
    </row>
    <row r="318" spans="1:11">
      <c r="A318" s="4" t="s">
        <v>512</v>
      </c>
      <c r="B318" s="4" t="s">
        <v>10</v>
      </c>
      <c r="C318" s="4" t="s">
        <v>11</v>
      </c>
      <c r="D318" s="4" t="s">
        <v>12</v>
      </c>
      <c r="E318" s="4" t="s">
        <v>11</v>
      </c>
      <c r="F318" s="5">
        <v>136</v>
      </c>
      <c r="G318" s="4" t="s">
        <v>286</v>
      </c>
      <c r="H318" s="4">
        <v>3</v>
      </c>
      <c r="I318" s="4" t="s">
        <v>67</v>
      </c>
      <c r="J318" s="4">
        <v>2</v>
      </c>
      <c r="K318" s="4" t="s">
        <v>970</v>
      </c>
    </row>
    <row r="319" spans="1:11">
      <c r="A319" s="4" t="s">
        <v>513</v>
      </c>
      <c r="B319" s="4" t="s">
        <v>10</v>
      </c>
      <c r="C319" s="4" t="s">
        <v>11</v>
      </c>
      <c r="D319" s="4" t="s">
        <v>12</v>
      </c>
      <c r="E319" s="4" t="s">
        <v>11</v>
      </c>
      <c r="F319" s="5">
        <v>137</v>
      </c>
      <c r="G319" s="4" t="s">
        <v>288</v>
      </c>
      <c r="H319" s="4">
        <v>3</v>
      </c>
      <c r="I319" s="4" t="s">
        <v>67</v>
      </c>
      <c r="J319" s="4">
        <v>2</v>
      </c>
      <c r="K319" s="4" t="s">
        <v>970</v>
      </c>
    </row>
    <row r="320" spans="1:11">
      <c r="A320" s="4" t="s">
        <v>514</v>
      </c>
      <c r="B320" s="4" t="s">
        <v>10</v>
      </c>
      <c r="C320" s="4" t="s">
        <v>11</v>
      </c>
      <c r="D320" s="4" t="s">
        <v>12</v>
      </c>
      <c r="E320" s="4" t="s">
        <v>11</v>
      </c>
      <c r="F320" s="5">
        <v>138</v>
      </c>
      <c r="G320" s="4" t="s">
        <v>290</v>
      </c>
      <c r="H320" s="4">
        <v>2</v>
      </c>
      <c r="I320" s="4" t="s">
        <v>142</v>
      </c>
      <c r="J320" s="4">
        <v>2</v>
      </c>
      <c r="K320" s="4" t="s">
        <v>970</v>
      </c>
    </row>
    <row r="321" spans="1:11">
      <c r="A321" s="4" t="s">
        <v>515</v>
      </c>
      <c r="B321" s="4" t="s">
        <v>10</v>
      </c>
      <c r="C321" s="4" t="s">
        <v>11</v>
      </c>
      <c r="D321" s="4" t="s">
        <v>12</v>
      </c>
      <c r="E321" s="4" t="s">
        <v>11</v>
      </c>
      <c r="F321" s="5">
        <v>139</v>
      </c>
      <c r="G321" s="4" t="s">
        <v>292</v>
      </c>
      <c r="H321" s="4">
        <v>3</v>
      </c>
      <c r="I321" s="4" t="s">
        <v>67</v>
      </c>
      <c r="J321" s="4">
        <v>2</v>
      </c>
      <c r="K321" s="4" t="s">
        <v>970</v>
      </c>
    </row>
    <row r="322" spans="1:11">
      <c r="A322" s="4" t="s">
        <v>516</v>
      </c>
      <c r="B322" s="4" t="s">
        <v>10</v>
      </c>
      <c r="C322" s="4" t="s">
        <v>11</v>
      </c>
      <c r="D322" s="4" t="s">
        <v>12</v>
      </c>
      <c r="E322" s="4" t="s">
        <v>11</v>
      </c>
      <c r="F322" s="5">
        <v>140</v>
      </c>
      <c r="G322" s="4" t="s">
        <v>294</v>
      </c>
      <c r="H322" s="4">
        <v>3</v>
      </c>
      <c r="I322" s="4" t="s">
        <v>67</v>
      </c>
      <c r="J322" s="4">
        <v>2</v>
      </c>
      <c r="K322" s="4" t="s">
        <v>970</v>
      </c>
    </row>
    <row r="323" spans="1:11">
      <c r="A323" s="4" t="s">
        <v>517</v>
      </c>
      <c r="B323" s="4" t="s">
        <v>10</v>
      </c>
      <c r="C323" s="4" t="s">
        <v>11</v>
      </c>
      <c r="D323" s="4" t="s">
        <v>12</v>
      </c>
      <c r="E323" s="4" t="s">
        <v>11</v>
      </c>
      <c r="F323" s="5">
        <v>141</v>
      </c>
      <c r="G323" s="4" t="s">
        <v>296</v>
      </c>
      <c r="H323" s="4">
        <v>3</v>
      </c>
      <c r="I323" s="4" t="s">
        <v>67</v>
      </c>
      <c r="J323" s="4">
        <v>2</v>
      </c>
      <c r="K323" s="4" t="s">
        <v>970</v>
      </c>
    </row>
    <row r="324" spans="1:11">
      <c r="A324" s="4" t="s">
        <v>518</v>
      </c>
      <c r="B324" s="4" t="s">
        <v>10</v>
      </c>
      <c r="C324" s="4" t="s">
        <v>11</v>
      </c>
      <c r="D324" s="4" t="s">
        <v>12</v>
      </c>
      <c r="E324" s="4" t="s">
        <v>11</v>
      </c>
      <c r="F324" s="5">
        <v>142</v>
      </c>
      <c r="G324" s="4" t="s">
        <v>298</v>
      </c>
      <c r="H324" s="4">
        <v>3</v>
      </c>
      <c r="I324" s="4" t="s">
        <v>67</v>
      </c>
      <c r="J324" s="4">
        <v>2</v>
      </c>
      <c r="K324" s="4" t="s">
        <v>970</v>
      </c>
    </row>
    <row r="325" spans="1:11">
      <c r="A325" s="4" t="s">
        <v>519</v>
      </c>
      <c r="B325" s="4" t="s">
        <v>10</v>
      </c>
      <c r="C325" s="4" t="s">
        <v>11</v>
      </c>
      <c r="D325" s="4" t="s">
        <v>12</v>
      </c>
      <c r="E325" s="4" t="s">
        <v>11</v>
      </c>
      <c r="F325" s="5">
        <v>143</v>
      </c>
      <c r="G325" s="4" t="s">
        <v>300</v>
      </c>
      <c r="H325" s="4">
        <v>3</v>
      </c>
      <c r="I325" s="4" t="s">
        <v>67</v>
      </c>
      <c r="J325" s="4">
        <v>2</v>
      </c>
      <c r="K325" s="4" t="s">
        <v>970</v>
      </c>
    </row>
    <row r="326" spans="1:11">
      <c r="A326" s="4" t="s">
        <v>520</v>
      </c>
      <c r="B326" s="4" t="s">
        <v>10</v>
      </c>
      <c r="C326" s="4" t="s">
        <v>11</v>
      </c>
      <c r="D326" s="4" t="s">
        <v>12</v>
      </c>
      <c r="E326" s="4" t="s">
        <v>11</v>
      </c>
      <c r="F326" s="5">
        <v>144</v>
      </c>
      <c r="G326" s="4" t="s">
        <v>302</v>
      </c>
      <c r="H326" s="4">
        <v>3</v>
      </c>
      <c r="I326" s="4" t="s">
        <v>67</v>
      </c>
      <c r="J326" s="4">
        <v>2</v>
      </c>
      <c r="K326" s="4" t="s">
        <v>970</v>
      </c>
    </row>
    <row r="327" spans="1:11">
      <c r="A327" s="4" t="s">
        <v>521</v>
      </c>
      <c r="B327" s="4" t="s">
        <v>10</v>
      </c>
      <c r="C327" s="4" t="s">
        <v>11</v>
      </c>
      <c r="D327" s="4" t="s">
        <v>12</v>
      </c>
      <c r="E327" s="4" t="s">
        <v>11</v>
      </c>
      <c r="F327" s="5">
        <v>145</v>
      </c>
      <c r="G327" s="4" t="s">
        <v>304</v>
      </c>
      <c r="H327" s="4">
        <v>3</v>
      </c>
      <c r="I327" s="4" t="s">
        <v>67</v>
      </c>
      <c r="J327" s="4">
        <v>2</v>
      </c>
      <c r="K327" s="4" t="s">
        <v>970</v>
      </c>
    </row>
    <row r="328" spans="1:11">
      <c r="A328" s="4" t="s">
        <v>522</v>
      </c>
      <c r="B328" s="4" t="s">
        <v>10</v>
      </c>
      <c r="C328" s="4" t="s">
        <v>11</v>
      </c>
      <c r="D328" s="4" t="s">
        <v>12</v>
      </c>
      <c r="E328" s="4" t="s">
        <v>11</v>
      </c>
      <c r="F328" s="5">
        <v>146</v>
      </c>
      <c r="G328" s="4" t="s">
        <v>306</v>
      </c>
      <c r="H328" s="4">
        <v>3</v>
      </c>
      <c r="I328" s="4" t="s">
        <v>67</v>
      </c>
      <c r="J328" s="4">
        <v>2</v>
      </c>
      <c r="K328" s="4" t="s">
        <v>970</v>
      </c>
    </row>
    <row r="329" spans="1:11">
      <c r="A329" s="4" t="s">
        <v>523</v>
      </c>
      <c r="B329" s="4" t="s">
        <v>10</v>
      </c>
      <c r="C329" s="4" t="s">
        <v>11</v>
      </c>
      <c r="D329" s="4" t="s">
        <v>12</v>
      </c>
      <c r="E329" s="4" t="s">
        <v>11</v>
      </c>
      <c r="F329" s="5">
        <v>147</v>
      </c>
      <c r="G329" s="4" t="s">
        <v>308</v>
      </c>
      <c r="H329" s="4">
        <v>3</v>
      </c>
      <c r="I329" s="4" t="s">
        <v>67</v>
      </c>
      <c r="J329" s="4">
        <v>2</v>
      </c>
      <c r="K329" s="4" t="s">
        <v>970</v>
      </c>
    </row>
    <row r="330" spans="1:11">
      <c r="A330" s="4" t="s">
        <v>524</v>
      </c>
      <c r="B330" s="4" t="s">
        <v>10</v>
      </c>
      <c r="C330" s="4" t="s">
        <v>11</v>
      </c>
      <c r="D330" s="4" t="s">
        <v>12</v>
      </c>
      <c r="E330" s="4" t="s">
        <v>11</v>
      </c>
      <c r="F330" s="5">
        <v>148</v>
      </c>
      <c r="G330" s="4" t="s">
        <v>310</v>
      </c>
      <c r="H330" s="4">
        <v>3</v>
      </c>
      <c r="I330" s="4" t="s">
        <v>67</v>
      </c>
      <c r="J330" s="4">
        <v>2</v>
      </c>
      <c r="K330" s="4" t="s">
        <v>970</v>
      </c>
    </row>
    <row r="331" spans="1:11">
      <c r="A331" s="4" t="s">
        <v>525</v>
      </c>
      <c r="B331" s="4" t="s">
        <v>10</v>
      </c>
      <c r="C331" s="4" t="s">
        <v>11</v>
      </c>
      <c r="D331" s="4" t="s">
        <v>12</v>
      </c>
      <c r="E331" s="4" t="s">
        <v>11</v>
      </c>
      <c r="F331" s="5">
        <v>149</v>
      </c>
      <c r="G331" s="4" t="s">
        <v>312</v>
      </c>
      <c r="H331" s="4">
        <v>3</v>
      </c>
      <c r="I331" s="4" t="s">
        <v>67</v>
      </c>
      <c r="J331" s="4">
        <v>2</v>
      </c>
      <c r="K331" s="4" t="s">
        <v>970</v>
      </c>
    </row>
    <row r="332" spans="1:11">
      <c r="A332" s="4" t="s">
        <v>526</v>
      </c>
      <c r="B332" s="4" t="s">
        <v>10</v>
      </c>
      <c r="C332" s="4" t="s">
        <v>11</v>
      </c>
      <c r="D332" s="4" t="s">
        <v>12</v>
      </c>
      <c r="E332" s="4" t="s">
        <v>11</v>
      </c>
      <c r="F332" s="5">
        <v>150</v>
      </c>
      <c r="G332" s="4" t="s">
        <v>314</v>
      </c>
      <c r="H332" s="4">
        <v>3</v>
      </c>
      <c r="I332" s="4" t="s">
        <v>67</v>
      </c>
      <c r="J332" s="4">
        <v>2</v>
      </c>
      <c r="K332" s="4" t="s">
        <v>970</v>
      </c>
    </row>
    <row r="333" spans="1:11">
      <c r="A333" s="4" t="s">
        <v>527</v>
      </c>
      <c r="B333" s="4" t="s">
        <v>10</v>
      </c>
      <c r="C333" s="4" t="s">
        <v>11</v>
      </c>
      <c r="D333" s="4" t="s">
        <v>12</v>
      </c>
      <c r="E333" s="4" t="s">
        <v>11</v>
      </c>
      <c r="F333" s="5">
        <v>151</v>
      </c>
      <c r="G333" s="4" t="s">
        <v>316</v>
      </c>
      <c r="H333" s="4">
        <v>3</v>
      </c>
      <c r="I333" s="4" t="s">
        <v>67</v>
      </c>
      <c r="J333" s="4">
        <v>2</v>
      </c>
      <c r="K333" s="4" t="s">
        <v>970</v>
      </c>
    </row>
    <row r="334" spans="1:11">
      <c r="A334" s="4" t="s">
        <v>528</v>
      </c>
      <c r="B334" s="4" t="s">
        <v>10</v>
      </c>
      <c r="C334" s="4" t="s">
        <v>11</v>
      </c>
      <c r="D334" s="4" t="s">
        <v>12</v>
      </c>
      <c r="E334" s="4" t="s">
        <v>11</v>
      </c>
      <c r="F334" s="5">
        <v>152</v>
      </c>
      <c r="G334" s="4" t="s">
        <v>318</v>
      </c>
      <c r="H334" s="4">
        <v>3</v>
      </c>
      <c r="I334" s="4" t="s">
        <v>67</v>
      </c>
      <c r="J334" s="4">
        <v>2</v>
      </c>
      <c r="K334" s="4" t="s">
        <v>970</v>
      </c>
    </row>
    <row r="335" spans="1:11">
      <c r="A335" s="4" t="s">
        <v>529</v>
      </c>
      <c r="B335" s="4" t="s">
        <v>10</v>
      </c>
      <c r="C335" s="4" t="s">
        <v>11</v>
      </c>
      <c r="D335" s="4" t="s">
        <v>12</v>
      </c>
      <c r="E335" s="4" t="s">
        <v>11</v>
      </c>
      <c r="F335" s="5">
        <v>153</v>
      </c>
      <c r="G335" s="4" t="s">
        <v>320</v>
      </c>
      <c r="H335" s="4">
        <v>3</v>
      </c>
      <c r="I335" s="4" t="s">
        <v>67</v>
      </c>
      <c r="J335" s="4">
        <v>2</v>
      </c>
      <c r="K335" s="4" t="s">
        <v>970</v>
      </c>
    </row>
    <row r="336" spans="1:11">
      <c r="A336" s="4" t="s">
        <v>530</v>
      </c>
      <c r="B336" s="4" t="s">
        <v>10</v>
      </c>
      <c r="C336" s="4" t="s">
        <v>11</v>
      </c>
      <c r="D336" s="4" t="s">
        <v>12</v>
      </c>
      <c r="E336" s="4" t="s">
        <v>11</v>
      </c>
      <c r="F336" s="5">
        <v>154</v>
      </c>
      <c r="G336" s="4" t="s">
        <v>322</v>
      </c>
      <c r="H336" s="4">
        <v>3</v>
      </c>
      <c r="I336" s="4" t="s">
        <v>67</v>
      </c>
      <c r="J336" s="4">
        <v>2</v>
      </c>
      <c r="K336" s="4" t="s">
        <v>970</v>
      </c>
    </row>
    <row r="337" spans="1:11">
      <c r="A337" s="4" t="s">
        <v>531</v>
      </c>
      <c r="B337" s="4" t="s">
        <v>10</v>
      </c>
      <c r="C337" s="4" t="s">
        <v>11</v>
      </c>
      <c r="D337" s="4" t="s">
        <v>12</v>
      </c>
      <c r="E337" s="4" t="s">
        <v>11</v>
      </c>
      <c r="F337" s="5">
        <v>155</v>
      </c>
      <c r="G337" s="4" t="s">
        <v>324</v>
      </c>
      <c r="H337" s="4">
        <v>3</v>
      </c>
      <c r="I337" s="4" t="s">
        <v>67</v>
      </c>
      <c r="J337" s="4">
        <v>2</v>
      </c>
      <c r="K337" s="4" t="s">
        <v>970</v>
      </c>
    </row>
    <row r="338" spans="1:11">
      <c r="A338" s="4" t="s">
        <v>532</v>
      </c>
      <c r="B338" s="4" t="s">
        <v>10</v>
      </c>
      <c r="C338" s="4" t="s">
        <v>11</v>
      </c>
      <c r="D338" s="4" t="s">
        <v>12</v>
      </c>
      <c r="E338" s="4" t="s">
        <v>11</v>
      </c>
      <c r="F338" s="5">
        <v>156</v>
      </c>
      <c r="G338" s="4" t="s">
        <v>326</v>
      </c>
      <c r="H338" s="4">
        <v>3</v>
      </c>
      <c r="I338" s="4" t="s">
        <v>67</v>
      </c>
      <c r="J338" s="4">
        <v>2</v>
      </c>
      <c r="K338" s="4" t="s">
        <v>970</v>
      </c>
    </row>
    <row r="339" spans="1:11">
      <c r="A339" s="4" t="s">
        <v>533</v>
      </c>
      <c r="B339" s="4" t="s">
        <v>10</v>
      </c>
      <c r="C339" s="4" t="s">
        <v>11</v>
      </c>
      <c r="D339" s="4" t="s">
        <v>12</v>
      </c>
      <c r="E339" s="4" t="s">
        <v>11</v>
      </c>
      <c r="F339" s="5">
        <v>157</v>
      </c>
      <c r="G339" s="4" t="s">
        <v>328</v>
      </c>
      <c r="H339" s="4">
        <v>3</v>
      </c>
      <c r="I339" s="4" t="s">
        <v>67</v>
      </c>
      <c r="J339" s="4">
        <v>2</v>
      </c>
      <c r="K339" s="4" t="s">
        <v>970</v>
      </c>
    </row>
    <row r="340" spans="1:11">
      <c r="A340" s="4" t="s">
        <v>534</v>
      </c>
      <c r="B340" s="4" t="s">
        <v>10</v>
      </c>
      <c r="C340" s="4" t="s">
        <v>11</v>
      </c>
      <c r="D340" s="4" t="s">
        <v>12</v>
      </c>
      <c r="E340" s="4" t="s">
        <v>11</v>
      </c>
      <c r="F340" s="5">
        <v>158</v>
      </c>
      <c r="G340" s="4" t="s">
        <v>330</v>
      </c>
      <c r="H340" s="4">
        <v>3</v>
      </c>
      <c r="I340" s="4" t="s">
        <v>67</v>
      </c>
      <c r="J340" s="4">
        <v>2</v>
      </c>
      <c r="K340" s="4" t="s">
        <v>970</v>
      </c>
    </row>
    <row r="341" spans="1:11">
      <c r="A341" s="4" t="s">
        <v>535</v>
      </c>
      <c r="B341" s="4" t="s">
        <v>10</v>
      </c>
      <c r="C341" s="4" t="s">
        <v>11</v>
      </c>
      <c r="D341" s="4" t="s">
        <v>12</v>
      </c>
      <c r="E341" s="4" t="s">
        <v>11</v>
      </c>
      <c r="F341" s="5">
        <v>159</v>
      </c>
      <c r="G341" s="4" t="s">
        <v>332</v>
      </c>
      <c r="H341" s="4">
        <v>3</v>
      </c>
      <c r="I341" s="4" t="s">
        <v>67</v>
      </c>
      <c r="J341" s="4">
        <v>2</v>
      </c>
      <c r="K341" s="4" t="s">
        <v>970</v>
      </c>
    </row>
    <row r="342" spans="1:11">
      <c r="A342" s="4" t="s">
        <v>536</v>
      </c>
      <c r="B342" s="4" t="s">
        <v>10</v>
      </c>
      <c r="C342" s="4" t="s">
        <v>11</v>
      </c>
      <c r="D342" s="4" t="s">
        <v>12</v>
      </c>
      <c r="E342" s="4" t="s">
        <v>11</v>
      </c>
      <c r="F342" s="5">
        <v>160</v>
      </c>
      <c r="G342" s="4" t="s">
        <v>334</v>
      </c>
      <c r="H342" s="4">
        <v>3</v>
      </c>
      <c r="I342" s="4" t="s">
        <v>67</v>
      </c>
      <c r="J342" s="4">
        <v>2</v>
      </c>
      <c r="K342" s="4" t="s">
        <v>970</v>
      </c>
    </row>
    <row r="343" spans="1:11">
      <c r="A343" s="4" t="s">
        <v>537</v>
      </c>
      <c r="B343" s="4" t="s">
        <v>10</v>
      </c>
      <c r="C343" s="4" t="s">
        <v>11</v>
      </c>
      <c r="D343" s="4" t="s">
        <v>12</v>
      </c>
      <c r="E343" s="4" t="s">
        <v>11</v>
      </c>
      <c r="F343" s="5">
        <v>161</v>
      </c>
      <c r="G343" s="4" t="s">
        <v>336</v>
      </c>
      <c r="H343" s="4">
        <v>3</v>
      </c>
      <c r="I343" s="4" t="s">
        <v>67</v>
      </c>
      <c r="J343" s="4">
        <v>2</v>
      </c>
      <c r="K343" s="4" t="s">
        <v>970</v>
      </c>
    </row>
    <row r="344" spans="1:11">
      <c r="A344" s="4" t="s">
        <v>538</v>
      </c>
      <c r="B344" s="4" t="s">
        <v>10</v>
      </c>
      <c r="C344" s="4" t="s">
        <v>11</v>
      </c>
      <c r="D344" s="4" t="s">
        <v>12</v>
      </c>
      <c r="E344" s="4" t="s">
        <v>11</v>
      </c>
      <c r="F344" s="5">
        <v>162</v>
      </c>
      <c r="G344" s="4" t="s">
        <v>338</v>
      </c>
      <c r="H344" s="4">
        <v>3</v>
      </c>
      <c r="I344" s="4" t="s">
        <v>67</v>
      </c>
      <c r="J344" s="4">
        <v>2</v>
      </c>
      <c r="K344" s="4" t="s">
        <v>970</v>
      </c>
    </row>
    <row r="345" spans="1:11">
      <c r="A345" s="4" t="s">
        <v>539</v>
      </c>
      <c r="B345" s="4" t="s">
        <v>10</v>
      </c>
      <c r="C345" s="4" t="s">
        <v>11</v>
      </c>
      <c r="D345" s="4" t="s">
        <v>12</v>
      </c>
      <c r="E345" s="4" t="s">
        <v>11</v>
      </c>
      <c r="F345" s="5">
        <v>163</v>
      </c>
      <c r="G345" s="4" t="s">
        <v>340</v>
      </c>
      <c r="H345" s="4">
        <v>3</v>
      </c>
      <c r="I345" s="4" t="s">
        <v>67</v>
      </c>
      <c r="J345" s="4">
        <v>2</v>
      </c>
      <c r="K345" s="4" t="s">
        <v>970</v>
      </c>
    </row>
    <row r="346" spans="1:11">
      <c r="A346" s="4" t="s">
        <v>540</v>
      </c>
      <c r="B346" s="4" t="s">
        <v>10</v>
      </c>
      <c r="C346" s="4" t="s">
        <v>11</v>
      </c>
      <c r="D346" s="4" t="s">
        <v>12</v>
      </c>
      <c r="E346" s="4" t="s">
        <v>11</v>
      </c>
      <c r="F346" s="5">
        <v>164</v>
      </c>
      <c r="G346" s="4" t="s">
        <v>342</v>
      </c>
      <c r="H346" s="4">
        <v>3</v>
      </c>
      <c r="I346" s="4" t="s">
        <v>67</v>
      </c>
      <c r="J346" s="4">
        <v>2</v>
      </c>
      <c r="K346" s="4" t="s">
        <v>970</v>
      </c>
    </row>
    <row r="347" spans="1:11">
      <c r="A347" s="4" t="s">
        <v>541</v>
      </c>
      <c r="B347" s="4" t="s">
        <v>10</v>
      </c>
      <c r="C347" s="4" t="s">
        <v>11</v>
      </c>
      <c r="D347" s="4" t="s">
        <v>12</v>
      </c>
      <c r="E347" s="4" t="s">
        <v>11</v>
      </c>
      <c r="F347" s="5">
        <v>165</v>
      </c>
      <c r="G347" s="4" t="s">
        <v>344</v>
      </c>
      <c r="H347" s="4">
        <v>3</v>
      </c>
      <c r="I347" s="4" t="s">
        <v>67</v>
      </c>
      <c r="J347" s="4">
        <v>2</v>
      </c>
      <c r="K347" s="4" t="s">
        <v>970</v>
      </c>
    </row>
    <row r="348" spans="1:11">
      <c r="A348" s="4" t="s">
        <v>542</v>
      </c>
      <c r="B348" s="4" t="s">
        <v>10</v>
      </c>
      <c r="C348" s="4" t="s">
        <v>11</v>
      </c>
      <c r="D348" s="4" t="s">
        <v>12</v>
      </c>
      <c r="E348" s="4" t="s">
        <v>11</v>
      </c>
      <c r="F348" s="5">
        <v>166</v>
      </c>
      <c r="G348" s="4" t="s">
        <v>346</v>
      </c>
      <c r="H348" s="4">
        <v>3</v>
      </c>
      <c r="I348" s="4" t="s">
        <v>67</v>
      </c>
      <c r="J348" s="4">
        <v>2</v>
      </c>
      <c r="K348" s="4" t="s">
        <v>970</v>
      </c>
    </row>
    <row r="349" spans="1:11">
      <c r="A349" s="4" t="s">
        <v>543</v>
      </c>
      <c r="B349" s="4" t="s">
        <v>10</v>
      </c>
      <c r="C349" s="4" t="s">
        <v>11</v>
      </c>
      <c r="D349" s="4" t="s">
        <v>12</v>
      </c>
      <c r="E349" s="4" t="s">
        <v>11</v>
      </c>
      <c r="F349" s="5">
        <v>167</v>
      </c>
      <c r="G349" s="4" t="s">
        <v>348</v>
      </c>
      <c r="H349" s="4">
        <v>2</v>
      </c>
      <c r="I349" s="4" t="s">
        <v>142</v>
      </c>
      <c r="J349" s="4">
        <v>2</v>
      </c>
      <c r="K349" s="4" t="s">
        <v>970</v>
      </c>
    </row>
    <row r="350" spans="1:11">
      <c r="A350" s="4" t="s">
        <v>544</v>
      </c>
      <c r="B350" s="4" t="s">
        <v>10</v>
      </c>
      <c r="C350" s="4" t="s">
        <v>11</v>
      </c>
      <c r="D350" s="4" t="s">
        <v>12</v>
      </c>
      <c r="E350" s="4" t="s">
        <v>11</v>
      </c>
      <c r="F350" s="5">
        <v>168</v>
      </c>
      <c r="G350" s="4" t="s">
        <v>350</v>
      </c>
      <c r="H350" s="4">
        <v>3</v>
      </c>
      <c r="I350" s="4" t="s">
        <v>67</v>
      </c>
      <c r="J350" s="4">
        <v>2</v>
      </c>
      <c r="K350" s="4" t="s">
        <v>970</v>
      </c>
    </row>
    <row r="351" spans="1:11">
      <c r="A351" s="4" t="s">
        <v>545</v>
      </c>
      <c r="B351" s="4" t="s">
        <v>10</v>
      </c>
      <c r="C351" s="4" t="s">
        <v>11</v>
      </c>
      <c r="D351" s="4" t="s">
        <v>12</v>
      </c>
      <c r="E351" s="4" t="s">
        <v>11</v>
      </c>
      <c r="F351" s="5">
        <v>169</v>
      </c>
      <c r="G351" s="4" t="s">
        <v>352</v>
      </c>
      <c r="H351" s="4">
        <v>3</v>
      </c>
      <c r="I351" s="4" t="s">
        <v>67</v>
      </c>
      <c r="J351" s="4">
        <v>2</v>
      </c>
      <c r="K351" s="4" t="s">
        <v>970</v>
      </c>
    </row>
    <row r="352" spans="1:11">
      <c r="A352" s="4" t="s">
        <v>546</v>
      </c>
      <c r="B352" s="4" t="s">
        <v>10</v>
      </c>
      <c r="C352" s="4" t="s">
        <v>11</v>
      </c>
      <c r="D352" s="4" t="s">
        <v>12</v>
      </c>
      <c r="E352" s="4" t="s">
        <v>11</v>
      </c>
      <c r="F352" s="5">
        <v>170</v>
      </c>
      <c r="G352" s="4" t="s">
        <v>354</v>
      </c>
      <c r="H352" s="4">
        <v>3</v>
      </c>
      <c r="I352" s="4" t="s">
        <v>67</v>
      </c>
      <c r="J352" s="4">
        <v>2</v>
      </c>
      <c r="K352" s="4" t="s">
        <v>970</v>
      </c>
    </row>
    <row r="353" spans="1:11">
      <c r="A353" s="4" t="s">
        <v>547</v>
      </c>
      <c r="B353" s="4" t="s">
        <v>10</v>
      </c>
      <c r="C353" s="4" t="s">
        <v>11</v>
      </c>
      <c r="D353" s="4" t="s">
        <v>12</v>
      </c>
      <c r="E353" s="4" t="s">
        <v>11</v>
      </c>
      <c r="F353" s="5">
        <v>171</v>
      </c>
      <c r="G353" s="4" t="s">
        <v>356</v>
      </c>
      <c r="H353" s="4">
        <v>3</v>
      </c>
      <c r="I353" s="4" t="s">
        <v>67</v>
      </c>
      <c r="J353" s="4">
        <v>2</v>
      </c>
      <c r="K353" s="4" t="s">
        <v>970</v>
      </c>
    </row>
    <row r="354" spans="1:11">
      <c r="A354" s="4" t="s">
        <v>548</v>
      </c>
      <c r="B354" s="4" t="s">
        <v>10</v>
      </c>
      <c r="C354" s="4" t="s">
        <v>11</v>
      </c>
      <c r="D354" s="4" t="s">
        <v>12</v>
      </c>
      <c r="E354" s="4" t="s">
        <v>11</v>
      </c>
      <c r="F354" s="5">
        <v>172</v>
      </c>
      <c r="G354" s="4" t="s">
        <v>358</v>
      </c>
      <c r="H354" s="4">
        <v>3</v>
      </c>
      <c r="I354" s="4" t="s">
        <v>67</v>
      </c>
      <c r="J354" s="4">
        <v>2</v>
      </c>
      <c r="K354" s="4" t="s">
        <v>970</v>
      </c>
    </row>
    <row r="355" spans="1:11">
      <c r="A355" s="4" t="s">
        <v>549</v>
      </c>
      <c r="B355" s="4" t="s">
        <v>10</v>
      </c>
      <c r="C355" s="4" t="s">
        <v>11</v>
      </c>
      <c r="D355" s="4" t="s">
        <v>12</v>
      </c>
      <c r="E355" s="4" t="s">
        <v>11</v>
      </c>
      <c r="F355" s="5">
        <v>173</v>
      </c>
      <c r="G355" s="4" t="s">
        <v>360</v>
      </c>
      <c r="H355" s="4">
        <v>3</v>
      </c>
      <c r="I355" s="4" t="s">
        <v>67</v>
      </c>
      <c r="J355" s="4">
        <v>2</v>
      </c>
      <c r="K355" s="4" t="s">
        <v>970</v>
      </c>
    </row>
    <row r="356" spans="1:11">
      <c r="A356" s="4" t="s">
        <v>550</v>
      </c>
      <c r="B356" s="4" t="s">
        <v>10</v>
      </c>
      <c r="C356" s="4" t="s">
        <v>11</v>
      </c>
      <c r="D356" s="4" t="s">
        <v>12</v>
      </c>
      <c r="E356" s="4" t="s">
        <v>11</v>
      </c>
      <c r="F356" s="5">
        <v>174</v>
      </c>
      <c r="G356" s="4" t="s">
        <v>362</v>
      </c>
      <c r="H356" s="4">
        <v>3</v>
      </c>
      <c r="I356" s="4" t="s">
        <v>67</v>
      </c>
      <c r="J356" s="4">
        <v>2</v>
      </c>
      <c r="K356" s="4" t="s">
        <v>970</v>
      </c>
    </row>
    <row r="357" spans="1:11">
      <c r="A357" s="4" t="s">
        <v>551</v>
      </c>
      <c r="B357" s="4" t="s">
        <v>10</v>
      </c>
      <c r="C357" s="4" t="s">
        <v>11</v>
      </c>
      <c r="D357" s="4" t="s">
        <v>12</v>
      </c>
      <c r="E357" s="4" t="s">
        <v>11</v>
      </c>
      <c r="F357" s="5">
        <v>175</v>
      </c>
      <c r="G357" s="4" t="s">
        <v>364</v>
      </c>
      <c r="H357" s="4">
        <v>3</v>
      </c>
      <c r="I357" s="4" t="s">
        <v>67</v>
      </c>
      <c r="J357" s="4">
        <v>2</v>
      </c>
      <c r="K357" s="4" t="s">
        <v>970</v>
      </c>
    </row>
    <row r="358" spans="1:11">
      <c r="A358" s="4" t="s">
        <v>552</v>
      </c>
      <c r="B358" s="4" t="s">
        <v>10</v>
      </c>
      <c r="C358" s="4" t="s">
        <v>11</v>
      </c>
      <c r="D358" s="4" t="s">
        <v>12</v>
      </c>
      <c r="E358" s="4" t="s">
        <v>11</v>
      </c>
      <c r="F358" s="5">
        <v>176</v>
      </c>
      <c r="G358" s="4" t="s">
        <v>366</v>
      </c>
      <c r="H358" s="4">
        <v>3</v>
      </c>
      <c r="I358" s="4" t="s">
        <v>67</v>
      </c>
      <c r="J358" s="4">
        <v>2</v>
      </c>
      <c r="K358" s="4" t="s">
        <v>970</v>
      </c>
    </row>
    <row r="359" spans="1:11">
      <c r="A359" s="4" t="s">
        <v>553</v>
      </c>
      <c r="B359" s="4" t="s">
        <v>10</v>
      </c>
      <c r="C359" s="4" t="s">
        <v>11</v>
      </c>
      <c r="D359" s="4" t="s">
        <v>12</v>
      </c>
      <c r="E359" s="4" t="s">
        <v>11</v>
      </c>
      <c r="F359" s="5">
        <v>177</v>
      </c>
      <c r="G359" s="4" t="s">
        <v>368</v>
      </c>
      <c r="H359" s="4">
        <v>3</v>
      </c>
      <c r="I359" s="4" t="s">
        <v>67</v>
      </c>
      <c r="J359" s="4">
        <v>2</v>
      </c>
      <c r="K359" s="4" t="s">
        <v>970</v>
      </c>
    </row>
    <row r="360" spans="1:11">
      <c r="A360" s="4" t="s">
        <v>554</v>
      </c>
      <c r="B360" s="4" t="s">
        <v>10</v>
      </c>
      <c r="C360" s="4" t="s">
        <v>11</v>
      </c>
      <c r="D360" s="4" t="s">
        <v>12</v>
      </c>
      <c r="E360" s="4" t="s">
        <v>11</v>
      </c>
      <c r="F360" s="5">
        <v>178</v>
      </c>
      <c r="G360" s="4" t="s">
        <v>370</v>
      </c>
      <c r="H360" s="4">
        <v>3</v>
      </c>
      <c r="I360" s="4" t="s">
        <v>67</v>
      </c>
      <c r="J360" s="4">
        <v>2</v>
      </c>
      <c r="K360" s="4" t="s">
        <v>970</v>
      </c>
    </row>
    <row r="361" spans="1:11">
      <c r="A361" s="4" t="s">
        <v>555</v>
      </c>
      <c r="B361" s="4" t="s">
        <v>10</v>
      </c>
      <c r="C361" s="4" t="s">
        <v>11</v>
      </c>
      <c r="D361" s="4" t="s">
        <v>12</v>
      </c>
      <c r="E361" s="4" t="s">
        <v>11</v>
      </c>
      <c r="F361" s="5">
        <v>179</v>
      </c>
      <c r="G361" s="4" t="s">
        <v>372</v>
      </c>
      <c r="H361" s="4">
        <v>3</v>
      </c>
      <c r="I361" s="4" t="s">
        <v>67</v>
      </c>
      <c r="J361" s="4">
        <v>2</v>
      </c>
      <c r="K361" s="4" t="s">
        <v>970</v>
      </c>
    </row>
    <row r="362" spans="1:11">
      <c r="A362" s="4" t="s">
        <v>556</v>
      </c>
      <c r="B362" s="4" t="s">
        <v>10</v>
      </c>
      <c r="C362" s="4" t="s">
        <v>11</v>
      </c>
      <c r="D362" s="4" t="s">
        <v>12</v>
      </c>
      <c r="E362" s="4" t="s">
        <v>11</v>
      </c>
      <c r="F362" s="5">
        <v>180</v>
      </c>
      <c r="G362" s="4" t="s">
        <v>374</v>
      </c>
      <c r="H362" s="4">
        <v>3</v>
      </c>
      <c r="I362" s="4" t="s">
        <v>67</v>
      </c>
      <c r="J362" s="4">
        <v>2</v>
      </c>
      <c r="K362" s="4" t="s">
        <v>970</v>
      </c>
    </row>
    <row r="363" spans="1:11">
      <c r="A363" s="4" t="s">
        <v>557</v>
      </c>
      <c r="B363" s="4" t="s">
        <v>10</v>
      </c>
      <c r="C363" s="4" t="s">
        <v>11</v>
      </c>
      <c r="D363" s="4" t="s">
        <v>12</v>
      </c>
      <c r="E363" s="4" t="s">
        <v>11</v>
      </c>
      <c r="F363" s="5">
        <v>181</v>
      </c>
      <c r="G363" s="4" t="s">
        <v>376</v>
      </c>
      <c r="H363" s="4">
        <v>3</v>
      </c>
      <c r="I363" s="4" t="s">
        <v>67</v>
      </c>
      <c r="J363" s="4">
        <v>2</v>
      </c>
      <c r="K363" s="4" t="s">
        <v>970</v>
      </c>
    </row>
    <row r="364" spans="1:11">
      <c r="A364" s="2" t="s">
        <v>558</v>
      </c>
      <c r="B364" s="2" t="s">
        <v>559</v>
      </c>
      <c r="C364" s="2" t="s">
        <v>560</v>
      </c>
      <c r="D364" s="2" t="s">
        <v>561</v>
      </c>
      <c r="E364" s="2" t="s">
        <v>560</v>
      </c>
      <c r="F364" s="3">
        <v>1</v>
      </c>
      <c r="G364" s="2" t="s">
        <v>13</v>
      </c>
      <c r="H364" s="2">
        <v>1</v>
      </c>
      <c r="I364" s="2" t="s">
        <v>14</v>
      </c>
      <c r="J364" s="2">
        <v>2</v>
      </c>
      <c r="K364" s="2" t="s">
        <v>970</v>
      </c>
    </row>
    <row r="365" spans="1:11">
      <c r="A365" s="2" t="s">
        <v>562</v>
      </c>
      <c r="B365" s="2" t="s">
        <v>559</v>
      </c>
      <c r="C365" s="2" t="s">
        <v>560</v>
      </c>
      <c r="D365" s="2" t="s">
        <v>561</v>
      </c>
      <c r="E365" s="2" t="s">
        <v>560</v>
      </c>
      <c r="F365" s="3">
        <v>2</v>
      </c>
      <c r="G365" s="2" t="s">
        <v>16</v>
      </c>
      <c r="H365" s="2">
        <v>1</v>
      </c>
      <c r="I365" s="2" t="s">
        <v>14</v>
      </c>
      <c r="J365" s="2">
        <v>2</v>
      </c>
      <c r="K365" s="2" t="s">
        <v>970</v>
      </c>
    </row>
    <row r="366" spans="1:11">
      <c r="A366" s="2" t="s">
        <v>563</v>
      </c>
      <c r="B366" s="2" t="s">
        <v>559</v>
      </c>
      <c r="C366" s="2" t="s">
        <v>560</v>
      </c>
      <c r="D366" s="2" t="s">
        <v>561</v>
      </c>
      <c r="E366" s="2" t="s">
        <v>560</v>
      </c>
      <c r="F366" s="3">
        <v>3</v>
      </c>
      <c r="G366" s="2" t="s">
        <v>18</v>
      </c>
      <c r="H366" s="2">
        <v>1</v>
      </c>
      <c r="I366" s="2" t="s">
        <v>14</v>
      </c>
      <c r="J366" s="2">
        <v>2</v>
      </c>
      <c r="K366" s="2" t="s">
        <v>970</v>
      </c>
    </row>
    <row r="367" spans="1:11">
      <c r="A367" s="2" t="s">
        <v>564</v>
      </c>
      <c r="B367" s="2" t="s">
        <v>559</v>
      </c>
      <c r="C367" s="2" t="s">
        <v>560</v>
      </c>
      <c r="D367" s="2" t="s">
        <v>561</v>
      </c>
      <c r="E367" s="2" t="s">
        <v>560</v>
      </c>
      <c r="F367" s="3">
        <v>4</v>
      </c>
      <c r="G367" s="2" t="s">
        <v>20</v>
      </c>
      <c r="H367" s="2">
        <v>1</v>
      </c>
      <c r="I367" s="2" t="s">
        <v>14</v>
      </c>
      <c r="J367" s="2">
        <v>2</v>
      </c>
      <c r="K367" s="2" t="s">
        <v>970</v>
      </c>
    </row>
    <row r="368" spans="1:11">
      <c r="A368" s="2" t="s">
        <v>565</v>
      </c>
      <c r="B368" s="2" t="s">
        <v>559</v>
      </c>
      <c r="C368" s="2" t="s">
        <v>560</v>
      </c>
      <c r="D368" s="2" t="s">
        <v>561</v>
      </c>
      <c r="E368" s="2" t="s">
        <v>560</v>
      </c>
      <c r="F368" s="3">
        <v>5</v>
      </c>
      <c r="G368" s="2" t="s">
        <v>22</v>
      </c>
      <c r="H368" s="2">
        <v>1</v>
      </c>
      <c r="I368" s="2" t="s">
        <v>14</v>
      </c>
      <c r="J368" s="2">
        <v>2</v>
      </c>
      <c r="K368" s="2" t="s">
        <v>970</v>
      </c>
    </row>
    <row r="369" spans="1:11">
      <c r="A369" s="2" t="s">
        <v>566</v>
      </c>
      <c r="B369" s="2" t="s">
        <v>559</v>
      </c>
      <c r="C369" s="2" t="s">
        <v>560</v>
      </c>
      <c r="D369" s="2" t="s">
        <v>561</v>
      </c>
      <c r="E369" s="2" t="s">
        <v>560</v>
      </c>
      <c r="F369" s="3">
        <v>6</v>
      </c>
      <c r="G369" s="2" t="s">
        <v>24</v>
      </c>
      <c r="H369" s="2">
        <v>1</v>
      </c>
      <c r="I369" s="2" t="s">
        <v>14</v>
      </c>
      <c r="J369" s="2">
        <v>2</v>
      </c>
      <c r="K369" s="2" t="s">
        <v>970</v>
      </c>
    </row>
    <row r="370" spans="1:11">
      <c r="A370" s="2" t="s">
        <v>567</v>
      </c>
      <c r="B370" s="2" t="s">
        <v>559</v>
      </c>
      <c r="C370" s="2" t="s">
        <v>560</v>
      </c>
      <c r="D370" s="2" t="s">
        <v>561</v>
      </c>
      <c r="E370" s="2" t="s">
        <v>560</v>
      </c>
      <c r="F370" s="3">
        <v>7</v>
      </c>
      <c r="G370" s="2" t="s">
        <v>26</v>
      </c>
      <c r="H370" s="2">
        <v>1</v>
      </c>
      <c r="I370" s="2" t="s">
        <v>14</v>
      </c>
      <c r="J370" s="2">
        <v>2</v>
      </c>
      <c r="K370" s="2" t="s">
        <v>970</v>
      </c>
    </row>
    <row r="371" spans="1:11">
      <c r="A371" s="2" t="s">
        <v>568</v>
      </c>
      <c r="B371" s="2" t="s">
        <v>559</v>
      </c>
      <c r="C371" s="2" t="s">
        <v>560</v>
      </c>
      <c r="D371" s="2" t="s">
        <v>561</v>
      </c>
      <c r="E371" s="2" t="s">
        <v>560</v>
      </c>
      <c r="F371" s="3">
        <v>8</v>
      </c>
      <c r="G371" s="2" t="s">
        <v>28</v>
      </c>
      <c r="H371" s="2">
        <v>1</v>
      </c>
      <c r="I371" s="2" t="s">
        <v>14</v>
      </c>
      <c r="J371" s="2">
        <v>2</v>
      </c>
      <c r="K371" s="2" t="s">
        <v>970</v>
      </c>
    </row>
    <row r="372" spans="1:11">
      <c r="A372" s="2" t="s">
        <v>569</v>
      </c>
      <c r="B372" s="2" t="s">
        <v>559</v>
      </c>
      <c r="C372" s="2" t="s">
        <v>560</v>
      </c>
      <c r="D372" s="2" t="s">
        <v>561</v>
      </c>
      <c r="E372" s="2" t="s">
        <v>560</v>
      </c>
      <c r="F372" s="3">
        <v>9</v>
      </c>
      <c r="G372" s="2" t="s">
        <v>30</v>
      </c>
      <c r="H372" s="2">
        <v>1</v>
      </c>
      <c r="I372" s="2" t="s">
        <v>14</v>
      </c>
      <c r="J372" s="2">
        <v>2</v>
      </c>
      <c r="K372" s="2" t="s">
        <v>970</v>
      </c>
    </row>
    <row r="373" spans="1:11">
      <c r="A373" s="2" t="s">
        <v>570</v>
      </c>
      <c r="B373" s="2" t="s">
        <v>559</v>
      </c>
      <c r="C373" s="2" t="s">
        <v>560</v>
      </c>
      <c r="D373" s="2" t="s">
        <v>561</v>
      </c>
      <c r="E373" s="2" t="s">
        <v>560</v>
      </c>
      <c r="F373" s="3">
        <v>10</v>
      </c>
      <c r="G373" s="2" t="s">
        <v>32</v>
      </c>
      <c r="H373" s="2">
        <v>1</v>
      </c>
      <c r="I373" s="2" t="s">
        <v>14</v>
      </c>
      <c r="J373" s="2">
        <v>2</v>
      </c>
      <c r="K373" s="2" t="s">
        <v>970</v>
      </c>
    </row>
    <row r="374" spans="1:11">
      <c r="A374" s="2" t="s">
        <v>571</v>
      </c>
      <c r="B374" s="2" t="s">
        <v>559</v>
      </c>
      <c r="C374" s="2" t="s">
        <v>560</v>
      </c>
      <c r="D374" s="2" t="s">
        <v>561</v>
      </c>
      <c r="E374" s="2" t="s">
        <v>560</v>
      </c>
      <c r="F374" s="3">
        <v>11</v>
      </c>
      <c r="G374" s="2" t="s">
        <v>34</v>
      </c>
      <c r="H374" s="2">
        <v>1</v>
      </c>
      <c r="I374" s="2" t="s">
        <v>14</v>
      </c>
      <c r="J374" s="2">
        <v>2</v>
      </c>
      <c r="K374" s="2" t="s">
        <v>970</v>
      </c>
    </row>
    <row r="375" spans="1:11">
      <c r="A375" s="2" t="s">
        <v>572</v>
      </c>
      <c r="B375" s="2" t="s">
        <v>559</v>
      </c>
      <c r="C375" s="2" t="s">
        <v>560</v>
      </c>
      <c r="D375" s="2" t="s">
        <v>561</v>
      </c>
      <c r="E375" s="2" t="s">
        <v>560</v>
      </c>
      <c r="F375" s="3">
        <v>12</v>
      </c>
      <c r="G375" s="2" t="s">
        <v>36</v>
      </c>
      <c r="H375" s="2">
        <v>1</v>
      </c>
      <c r="I375" s="2" t="s">
        <v>14</v>
      </c>
      <c r="J375" s="2">
        <v>2</v>
      </c>
      <c r="K375" s="2" t="s">
        <v>970</v>
      </c>
    </row>
    <row r="376" spans="1:11">
      <c r="A376" s="2" t="s">
        <v>573</v>
      </c>
      <c r="B376" s="2" t="s">
        <v>559</v>
      </c>
      <c r="C376" s="2" t="s">
        <v>560</v>
      </c>
      <c r="D376" s="2" t="s">
        <v>561</v>
      </c>
      <c r="E376" s="2" t="s">
        <v>560</v>
      </c>
      <c r="F376" s="3">
        <v>13</v>
      </c>
      <c r="G376" s="2" t="s">
        <v>38</v>
      </c>
      <c r="H376" s="2">
        <v>1</v>
      </c>
      <c r="I376" s="2" t="s">
        <v>14</v>
      </c>
      <c r="J376" s="2">
        <v>2</v>
      </c>
      <c r="K376" s="2" t="s">
        <v>970</v>
      </c>
    </row>
    <row r="377" spans="1:11">
      <c r="A377" s="2" t="s">
        <v>574</v>
      </c>
      <c r="B377" s="2" t="s">
        <v>559</v>
      </c>
      <c r="C377" s="2" t="s">
        <v>560</v>
      </c>
      <c r="D377" s="2" t="s">
        <v>561</v>
      </c>
      <c r="E377" s="2" t="s">
        <v>560</v>
      </c>
      <c r="F377" s="3">
        <v>14</v>
      </c>
      <c r="G377" s="2" t="s">
        <v>40</v>
      </c>
      <c r="H377" s="2">
        <v>1</v>
      </c>
      <c r="I377" s="2" t="s">
        <v>14</v>
      </c>
      <c r="J377" s="2">
        <v>2</v>
      </c>
      <c r="K377" s="2" t="s">
        <v>970</v>
      </c>
    </row>
    <row r="378" spans="1:11">
      <c r="A378" s="2" t="s">
        <v>575</v>
      </c>
      <c r="B378" s="2" t="s">
        <v>559</v>
      </c>
      <c r="C378" s="2" t="s">
        <v>560</v>
      </c>
      <c r="D378" s="2" t="s">
        <v>561</v>
      </c>
      <c r="E378" s="2" t="s">
        <v>560</v>
      </c>
      <c r="F378" s="3">
        <v>15</v>
      </c>
      <c r="G378" s="2" t="s">
        <v>42</v>
      </c>
      <c r="H378" s="2">
        <v>1</v>
      </c>
      <c r="I378" s="2" t="s">
        <v>14</v>
      </c>
      <c r="J378" s="2">
        <v>2</v>
      </c>
      <c r="K378" s="2" t="s">
        <v>970</v>
      </c>
    </row>
    <row r="379" spans="1:11">
      <c r="A379" s="2" t="s">
        <v>576</v>
      </c>
      <c r="B379" s="2" t="s">
        <v>559</v>
      </c>
      <c r="C379" s="2" t="s">
        <v>560</v>
      </c>
      <c r="D379" s="2" t="s">
        <v>561</v>
      </c>
      <c r="E379" s="2" t="s">
        <v>560</v>
      </c>
      <c r="F379" s="3">
        <v>16</v>
      </c>
      <c r="G379" s="2" t="s">
        <v>44</v>
      </c>
      <c r="H379" s="2">
        <v>1</v>
      </c>
      <c r="I379" s="2" t="s">
        <v>14</v>
      </c>
      <c r="J379" s="2">
        <v>2</v>
      </c>
      <c r="K379" s="2" t="s">
        <v>970</v>
      </c>
    </row>
    <row r="380" spans="1:11">
      <c r="A380" s="2" t="s">
        <v>577</v>
      </c>
      <c r="B380" s="2" t="s">
        <v>559</v>
      </c>
      <c r="C380" s="2" t="s">
        <v>560</v>
      </c>
      <c r="D380" s="2" t="s">
        <v>561</v>
      </c>
      <c r="E380" s="2" t="s">
        <v>560</v>
      </c>
      <c r="F380" s="3">
        <v>17</v>
      </c>
      <c r="G380" s="2" t="s">
        <v>46</v>
      </c>
      <c r="H380" s="2">
        <v>1</v>
      </c>
      <c r="I380" s="2" t="s">
        <v>14</v>
      </c>
      <c r="J380" s="2">
        <v>2</v>
      </c>
      <c r="K380" s="2" t="s">
        <v>970</v>
      </c>
    </row>
    <row r="381" spans="1:11">
      <c r="A381" s="2" t="s">
        <v>578</v>
      </c>
      <c r="B381" s="2" t="s">
        <v>559</v>
      </c>
      <c r="C381" s="2" t="s">
        <v>560</v>
      </c>
      <c r="D381" s="2" t="s">
        <v>561</v>
      </c>
      <c r="E381" s="2" t="s">
        <v>560</v>
      </c>
      <c r="F381" s="3">
        <v>18</v>
      </c>
      <c r="G381" s="2" t="s">
        <v>48</v>
      </c>
      <c r="H381" s="2">
        <v>1</v>
      </c>
      <c r="I381" s="2" t="s">
        <v>14</v>
      </c>
      <c r="J381" s="2">
        <v>2</v>
      </c>
      <c r="K381" s="2" t="s">
        <v>970</v>
      </c>
    </row>
    <row r="382" spans="1:11">
      <c r="A382" s="2" t="s">
        <v>579</v>
      </c>
      <c r="B382" s="2" t="s">
        <v>559</v>
      </c>
      <c r="C382" s="2" t="s">
        <v>560</v>
      </c>
      <c r="D382" s="2" t="s">
        <v>561</v>
      </c>
      <c r="E382" s="2" t="s">
        <v>560</v>
      </c>
      <c r="F382" s="3">
        <v>19</v>
      </c>
      <c r="G382" s="2" t="s">
        <v>50</v>
      </c>
      <c r="H382" s="2">
        <v>1</v>
      </c>
      <c r="I382" s="2" t="s">
        <v>14</v>
      </c>
      <c r="J382" s="2">
        <v>2</v>
      </c>
      <c r="K382" s="2" t="s">
        <v>970</v>
      </c>
    </row>
    <row r="383" spans="1:11">
      <c r="A383" s="2" t="s">
        <v>580</v>
      </c>
      <c r="B383" s="2" t="s">
        <v>559</v>
      </c>
      <c r="C383" s="2" t="s">
        <v>560</v>
      </c>
      <c r="D383" s="2" t="s">
        <v>561</v>
      </c>
      <c r="E383" s="2" t="s">
        <v>560</v>
      </c>
      <c r="F383" s="3">
        <v>20</v>
      </c>
      <c r="G383" s="2" t="s">
        <v>52</v>
      </c>
      <c r="H383" s="2">
        <v>1</v>
      </c>
      <c r="I383" s="2" t="s">
        <v>14</v>
      </c>
      <c r="J383" s="2">
        <v>2</v>
      </c>
      <c r="K383" s="2" t="s">
        <v>970</v>
      </c>
    </row>
    <row r="384" spans="1:11">
      <c r="A384" s="2" t="s">
        <v>581</v>
      </c>
      <c r="B384" s="2" t="s">
        <v>559</v>
      </c>
      <c r="C384" s="2" t="s">
        <v>560</v>
      </c>
      <c r="D384" s="2" t="s">
        <v>561</v>
      </c>
      <c r="E384" s="2" t="s">
        <v>560</v>
      </c>
      <c r="F384" s="3">
        <v>21</v>
      </c>
      <c r="G384" s="2" t="s">
        <v>54</v>
      </c>
      <c r="H384" s="2">
        <v>1</v>
      </c>
      <c r="I384" s="2" t="s">
        <v>14</v>
      </c>
      <c r="J384" s="2">
        <v>2</v>
      </c>
      <c r="K384" s="2" t="s">
        <v>970</v>
      </c>
    </row>
    <row r="385" spans="1:11">
      <c r="A385" s="2" t="s">
        <v>582</v>
      </c>
      <c r="B385" s="2" t="s">
        <v>559</v>
      </c>
      <c r="C385" s="2" t="s">
        <v>560</v>
      </c>
      <c r="D385" s="2" t="s">
        <v>561</v>
      </c>
      <c r="E385" s="2" t="s">
        <v>560</v>
      </c>
      <c r="F385" s="3">
        <v>22</v>
      </c>
      <c r="G385" s="2" t="s">
        <v>56</v>
      </c>
      <c r="H385" s="2">
        <v>1</v>
      </c>
      <c r="I385" s="2" t="s">
        <v>14</v>
      </c>
      <c r="J385" s="2">
        <v>2</v>
      </c>
      <c r="K385" s="2" t="s">
        <v>970</v>
      </c>
    </row>
    <row r="386" spans="1:11">
      <c r="A386" s="2" t="s">
        <v>583</v>
      </c>
      <c r="B386" s="2" t="s">
        <v>559</v>
      </c>
      <c r="C386" s="2" t="s">
        <v>560</v>
      </c>
      <c r="D386" s="2" t="s">
        <v>561</v>
      </c>
      <c r="E386" s="2" t="s">
        <v>560</v>
      </c>
      <c r="F386" s="3">
        <v>23</v>
      </c>
      <c r="G386" s="2" t="s">
        <v>58</v>
      </c>
      <c r="H386" s="2">
        <v>1</v>
      </c>
      <c r="I386" s="2" t="s">
        <v>14</v>
      </c>
      <c r="J386" s="2">
        <v>2</v>
      </c>
      <c r="K386" s="2" t="s">
        <v>970</v>
      </c>
    </row>
    <row r="387" spans="1:11">
      <c r="A387" s="2" t="s">
        <v>584</v>
      </c>
      <c r="B387" s="2" t="s">
        <v>559</v>
      </c>
      <c r="C387" s="2" t="s">
        <v>560</v>
      </c>
      <c r="D387" s="2" t="s">
        <v>561</v>
      </c>
      <c r="E387" s="2" t="s">
        <v>560</v>
      </c>
      <c r="F387" s="3">
        <v>24</v>
      </c>
      <c r="G387" s="2" t="s">
        <v>60</v>
      </c>
      <c r="H387" s="2">
        <v>1</v>
      </c>
      <c r="I387" s="2" t="s">
        <v>14</v>
      </c>
      <c r="J387" s="2">
        <v>2</v>
      </c>
      <c r="K387" s="2" t="s">
        <v>970</v>
      </c>
    </row>
    <row r="388" spans="1:11">
      <c r="A388" s="2" t="s">
        <v>585</v>
      </c>
      <c r="B388" s="2" t="s">
        <v>559</v>
      </c>
      <c r="C388" s="2" t="s">
        <v>560</v>
      </c>
      <c r="D388" s="2" t="s">
        <v>561</v>
      </c>
      <c r="E388" s="2" t="s">
        <v>560</v>
      </c>
      <c r="F388" s="3">
        <v>25</v>
      </c>
      <c r="G388" s="2" t="s">
        <v>62</v>
      </c>
      <c r="H388" s="2">
        <v>1</v>
      </c>
      <c r="I388" s="2" t="s">
        <v>14</v>
      </c>
      <c r="J388" s="2">
        <v>2</v>
      </c>
      <c r="K388" s="2" t="s">
        <v>970</v>
      </c>
    </row>
    <row r="389" spans="1:11">
      <c r="A389" s="2" t="s">
        <v>586</v>
      </c>
      <c r="B389" s="2" t="s">
        <v>559</v>
      </c>
      <c r="C389" s="2" t="s">
        <v>560</v>
      </c>
      <c r="D389" s="2" t="s">
        <v>561</v>
      </c>
      <c r="E389" s="2" t="s">
        <v>560</v>
      </c>
      <c r="F389" s="3">
        <v>26</v>
      </c>
      <c r="G389" s="2" t="s">
        <v>64</v>
      </c>
      <c r="H389" s="2">
        <v>1</v>
      </c>
      <c r="I389" s="2" t="s">
        <v>14</v>
      </c>
      <c r="J389" s="2">
        <v>2</v>
      </c>
      <c r="K389" s="2" t="s">
        <v>970</v>
      </c>
    </row>
    <row r="390" spans="1:11">
      <c r="A390" s="2" t="s">
        <v>587</v>
      </c>
      <c r="B390" s="2" t="s">
        <v>559</v>
      </c>
      <c r="C390" s="2" t="s">
        <v>560</v>
      </c>
      <c r="D390" s="2" t="s">
        <v>561</v>
      </c>
      <c r="E390" s="2" t="s">
        <v>560</v>
      </c>
      <c r="F390" s="3">
        <v>27</v>
      </c>
      <c r="G390" s="2" t="s">
        <v>66</v>
      </c>
      <c r="H390" s="2">
        <v>3</v>
      </c>
      <c r="I390" s="2" t="s">
        <v>67</v>
      </c>
      <c r="J390" s="2">
        <v>2</v>
      </c>
      <c r="K390" s="2" t="s">
        <v>970</v>
      </c>
    </row>
    <row r="391" spans="1:11">
      <c r="A391" s="2" t="s">
        <v>588</v>
      </c>
      <c r="B391" s="2" t="s">
        <v>559</v>
      </c>
      <c r="C391" s="2" t="s">
        <v>560</v>
      </c>
      <c r="D391" s="2" t="s">
        <v>561</v>
      </c>
      <c r="E391" s="2" t="s">
        <v>560</v>
      </c>
      <c r="F391" s="3">
        <v>28</v>
      </c>
      <c r="G391" s="2" t="s">
        <v>69</v>
      </c>
      <c r="H391" s="2">
        <v>3</v>
      </c>
      <c r="I391" s="2" t="s">
        <v>67</v>
      </c>
      <c r="J391" s="2">
        <v>2</v>
      </c>
      <c r="K391" s="2" t="s">
        <v>970</v>
      </c>
    </row>
    <row r="392" spans="1:11">
      <c r="A392" s="2" t="s">
        <v>589</v>
      </c>
      <c r="B392" s="2" t="s">
        <v>559</v>
      </c>
      <c r="C392" s="2" t="s">
        <v>560</v>
      </c>
      <c r="D392" s="2" t="s">
        <v>561</v>
      </c>
      <c r="E392" s="2" t="s">
        <v>560</v>
      </c>
      <c r="F392" s="3">
        <v>29</v>
      </c>
      <c r="G392" s="2" t="s">
        <v>71</v>
      </c>
      <c r="H392" s="2">
        <v>3</v>
      </c>
      <c r="I392" s="2" t="s">
        <v>67</v>
      </c>
      <c r="J392" s="2">
        <v>2</v>
      </c>
      <c r="K392" s="2" t="s">
        <v>970</v>
      </c>
    </row>
    <row r="393" spans="1:11">
      <c r="A393" s="2" t="s">
        <v>590</v>
      </c>
      <c r="B393" s="2" t="s">
        <v>559</v>
      </c>
      <c r="C393" s="2" t="s">
        <v>560</v>
      </c>
      <c r="D393" s="2" t="s">
        <v>561</v>
      </c>
      <c r="E393" s="2" t="s">
        <v>560</v>
      </c>
      <c r="F393" s="3">
        <v>30</v>
      </c>
      <c r="G393" s="2" t="s">
        <v>73</v>
      </c>
      <c r="H393" s="2">
        <v>3</v>
      </c>
      <c r="I393" s="2" t="s">
        <v>67</v>
      </c>
      <c r="J393" s="2">
        <v>2</v>
      </c>
      <c r="K393" s="2" t="s">
        <v>970</v>
      </c>
    </row>
    <row r="394" spans="1:11">
      <c r="A394" s="2" t="s">
        <v>591</v>
      </c>
      <c r="B394" s="2" t="s">
        <v>559</v>
      </c>
      <c r="C394" s="2" t="s">
        <v>560</v>
      </c>
      <c r="D394" s="2" t="s">
        <v>561</v>
      </c>
      <c r="E394" s="2" t="s">
        <v>560</v>
      </c>
      <c r="F394" s="3">
        <v>31</v>
      </c>
      <c r="G394" s="2" t="s">
        <v>75</v>
      </c>
      <c r="H394" s="2">
        <v>3</v>
      </c>
      <c r="I394" s="2" t="s">
        <v>67</v>
      </c>
      <c r="J394" s="2">
        <v>2</v>
      </c>
      <c r="K394" s="2" t="s">
        <v>970</v>
      </c>
    </row>
    <row r="395" spans="1:11">
      <c r="A395" s="2" t="s">
        <v>592</v>
      </c>
      <c r="B395" s="2" t="s">
        <v>559</v>
      </c>
      <c r="C395" s="2" t="s">
        <v>560</v>
      </c>
      <c r="D395" s="2" t="s">
        <v>561</v>
      </c>
      <c r="E395" s="2" t="s">
        <v>560</v>
      </c>
      <c r="F395" s="3">
        <v>32</v>
      </c>
      <c r="G395" s="2" t="s">
        <v>77</v>
      </c>
      <c r="H395" s="2">
        <v>3</v>
      </c>
      <c r="I395" s="2" t="s">
        <v>67</v>
      </c>
      <c r="J395" s="2">
        <v>2</v>
      </c>
      <c r="K395" s="2" t="s">
        <v>970</v>
      </c>
    </row>
    <row r="396" spans="1:11">
      <c r="A396" s="2" t="s">
        <v>593</v>
      </c>
      <c r="B396" s="2" t="s">
        <v>559</v>
      </c>
      <c r="C396" s="2" t="s">
        <v>560</v>
      </c>
      <c r="D396" s="2" t="s">
        <v>561</v>
      </c>
      <c r="E396" s="2" t="s">
        <v>560</v>
      </c>
      <c r="F396" s="3">
        <v>33</v>
      </c>
      <c r="G396" s="2" t="s">
        <v>79</v>
      </c>
      <c r="H396" s="2">
        <v>3</v>
      </c>
      <c r="I396" s="2" t="s">
        <v>67</v>
      </c>
      <c r="J396" s="2">
        <v>2</v>
      </c>
      <c r="K396" s="2" t="s">
        <v>970</v>
      </c>
    </row>
    <row r="397" spans="1:11">
      <c r="A397" s="2" t="s">
        <v>594</v>
      </c>
      <c r="B397" s="2" t="s">
        <v>559</v>
      </c>
      <c r="C397" s="2" t="s">
        <v>560</v>
      </c>
      <c r="D397" s="2" t="s">
        <v>561</v>
      </c>
      <c r="E397" s="2" t="s">
        <v>560</v>
      </c>
      <c r="F397" s="3">
        <v>34</v>
      </c>
      <c r="G397" s="2" t="s">
        <v>81</v>
      </c>
      <c r="H397" s="2">
        <v>3</v>
      </c>
      <c r="I397" s="2" t="s">
        <v>67</v>
      </c>
      <c r="J397" s="2">
        <v>2</v>
      </c>
      <c r="K397" s="2" t="s">
        <v>970</v>
      </c>
    </row>
    <row r="398" spans="1:11">
      <c r="A398" s="2" t="s">
        <v>595</v>
      </c>
      <c r="B398" s="2" t="s">
        <v>559</v>
      </c>
      <c r="C398" s="2" t="s">
        <v>560</v>
      </c>
      <c r="D398" s="2" t="s">
        <v>561</v>
      </c>
      <c r="E398" s="2" t="s">
        <v>560</v>
      </c>
      <c r="F398" s="3">
        <v>35</v>
      </c>
      <c r="G398" s="2" t="s">
        <v>83</v>
      </c>
      <c r="H398" s="2">
        <v>3</v>
      </c>
      <c r="I398" s="2" t="s">
        <v>67</v>
      </c>
      <c r="J398" s="2">
        <v>2</v>
      </c>
      <c r="K398" s="2" t="s">
        <v>970</v>
      </c>
    </row>
    <row r="399" spans="1:11">
      <c r="A399" s="2" t="s">
        <v>596</v>
      </c>
      <c r="B399" s="2" t="s">
        <v>559</v>
      </c>
      <c r="C399" s="2" t="s">
        <v>560</v>
      </c>
      <c r="D399" s="2" t="s">
        <v>561</v>
      </c>
      <c r="E399" s="2" t="s">
        <v>560</v>
      </c>
      <c r="F399" s="3">
        <v>36</v>
      </c>
      <c r="G399" s="2" t="s">
        <v>85</v>
      </c>
      <c r="H399" s="2">
        <v>3</v>
      </c>
      <c r="I399" s="2" t="s">
        <v>67</v>
      </c>
      <c r="J399" s="2">
        <v>2</v>
      </c>
      <c r="K399" s="2" t="s">
        <v>970</v>
      </c>
    </row>
    <row r="400" spans="1:11">
      <c r="A400" s="2" t="s">
        <v>597</v>
      </c>
      <c r="B400" s="2" t="s">
        <v>559</v>
      </c>
      <c r="C400" s="2" t="s">
        <v>560</v>
      </c>
      <c r="D400" s="2" t="s">
        <v>561</v>
      </c>
      <c r="E400" s="2" t="s">
        <v>560</v>
      </c>
      <c r="F400" s="3">
        <v>37</v>
      </c>
      <c r="G400" s="2" t="s">
        <v>87</v>
      </c>
      <c r="H400" s="2">
        <v>1</v>
      </c>
      <c r="I400" s="2" t="s">
        <v>14</v>
      </c>
      <c r="J400" s="2">
        <v>2</v>
      </c>
      <c r="K400" s="2" t="s">
        <v>970</v>
      </c>
    </row>
    <row r="401" spans="1:11">
      <c r="A401" s="2" t="s">
        <v>598</v>
      </c>
      <c r="B401" s="2" t="s">
        <v>559</v>
      </c>
      <c r="C401" s="2" t="s">
        <v>560</v>
      </c>
      <c r="D401" s="2" t="s">
        <v>561</v>
      </c>
      <c r="E401" s="2" t="s">
        <v>560</v>
      </c>
      <c r="F401" s="3">
        <v>38</v>
      </c>
      <c r="G401" s="2" t="s">
        <v>89</v>
      </c>
      <c r="H401" s="2">
        <v>1</v>
      </c>
      <c r="I401" s="2" t="s">
        <v>14</v>
      </c>
      <c r="J401" s="2">
        <v>2</v>
      </c>
      <c r="K401" s="2" t="s">
        <v>970</v>
      </c>
    </row>
    <row r="402" spans="1:11">
      <c r="A402" s="2" t="s">
        <v>599</v>
      </c>
      <c r="B402" s="2" t="s">
        <v>559</v>
      </c>
      <c r="C402" s="2" t="s">
        <v>560</v>
      </c>
      <c r="D402" s="2" t="s">
        <v>561</v>
      </c>
      <c r="E402" s="2" t="s">
        <v>560</v>
      </c>
      <c r="F402" s="3">
        <v>39</v>
      </c>
      <c r="G402" s="2" t="s">
        <v>91</v>
      </c>
      <c r="H402" s="2">
        <v>1</v>
      </c>
      <c r="I402" s="2" t="s">
        <v>14</v>
      </c>
      <c r="J402" s="2">
        <v>2</v>
      </c>
      <c r="K402" s="2" t="s">
        <v>970</v>
      </c>
    </row>
    <row r="403" spans="1:11">
      <c r="A403" s="2" t="s">
        <v>600</v>
      </c>
      <c r="B403" s="2" t="s">
        <v>559</v>
      </c>
      <c r="C403" s="2" t="s">
        <v>560</v>
      </c>
      <c r="D403" s="2" t="s">
        <v>561</v>
      </c>
      <c r="E403" s="2" t="s">
        <v>560</v>
      </c>
      <c r="F403" s="3">
        <v>40</v>
      </c>
      <c r="G403" s="2" t="s">
        <v>93</v>
      </c>
      <c r="H403" s="2">
        <v>1</v>
      </c>
      <c r="I403" s="2" t="s">
        <v>14</v>
      </c>
      <c r="J403" s="2">
        <v>2</v>
      </c>
      <c r="K403" s="2" t="s">
        <v>970</v>
      </c>
    </row>
    <row r="404" spans="1:11">
      <c r="A404" s="2" t="s">
        <v>601</v>
      </c>
      <c r="B404" s="2" t="s">
        <v>559</v>
      </c>
      <c r="C404" s="2" t="s">
        <v>560</v>
      </c>
      <c r="D404" s="2" t="s">
        <v>561</v>
      </c>
      <c r="E404" s="2" t="s">
        <v>560</v>
      </c>
      <c r="F404" s="3">
        <v>41</v>
      </c>
      <c r="G404" s="2" t="s">
        <v>95</v>
      </c>
      <c r="H404" s="2">
        <v>1</v>
      </c>
      <c r="I404" s="2" t="s">
        <v>14</v>
      </c>
      <c r="J404" s="2">
        <v>2</v>
      </c>
      <c r="K404" s="2" t="s">
        <v>970</v>
      </c>
    </row>
    <row r="405" spans="1:11">
      <c r="A405" s="2" t="s">
        <v>602</v>
      </c>
      <c r="B405" s="2" t="s">
        <v>559</v>
      </c>
      <c r="C405" s="2" t="s">
        <v>560</v>
      </c>
      <c r="D405" s="2" t="s">
        <v>561</v>
      </c>
      <c r="E405" s="2" t="s">
        <v>560</v>
      </c>
      <c r="F405" s="3">
        <v>42</v>
      </c>
      <c r="G405" s="2" t="s">
        <v>97</v>
      </c>
      <c r="H405" s="2">
        <v>1</v>
      </c>
      <c r="I405" s="2" t="s">
        <v>14</v>
      </c>
      <c r="J405" s="2">
        <v>2</v>
      </c>
      <c r="K405" s="2" t="s">
        <v>970</v>
      </c>
    </row>
    <row r="406" spans="1:11">
      <c r="A406" s="2" t="s">
        <v>603</v>
      </c>
      <c r="B406" s="2" t="s">
        <v>559</v>
      </c>
      <c r="C406" s="2" t="s">
        <v>560</v>
      </c>
      <c r="D406" s="2" t="s">
        <v>561</v>
      </c>
      <c r="E406" s="2" t="s">
        <v>560</v>
      </c>
      <c r="F406" s="3">
        <v>43</v>
      </c>
      <c r="G406" s="2" t="s">
        <v>99</v>
      </c>
      <c r="H406" s="2">
        <v>1</v>
      </c>
      <c r="I406" s="2" t="s">
        <v>14</v>
      </c>
      <c r="J406" s="2">
        <v>2</v>
      </c>
      <c r="K406" s="2" t="s">
        <v>970</v>
      </c>
    </row>
    <row r="407" spans="1:11">
      <c r="A407" s="2" t="s">
        <v>604</v>
      </c>
      <c r="B407" s="2" t="s">
        <v>559</v>
      </c>
      <c r="C407" s="2" t="s">
        <v>560</v>
      </c>
      <c r="D407" s="2" t="s">
        <v>561</v>
      </c>
      <c r="E407" s="2" t="s">
        <v>560</v>
      </c>
      <c r="F407" s="3">
        <v>44</v>
      </c>
      <c r="G407" s="2" t="s">
        <v>101</v>
      </c>
      <c r="H407" s="2">
        <v>1</v>
      </c>
      <c r="I407" s="2" t="s">
        <v>14</v>
      </c>
      <c r="J407" s="2">
        <v>2</v>
      </c>
      <c r="K407" s="2" t="s">
        <v>970</v>
      </c>
    </row>
    <row r="408" spans="1:11">
      <c r="A408" s="2" t="s">
        <v>605</v>
      </c>
      <c r="B408" s="2" t="s">
        <v>559</v>
      </c>
      <c r="C408" s="2" t="s">
        <v>560</v>
      </c>
      <c r="D408" s="2" t="s">
        <v>561</v>
      </c>
      <c r="E408" s="2" t="s">
        <v>560</v>
      </c>
      <c r="F408" s="3">
        <v>45</v>
      </c>
      <c r="G408" s="2" t="s">
        <v>103</v>
      </c>
      <c r="H408" s="2">
        <v>1</v>
      </c>
      <c r="I408" s="2" t="s">
        <v>14</v>
      </c>
      <c r="J408" s="2">
        <v>2</v>
      </c>
      <c r="K408" s="2" t="s">
        <v>970</v>
      </c>
    </row>
    <row r="409" spans="1:11">
      <c r="A409" s="2" t="s">
        <v>606</v>
      </c>
      <c r="B409" s="2" t="s">
        <v>559</v>
      </c>
      <c r="C409" s="2" t="s">
        <v>560</v>
      </c>
      <c r="D409" s="2" t="s">
        <v>561</v>
      </c>
      <c r="E409" s="2" t="s">
        <v>560</v>
      </c>
      <c r="F409" s="3">
        <v>46</v>
      </c>
      <c r="G409" s="2" t="s">
        <v>105</v>
      </c>
      <c r="H409" s="2">
        <v>1</v>
      </c>
      <c r="I409" s="2" t="s">
        <v>14</v>
      </c>
      <c r="J409" s="2">
        <v>2</v>
      </c>
      <c r="K409" s="2" t="s">
        <v>970</v>
      </c>
    </row>
    <row r="410" spans="1:11">
      <c r="A410" s="2" t="s">
        <v>607</v>
      </c>
      <c r="B410" s="2" t="s">
        <v>559</v>
      </c>
      <c r="C410" s="2" t="s">
        <v>560</v>
      </c>
      <c r="D410" s="2" t="s">
        <v>561</v>
      </c>
      <c r="E410" s="2" t="s">
        <v>560</v>
      </c>
      <c r="F410" s="3">
        <v>47</v>
      </c>
      <c r="G410" s="2" t="s">
        <v>107</v>
      </c>
      <c r="H410" s="2">
        <v>1</v>
      </c>
      <c r="I410" s="2" t="s">
        <v>14</v>
      </c>
      <c r="J410" s="2">
        <v>2</v>
      </c>
      <c r="K410" s="2" t="s">
        <v>970</v>
      </c>
    </row>
    <row r="411" spans="1:11">
      <c r="A411" s="2" t="s">
        <v>608</v>
      </c>
      <c r="B411" s="2" t="s">
        <v>559</v>
      </c>
      <c r="C411" s="2" t="s">
        <v>560</v>
      </c>
      <c r="D411" s="2" t="s">
        <v>561</v>
      </c>
      <c r="E411" s="2" t="s">
        <v>560</v>
      </c>
      <c r="F411" s="3">
        <v>48</v>
      </c>
      <c r="G411" s="2" t="s">
        <v>109</v>
      </c>
      <c r="H411" s="2">
        <v>1</v>
      </c>
      <c r="I411" s="2" t="s">
        <v>14</v>
      </c>
      <c r="J411" s="2">
        <v>2</v>
      </c>
      <c r="K411" s="2" t="s">
        <v>970</v>
      </c>
    </row>
    <row r="412" spans="1:11">
      <c r="A412" s="2" t="s">
        <v>609</v>
      </c>
      <c r="B412" s="2" t="s">
        <v>559</v>
      </c>
      <c r="C412" s="2" t="s">
        <v>560</v>
      </c>
      <c r="D412" s="2" t="s">
        <v>561</v>
      </c>
      <c r="E412" s="2" t="s">
        <v>560</v>
      </c>
      <c r="F412" s="3">
        <v>49</v>
      </c>
      <c r="G412" s="2" t="s">
        <v>111</v>
      </c>
      <c r="H412" s="2">
        <v>1</v>
      </c>
      <c r="I412" s="2" t="s">
        <v>14</v>
      </c>
      <c r="J412" s="2">
        <v>2</v>
      </c>
      <c r="K412" s="2" t="s">
        <v>970</v>
      </c>
    </row>
    <row r="413" spans="1:11">
      <c r="A413" s="2" t="s">
        <v>610</v>
      </c>
      <c r="B413" s="2" t="s">
        <v>559</v>
      </c>
      <c r="C413" s="2" t="s">
        <v>560</v>
      </c>
      <c r="D413" s="2" t="s">
        <v>561</v>
      </c>
      <c r="E413" s="2" t="s">
        <v>560</v>
      </c>
      <c r="F413" s="3">
        <v>50</v>
      </c>
      <c r="G413" s="2" t="s">
        <v>113</v>
      </c>
      <c r="H413" s="2">
        <v>1</v>
      </c>
      <c r="I413" s="2" t="s">
        <v>14</v>
      </c>
      <c r="J413" s="2">
        <v>2</v>
      </c>
      <c r="K413" s="2" t="s">
        <v>970</v>
      </c>
    </row>
    <row r="414" spans="1:11">
      <c r="A414" s="2" t="s">
        <v>611</v>
      </c>
      <c r="B414" s="2" t="s">
        <v>559</v>
      </c>
      <c r="C414" s="2" t="s">
        <v>560</v>
      </c>
      <c r="D414" s="2" t="s">
        <v>561</v>
      </c>
      <c r="E414" s="2" t="s">
        <v>560</v>
      </c>
      <c r="F414" s="3">
        <v>51</v>
      </c>
      <c r="G414" s="2" t="s">
        <v>115</v>
      </c>
      <c r="H414" s="2">
        <v>1</v>
      </c>
      <c r="I414" s="2" t="s">
        <v>14</v>
      </c>
      <c r="J414" s="2">
        <v>2</v>
      </c>
      <c r="K414" s="2" t="s">
        <v>970</v>
      </c>
    </row>
    <row r="415" spans="1:11">
      <c r="A415" s="2" t="s">
        <v>612</v>
      </c>
      <c r="B415" s="2" t="s">
        <v>559</v>
      </c>
      <c r="C415" s="2" t="s">
        <v>560</v>
      </c>
      <c r="D415" s="2" t="s">
        <v>561</v>
      </c>
      <c r="E415" s="2" t="s">
        <v>560</v>
      </c>
      <c r="F415" s="3">
        <v>52</v>
      </c>
      <c r="G415" s="2" t="s">
        <v>117</v>
      </c>
      <c r="H415" s="2">
        <v>1</v>
      </c>
      <c r="I415" s="2" t="s">
        <v>14</v>
      </c>
      <c r="J415" s="2">
        <v>2</v>
      </c>
      <c r="K415" s="2" t="s">
        <v>970</v>
      </c>
    </row>
    <row r="416" spans="1:11">
      <c r="A416" s="2" t="s">
        <v>613</v>
      </c>
      <c r="B416" s="2" t="s">
        <v>559</v>
      </c>
      <c r="C416" s="2" t="s">
        <v>560</v>
      </c>
      <c r="D416" s="2" t="s">
        <v>561</v>
      </c>
      <c r="E416" s="2" t="s">
        <v>560</v>
      </c>
      <c r="F416" s="3">
        <v>53</v>
      </c>
      <c r="G416" s="2" t="s">
        <v>119</v>
      </c>
      <c r="H416" s="2">
        <v>1</v>
      </c>
      <c r="I416" s="2" t="s">
        <v>14</v>
      </c>
      <c r="J416" s="2">
        <v>2</v>
      </c>
      <c r="K416" s="2" t="s">
        <v>970</v>
      </c>
    </row>
    <row r="417" spans="1:11">
      <c r="A417" s="2" t="s">
        <v>614</v>
      </c>
      <c r="B417" s="2" t="s">
        <v>559</v>
      </c>
      <c r="C417" s="2" t="s">
        <v>560</v>
      </c>
      <c r="D417" s="2" t="s">
        <v>561</v>
      </c>
      <c r="E417" s="2" t="s">
        <v>560</v>
      </c>
      <c r="F417" s="3">
        <v>54</v>
      </c>
      <c r="G417" s="2" t="s">
        <v>121</v>
      </c>
      <c r="H417" s="2">
        <v>1</v>
      </c>
      <c r="I417" s="2" t="s">
        <v>14</v>
      </c>
      <c r="J417" s="2">
        <v>2</v>
      </c>
      <c r="K417" s="2" t="s">
        <v>970</v>
      </c>
    </row>
    <row r="418" spans="1:11">
      <c r="A418" s="2" t="s">
        <v>615</v>
      </c>
      <c r="B418" s="2" t="s">
        <v>559</v>
      </c>
      <c r="C418" s="2" t="s">
        <v>560</v>
      </c>
      <c r="D418" s="2" t="s">
        <v>561</v>
      </c>
      <c r="E418" s="2" t="s">
        <v>560</v>
      </c>
      <c r="F418" s="3">
        <v>55</v>
      </c>
      <c r="G418" s="2" t="s">
        <v>123</v>
      </c>
      <c r="H418" s="2">
        <v>1</v>
      </c>
      <c r="I418" s="2" t="s">
        <v>14</v>
      </c>
      <c r="J418" s="2">
        <v>2</v>
      </c>
      <c r="K418" s="2" t="s">
        <v>970</v>
      </c>
    </row>
    <row r="419" spans="1:11">
      <c r="A419" s="2" t="s">
        <v>616</v>
      </c>
      <c r="B419" s="2" t="s">
        <v>559</v>
      </c>
      <c r="C419" s="2" t="s">
        <v>560</v>
      </c>
      <c r="D419" s="2" t="s">
        <v>561</v>
      </c>
      <c r="E419" s="2" t="s">
        <v>560</v>
      </c>
      <c r="F419" s="3">
        <v>56</v>
      </c>
      <c r="G419" s="2" t="s">
        <v>125</v>
      </c>
      <c r="H419" s="2">
        <v>1</v>
      </c>
      <c r="I419" s="2" t="s">
        <v>14</v>
      </c>
      <c r="J419" s="2">
        <v>2</v>
      </c>
      <c r="K419" s="2" t="s">
        <v>970</v>
      </c>
    </row>
    <row r="420" spans="1:11">
      <c r="A420" s="2" t="s">
        <v>617</v>
      </c>
      <c r="B420" s="2" t="s">
        <v>559</v>
      </c>
      <c r="C420" s="2" t="s">
        <v>560</v>
      </c>
      <c r="D420" s="2" t="s">
        <v>561</v>
      </c>
      <c r="E420" s="2" t="s">
        <v>560</v>
      </c>
      <c r="F420" s="3">
        <v>57</v>
      </c>
      <c r="G420" s="2" t="s">
        <v>127</v>
      </c>
      <c r="H420" s="2">
        <v>1</v>
      </c>
      <c r="I420" s="2" t="s">
        <v>14</v>
      </c>
      <c r="J420" s="2">
        <v>2</v>
      </c>
      <c r="K420" s="2" t="s">
        <v>970</v>
      </c>
    </row>
    <row r="421" spans="1:11">
      <c r="A421" s="2" t="s">
        <v>618</v>
      </c>
      <c r="B421" s="2" t="s">
        <v>559</v>
      </c>
      <c r="C421" s="2" t="s">
        <v>560</v>
      </c>
      <c r="D421" s="2" t="s">
        <v>561</v>
      </c>
      <c r="E421" s="2" t="s">
        <v>560</v>
      </c>
      <c r="F421" s="3">
        <v>58</v>
      </c>
      <c r="G421" s="2" t="s">
        <v>129</v>
      </c>
      <c r="H421" s="2">
        <v>1</v>
      </c>
      <c r="I421" s="2" t="s">
        <v>14</v>
      </c>
      <c r="J421" s="2">
        <v>2</v>
      </c>
      <c r="K421" s="2" t="s">
        <v>970</v>
      </c>
    </row>
    <row r="422" spans="1:11">
      <c r="A422" s="2" t="s">
        <v>619</v>
      </c>
      <c r="B422" s="2" t="s">
        <v>559</v>
      </c>
      <c r="C422" s="2" t="s">
        <v>560</v>
      </c>
      <c r="D422" s="2" t="s">
        <v>561</v>
      </c>
      <c r="E422" s="2" t="s">
        <v>560</v>
      </c>
      <c r="F422" s="3">
        <v>59</v>
      </c>
      <c r="G422" s="2" t="s">
        <v>131</v>
      </c>
      <c r="H422" s="2">
        <v>1</v>
      </c>
      <c r="I422" s="2" t="s">
        <v>14</v>
      </c>
      <c r="J422" s="2">
        <v>2</v>
      </c>
      <c r="K422" s="2" t="s">
        <v>970</v>
      </c>
    </row>
    <row r="423" spans="1:11">
      <c r="A423" s="2" t="s">
        <v>620</v>
      </c>
      <c r="B423" s="2" t="s">
        <v>559</v>
      </c>
      <c r="C423" s="2" t="s">
        <v>560</v>
      </c>
      <c r="D423" s="2" t="s">
        <v>561</v>
      </c>
      <c r="E423" s="2" t="s">
        <v>560</v>
      </c>
      <c r="F423" s="3">
        <v>60</v>
      </c>
      <c r="G423" s="2" t="s">
        <v>133</v>
      </c>
      <c r="H423" s="2">
        <v>1</v>
      </c>
      <c r="I423" s="2" t="s">
        <v>14</v>
      </c>
      <c r="J423" s="2">
        <v>2</v>
      </c>
      <c r="K423" s="2" t="s">
        <v>970</v>
      </c>
    </row>
    <row r="424" spans="1:11">
      <c r="A424" s="2" t="s">
        <v>621</v>
      </c>
      <c r="B424" s="2" t="s">
        <v>559</v>
      </c>
      <c r="C424" s="2" t="s">
        <v>560</v>
      </c>
      <c r="D424" s="2" t="s">
        <v>561</v>
      </c>
      <c r="E424" s="2" t="s">
        <v>560</v>
      </c>
      <c r="F424" s="3">
        <v>61</v>
      </c>
      <c r="G424" s="2" t="s">
        <v>135</v>
      </c>
      <c r="H424" s="2">
        <v>1</v>
      </c>
      <c r="I424" s="2" t="s">
        <v>14</v>
      </c>
      <c r="J424" s="2">
        <v>2</v>
      </c>
      <c r="K424" s="2" t="s">
        <v>970</v>
      </c>
    </row>
    <row r="425" spans="1:11">
      <c r="A425" s="2" t="s">
        <v>622</v>
      </c>
      <c r="B425" s="2" t="s">
        <v>559</v>
      </c>
      <c r="C425" s="2" t="s">
        <v>560</v>
      </c>
      <c r="D425" s="2" t="s">
        <v>561</v>
      </c>
      <c r="E425" s="2" t="s">
        <v>560</v>
      </c>
      <c r="F425" s="3">
        <v>62</v>
      </c>
      <c r="G425" s="2" t="s">
        <v>137</v>
      </c>
      <c r="H425" s="2">
        <v>1</v>
      </c>
      <c r="I425" s="2" t="s">
        <v>14</v>
      </c>
      <c r="J425" s="2">
        <v>2</v>
      </c>
      <c r="K425" s="2" t="s">
        <v>970</v>
      </c>
    </row>
    <row r="426" spans="1:11">
      <c r="A426" s="2" t="s">
        <v>623</v>
      </c>
      <c r="B426" s="2" t="s">
        <v>559</v>
      </c>
      <c r="C426" s="2" t="s">
        <v>560</v>
      </c>
      <c r="D426" s="2" t="s">
        <v>561</v>
      </c>
      <c r="E426" s="2" t="s">
        <v>560</v>
      </c>
      <c r="F426" s="3">
        <v>63</v>
      </c>
      <c r="G426" s="2" t="s">
        <v>139</v>
      </c>
      <c r="H426" s="2">
        <v>1</v>
      </c>
      <c r="I426" s="2" t="s">
        <v>14</v>
      </c>
      <c r="J426" s="2">
        <v>2</v>
      </c>
      <c r="K426" s="2" t="s">
        <v>970</v>
      </c>
    </row>
    <row r="427" spans="1:11">
      <c r="A427" s="2" t="s">
        <v>624</v>
      </c>
      <c r="B427" s="2" t="s">
        <v>559</v>
      </c>
      <c r="C427" s="2" t="s">
        <v>560</v>
      </c>
      <c r="D427" s="2" t="s">
        <v>561</v>
      </c>
      <c r="E427" s="2" t="s">
        <v>560</v>
      </c>
      <c r="F427" s="3">
        <v>64</v>
      </c>
      <c r="G427" s="2" t="s">
        <v>141</v>
      </c>
      <c r="H427" s="2">
        <v>2</v>
      </c>
      <c r="I427" s="2" t="s">
        <v>142</v>
      </c>
      <c r="J427" s="2">
        <v>2</v>
      </c>
      <c r="K427" s="2" t="s">
        <v>970</v>
      </c>
    </row>
    <row r="428" spans="1:11">
      <c r="A428" s="2" t="s">
        <v>625</v>
      </c>
      <c r="B428" s="2" t="s">
        <v>559</v>
      </c>
      <c r="C428" s="2" t="s">
        <v>560</v>
      </c>
      <c r="D428" s="2" t="s">
        <v>561</v>
      </c>
      <c r="E428" s="2" t="s">
        <v>560</v>
      </c>
      <c r="F428" s="3">
        <v>65</v>
      </c>
      <c r="G428" s="2" t="s">
        <v>144</v>
      </c>
      <c r="H428" s="2">
        <v>2</v>
      </c>
      <c r="I428" s="2" t="s">
        <v>142</v>
      </c>
      <c r="J428" s="2">
        <v>2</v>
      </c>
      <c r="K428" s="2" t="s">
        <v>970</v>
      </c>
    </row>
    <row r="429" spans="1:11">
      <c r="A429" s="2" t="s">
        <v>626</v>
      </c>
      <c r="B429" s="2" t="s">
        <v>559</v>
      </c>
      <c r="C429" s="2" t="s">
        <v>560</v>
      </c>
      <c r="D429" s="2" t="s">
        <v>561</v>
      </c>
      <c r="E429" s="2" t="s">
        <v>560</v>
      </c>
      <c r="F429" s="3">
        <v>66</v>
      </c>
      <c r="G429" s="2" t="s">
        <v>146</v>
      </c>
      <c r="H429" s="2">
        <v>1</v>
      </c>
      <c r="I429" s="2" t="s">
        <v>14</v>
      </c>
      <c r="J429" s="2">
        <v>2</v>
      </c>
      <c r="K429" s="2" t="s">
        <v>970</v>
      </c>
    </row>
    <row r="430" spans="1:11">
      <c r="A430" s="2" t="s">
        <v>627</v>
      </c>
      <c r="B430" s="2" t="s">
        <v>559</v>
      </c>
      <c r="C430" s="2" t="s">
        <v>560</v>
      </c>
      <c r="D430" s="2" t="s">
        <v>561</v>
      </c>
      <c r="E430" s="2" t="s">
        <v>560</v>
      </c>
      <c r="F430" s="3">
        <v>67</v>
      </c>
      <c r="G430" s="2" t="s">
        <v>148</v>
      </c>
      <c r="H430" s="2">
        <v>2</v>
      </c>
      <c r="I430" s="2" t="s">
        <v>142</v>
      </c>
      <c r="J430" s="2">
        <v>2</v>
      </c>
      <c r="K430" s="2" t="s">
        <v>970</v>
      </c>
    </row>
    <row r="431" spans="1:11">
      <c r="A431" s="2" t="s">
        <v>628</v>
      </c>
      <c r="B431" s="2" t="s">
        <v>559</v>
      </c>
      <c r="C431" s="2" t="s">
        <v>560</v>
      </c>
      <c r="D431" s="2" t="s">
        <v>561</v>
      </c>
      <c r="E431" s="2" t="s">
        <v>560</v>
      </c>
      <c r="F431" s="3">
        <v>68</v>
      </c>
      <c r="G431" s="2" t="s">
        <v>150</v>
      </c>
      <c r="H431" s="2">
        <v>2</v>
      </c>
      <c r="I431" s="2" t="s">
        <v>142</v>
      </c>
      <c r="J431" s="2">
        <v>2</v>
      </c>
      <c r="K431" s="2" t="s">
        <v>970</v>
      </c>
    </row>
    <row r="432" spans="1:11">
      <c r="A432" s="2" t="s">
        <v>629</v>
      </c>
      <c r="B432" s="2" t="s">
        <v>559</v>
      </c>
      <c r="C432" s="2" t="s">
        <v>560</v>
      </c>
      <c r="D432" s="2" t="s">
        <v>561</v>
      </c>
      <c r="E432" s="2" t="s">
        <v>560</v>
      </c>
      <c r="F432" s="3">
        <v>69</v>
      </c>
      <c r="G432" s="2" t="s">
        <v>152</v>
      </c>
      <c r="H432" s="2">
        <v>2</v>
      </c>
      <c r="I432" s="2" t="s">
        <v>142</v>
      </c>
      <c r="J432" s="2">
        <v>2</v>
      </c>
      <c r="K432" s="2" t="s">
        <v>970</v>
      </c>
    </row>
    <row r="433" spans="1:11">
      <c r="A433" s="2" t="s">
        <v>630</v>
      </c>
      <c r="B433" s="2" t="s">
        <v>559</v>
      </c>
      <c r="C433" s="2" t="s">
        <v>560</v>
      </c>
      <c r="D433" s="2" t="s">
        <v>561</v>
      </c>
      <c r="E433" s="2" t="s">
        <v>560</v>
      </c>
      <c r="F433" s="3">
        <v>70</v>
      </c>
      <c r="G433" s="2" t="s">
        <v>154</v>
      </c>
      <c r="H433" s="2">
        <v>2</v>
      </c>
      <c r="I433" s="2" t="s">
        <v>142</v>
      </c>
      <c r="J433" s="2">
        <v>2</v>
      </c>
      <c r="K433" s="2" t="s">
        <v>970</v>
      </c>
    </row>
    <row r="434" spans="1:11">
      <c r="A434" s="2" t="s">
        <v>631</v>
      </c>
      <c r="B434" s="2" t="s">
        <v>559</v>
      </c>
      <c r="C434" s="2" t="s">
        <v>560</v>
      </c>
      <c r="D434" s="2" t="s">
        <v>561</v>
      </c>
      <c r="E434" s="2" t="s">
        <v>560</v>
      </c>
      <c r="F434" s="3">
        <v>71</v>
      </c>
      <c r="G434" s="2" t="s">
        <v>156</v>
      </c>
      <c r="H434" s="2">
        <v>2</v>
      </c>
      <c r="I434" s="2" t="s">
        <v>142</v>
      </c>
      <c r="J434" s="2">
        <v>2</v>
      </c>
      <c r="K434" s="2" t="s">
        <v>970</v>
      </c>
    </row>
    <row r="435" spans="1:11">
      <c r="A435" s="2" t="s">
        <v>632</v>
      </c>
      <c r="B435" s="2" t="s">
        <v>559</v>
      </c>
      <c r="C435" s="2" t="s">
        <v>560</v>
      </c>
      <c r="D435" s="2" t="s">
        <v>561</v>
      </c>
      <c r="E435" s="2" t="s">
        <v>560</v>
      </c>
      <c r="F435" s="3">
        <v>72</v>
      </c>
      <c r="G435" s="2" t="s">
        <v>158</v>
      </c>
      <c r="H435" s="2">
        <v>2</v>
      </c>
      <c r="I435" s="2" t="s">
        <v>142</v>
      </c>
      <c r="J435" s="2">
        <v>2</v>
      </c>
      <c r="K435" s="2" t="s">
        <v>970</v>
      </c>
    </row>
    <row r="436" spans="1:11">
      <c r="A436" s="2" t="s">
        <v>633</v>
      </c>
      <c r="B436" s="2" t="s">
        <v>559</v>
      </c>
      <c r="C436" s="2" t="s">
        <v>560</v>
      </c>
      <c r="D436" s="2" t="s">
        <v>561</v>
      </c>
      <c r="E436" s="2" t="s">
        <v>560</v>
      </c>
      <c r="F436" s="3">
        <v>73</v>
      </c>
      <c r="G436" s="2" t="s">
        <v>160</v>
      </c>
      <c r="H436" s="2">
        <v>2</v>
      </c>
      <c r="I436" s="2" t="s">
        <v>142</v>
      </c>
      <c r="J436" s="2">
        <v>2</v>
      </c>
      <c r="K436" s="2" t="s">
        <v>970</v>
      </c>
    </row>
    <row r="437" spans="1:11">
      <c r="A437" s="2" t="s">
        <v>634</v>
      </c>
      <c r="B437" s="2" t="s">
        <v>559</v>
      </c>
      <c r="C437" s="2" t="s">
        <v>560</v>
      </c>
      <c r="D437" s="2" t="s">
        <v>561</v>
      </c>
      <c r="E437" s="2" t="s">
        <v>560</v>
      </c>
      <c r="F437" s="3">
        <v>74</v>
      </c>
      <c r="G437" s="2" t="s">
        <v>162</v>
      </c>
      <c r="H437" s="2">
        <v>2</v>
      </c>
      <c r="I437" s="2" t="s">
        <v>142</v>
      </c>
      <c r="J437" s="2">
        <v>2</v>
      </c>
      <c r="K437" s="2" t="s">
        <v>970</v>
      </c>
    </row>
    <row r="438" spans="1:11">
      <c r="A438" s="2" t="s">
        <v>635</v>
      </c>
      <c r="B438" s="2" t="s">
        <v>559</v>
      </c>
      <c r="C438" s="2" t="s">
        <v>560</v>
      </c>
      <c r="D438" s="2" t="s">
        <v>561</v>
      </c>
      <c r="E438" s="2" t="s">
        <v>560</v>
      </c>
      <c r="F438" s="3">
        <v>75</v>
      </c>
      <c r="G438" s="2" t="s">
        <v>164</v>
      </c>
      <c r="H438" s="2">
        <v>2</v>
      </c>
      <c r="I438" s="2" t="s">
        <v>142</v>
      </c>
      <c r="J438" s="2">
        <v>2</v>
      </c>
      <c r="K438" s="2" t="s">
        <v>970</v>
      </c>
    </row>
    <row r="439" spans="1:11">
      <c r="A439" s="2" t="s">
        <v>636</v>
      </c>
      <c r="B439" s="2" t="s">
        <v>559</v>
      </c>
      <c r="C439" s="2" t="s">
        <v>560</v>
      </c>
      <c r="D439" s="2" t="s">
        <v>561</v>
      </c>
      <c r="E439" s="2" t="s">
        <v>560</v>
      </c>
      <c r="F439" s="3">
        <v>76</v>
      </c>
      <c r="G439" s="2" t="s">
        <v>166</v>
      </c>
      <c r="H439" s="2">
        <v>3</v>
      </c>
      <c r="I439" s="2" t="s">
        <v>67</v>
      </c>
      <c r="J439" s="2">
        <v>2</v>
      </c>
      <c r="K439" s="2" t="s">
        <v>970</v>
      </c>
    </row>
    <row r="440" spans="1:11">
      <c r="A440" s="2" t="s">
        <v>637</v>
      </c>
      <c r="B440" s="2" t="s">
        <v>559</v>
      </c>
      <c r="C440" s="2" t="s">
        <v>560</v>
      </c>
      <c r="D440" s="2" t="s">
        <v>561</v>
      </c>
      <c r="E440" s="2" t="s">
        <v>560</v>
      </c>
      <c r="F440" s="3">
        <v>77</v>
      </c>
      <c r="G440" s="2" t="s">
        <v>168</v>
      </c>
      <c r="H440" s="2">
        <v>3</v>
      </c>
      <c r="I440" s="2" t="s">
        <v>67</v>
      </c>
      <c r="J440" s="2">
        <v>2</v>
      </c>
      <c r="K440" s="2" t="s">
        <v>970</v>
      </c>
    </row>
    <row r="441" spans="1:11">
      <c r="A441" s="2" t="s">
        <v>638</v>
      </c>
      <c r="B441" s="2" t="s">
        <v>559</v>
      </c>
      <c r="C441" s="2" t="s">
        <v>560</v>
      </c>
      <c r="D441" s="2" t="s">
        <v>561</v>
      </c>
      <c r="E441" s="2" t="s">
        <v>560</v>
      </c>
      <c r="F441" s="3">
        <v>78</v>
      </c>
      <c r="G441" s="2" t="s">
        <v>170</v>
      </c>
      <c r="H441" s="2">
        <v>3</v>
      </c>
      <c r="I441" s="2" t="s">
        <v>67</v>
      </c>
      <c r="J441" s="2">
        <v>2</v>
      </c>
      <c r="K441" s="2" t="s">
        <v>970</v>
      </c>
    </row>
    <row r="442" spans="1:11">
      <c r="A442" s="2" t="s">
        <v>639</v>
      </c>
      <c r="B442" s="2" t="s">
        <v>559</v>
      </c>
      <c r="C442" s="2" t="s">
        <v>560</v>
      </c>
      <c r="D442" s="2" t="s">
        <v>561</v>
      </c>
      <c r="E442" s="2" t="s">
        <v>560</v>
      </c>
      <c r="F442" s="3">
        <v>79</v>
      </c>
      <c r="G442" s="2" t="s">
        <v>172</v>
      </c>
      <c r="H442" s="2">
        <v>3</v>
      </c>
      <c r="I442" s="2" t="s">
        <v>67</v>
      </c>
      <c r="J442" s="2">
        <v>2</v>
      </c>
      <c r="K442" s="2" t="s">
        <v>970</v>
      </c>
    </row>
    <row r="443" spans="1:11">
      <c r="A443" s="2" t="s">
        <v>640</v>
      </c>
      <c r="B443" s="2" t="s">
        <v>559</v>
      </c>
      <c r="C443" s="2" t="s">
        <v>560</v>
      </c>
      <c r="D443" s="2" t="s">
        <v>561</v>
      </c>
      <c r="E443" s="2" t="s">
        <v>560</v>
      </c>
      <c r="F443" s="3">
        <v>80</v>
      </c>
      <c r="G443" s="2" t="s">
        <v>174</v>
      </c>
      <c r="H443" s="2">
        <v>3</v>
      </c>
      <c r="I443" s="2" t="s">
        <v>67</v>
      </c>
      <c r="J443" s="2">
        <v>2</v>
      </c>
      <c r="K443" s="2" t="s">
        <v>970</v>
      </c>
    </row>
    <row r="444" spans="1:11">
      <c r="A444" s="2" t="s">
        <v>641</v>
      </c>
      <c r="B444" s="2" t="s">
        <v>559</v>
      </c>
      <c r="C444" s="2" t="s">
        <v>560</v>
      </c>
      <c r="D444" s="2" t="s">
        <v>561</v>
      </c>
      <c r="E444" s="2" t="s">
        <v>560</v>
      </c>
      <c r="F444" s="3">
        <v>81</v>
      </c>
      <c r="G444" s="2" t="s">
        <v>176</v>
      </c>
      <c r="H444" s="2">
        <v>3</v>
      </c>
      <c r="I444" s="2" t="s">
        <v>67</v>
      </c>
      <c r="J444" s="2">
        <v>2</v>
      </c>
      <c r="K444" s="2" t="s">
        <v>970</v>
      </c>
    </row>
    <row r="445" spans="1:11">
      <c r="A445" s="2" t="s">
        <v>642</v>
      </c>
      <c r="B445" s="2" t="s">
        <v>559</v>
      </c>
      <c r="C445" s="2" t="s">
        <v>560</v>
      </c>
      <c r="D445" s="2" t="s">
        <v>561</v>
      </c>
      <c r="E445" s="2" t="s">
        <v>560</v>
      </c>
      <c r="F445" s="3">
        <v>82</v>
      </c>
      <c r="G445" s="2" t="s">
        <v>178</v>
      </c>
      <c r="H445" s="2">
        <v>2</v>
      </c>
      <c r="I445" s="2" t="s">
        <v>142</v>
      </c>
      <c r="J445" s="2">
        <v>2</v>
      </c>
      <c r="K445" s="2" t="s">
        <v>970</v>
      </c>
    </row>
    <row r="446" spans="1:11">
      <c r="A446" s="2" t="s">
        <v>643</v>
      </c>
      <c r="B446" s="2" t="s">
        <v>559</v>
      </c>
      <c r="C446" s="2" t="s">
        <v>560</v>
      </c>
      <c r="D446" s="2" t="s">
        <v>561</v>
      </c>
      <c r="E446" s="2" t="s">
        <v>560</v>
      </c>
      <c r="F446" s="3">
        <v>83</v>
      </c>
      <c r="G446" s="2" t="s">
        <v>180</v>
      </c>
      <c r="H446" s="2">
        <v>3</v>
      </c>
      <c r="I446" s="2" t="s">
        <v>67</v>
      </c>
      <c r="J446" s="2">
        <v>2</v>
      </c>
      <c r="K446" s="2" t="s">
        <v>970</v>
      </c>
    </row>
    <row r="447" spans="1:11">
      <c r="A447" s="2" t="s">
        <v>644</v>
      </c>
      <c r="B447" s="2" t="s">
        <v>559</v>
      </c>
      <c r="C447" s="2" t="s">
        <v>560</v>
      </c>
      <c r="D447" s="2" t="s">
        <v>561</v>
      </c>
      <c r="E447" s="2" t="s">
        <v>560</v>
      </c>
      <c r="F447" s="3">
        <v>84</v>
      </c>
      <c r="G447" s="2" t="s">
        <v>182</v>
      </c>
      <c r="H447" s="2">
        <v>3</v>
      </c>
      <c r="I447" s="2" t="s">
        <v>67</v>
      </c>
      <c r="J447" s="2">
        <v>2</v>
      </c>
      <c r="K447" s="2" t="s">
        <v>970</v>
      </c>
    </row>
    <row r="448" spans="1:11">
      <c r="A448" s="2" t="s">
        <v>645</v>
      </c>
      <c r="B448" s="2" t="s">
        <v>559</v>
      </c>
      <c r="C448" s="2" t="s">
        <v>560</v>
      </c>
      <c r="D448" s="2" t="s">
        <v>561</v>
      </c>
      <c r="E448" s="2" t="s">
        <v>560</v>
      </c>
      <c r="F448" s="3">
        <v>85</v>
      </c>
      <c r="G448" s="2" t="s">
        <v>184</v>
      </c>
      <c r="H448" s="2">
        <v>3</v>
      </c>
      <c r="I448" s="2" t="s">
        <v>67</v>
      </c>
      <c r="J448" s="2">
        <v>2</v>
      </c>
      <c r="K448" s="2" t="s">
        <v>970</v>
      </c>
    </row>
    <row r="449" spans="1:11">
      <c r="A449" s="2" t="s">
        <v>646</v>
      </c>
      <c r="B449" s="2" t="s">
        <v>559</v>
      </c>
      <c r="C449" s="2" t="s">
        <v>560</v>
      </c>
      <c r="D449" s="2" t="s">
        <v>561</v>
      </c>
      <c r="E449" s="2" t="s">
        <v>560</v>
      </c>
      <c r="F449" s="3">
        <v>86</v>
      </c>
      <c r="G449" s="2" t="s">
        <v>186</v>
      </c>
      <c r="H449" s="2">
        <v>2</v>
      </c>
      <c r="I449" s="2" t="s">
        <v>142</v>
      </c>
      <c r="J449" s="2">
        <v>2</v>
      </c>
      <c r="K449" s="2" t="s">
        <v>970</v>
      </c>
    </row>
    <row r="450" spans="1:11">
      <c r="A450" s="2" t="s">
        <v>647</v>
      </c>
      <c r="B450" s="2" t="s">
        <v>559</v>
      </c>
      <c r="C450" s="2" t="s">
        <v>560</v>
      </c>
      <c r="D450" s="2" t="s">
        <v>561</v>
      </c>
      <c r="E450" s="2" t="s">
        <v>560</v>
      </c>
      <c r="F450" s="3">
        <v>87</v>
      </c>
      <c r="G450" s="2" t="s">
        <v>188</v>
      </c>
      <c r="H450" s="2">
        <v>2</v>
      </c>
      <c r="I450" s="2" t="s">
        <v>142</v>
      </c>
      <c r="J450" s="2">
        <v>2</v>
      </c>
      <c r="K450" s="2" t="s">
        <v>970</v>
      </c>
    </row>
    <row r="451" spans="1:11">
      <c r="A451" s="2" t="s">
        <v>648</v>
      </c>
      <c r="B451" s="2" t="s">
        <v>559</v>
      </c>
      <c r="C451" s="2" t="s">
        <v>560</v>
      </c>
      <c r="D451" s="2" t="s">
        <v>561</v>
      </c>
      <c r="E451" s="2" t="s">
        <v>560</v>
      </c>
      <c r="F451" s="3">
        <v>88</v>
      </c>
      <c r="G451" s="2" t="s">
        <v>190</v>
      </c>
      <c r="H451" s="2">
        <v>3</v>
      </c>
      <c r="I451" s="2" t="s">
        <v>67</v>
      </c>
      <c r="J451" s="2">
        <v>2</v>
      </c>
      <c r="K451" s="2" t="s">
        <v>970</v>
      </c>
    </row>
    <row r="452" spans="1:11">
      <c r="A452" s="2" t="s">
        <v>649</v>
      </c>
      <c r="B452" s="2" t="s">
        <v>559</v>
      </c>
      <c r="C452" s="2" t="s">
        <v>560</v>
      </c>
      <c r="D452" s="2" t="s">
        <v>561</v>
      </c>
      <c r="E452" s="2" t="s">
        <v>560</v>
      </c>
      <c r="F452" s="3">
        <v>89</v>
      </c>
      <c r="G452" s="2" t="s">
        <v>192</v>
      </c>
      <c r="H452" s="2">
        <v>3</v>
      </c>
      <c r="I452" s="2" t="s">
        <v>67</v>
      </c>
      <c r="J452" s="2">
        <v>2</v>
      </c>
      <c r="K452" s="2" t="s">
        <v>970</v>
      </c>
    </row>
    <row r="453" spans="1:11">
      <c r="A453" s="2" t="s">
        <v>650</v>
      </c>
      <c r="B453" s="2" t="s">
        <v>559</v>
      </c>
      <c r="C453" s="2" t="s">
        <v>560</v>
      </c>
      <c r="D453" s="2" t="s">
        <v>561</v>
      </c>
      <c r="E453" s="2" t="s">
        <v>560</v>
      </c>
      <c r="F453" s="3">
        <v>90</v>
      </c>
      <c r="G453" s="2" t="s">
        <v>194</v>
      </c>
      <c r="H453" s="2">
        <v>3</v>
      </c>
      <c r="I453" s="2" t="s">
        <v>67</v>
      </c>
      <c r="J453" s="2">
        <v>2</v>
      </c>
      <c r="K453" s="2" t="s">
        <v>970</v>
      </c>
    </row>
    <row r="454" spans="1:11">
      <c r="A454" s="2" t="s">
        <v>651</v>
      </c>
      <c r="B454" s="2" t="s">
        <v>559</v>
      </c>
      <c r="C454" s="2" t="s">
        <v>560</v>
      </c>
      <c r="D454" s="2" t="s">
        <v>561</v>
      </c>
      <c r="E454" s="2" t="s">
        <v>560</v>
      </c>
      <c r="F454" s="3">
        <v>91</v>
      </c>
      <c r="G454" s="2" t="s">
        <v>196</v>
      </c>
      <c r="H454" s="2">
        <v>3</v>
      </c>
      <c r="I454" s="2" t="s">
        <v>67</v>
      </c>
      <c r="J454" s="2">
        <v>2</v>
      </c>
      <c r="K454" s="2" t="s">
        <v>970</v>
      </c>
    </row>
    <row r="455" spans="1:11">
      <c r="A455" s="2" t="s">
        <v>652</v>
      </c>
      <c r="B455" s="2" t="s">
        <v>559</v>
      </c>
      <c r="C455" s="2" t="s">
        <v>560</v>
      </c>
      <c r="D455" s="2" t="s">
        <v>561</v>
      </c>
      <c r="E455" s="2" t="s">
        <v>560</v>
      </c>
      <c r="F455" s="3">
        <v>92</v>
      </c>
      <c r="G455" s="2" t="s">
        <v>198</v>
      </c>
      <c r="H455" s="2">
        <v>3</v>
      </c>
      <c r="I455" s="2" t="s">
        <v>67</v>
      </c>
      <c r="J455" s="2">
        <v>2</v>
      </c>
      <c r="K455" s="2" t="s">
        <v>970</v>
      </c>
    </row>
    <row r="456" spans="1:11">
      <c r="A456" s="2" t="s">
        <v>653</v>
      </c>
      <c r="B456" s="2" t="s">
        <v>559</v>
      </c>
      <c r="C456" s="2" t="s">
        <v>560</v>
      </c>
      <c r="D456" s="2" t="s">
        <v>561</v>
      </c>
      <c r="E456" s="2" t="s">
        <v>560</v>
      </c>
      <c r="F456" s="3">
        <v>93</v>
      </c>
      <c r="G456" s="2" t="s">
        <v>200</v>
      </c>
      <c r="H456" s="2">
        <v>3</v>
      </c>
      <c r="I456" s="2" t="s">
        <v>67</v>
      </c>
      <c r="J456" s="2">
        <v>2</v>
      </c>
      <c r="K456" s="2" t="s">
        <v>970</v>
      </c>
    </row>
    <row r="457" spans="1:11">
      <c r="A457" s="2" t="s">
        <v>654</v>
      </c>
      <c r="B457" s="2" t="s">
        <v>559</v>
      </c>
      <c r="C457" s="2" t="s">
        <v>560</v>
      </c>
      <c r="D457" s="2" t="s">
        <v>561</v>
      </c>
      <c r="E457" s="2" t="s">
        <v>560</v>
      </c>
      <c r="F457" s="3">
        <v>94</v>
      </c>
      <c r="G457" s="2" t="s">
        <v>202</v>
      </c>
      <c r="H457" s="2">
        <v>3</v>
      </c>
      <c r="I457" s="2" t="s">
        <v>67</v>
      </c>
      <c r="J457" s="2">
        <v>2</v>
      </c>
      <c r="K457" s="2" t="s">
        <v>970</v>
      </c>
    </row>
    <row r="458" spans="1:11">
      <c r="A458" s="2" t="s">
        <v>655</v>
      </c>
      <c r="B458" s="2" t="s">
        <v>559</v>
      </c>
      <c r="C458" s="2" t="s">
        <v>560</v>
      </c>
      <c r="D458" s="2" t="s">
        <v>561</v>
      </c>
      <c r="E458" s="2" t="s">
        <v>560</v>
      </c>
      <c r="F458" s="3">
        <v>95</v>
      </c>
      <c r="G458" s="2" t="s">
        <v>204</v>
      </c>
      <c r="H458" s="2">
        <v>3</v>
      </c>
      <c r="I458" s="2" t="s">
        <v>67</v>
      </c>
      <c r="J458" s="2">
        <v>2</v>
      </c>
      <c r="K458" s="2" t="s">
        <v>970</v>
      </c>
    </row>
    <row r="459" spans="1:11">
      <c r="A459" s="2" t="s">
        <v>656</v>
      </c>
      <c r="B459" s="2" t="s">
        <v>559</v>
      </c>
      <c r="C459" s="2" t="s">
        <v>560</v>
      </c>
      <c r="D459" s="2" t="s">
        <v>561</v>
      </c>
      <c r="E459" s="2" t="s">
        <v>560</v>
      </c>
      <c r="F459" s="3">
        <v>96</v>
      </c>
      <c r="G459" s="2" t="s">
        <v>206</v>
      </c>
      <c r="H459" s="2">
        <v>3</v>
      </c>
      <c r="I459" s="2" t="s">
        <v>67</v>
      </c>
      <c r="J459" s="2">
        <v>2</v>
      </c>
      <c r="K459" s="2" t="s">
        <v>970</v>
      </c>
    </row>
    <row r="460" spans="1:11">
      <c r="A460" s="2" t="s">
        <v>657</v>
      </c>
      <c r="B460" s="2" t="s">
        <v>559</v>
      </c>
      <c r="C460" s="2" t="s">
        <v>560</v>
      </c>
      <c r="D460" s="2" t="s">
        <v>561</v>
      </c>
      <c r="E460" s="2" t="s">
        <v>560</v>
      </c>
      <c r="F460" s="3">
        <v>97</v>
      </c>
      <c r="G460" s="2" t="s">
        <v>208</v>
      </c>
      <c r="H460" s="2">
        <v>3</v>
      </c>
      <c r="I460" s="2" t="s">
        <v>67</v>
      </c>
      <c r="J460" s="2">
        <v>2</v>
      </c>
      <c r="K460" s="2" t="s">
        <v>970</v>
      </c>
    </row>
    <row r="461" spans="1:11">
      <c r="A461" s="2" t="s">
        <v>658</v>
      </c>
      <c r="B461" s="2" t="s">
        <v>559</v>
      </c>
      <c r="C461" s="2" t="s">
        <v>560</v>
      </c>
      <c r="D461" s="2" t="s">
        <v>561</v>
      </c>
      <c r="E461" s="2" t="s">
        <v>560</v>
      </c>
      <c r="F461" s="3">
        <v>98</v>
      </c>
      <c r="G461" s="2" t="s">
        <v>210</v>
      </c>
      <c r="H461" s="2">
        <v>3</v>
      </c>
      <c r="I461" s="2" t="s">
        <v>67</v>
      </c>
      <c r="J461" s="2">
        <v>2</v>
      </c>
      <c r="K461" s="2" t="s">
        <v>970</v>
      </c>
    </row>
    <row r="462" spans="1:11">
      <c r="A462" s="2" t="s">
        <v>659</v>
      </c>
      <c r="B462" s="2" t="s">
        <v>559</v>
      </c>
      <c r="C462" s="2" t="s">
        <v>560</v>
      </c>
      <c r="D462" s="2" t="s">
        <v>561</v>
      </c>
      <c r="E462" s="2" t="s">
        <v>560</v>
      </c>
      <c r="F462" s="3">
        <v>99</v>
      </c>
      <c r="G462" s="2" t="s">
        <v>212</v>
      </c>
      <c r="H462" s="2">
        <v>3</v>
      </c>
      <c r="I462" s="2" t="s">
        <v>67</v>
      </c>
      <c r="J462" s="2">
        <v>2</v>
      </c>
      <c r="K462" s="2" t="s">
        <v>970</v>
      </c>
    </row>
    <row r="463" spans="1:11">
      <c r="A463" s="2" t="s">
        <v>660</v>
      </c>
      <c r="B463" s="2" t="s">
        <v>559</v>
      </c>
      <c r="C463" s="2" t="s">
        <v>560</v>
      </c>
      <c r="D463" s="2" t="s">
        <v>561</v>
      </c>
      <c r="E463" s="2" t="s">
        <v>560</v>
      </c>
      <c r="F463" s="3">
        <v>100</v>
      </c>
      <c r="G463" s="2" t="s">
        <v>214</v>
      </c>
      <c r="H463" s="2">
        <v>3</v>
      </c>
      <c r="I463" s="2" t="s">
        <v>67</v>
      </c>
      <c r="J463" s="2">
        <v>2</v>
      </c>
      <c r="K463" s="2" t="s">
        <v>970</v>
      </c>
    </row>
    <row r="464" spans="1:11">
      <c r="A464" s="2" t="s">
        <v>661</v>
      </c>
      <c r="B464" s="2" t="s">
        <v>559</v>
      </c>
      <c r="C464" s="2" t="s">
        <v>560</v>
      </c>
      <c r="D464" s="2" t="s">
        <v>561</v>
      </c>
      <c r="E464" s="2" t="s">
        <v>560</v>
      </c>
      <c r="F464" s="3">
        <v>101</v>
      </c>
      <c r="G464" s="2" t="s">
        <v>216</v>
      </c>
      <c r="H464" s="2">
        <v>3</v>
      </c>
      <c r="I464" s="2" t="s">
        <v>67</v>
      </c>
      <c r="J464" s="2">
        <v>2</v>
      </c>
      <c r="K464" s="2" t="s">
        <v>970</v>
      </c>
    </row>
    <row r="465" spans="1:11">
      <c r="A465" s="2" t="s">
        <v>662</v>
      </c>
      <c r="B465" s="2" t="s">
        <v>559</v>
      </c>
      <c r="C465" s="2" t="s">
        <v>560</v>
      </c>
      <c r="D465" s="2" t="s">
        <v>561</v>
      </c>
      <c r="E465" s="2" t="s">
        <v>560</v>
      </c>
      <c r="F465" s="3">
        <v>102</v>
      </c>
      <c r="G465" s="2" t="s">
        <v>218</v>
      </c>
      <c r="H465" s="2">
        <v>3</v>
      </c>
      <c r="I465" s="2" t="s">
        <v>67</v>
      </c>
      <c r="J465" s="2">
        <v>2</v>
      </c>
      <c r="K465" s="2" t="s">
        <v>970</v>
      </c>
    </row>
    <row r="466" spans="1:11">
      <c r="A466" s="2" t="s">
        <v>663</v>
      </c>
      <c r="B466" s="2" t="s">
        <v>559</v>
      </c>
      <c r="C466" s="2" t="s">
        <v>560</v>
      </c>
      <c r="D466" s="2" t="s">
        <v>561</v>
      </c>
      <c r="E466" s="2" t="s">
        <v>560</v>
      </c>
      <c r="F466" s="3">
        <v>103</v>
      </c>
      <c r="G466" s="2" t="s">
        <v>220</v>
      </c>
      <c r="H466" s="2">
        <v>3</v>
      </c>
      <c r="I466" s="2" t="s">
        <v>67</v>
      </c>
      <c r="J466" s="2">
        <v>2</v>
      </c>
      <c r="K466" s="2" t="s">
        <v>970</v>
      </c>
    </row>
    <row r="467" spans="1:11">
      <c r="A467" s="2" t="s">
        <v>664</v>
      </c>
      <c r="B467" s="2" t="s">
        <v>559</v>
      </c>
      <c r="C467" s="2" t="s">
        <v>560</v>
      </c>
      <c r="D467" s="2" t="s">
        <v>561</v>
      </c>
      <c r="E467" s="2" t="s">
        <v>560</v>
      </c>
      <c r="F467" s="3">
        <v>104</v>
      </c>
      <c r="G467" s="2" t="s">
        <v>222</v>
      </c>
      <c r="H467" s="2">
        <v>3</v>
      </c>
      <c r="I467" s="2" t="s">
        <v>67</v>
      </c>
      <c r="J467" s="2">
        <v>2</v>
      </c>
      <c r="K467" s="2" t="s">
        <v>970</v>
      </c>
    </row>
    <row r="468" spans="1:11">
      <c r="A468" s="2" t="s">
        <v>665</v>
      </c>
      <c r="B468" s="2" t="s">
        <v>559</v>
      </c>
      <c r="C468" s="2" t="s">
        <v>560</v>
      </c>
      <c r="D468" s="2" t="s">
        <v>561</v>
      </c>
      <c r="E468" s="2" t="s">
        <v>560</v>
      </c>
      <c r="F468" s="3">
        <v>105</v>
      </c>
      <c r="G468" s="2" t="s">
        <v>224</v>
      </c>
      <c r="H468" s="2">
        <v>3</v>
      </c>
      <c r="I468" s="2" t="s">
        <v>67</v>
      </c>
      <c r="J468" s="2">
        <v>2</v>
      </c>
      <c r="K468" s="2" t="s">
        <v>970</v>
      </c>
    </row>
    <row r="469" spans="1:11">
      <c r="A469" s="2" t="s">
        <v>666</v>
      </c>
      <c r="B469" s="2" t="s">
        <v>559</v>
      </c>
      <c r="C469" s="2" t="s">
        <v>560</v>
      </c>
      <c r="D469" s="2" t="s">
        <v>561</v>
      </c>
      <c r="E469" s="2" t="s">
        <v>560</v>
      </c>
      <c r="F469" s="3">
        <v>106</v>
      </c>
      <c r="G469" s="2" t="s">
        <v>226</v>
      </c>
      <c r="H469" s="2">
        <v>3</v>
      </c>
      <c r="I469" s="2" t="s">
        <v>67</v>
      </c>
      <c r="J469" s="2">
        <v>2</v>
      </c>
      <c r="K469" s="2" t="s">
        <v>970</v>
      </c>
    </row>
    <row r="470" spans="1:11">
      <c r="A470" s="2" t="s">
        <v>667</v>
      </c>
      <c r="B470" s="2" t="s">
        <v>559</v>
      </c>
      <c r="C470" s="2" t="s">
        <v>560</v>
      </c>
      <c r="D470" s="2" t="s">
        <v>561</v>
      </c>
      <c r="E470" s="2" t="s">
        <v>560</v>
      </c>
      <c r="F470" s="3">
        <v>107</v>
      </c>
      <c r="G470" s="2" t="s">
        <v>228</v>
      </c>
      <c r="H470" s="2">
        <v>3</v>
      </c>
      <c r="I470" s="2" t="s">
        <v>67</v>
      </c>
      <c r="J470" s="2">
        <v>2</v>
      </c>
      <c r="K470" s="2" t="s">
        <v>970</v>
      </c>
    </row>
    <row r="471" spans="1:11">
      <c r="A471" s="2" t="s">
        <v>668</v>
      </c>
      <c r="B471" s="2" t="s">
        <v>559</v>
      </c>
      <c r="C471" s="2" t="s">
        <v>560</v>
      </c>
      <c r="D471" s="2" t="s">
        <v>561</v>
      </c>
      <c r="E471" s="2" t="s">
        <v>560</v>
      </c>
      <c r="F471" s="3">
        <v>108</v>
      </c>
      <c r="G471" s="2" t="s">
        <v>230</v>
      </c>
      <c r="H471" s="2">
        <v>3</v>
      </c>
      <c r="I471" s="2" t="s">
        <v>67</v>
      </c>
      <c r="J471" s="2">
        <v>2</v>
      </c>
      <c r="K471" s="2" t="s">
        <v>970</v>
      </c>
    </row>
    <row r="472" spans="1:11">
      <c r="A472" s="2" t="s">
        <v>669</v>
      </c>
      <c r="B472" s="2" t="s">
        <v>559</v>
      </c>
      <c r="C472" s="2" t="s">
        <v>560</v>
      </c>
      <c r="D472" s="2" t="s">
        <v>561</v>
      </c>
      <c r="E472" s="2" t="s">
        <v>560</v>
      </c>
      <c r="F472" s="3">
        <v>109</v>
      </c>
      <c r="G472" s="2" t="s">
        <v>232</v>
      </c>
      <c r="H472" s="2">
        <v>3</v>
      </c>
      <c r="I472" s="2" t="s">
        <v>67</v>
      </c>
      <c r="J472" s="2">
        <v>2</v>
      </c>
      <c r="K472" s="2" t="s">
        <v>970</v>
      </c>
    </row>
    <row r="473" spans="1:11">
      <c r="A473" s="2" t="s">
        <v>670</v>
      </c>
      <c r="B473" s="2" t="s">
        <v>559</v>
      </c>
      <c r="C473" s="2" t="s">
        <v>560</v>
      </c>
      <c r="D473" s="2" t="s">
        <v>561</v>
      </c>
      <c r="E473" s="2" t="s">
        <v>560</v>
      </c>
      <c r="F473" s="3">
        <v>110</v>
      </c>
      <c r="G473" s="2" t="s">
        <v>234</v>
      </c>
      <c r="H473" s="2">
        <v>3</v>
      </c>
      <c r="I473" s="2" t="s">
        <v>67</v>
      </c>
      <c r="J473" s="2">
        <v>2</v>
      </c>
      <c r="K473" s="2" t="s">
        <v>970</v>
      </c>
    </row>
    <row r="474" spans="1:11">
      <c r="A474" s="2" t="s">
        <v>671</v>
      </c>
      <c r="B474" s="2" t="s">
        <v>559</v>
      </c>
      <c r="C474" s="2" t="s">
        <v>560</v>
      </c>
      <c r="D474" s="2" t="s">
        <v>561</v>
      </c>
      <c r="E474" s="2" t="s">
        <v>560</v>
      </c>
      <c r="F474" s="3">
        <v>111</v>
      </c>
      <c r="G474" s="2" t="s">
        <v>236</v>
      </c>
      <c r="H474" s="2">
        <v>3</v>
      </c>
      <c r="I474" s="2" t="s">
        <v>67</v>
      </c>
      <c r="J474" s="2">
        <v>2</v>
      </c>
      <c r="K474" s="2" t="s">
        <v>970</v>
      </c>
    </row>
    <row r="475" spans="1:11">
      <c r="A475" s="2" t="s">
        <v>672</v>
      </c>
      <c r="B475" s="2" t="s">
        <v>559</v>
      </c>
      <c r="C475" s="2" t="s">
        <v>560</v>
      </c>
      <c r="D475" s="2" t="s">
        <v>561</v>
      </c>
      <c r="E475" s="2" t="s">
        <v>560</v>
      </c>
      <c r="F475" s="3">
        <v>112</v>
      </c>
      <c r="G475" s="2" t="s">
        <v>238</v>
      </c>
      <c r="H475" s="2">
        <v>3</v>
      </c>
      <c r="I475" s="2" t="s">
        <v>67</v>
      </c>
      <c r="J475" s="2">
        <v>2</v>
      </c>
      <c r="K475" s="2" t="s">
        <v>970</v>
      </c>
    </row>
    <row r="476" spans="1:11">
      <c r="A476" s="2" t="s">
        <v>673</v>
      </c>
      <c r="B476" s="2" t="s">
        <v>559</v>
      </c>
      <c r="C476" s="2" t="s">
        <v>560</v>
      </c>
      <c r="D476" s="2" t="s">
        <v>561</v>
      </c>
      <c r="E476" s="2" t="s">
        <v>560</v>
      </c>
      <c r="F476" s="3">
        <v>113</v>
      </c>
      <c r="G476" s="2" t="s">
        <v>240</v>
      </c>
      <c r="H476" s="2">
        <v>3</v>
      </c>
      <c r="I476" s="2" t="s">
        <v>67</v>
      </c>
      <c r="J476" s="2">
        <v>2</v>
      </c>
      <c r="K476" s="2" t="s">
        <v>970</v>
      </c>
    </row>
    <row r="477" spans="1:11">
      <c r="A477" s="2" t="s">
        <v>674</v>
      </c>
      <c r="B477" s="2" t="s">
        <v>559</v>
      </c>
      <c r="C477" s="2" t="s">
        <v>560</v>
      </c>
      <c r="D477" s="2" t="s">
        <v>561</v>
      </c>
      <c r="E477" s="2" t="s">
        <v>560</v>
      </c>
      <c r="F477" s="3">
        <v>114</v>
      </c>
      <c r="G477" s="2" t="s">
        <v>242</v>
      </c>
      <c r="H477" s="2">
        <v>3</v>
      </c>
      <c r="I477" s="2" t="s">
        <v>67</v>
      </c>
      <c r="J477" s="2">
        <v>2</v>
      </c>
      <c r="K477" s="2" t="s">
        <v>970</v>
      </c>
    </row>
    <row r="478" spans="1:11">
      <c r="A478" s="2" t="s">
        <v>675</v>
      </c>
      <c r="B478" s="2" t="s">
        <v>559</v>
      </c>
      <c r="C478" s="2" t="s">
        <v>560</v>
      </c>
      <c r="D478" s="2" t="s">
        <v>561</v>
      </c>
      <c r="E478" s="2" t="s">
        <v>560</v>
      </c>
      <c r="F478" s="3">
        <v>115</v>
      </c>
      <c r="G478" s="2" t="s">
        <v>244</v>
      </c>
      <c r="H478" s="2">
        <v>3</v>
      </c>
      <c r="I478" s="2" t="s">
        <v>67</v>
      </c>
      <c r="J478" s="2">
        <v>2</v>
      </c>
      <c r="K478" s="2" t="s">
        <v>970</v>
      </c>
    </row>
    <row r="479" spans="1:11">
      <c r="A479" s="2" t="s">
        <v>676</v>
      </c>
      <c r="B479" s="2" t="s">
        <v>559</v>
      </c>
      <c r="C479" s="2" t="s">
        <v>560</v>
      </c>
      <c r="D479" s="2" t="s">
        <v>561</v>
      </c>
      <c r="E479" s="2" t="s">
        <v>560</v>
      </c>
      <c r="F479" s="3">
        <v>116</v>
      </c>
      <c r="G479" s="2" t="s">
        <v>246</v>
      </c>
      <c r="H479" s="2">
        <v>3</v>
      </c>
      <c r="I479" s="2" t="s">
        <v>67</v>
      </c>
      <c r="J479" s="2">
        <v>2</v>
      </c>
      <c r="K479" s="2" t="s">
        <v>970</v>
      </c>
    </row>
    <row r="480" spans="1:11">
      <c r="A480" s="2" t="s">
        <v>677</v>
      </c>
      <c r="B480" s="2" t="s">
        <v>559</v>
      </c>
      <c r="C480" s="2" t="s">
        <v>560</v>
      </c>
      <c r="D480" s="2" t="s">
        <v>561</v>
      </c>
      <c r="E480" s="2" t="s">
        <v>560</v>
      </c>
      <c r="F480" s="3">
        <v>117</v>
      </c>
      <c r="G480" s="2" t="s">
        <v>248</v>
      </c>
      <c r="H480" s="2">
        <v>3</v>
      </c>
      <c r="I480" s="2" t="s">
        <v>67</v>
      </c>
      <c r="J480" s="2">
        <v>2</v>
      </c>
      <c r="K480" s="2" t="s">
        <v>970</v>
      </c>
    </row>
    <row r="481" spans="1:11">
      <c r="A481" s="2" t="s">
        <v>678</v>
      </c>
      <c r="B481" s="2" t="s">
        <v>559</v>
      </c>
      <c r="C481" s="2" t="s">
        <v>560</v>
      </c>
      <c r="D481" s="2" t="s">
        <v>561</v>
      </c>
      <c r="E481" s="2" t="s">
        <v>560</v>
      </c>
      <c r="F481" s="3">
        <v>118</v>
      </c>
      <c r="G481" s="2" t="s">
        <v>250</v>
      </c>
      <c r="H481" s="2">
        <v>3</v>
      </c>
      <c r="I481" s="2" t="s">
        <v>67</v>
      </c>
      <c r="J481" s="2">
        <v>2</v>
      </c>
      <c r="K481" s="2" t="s">
        <v>970</v>
      </c>
    </row>
    <row r="482" spans="1:11">
      <c r="A482" s="2" t="s">
        <v>679</v>
      </c>
      <c r="B482" s="2" t="s">
        <v>559</v>
      </c>
      <c r="C482" s="2" t="s">
        <v>560</v>
      </c>
      <c r="D482" s="2" t="s">
        <v>561</v>
      </c>
      <c r="E482" s="2" t="s">
        <v>560</v>
      </c>
      <c r="F482" s="3">
        <v>119</v>
      </c>
      <c r="G482" s="2" t="s">
        <v>252</v>
      </c>
      <c r="H482" s="2">
        <v>3</v>
      </c>
      <c r="I482" s="2" t="s">
        <v>67</v>
      </c>
      <c r="J482" s="2">
        <v>2</v>
      </c>
      <c r="K482" s="2" t="s">
        <v>970</v>
      </c>
    </row>
    <row r="483" spans="1:11">
      <c r="A483" s="2" t="s">
        <v>680</v>
      </c>
      <c r="B483" s="2" t="s">
        <v>559</v>
      </c>
      <c r="C483" s="2" t="s">
        <v>560</v>
      </c>
      <c r="D483" s="2" t="s">
        <v>561</v>
      </c>
      <c r="E483" s="2" t="s">
        <v>560</v>
      </c>
      <c r="F483" s="3">
        <v>120</v>
      </c>
      <c r="G483" s="2" t="s">
        <v>254</v>
      </c>
      <c r="H483" s="2">
        <v>3</v>
      </c>
      <c r="I483" s="2" t="s">
        <v>67</v>
      </c>
      <c r="J483" s="2">
        <v>2</v>
      </c>
      <c r="K483" s="2" t="s">
        <v>970</v>
      </c>
    </row>
    <row r="484" spans="1:11">
      <c r="A484" s="2" t="s">
        <v>681</v>
      </c>
      <c r="B484" s="2" t="s">
        <v>559</v>
      </c>
      <c r="C484" s="2" t="s">
        <v>560</v>
      </c>
      <c r="D484" s="2" t="s">
        <v>561</v>
      </c>
      <c r="E484" s="2" t="s">
        <v>560</v>
      </c>
      <c r="F484" s="3">
        <v>121</v>
      </c>
      <c r="G484" s="2" t="s">
        <v>256</v>
      </c>
      <c r="H484" s="2">
        <v>3</v>
      </c>
      <c r="I484" s="2" t="s">
        <v>67</v>
      </c>
      <c r="J484" s="2">
        <v>2</v>
      </c>
      <c r="K484" s="2" t="s">
        <v>970</v>
      </c>
    </row>
    <row r="485" spans="1:11">
      <c r="A485" s="2" t="s">
        <v>682</v>
      </c>
      <c r="B485" s="2" t="s">
        <v>559</v>
      </c>
      <c r="C485" s="2" t="s">
        <v>560</v>
      </c>
      <c r="D485" s="2" t="s">
        <v>561</v>
      </c>
      <c r="E485" s="2" t="s">
        <v>560</v>
      </c>
      <c r="F485" s="3">
        <v>122</v>
      </c>
      <c r="G485" s="2" t="s">
        <v>258</v>
      </c>
      <c r="H485" s="2">
        <v>3</v>
      </c>
      <c r="I485" s="2" t="s">
        <v>67</v>
      </c>
      <c r="J485" s="2">
        <v>2</v>
      </c>
      <c r="K485" s="2" t="s">
        <v>970</v>
      </c>
    </row>
    <row r="486" spans="1:11">
      <c r="A486" s="2" t="s">
        <v>683</v>
      </c>
      <c r="B486" s="2" t="s">
        <v>559</v>
      </c>
      <c r="C486" s="2" t="s">
        <v>560</v>
      </c>
      <c r="D486" s="2" t="s">
        <v>561</v>
      </c>
      <c r="E486" s="2" t="s">
        <v>560</v>
      </c>
      <c r="F486" s="3">
        <v>123</v>
      </c>
      <c r="G486" s="2" t="s">
        <v>260</v>
      </c>
      <c r="H486" s="2">
        <v>2</v>
      </c>
      <c r="I486" s="2" t="s">
        <v>142</v>
      </c>
      <c r="J486" s="2">
        <v>2</v>
      </c>
      <c r="K486" s="2" t="s">
        <v>970</v>
      </c>
    </row>
    <row r="487" spans="1:11">
      <c r="A487" s="2" t="s">
        <v>684</v>
      </c>
      <c r="B487" s="2" t="s">
        <v>559</v>
      </c>
      <c r="C487" s="2" t="s">
        <v>560</v>
      </c>
      <c r="D487" s="2" t="s">
        <v>561</v>
      </c>
      <c r="E487" s="2" t="s">
        <v>560</v>
      </c>
      <c r="F487" s="3">
        <v>124</v>
      </c>
      <c r="G487" s="2" t="s">
        <v>262</v>
      </c>
      <c r="H487" s="2">
        <v>2</v>
      </c>
      <c r="I487" s="2" t="s">
        <v>142</v>
      </c>
      <c r="J487" s="2">
        <v>2</v>
      </c>
      <c r="K487" s="2" t="s">
        <v>970</v>
      </c>
    </row>
    <row r="488" spans="1:11">
      <c r="A488" s="2" t="s">
        <v>685</v>
      </c>
      <c r="B488" s="2" t="s">
        <v>559</v>
      </c>
      <c r="C488" s="2" t="s">
        <v>560</v>
      </c>
      <c r="D488" s="2" t="s">
        <v>561</v>
      </c>
      <c r="E488" s="2" t="s">
        <v>560</v>
      </c>
      <c r="F488" s="3">
        <v>125</v>
      </c>
      <c r="G488" s="2" t="s">
        <v>264</v>
      </c>
      <c r="H488" s="2">
        <v>3</v>
      </c>
      <c r="I488" s="2" t="s">
        <v>67</v>
      </c>
      <c r="J488" s="2">
        <v>2</v>
      </c>
      <c r="K488" s="2" t="s">
        <v>970</v>
      </c>
    </row>
    <row r="489" spans="1:11">
      <c r="A489" s="2" t="s">
        <v>686</v>
      </c>
      <c r="B489" s="2" t="s">
        <v>559</v>
      </c>
      <c r="C489" s="2" t="s">
        <v>560</v>
      </c>
      <c r="D489" s="2" t="s">
        <v>561</v>
      </c>
      <c r="E489" s="2" t="s">
        <v>560</v>
      </c>
      <c r="F489" s="3">
        <v>126</v>
      </c>
      <c r="G489" s="2" t="s">
        <v>266</v>
      </c>
      <c r="H489" s="2">
        <v>3</v>
      </c>
      <c r="I489" s="2" t="s">
        <v>67</v>
      </c>
      <c r="J489" s="2">
        <v>2</v>
      </c>
      <c r="K489" s="2" t="s">
        <v>970</v>
      </c>
    </row>
    <row r="490" spans="1:11">
      <c r="A490" s="2" t="s">
        <v>687</v>
      </c>
      <c r="B490" s="2" t="s">
        <v>559</v>
      </c>
      <c r="C490" s="2" t="s">
        <v>560</v>
      </c>
      <c r="D490" s="2" t="s">
        <v>561</v>
      </c>
      <c r="E490" s="2" t="s">
        <v>560</v>
      </c>
      <c r="F490" s="3">
        <v>127</v>
      </c>
      <c r="G490" s="2" t="s">
        <v>268</v>
      </c>
      <c r="H490" s="2">
        <v>3</v>
      </c>
      <c r="I490" s="2" t="s">
        <v>67</v>
      </c>
      <c r="J490" s="2">
        <v>2</v>
      </c>
      <c r="K490" s="2" t="s">
        <v>970</v>
      </c>
    </row>
    <row r="491" spans="1:11">
      <c r="A491" s="2" t="s">
        <v>688</v>
      </c>
      <c r="B491" s="2" t="s">
        <v>559</v>
      </c>
      <c r="C491" s="2" t="s">
        <v>560</v>
      </c>
      <c r="D491" s="2" t="s">
        <v>561</v>
      </c>
      <c r="E491" s="2" t="s">
        <v>560</v>
      </c>
      <c r="F491" s="3">
        <v>128</v>
      </c>
      <c r="G491" s="2" t="s">
        <v>270</v>
      </c>
      <c r="H491" s="2">
        <v>3</v>
      </c>
      <c r="I491" s="2" t="s">
        <v>67</v>
      </c>
      <c r="J491" s="2">
        <v>2</v>
      </c>
      <c r="K491" s="2" t="s">
        <v>970</v>
      </c>
    </row>
    <row r="492" spans="1:11">
      <c r="A492" s="2" t="s">
        <v>689</v>
      </c>
      <c r="B492" s="2" t="s">
        <v>559</v>
      </c>
      <c r="C492" s="2" t="s">
        <v>560</v>
      </c>
      <c r="D492" s="2" t="s">
        <v>561</v>
      </c>
      <c r="E492" s="2" t="s">
        <v>560</v>
      </c>
      <c r="F492" s="3">
        <v>129</v>
      </c>
      <c r="G492" s="2" t="s">
        <v>272</v>
      </c>
      <c r="H492" s="2">
        <v>3</v>
      </c>
      <c r="I492" s="2" t="s">
        <v>67</v>
      </c>
      <c r="J492" s="2">
        <v>2</v>
      </c>
      <c r="K492" s="2" t="s">
        <v>970</v>
      </c>
    </row>
    <row r="493" spans="1:11">
      <c r="A493" s="2" t="s">
        <v>690</v>
      </c>
      <c r="B493" s="2" t="s">
        <v>559</v>
      </c>
      <c r="C493" s="2" t="s">
        <v>560</v>
      </c>
      <c r="D493" s="2" t="s">
        <v>561</v>
      </c>
      <c r="E493" s="2" t="s">
        <v>560</v>
      </c>
      <c r="F493" s="3">
        <v>130</v>
      </c>
      <c r="G493" s="2" t="s">
        <v>274</v>
      </c>
      <c r="H493" s="2">
        <v>3</v>
      </c>
      <c r="I493" s="2" t="s">
        <v>67</v>
      </c>
      <c r="J493" s="2">
        <v>2</v>
      </c>
      <c r="K493" s="2" t="s">
        <v>970</v>
      </c>
    </row>
    <row r="494" spans="1:11">
      <c r="A494" s="2" t="s">
        <v>691</v>
      </c>
      <c r="B494" s="2" t="s">
        <v>559</v>
      </c>
      <c r="C494" s="2" t="s">
        <v>560</v>
      </c>
      <c r="D494" s="2" t="s">
        <v>561</v>
      </c>
      <c r="E494" s="2" t="s">
        <v>560</v>
      </c>
      <c r="F494" s="3">
        <v>131</v>
      </c>
      <c r="G494" s="2" t="s">
        <v>276</v>
      </c>
      <c r="H494" s="2">
        <v>3</v>
      </c>
      <c r="I494" s="2" t="s">
        <v>67</v>
      </c>
      <c r="J494" s="2">
        <v>2</v>
      </c>
      <c r="K494" s="2" t="s">
        <v>970</v>
      </c>
    </row>
    <row r="495" spans="1:11">
      <c r="A495" s="2" t="s">
        <v>692</v>
      </c>
      <c r="B495" s="2" t="s">
        <v>559</v>
      </c>
      <c r="C495" s="2" t="s">
        <v>560</v>
      </c>
      <c r="D495" s="2" t="s">
        <v>561</v>
      </c>
      <c r="E495" s="2" t="s">
        <v>560</v>
      </c>
      <c r="F495" s="3">
        <v>132</v>
      </c>
      <c r="G495" s="2" t="s">
        <v>278</v>
      </c>
      <c r="H495" s="2">
        <v>3</v>
      </c>
      <c r="I495" s="2" t="s">
        <v>67</v>
      </c>
      <c r="J495" s="2">
        <v>2</v>
      </c>
      <c r="K495" s="2" t="s">
        <v>970</v>
      </c>
    </row>
    <row r="496" spans="1:11">
      <c r="A496" s="2" t="s">
        <v>693</v>
      </c>
      <c r="B496" s="2" t="s">
        <v>559</v>
      </c>
      <c r="C496" s="2" t="s">
        <v>560</v>
      </c>
      <c r="D496" s="2" t="s">
        <v>561</v>
      </c>
      <c r="E496" s="2" t="s">
        <v>560</v>
      </c>
      <c r="F496" s="3">
        <v>133</v>
      </c>
      <c r="G496" s="2" t="s">
        <v>280</v>
      </c>
      <c r="H496" s="2">
        <v>3</v>
      </c>
      <c r="I496" s="2" t="s">
        <v>67</v>
      </c>
      <c r="J496" s="2">
        <v>2</v>
      </c>
      <c r="K496" s="2" t="s">
        <v>970</v>
      </c>
    </row>
    <row r="497" spans="1:11">
      <c r="A497" s="2" t="s">
        <v>694</v>
      </c>
      <c r="B497" s="2" t="s">
        <v>559</v>
      </c>
      <c r="C497" s="2" t="s">
        <v>560</v>
      </c>
      <c r="D497" s="2" t="s">
        <v>561</v>
      </c>
      <c r="E497" s="2" t="s">
        <v>560</v>
      </c>
      <c r="F497" s="3">
        <v>134</v>
      </c>
      <c r="G497" s="2" t="s">
        <v>282</v>
      </c>
      <c r="H497" s="2">
        <v>3</v>
      </c>
      <c r="I497" s="2" t="s">
        <v>67</v>
      </c>
      <c r="J497" s="2">
        <v>2</v>
      </c>
      <c r="K497" s="2" t="s">
        <v>970</v>
      </c>
    </row>
    <row r="498" spans="1:11">
      <c r="A498" s="2" t="s">
        <v>695</v>
      </c>
      <c r="B498" s="2" t="s">
        <v>559</v>
      </c>
      <c r="C498" s="2" t="s">
        <v>560</v>
      </c>
      <c r="D498" s="2" t="s">
        <v>561</v>
      </c>
      <c r="E498" s="2" t="s">
        <v>560</v>
      </c>
      <c r="F498" s="3">
        <v>135</v>
      </c>
      <c r="G498" s="2" t="s">
        <v>284</v>
      </c>
      <c r="H498" s="2">
        <v>3</v>
      </c>
      <c r="I498" s="2" t="s">
        <v>67</v>
      </c>
      <c r="J498" s="2">
        <v>2</v>
      </c>
      <c r="K498" s="2" t="s">
        <v>970</v>
      </c>
    </row>
    <row r="499" spans="1:11">
      <c r="A499" s="2" t="s">
        <v>696</v>
      </c>
      <c r="B499" s="2" t="s">
        <v>559</v>
      </c>
      <c r="C499" s="2" t="s">
        <v>560</v>
      </c>
      <c r="D499" s="2" t="s">
        <v>561</v>
      </c>
      <c r="E499" s="2" t="s">
        <v>560</v>
      </c>
      <c r="F499" s="3">
        <v>136</v>
      </c>
      <c r="G499" s="2" t="s">
        <v>286</v>
      </c>
      <c r="H499" s="2">
        <v>3</v>
      </c>
      <c r="I499" s="2" t="s">
        <v>67</v>
      </c>
      <c r="J499" s="2">
        <v>2</v>
      </c>
      <c r="K499" s="2" t="s">
        <v>970</v>
      </c>
    </row>
    <row r="500" spans="1:11">
      <c r="A500" s="2" t="s">
        <v>697</v>
      </c>
      <c r="B500" s="2" t="s">
        <v>559</v>
      </c>
      <c r="C500" s="2" t="s">
        <v>560</v>
      </c>
      <c r="D500" s="2" t="s">
        <v>561</v>
      </c>
      <c r="E500" s="2" t="s">
        <v>560</v>
      </c>
      <c r="F500" s="3">
        <v>137</v>
      </c>
      <c r="G500" s="2" t="s">
        <v>288</v>
      </c>
      <c r="H500" s="2">
        <v>3</v>
      </c>
      <c r="I500" s="2" t="s">
        <v>67</v>
      </c>
      <c r="J500" s="2">
        <v>2</v>
      </c>
      <c r="K500" s="2" t="s">
        <v>970</v>
      </c>
    </row>
    <row r="501" spans="1:11">
      <c r="A501" s="2" t="s">
        <v>698</v>
      </c>
      <c r="B501" s="2" t="s">
        <v>559</v>
      </c>
      <c r="C501" s="2" t="s">
        <v>560</v>
      </c>
      <c r="D501" s="2" t="s">
        <v>561</v>
      </c>
      <c r="E501" s="2" t="s">
        <v>560</v>
      </c>
      <c r="F501" s="3">
        <v>138</v>
      </c>
      <c r="G501" s="2" t="s">
        <v>290</v>
      </c>
      <c r="H501" s="2">
        <v>2</v>
      </c>
      <c r="I501" s="2" t="s">
        <v>142</v>
      </c>
      <c r="J501" s="2">
        <v>2</v>
      </c>
      <c r="K501" s="2" t="s">
        <v>970</v>
      </c>
    </row>
    <row r="502" spans="1:11">
      <c r="A502" s="2" t="s">
        <v>699</v>
      </c>
      <c r="B502" s="2" t="s">
        <v>559</v>
      </c>
      <c r="C502" s="2" t="s">
        <v>560</v>
      </c>
      <c r="D502" s="2" t="s">
        <v>561</v>
      </c>
      <c r="E502" s="2" t="s">
        <v>560</v>
      </c>
      <c r="F502" s="3">
        <v>139</v>
      </c>
      <c r="G502" s="2" t="s">
        <v>292</v>
      </c>
      <c r="H502" s="2">
        <v>3</v>
      </c>
      <c r="I502" s="2" t="s">
        <v>67</v>
      </c>
      <c r="J502" s="2">
        <v>2</v>
      </c>
      <c r="K502" s="2" t="s">
        <v>970</v>
      </c>
    </row>
    <row r="503" spans="1:11">
      <c r="A503" s="2" t="s">
        <v>700</v>
      </c>
      <c r="B503" s="2" t="s">
        <v>559</v>
      </c>
      <c r="C503" s="2" t="s">
        <v>560</v>
      </c>
      <c r="D503" s="2" t="s">
        <v>561</v>
      </c>
      <c r="E503" s="2" t="s">
        <v>560</v>
      </c>
      <c r="F503" s="3">
        <v>140</v>
      </c>
      <c r="G503" s="2" t="s">
        <v>294</v>
      </c>
      <c r="H503" s="2">
        <v>3</v>
      </c>
      <c r="I503" s="2" t="s">
        <v>67</v>
      </c>
      <c r="J503" s="2">
        <v>2</v>
      </c>
      <c r="K503" s="2" t="s">
        <v>970</v>
      </c>
    </row>
    <row r="504" spans="1:11">
      <c r="A504" s="2" t="s">
        <v>701</v>
      </c>
      <c r="B504" s="2" t="s">
        <v>559</v>
      </c>
      <c r="C504" s="2" t="s">
        <v>560</v>
      </c>
      <c r="D504" s="2" t="s">
        <v>561</v>
      </c>
      <c r="E504" s="2" t="s">
        <v>560</v>
      </c>
      <c r="F504" s="3">
        <v>141</v>
      </c>
      <c r="G504" s="2" t="s">
        <v>296</v>
      </c>
      <c r="H504" s="2">
        <v>3</v>
      </c>
      <c r="I504" s="2" t="s">
        <v>67</v>
      </c>
      <c r="J504" s="2">
        <v>2</v>
      </c>
      <c r="K504" s="2" t="s">
        <v>970</v>
      </c>
    </row>
    <row r="505" spans="1:11">
      <c r="A505" s="2" t="s">
        <v>702</v>
      </c>
      <c r="B505" s="2" t="s">
        <v>559</v>
      </c>
      <c r="C505" s="2" t="s">
        <v>560</v>
      </c>
      <c r="D505" s="2" t="s">
        <v>561</v>
      </c>
      <c r="E505" s="2" t="s">
        <v>560</v>
      </c>
      <c r="F505" s="3">
        <v>142</v>
      </c>
      <c r="G505" s="2" t="s">
        <v>298</v>
      </c>
      <c r="H505" s="2">
        <v>3</v>
      </c>
      <c r="I505" s="2" t="s">
        <v>67</v>
      </c>
      <c r="J505" s="2">
        <v>2</v>
      </c>
      <c r="K505" s="2" t="s">
        <v>970</v>
      </c>
    </row>
    <row r="506" spans="1:11">
      <c r="A506" s="2" t="s">
        <v>703</v>
      </c>
      <c r="B506" s="2" t="s">
        <v>559</v>
      </c>
      <c r="C506" s="2" t="s">
        <v>560</v>
      </c>
      <c r="D506" s="2" t="s">
        <v>561</v>
      </c>
      <c r="E506" s="2" t="s">
        <v>560</v>
      </c>
      <c r="F506" s="3">
        <v>143</v>
      </c>
      <c r="G506" s="2" t="s">
        <v>300</v>
      </c>
      <c r="H506" s="2">
        <v>3</v>
      </c>
      <c r="I506" s="2" t="s">
        <v>67</v>
      </c>
      <c r="J506" s="2">
        <v>2</v>
      </c>
      <c r="K506" s="2" t="s">
        <v>970</v>
      </c>
    </row>
    <row r="507" spans="1:11">
      <c r="A507" s="2" t="s">
        <v>704</v>
      </c>
      <c r="B507" s="2" t="s">
        <v>559</v>
      </c>
      <c r="C507" s="2" t="s">
        <v>560</v>
      </c>
      <c r="D507" s="2" t="s">
        <v>561</v>
      </c>
      <c r="E507" s="2" t="s">
        <v>560</v>
      </c>
      <c r="F507" s="3">
        <v>144</v>
      </c>
      <c r="G507" s="2" t="s">
        <v>302</v>
      </c>
      <c r="H507" s="2">
        <v>3</v>
      </c>
      <c r="I507" s="2" t="s">
        <v>67</v>
      </c>
      <c r="J507" s="2">
        <v>2</v>
      </c>
      <c r="K507" s="2" t="s">
        <v>970</v>
      </c>
    </row>
    <row r="508" spans="1:11">
      <c r="A508" s="2" t="s">
        <v>705</v>
      </c>
      <c r="B508" s="2" t="s">
        <v>559</v>
      </c>
      <c r="C508" s="2" t="s">
        <v>560</v>
      </c>
      <c r="D508" s="2" t="s">
        <v>561</v>
      </c>
      <c r="E508" s="2" t="s">
        <v>560</v>
      </c>
      <c r="F508" s="3">
        <v>145</v>
      </c>
      <c r="G508" s="2" t="s">
        <v>304</v>
      </c>
      <c r="H508" s="2">
        <v>3</v>
      </c>
      <c r="I508" s="2" t="s">
        <v>67</v>
      </c>
      <c r="J508" s="2">
        <v>2</v>
      </c>
      <c r="K508" s="2" t="s">
        <v>970</v>
      </c>
    </row>
    <row r="509" spans="1:11">
      <c r="A509" s="2" t="s">
        <v>706</v>
      </c>
      <c r="B509" s="2" t="s">
        <v>559</v>
      </c>
      <c r="C509" s="2" t="s">
        <v>560</v>
      </c>
      <c r="D509" s="2" t="s">
        <v>561</v>
      </c>
      <c r="E509" s="2" t="s">
        <v>560</v>
      </c>
      <c r="F509" s="3">
        <v>146</v>
      </c>
      <c r="G509" s="2" t="s">
        <v>306</v>
      </c>
      <c r="H509" s="2">
        <v>3</v>
      </c>
      <c r="I509" s="2" t="s">
        <v>67</v>
      </c>
      <c r="J509" s="2">
        <v>2</v>
      </c>
      <c r="K509" s="2" t="s">
        <v>970</v>
      </c>
    </row>
    <row r="510" spans="1:11">
      <c r="A510" s="2" t="s">
        <v>707</v>
      </c>
      <c r="B510" s="2" t="s">
        <v>559</v>
      </c>
      <c r="C510" s="2" t="s">
        <v>560</v>
      </c>
      <c r="D510" s="2" t="s">
        <v>561</v>
      </c>
      <c r="E510" s="2" t="s">
        <v>560</v>
      </c>
      <c r="F510" s="3">
        <v>147</v>
      </c>
      <c r="G510" s="2" t="s">
        <v>308</v>
      </c>
      <c r="H510" s="2">
        <v>3</v>
      </c>
      <c r="I510" s="2" t="s">
        <v>67</v>
      </c>
      <c r="J510" s="2">
        <v>2</v>
      </c>
      <c r="K510" s="2" t="s">
        <v>970</v>
      </c>
    </row>
    <row r="511" spans="1:11">
      <c r="A511" s="2" t="s">
        <v>708</v>
      </c>
      <c r="B511" s="2" t="s">
        <v>559</v>
      </c>
      <c r="C511" s="2" t="s">
        <v>560</v>
      </c>
      <c r="D511" s="2" t="s">
        <v>561</v>
      </c>
      <c r="E511" s="2" t="s">
        <v>560</v>
      </c>
      <c r="F511" s="3">
        <v>148</v>
      </c>
      <c r="G511" s="2" t="s">
        <v>310</v>
      </c>
      <c r="H511" s="2">
        <v>3</v>
      </c>
      <c r="I511" s="2" t="s">
        <v>67</v>
      </c>
      <c r="J511" s="2">
        <v>2</v>
      </c>
      <c r="K511" s="2" t="s">
        <v>970</v>
      </c>
    </row>
    <row r="512" spans="1:11">
      <c r="A512" s="2" t="s">
        <v>709</v>
      </c>
      <c r="B512" s="2" t="s">
        <v>559</v>
      </c>
      <c r="C512" s="2" t="s">
        <v>560</v>
      </c>
      <c r="D512" s="2" t="s">
        <v>561</v>
      </c>
      <c r="E512" s="2" t="s">
        <v>560</v>
      </c>
      <c r="F512" s="3">
        <v>149</v>
      </c>
      <c r="G512" s="2" t="s">
        <v>312</v>
      </c>
      <c r="H512" s="2">
        <v>3</v>
      </c>
      <c r="I512" s="2" t="s">
        <v>67</v>
      </c>
      <c r="J512" s="2">
        <v>2</v>
      </c>
      <c r="K512" s="2" t="s">
        <v>970</v>
      </c>
    </row>
    <row r="513" spans="1:11">
      <c r="A513" s="2" t="s">
        <v>710</v>
      </c>
      <c r="B513" s="2" t="s">
        <v>559</v>
      </c>
      <c r="C513" s="2" t="s">
        <v>560</v>
      </c>
      <c r="D513" s="2" t="s">
        <v>561</v>
      </c>
      <c r="E513" s="2" t="s">
        <v>560</v>
      </c>
      <c r="F513" s="3">
        <v>150</v>
      </c>
      <c r="G513" s="2" t="s">
        <v>314</v>
      </c>
      <c r="H513" s="2">
        <v>3</v>
      </c>
      <c r="I513" s="2" t="s">
        <v>67</v>
      </c>
      <c r="J513" s="2">
        <v>2</v>
      </c>
      <c r="K513" s="2" t="s">
        <v>970</v>
      </c>
    </row>
    <row r="514" spans="1:11">
      <c r="A514" s="2" t="s">
        <v>711</v>
      </c>
      <c r="B514" s="2" t="s">
        <v>559</v>
      </c>
      <c r="C514" s="2" t="s">
        <v>560</v>
      </c>
      <c r="D514" s="2" t="s">
        <v>561</v>
      </c>
      <c r="E514" s="2" t="s">
        <v>560</v>
      </c>
      <c r="F514" s="3">
        <v>151</v>
      </c>
      <c r="G514" s="2" t="s">
        <v>316</v>
      </c>
      <c r="H514" s="2">
        <v>3</v>
      </c>
      <c r="I514" s="2" t="s">
        <v>67</v>
      </c>
      <c r="J514" s="2">
        <v>2</v>
      </c>
      <c r="K514" s="2" t="s">
        <v>970</v>
      </c>
    </row>
    <row r="515" spans="1:11">
      <c r="A515" s="2" t="s">
        <v>712</v>
      </c>
      <c r="B515" s="2" t="s">
        <v>559</v>
      </c>
      <c r="C515" s="2" t="s">
        <v>560</v>
      </c>
      <c r="D515" s="2" t="s">
        <v>561</v>
      </c>
      <c r="E515" s="2" t="s">
        <v>560</v>
      </c>
      <c r="F515" s="3">
        <v>152</v>
      </c>
      <c r="G515" s="2" t="s">
        <v>318</v>
      </c>
      <c r="H515" s="2">
        <v>3</v>
      </c>
      <c r="I515" s="2" t="s">
        <v>67</v>
      </c>
      <c r="J515" s="2">
        <v>2</v>
      </c>
      <c r="K515" s="2" t="s">
        <v>970</v>
      </c>
    </row>
    <row r="516" spans="1:11">
      <c r="A516" s="2" t="s">
        <v>713</v>
      </c>
      <c r="B516" s="2" t="s">
        <v>559</v>
      </c>
      <c r="C516" s="2" t="s">
        <v>560</v>
      </c>
      <c r="D516" s="2" t="s">
        <v>561</v>
      </c>
      <c r="E516" s="2" t="s">
        <v>560</v>
      </c>
      <c r="F516" s="3">
        <v>153</v>
      </c>
      <c r="G516" s="2" t="s">
        <v>320</v>
      </c>
      <c r="H516" s="2">
        <v>3</v>
      </c>
      <c r="I516" s="2" t="s">
        <v>67</v>
      </c>
      <c r="J516" s="2">
        <v>2</v>
      </c>
      <c r="K516" s="2" t="s">
        <v>970</v>
      </c>
    </row>
    <row r="517" spans="1:11">
      <c r="A517" s="2" t="s">
        <v>714</v>
      </c>
      <c r="B517" s="2" t="s">
        <v>559</v>
      </c>
      <c r="C517" s="2" t="s">
        <v>560</v>
      </c>
      <c r="D517" s="2" t="s">
        <v>561</v>
      </c>
      <c r="E517" s="2" t="s">
        <v>560</v>
      </c>
      <c r="F517" s="3">
        <v>154</v>
      </c>
      <c r="G517" s="2" t="s">
        <v>322</v>
      </c>
      <c r="H517" s="2">
        <v>3</v>
      </c>
      <c r="I517" s="2" t="s">
        <v>67</v>
      </c>
      <c r="J517" s="2">
        <v>2</v>
      </c>
      <c r="K517" s="2" t="s">
        <v>970</v>
      </c>
    </row>
    <row r="518" spans="1:11">
      <c r="A518" s="2" t="s">
        <v>715</v>
      </c>
      <c r="B518" s="2" t="s">
        <v>559</v>
      </c>
      <c r="C518" s="2" t="s">
        <v>560</v>
      </c>
      <c r="D518" s="2" t="s">
        <v>561</v>
      </c>
      <c r="E518" s="2" t="s">
        <v>560</v>
      </c>
      <c r="F518" s="3">
        <v>155</v>
      </c>
      <c r="G518" s="2" t="s">
        <v>324</v>
      </c>
      <c r="H518" s="2">
        <v>3</v>
      </c>
      <c r="I518" s="2" t="s">
        <v>67</v>
      </c>
      <c r="J518" s="2">
        <v>2</v>
      </c>
      <c r="K518" s="2" t="s">
        <v>970</v>
      </c>
    </row>
    <row r="519" spans="1:11">
      <c r="A519" s="2" t="s">
        <v>716</v>
      </c>
      <c r="B519" s="2" t="s">
        <v>559</v>
      </c>
      <c r="C519" s="2" t="s">
        <v>560</v>
      </c>
      <c r="D519" s="2" t="s">
        <v>561</v>
      </c>
      <c r="E519" s="2" t="s">
        <v>560</v>
      </c>
      <c r="F519" s="3">
        <v>156</v>
      </c>
      <c r="G519" s="2" t="s">
        <v>326</v>
      </c>
      <c r="H519" s="2">
        <v>3</v>
      </c>
      <c r="I519" s="2" t="s">
        <v>67</v>
      </c>
      <c r="J519" s="2">
        <v>2</v>
      </c>
      <c r="K519" s="2" t="s">
        <v>970</v>
      </c>
    </row>
    <row r="520" spans="1:11">
      <c r="A520" s="2" t="s">
        <v>717</v>
      </c>
      <c r="B520" s="2" t="s">
        <v>559</v>
      </c>
      <c r="C520" s="2" t="s">
        <v>560</v>
      </c>
      <c r="D520" s="2" t="s">
        <v>561</v>
      </c>
      <c r="E520" s="2" t="s">
        <v>560</v>
      </c>
      <c r="F520" s="3">
        <v>157</v>
      </c>
      <c r="G520" s="2" t="s">
        <v>328</v>
      </c>
      <c r="H520" s="2">
        <v>3</v>
      </c>
      <c r="I520" s="2" t="s">
        <v>67</v>
      </c>
      <c r="J520" s="2">
        <v>2</v>
      </c>
      <c r="K520" s="2" t="s">
        <v>970</v>
      </c>
    </row>
    <row r="521" spans="1:11">
      <c r="A521" s="2" t="s">
        <v>718</v>
      </c>
      <c r="B521" s="2" t="s">
        <v>559</v>
      </c>
      <c r="C521" s="2" t="s">
        <v>560</v>
      </c>
      <c r="D521" s="2" t="s">
        <v>561</v>
      </c>
      <c r="E521" s="2" t="s">
        <v>560</v>
      </c>
      <c r="F521" s="3">
        <v>158</v>
      </c>
      <c r="G521" s="2" t="s">
        <v>330</v>
      </c>
      <c r="H521" s="2">
        <v>3</v>
      </c>
      <c r="I521" s="2" t="s">
        <v>67</v>
      </c>
      <c r="J521" s="2">
        <v>2</v>
      </c>
      <c r="K521" s="2" t="s">
        <v>970</v>
      </c>
    </row>
    <row r="522" spans="1:11">
      <c r="A522" s="2" t="s">
        <v>719</v>
      </c>
      <c r="B522" s="2" t="s">
        <v>559</v>
      </c>
      <c r="C522" s="2" t="s">
        <v>560</v>
      </c>
      <c r="D522" s="2" t="s">
        <v>561</v>
      </c>
      <c r="E522" s="2" t="s">
        <v>560</v>
      </c>
      <c r="F522" s="3">
        <v>159</v>
      </c>
      <c r="G522" s="2" t="s">
        <v>332</v>
      </c>
      <c r="H522" s="2">
        <v>3</v>
      </c>
      <c r="I522" s="2" t="s">
        <v>67</v>
      </c>
      <c r="J522" s="2">
        <v>2</v>
      </c>
      <c r="K522" s="2" t="s">
        <v>970</v>
      </c>
    </row>
    <row r="523" spans="1:11">
      <c r="A523" s="2" t="s">
        <v>720</v>
      </c>
      <c r="B523" s="2" t="s">
        <v>559</v>
      </c>
      <c r="C523" s="2" t="s">
        <v>560</v>
      </c>
      <c r="D523" s="2" t="s">
        <v>561</v>
      </c>
      <c r="E523" s="2" t="s">
        <v>560</v>
      </c>
      <c r="F523" s="3">
        <v>160</v>
      </c>
      <c r="G523" s="2" t="s">
        <v>334</v>
      </c>
      <c r="H523" s="2">
        <v>3</v>
      </c>
      <c r="I523" s="2" t="s">
        <v>67</v>
      </c>
      <c r="J523" s="2">
        <v>2</v>
      </c>
      <c r="K523" s="2" t="s">
        <v>970</v>
      </c>
    </row>
    <row r="524" spans="1:11">
      <c r="A524" s="2" t="s">
        <v>721</v>
      </c>
      <c r="B524" s="2" t="s">
        <v>559</v>
      </c>
      <c r="C524" s="2" t="s">
        <v>560</v>
      </c>
      <c r="D524" s="2" t="s">
        <v>561</v>
      </c>
      <c r="E524" s="2" t="s">
        <v>560</v>
      </c>
      <c r="F524" s="3">
        <v>161</v>
      </c>
      <c r="G524" s="2" t="s">
        <v>336</v>
      </c>
      <c r="H524" s="2">
        <v>3</v>
      </c>
      <c r="I524" s="2" t="s">
        <v>67</v>
      </c>
      <c r="J524" s="2">
        <v>2</v>
      </c>
      <c r="K524" s="2" t="s">
        <v>970</v>
      </c>
    </row>
    <row r="525" spans="1:11">
      <c r="A525" s="2" t="s">
        <v>722</v>
      </c>
      <c r="B525" s="2" t="s">
        <v>559</v>
      </c>
      <c r="C525" s="2" t="s">
        <v>560</v>
      </c>
      <c r="D525" s="2" t="s">
        <v>561</v>
      </c>
      <c r="E525" s="2" t="s">
        <v>560</v>
      </c>
      <c r="F525" s="3">
        <v>162</v>
      </c>
      <c r="G525" s="2" t="s">
        <v>338</v>
      </c>
      <c r="H525" s="2">
        <v>3</v>
      </c>
      <c r="I525" s="2" t="s">
        <v>67</v>
      </c>
      <c r="J525" s="2">
        <v>2</v>
      </c>
      <c r="K525" s="2" t="s">
        <v>970</v>
      </c>
    </row>
    <row r="526" spans="1:11">
      <c r="A526" s="2" t="s">
        <v>723</v>
      </c>
      <c r="B526" s="2" t="s">
        <v>559</v>
      </c>
      <c r="C526" s="2" t="s">
        <v>560</v>
      </c>
      <c r="D526" s="2" t="s">
        <v>561</v>
      </c>
      <c r="E526" s="2" t="s">
        <v>560</v>
      </c>
      <c r="F526" s="3">
        <v>163</v>
      </c>
      <c r="G526" s="2" t="s">
        <v>340</v>
      </c>
      <c r="H526" s="2">
        <v>3</v>
      </c>
      <c r="I526" s="2" t="s">
        <v>67</v>
      </c>
      <c r="J526" s="2">
        <v>2</v>
      </c>
      <c r="K526" s="2" t="s">
        <v>970</v>
      </c>
    </row>
    <row r="527" spans="1:11">
      <c r="A527" s="2" t="s">
        <v>724</v>
      </c>
      <c r="B527" s="2" t="s">
        <v>559</v>
      </c>
      <c r="C527" s="2" t="s">
        <v>560</v>
      </c>
      <c r="D527" s="2" t="s">
        <v>561</v>
      </c>
      <c r="E527" s="2" t="s">
        <v>560</v>
      </c>
      <c r="F527" s="3">
        <v>164</v>
      </c>
      <c r="G527" s="2" t="s">
        <v>342</v>
      </c>
      <c r="H527" s="2">
        <v>3</v>
      </c>
      <c r="I527" s="2" t="s">
        <v>67</v>
      </c>
      <c r="J527" s="2">
        <v>2</v>
      </c>
      <c r="K527" s="2" t="s">
        <v>970</v>
      </c>
    </row>
    <row r="528" spans="1:11">
      <c r="A528" s="2" t="s">
        <v>725</v>
      </c>
      <c r="B528" s="2" t="s">
        <v>559</v>
      </c>
      <c r="C528" s="2" t="s">
        <v>560</v>
      </c>
      <c r="D528" s="2" t="s">
        <v>561</v>
      </c>
      <c r="E528" s="2" t="s">
        <v>560</v>
      </c>
      <c r="F528" s="3">
        <v>165</v>
      </c>
      <c r="G528" s="2" t="s">
        <v>344</v>
      </c>
      <c r="H528" s="2">
        <v>3</v>
      </c>
      <c r="I528" s="2" t="s">
        <v>67</v>
      </c>
      <c r="J528" s="2">
        <v>2</v>
      </c>
      <c r="K528" s="2" t="s">
        <v>970</v>
      </c>
    </row>
    <row r="529" spans="1:11">
      <c r="A529" s="2" t="s">
        <v>726</v>
      </c>
      <c r="B529" s="2" t="s">
        <v>559</v>
      </c>
      <c r="C529" s="2" t="s">
        <v>560</v>
      </c>
      <c r="D529" s="2" t="s">
        <v>561</v>
      </c>
      <c r="E529" s="2" t="s">
        <v>560</v>
      </c>
      <c r="F529" s="3">
        <v>166</v>
      </c>
      <c r="G529" s="2" t="s">
        <v>346</v>
      </c>
      <c r="H529" s="2">
        <v>3</v>
      </c>
      <c r="I529" s="2" t="s">
        <v>67</v>
      </c>
      <c r="J529" s="2">
        <v>2</v>
      </c>
      <c r="K529" s="2" t="s">
        <v>970</v>
      </c>
    </row>
    <row r="530" spans="1:11">
      <c r="A530" s="2" t="s">
        <v>727</v>
      </c>
      <c r="B530" s="2" t="s">
        <v>559</v>
      </c>
      <c r="C530" s="2" t="s">
        <v>560</v>
      </c>
      <c r="D530" s="2" t="s">
        <v>561</v>
      </c>
      <c r="E530" s="2" t="s">
        <v>560</v>
      </c>
      <c r="F530" s="3">
        <v>167</v>
      </c>
      <c r="G530" s="2" t="s">
        <v>348</v>
      </c>
      <c r="H530" s="2">
        <v>2</v>
      </c>
      <c r="I530" s="2" t="s">
        <v>142</v>
      </c>
      <c r="J530" s="2">
        <v>2</v>
      </c>
      <c r="K530" s="2" t="s">
        <v>970</v>
      </c>
    </row>
    <row r="531" spans="1:11">
      <c r="A531" s="2" t="s">
        <v>728</v>
      </c>
      <c r="B531" s="2" t="s">
        <v>559</v>
      </c>
      <c r="C531" s="2" t="s">
        <v>560</v>
      </c>
      <c r="D531" s="2" t="s">
        <v>561</v>
      </c>
      <c r="E531" s="2" t="s">
        <v>560</v>
      </c>
      <c r="F531" s="3">
        <v>168</v>
      </c>
      <c r="G531" s="2" t="s">
        <v>350</v>
      </c>
      <c r="H531" s="2">
        <v>3</v>
      </c>
      <c r="I531" s="2" t="s">
        <v>67</v>
      </c>
      <c r="J531" s="2">
        <v>2</v>
      </c>
      <c r="K531" s="2" t="s">
        <v>970</v>
      </c>
    </row>
    <row r="532" spans="1:11">
      <c r="A532" s="2" t="s">
        <v>729</v>
      </c>
      <c r="B532" s="2" t="s">
        <v>559</v>
      </c>
      <c r="C532" s="2" t="s">
        <v>560</v>
      </c>
      <c r="D532" s="2" t="s">
        <v>561</v>
      </c>
      <c r="E532" s="2" t="s">
        <v>560</v>
      </c>
      <c r="F532" s="3">
        <v>169</v>
      </c>
      <c r="G532" s="2" t="s">
        <v>352</v>
      </c>
      <c r="H532" s="2">
        <v>3</v>
      </c>
      <c r="I532" s="2" t="s">
        <v>67</v>
      </c>
      <c r="J532" s="2">
        <v>2</v>
      </c>
      <c r="K532" s="2" t="s">
        <v>970</v>
      </c>
    </row>
    <row r="533" spans="1:11">
      <c r="A533" s="2" t="s">
        <v>730</v>
      </c>
      <c r="B533" s="2" t="s">
        <v>559</v>
      </c>
      <c r="C533" s="2" t="s">
        <v>560</v>
      </c>
      <c r="D533" s="2" t="s">
        <v>561</v>
      </c>
      <c r="E533" s="2" t="s">
        <v>560</v>
      </c>
      <c r="F533" s="3">
        <v>170</v>
      </c>
      <c r="G533" s="2" t="s">
        <v>354</v>
      </c>
      <c r="H533" s="2">
        <v>3</v>
      </c>
      <c r="I533" s="2" t="s">
        <v>67</v>
      </c>
      <c r="J533" s="2">
        <v>2</v>
      </c>
      <c r="K533" s="2" t="s">
        <v>970</v>
      </c>
    </row>
    <row r="534" spans="1:11">
      <c r="A534" s="2" t="s">
        <v>731</v>
      </c>
      <c r="B534" s="2" t="s">
        <v>559</v>
      </c>
      <c r="C534" s="2" t="s">
        <v>560</v>
      </c>
      <c r="D534" s="2" t="s">
        <v>561</v>
      </c>
      <c r="E534" s="2" t="s">
        <v>560</v>
      </c>
      <c r="F534" s="3">
        <v>171</v>
      </c>
      <c r="G534" s="2" t="s">
        <v>356</v>
      </c>
      <c r="H534" s="2">
        <v>3</v>
      </c>
      <c r="I534" s="2" t="s">
        <v>67</v>
      </c>
      <c r="J534" s="2">
        <v>2</v>
      </c>
      <c r="K534" s="2" t="s">
        <v>970</v>
      </c>
    </row>
    <row r="535" spans="1:11">
      <c r="A535" s="2" t="s">
        <v>732</v>
      </c>
      <c r="B535" s="2" t="s">
        <v>559</v>
      </c>
      <c r="C535" s="2" t="s">
        <v>560</v>
      </c>
      <c r="D535" s="2" t="s">
        <v>561</v>
      </c>
      <c r="E535" s="2" t="s">
        <v>560</v>
      </c>
      <c r="F535" s="3">
        <v>172</v>
      </c>
      <c r="G535" s="2" t="s">
        <v>358</v>
      </c>
      <c r="H535" s="2">
        <v>3</v>
      </c>
      <c r="I535" s="2" t="s">
        <v>67</v>
      </c>
      <c r="J535" s="2">
        <v>2</v>
      </c>
      <c r="K535" s="2" t="s">
        <v>970</v>
      </c>
    </row>
    <row r="536" spans="1:11">
      <c r="A536" s="2" t="s">
        <v>733</v>
      </c>
      <c r="B536" s="2" t="s">
        <v>559</v>
      </c>
      <c r="C536" s="2" t="s">
        <v>560</v>
      </c>
      <c r="D536" s="2" t="s">
        <v>561</v>
      </c>
      <c r="E536" s="2" t="s">
        <v>560</v>
      </c>
      <c r="F536" s="3">
        <v>173</v>
      </c>
      <c r="G536" s="2" t="s">
        <v>360</v>
      </c>
      <c r="H536" s="2">
        <v>3</v>
      </c>
      <c r="I536" s="2" t="s">
        <v>67</v>
      </c>
      <c r="J536" s="2">
        <v>2</v>
      </c>
      <c r="K536" s="2" t="s">
        <v>970</v>
      </c>
    </row>
    <row r="537" spans="1:11">
      <c r="A537" s="2" t="s">
        <v>734</v>
      </c>
      <c r="B537" s="2" t="s">
        <v>559</v>
      </c>
      <c r="C537" s="2" t="s">
        <v>560</v>
      </c>
      <c r="D537" s="2" t="s">
        <v>561</v>
      </c>
      <c r="E537" s="2" t="s">
        <v>560</v>
      </c>
      <c r="F537" s="3">
        <v>174</v>
      </c>
      <c r="G537" s="2" t="s">
        <v>362</v>
      </c>
      <c r="H537" s="2">
        <v>3</v>
      </c>
      <c r="I537" s="2" t="s">
        <v>67</v>
      </c>
      <c r="J537" s="2">
        <v>2</v>
      </c>
      <c r="K537" s="2" t="s">
        <v>970</v>
      </c>
    </row>
    <row r="538" spans="1:11">
      <c r="A538" s="2" t="s">
        <v>735</v>
      </c>
      <c r="B538" s="2" t="s">
        <v>559</v>
      </c>
      <c r="C538" s="2" t="s">
        <v>560</v>
      </c>
      <c r="D538" s="2" t="s">
        <v>561</v>
      </c>
      <c r="E538" s="2" t="s">
        <v>560</v>
      </c>
      <c r="F538" s="3">
        <v>175</v>
      </c>
      <c r="G538" s="2" t="s">
        <v>364</v>
      </c>
      <c r="H538" s="2">
        <v>3</v>
      </c>
      <c r="I538" s="2" t="s">
        <v>67</v>
      </c>
      <c r="J538" s="2">
        <v>2</v>
      </c>
      <c r="K538" s="2" t="s">
        <v>970</v>
      </c>
    </row>
    <row r="539" spans="1:11">
      <c r="A539" s="2" t="s">
        <v>736</v>
      </c>
      <c r="B539" s="2" t="s">
        <v>559</v>
      </c>
      <c r="C539" s="2" t="s">
        <v>560</v>
      </c>
      <c r="D539" s="2" t="s">
        <v>561</v>
      </c>
      <c r="E539" s="2" t="s">
        <v>560</v>
      </c>
      <c r="F539" s="3">
        <v>176</v>
      </c>
      <c r="G539" s="2" t="s">
        <v>366</v>
      </c>
      <c r="H539" s="2">
        <v>3</v>
      </c>
      <c r="I539" s="2" t="s">
        <v>67</v>
      </c>
      <c r="J539" s="2">
        <v>2</v>
      </c>
      <c r="K539" s="2" t="s">
        <v>970</v>
      </c>
    </row>
    <row r="540" spans="1:11">
      <c r="A540" s="2" t="s">
        <v>737</v>
      </c>
      <c r="B540" s="2" t="s">
        <v>559</v>
      </c>
      <c r="C540" s="2" t="s">
        <v>560</v>
      </c>
      <c r="D540" s="2" t="s">
        <v>561</v>
      </c>
      <c r="E540" s="2" t="s">
        <v>560</v>
      </c>
      <c r="F540" s="3">
        <v>177</v>
      </c>
      <c r="G540" s="2" t="s">
        <v>368</v>
      </c>
      <c r="H540" s="2">
        <v>3</v>
      </c>
      <c r="I540" s="2" t="s">
        <v>67</v>
      </c>
      <c r="J540" s="2">
        <v>2</v>
      </c>
      <c r="K540" s="2" t="s">
        <v>970</v>
      </c>
    </row>
    <row r="541" spans="1:11">
      <c r="A541" s="2" t="s">
        <v>738</v>
      </c>
      <c r="B541" s="2" t="s">
        <v>559</v>
      </c>
      <c r="C541" s="2" t="s">
        <v>560</v>
      </c>
      <c r="D541" s="2" t="s">
        <v>561</v>
      </c>
      <c r="E541" s="2" t="s">
        <v>560</v>
      </c>
      <c r="F541" s="3">
        <v>178</v>
      </c>
      <c r="G541" s="2" t="s">
        <v>370</v>
      </c>
      <c r="H541" s="2">
        <v>3</v>
      </c>
      <c r="I541" s="2" t="s">
        <v>67</v>
      </c>
      <c r="J541" s="2">
        <v>2</v>
      </c>
      <c r="K541" s="2" t="s">
        <v>970</v>
      </c>
    </row>
    <row r="542" spans="1:11">
      <c r="A542" s="2" t="s">
        <v>739</v>
      </c>
      <c r="B542" s="2" t="s">
        <v>559</v>
      </c>
      <c r="C542" s="2" t="s">
        <v>560</v>
      </c>
      <c r="D542" s="2" t="s">
        <v>561</v>
      </c>
      <c r="E542" s="2" t="s">
        <v>560</v>
      </c>
      <c r="F542" s="3">
        <v>179</v>
      </c>
      <c r="G542" s="2" t="s">
        <v>372</v>
      </c>
      <c r="H542" s="2">
        <v>3</v>
      </c>
      <c r="I542" s="2" t="s">
        <v>67</v>
      </c>
      <c r="J542" s="2">
        <v>2</v>
      </c>
      <c r="K542" s="2" t="s">
        <v>970</v>
      </c>
    </row>
    <row r="543" spans="1:11">
      <c r="A543" s="2" t="s">
        <v>740</v>
      </c>
      <c r="B543" s="2" t="s">
        <v>559</v>
      </c>
      <c r="C543" s="2" t="s">
        <v>560</v>
      </c>
      <c r="D543" s="2" t="s">
        <v>561</v>
      </c>
      <c r="E543" s="2" t="s">
        <v>560</v>
      </c>
      <c r="F543" s="3">
        <v>180</v>
      </c>
      <c r="G543" s="2" t="s">
        <v>374</v>
      </c>
      <c r="H543" s="2">
        <v>3</v>
      </c>
      <c r="I543" s="2" t="s">
        <v>67</v>
      </c>
      <c r="J543" s="2">
        <v>2</v>
      </c>
      <c r="K543" s="2" t="s">
        <v>970</v>
      </c>
    </row>
    <row r="544" spans="1:11">
      <c r="A544" s="2" t="s">
        <v>741</v>
      </c>
      <c r="B544" s="2" t="s">
        <v>559</v>
      </c>
      <c r="C544" s="2" t="s">
        <v>560</v>
      </c>
      <c r="D544" s="2" t="s">
        <v>561</v>
      </c>
      <c r="E544" s="2" t="s">
        <v>560</v>
      </c>
      <c r="F544" s="3">
        <v>181</v>
      </c>
      <c r="G544" s="2" t="s">
        <v>376</v>
      </c>
      <c r="H544" s="2">
        <v>3</v>
      </c>
      <c r="I544" s="2" t="s">
        <v>67</v>
      </c>
      <c r="J544" s="2">
        <v>2</v>
      </c>
      <c r="K544" s="2" t="s">
        <v>970</v>
      </c>
    </row>
    <row r="545" spans="1:11">
      <c r="A545" s="4" t="s">
        <v>742</v>
      </c>
      <c r="B545" s="4" t="s">
        <v>559</v>
      </c>
      <c r="C545" s="4" t="s">
        <v>560</v>
      </c>
      <c r="D545" s="4" t="s">
        <v>561</v>
      </c>
      <c r="E545" s="4" t="s">
        <v>560</v>
      </c>
      <c r="F545" s="5">
        <v>1</v>
      </c>
      <c r="G545" s="4" t="s">
        <v>13</v>
      </c>
      <c r="H545" s="4">
        <v>1</v>
      </c>
      <c r="I545" s="4" t="s">
        <v>14</v>
      </c>
      <c r="J545" s="4">
        <v>2</v>
      </c>
      <c r="K545" s="4" t="s">
        <v>970</v>
      </c>
    </row>
    <row r="546" spans="1:11">
      <c r="A546" s="4" t="s">
        <v>743</v>
      </c>
      <c r="B546" s="4" t="s">
        <v>559</v>
      </c>
      <c r="C546" s="4" t="s">
        <v>560</v>
      </c>
      <c r="D546" s="4" t="s">
        <v>561</v>
      </c>
      <c r="E546" s="4" t="s">
        <v>560</v>
      </c>
      <c r="F546" s="5">
        <v>2</v>
      </c>
      <c r="G546" s="4" t="s">
        <v>16</v>
      </c>
      <c r="H546" s="4">
        <v>1</v>
      </c>
      <c r="I546" s="4" t="s">
        <v>14</v>
      </c>
      <c r="J546" s="4">
        <v>2</v>
      </c>
      <c r="K546" s="4" t="s">
        <v>970</v>
      </c>
    </row>
    <row r="547" spans="1:11">
      <c r="A547" s="4" t="s">
        <v>744</v>
      </c>
      <c r="B547" s="4" t="s">
        <v>559</v>
      </c>
      <c r="C547" s="4" t="s">
        <v>560</v>
      </c>
      <c r="D547" s="4" t="s">
        <v>561</v>
      </c>
      <c r="E547" s="4" t="s">
        <v>560</v>
      </c>
      <c r="F547" s="5">
        <v>3</v>
      </c>
      <c r="G547" s="4" t="s">
        <v>18</v>
      </c>
      <c r="H547" s="4">
        <v>1</v>
      </c>
      <c r="I547" s="4" t="s">
        <v>14</v>
      </c>
      <c r="J547" s="4">
        <v>2</v>
      </c>
      <c r="K547" s="4" t="s">
        <v>970</v>
      </c>
    </row>
    <row r="548" spans="1:11">
      <c r="A548" s="4" t="s">
        <v>745</v>
      </c>
      <c r="B548" s="4" t="s">
        <v>559</v>
      </c>
      <c r="C548" s="4" t="s">
        <v>560</v>
      </c>
      <c r="D548" s="4" t="s">
        <v>561</v>
      </c>
      <c r="E548" s="4" t="s">
        <v>560</v>
      </c>
      <c r="F548" s="5">
        <v>4</v>
      </c>
      <c r="G548" s="4" t="s">
        <v>20</v>
      </c>
      <c r="H548" s="4">
        <v>1</v>
      </c>
      <c r="I548" s="4" t="s">
        <v>14</v>
      </c>
      <c r="J548" s="4">
        <v>2</v>
      </c>
      <c r="K548" s="4" t="s">
        <v>970</v>
      </c>
    </row>
    <row r="549" spans="1:11">
      <c r="A549" s="4" t="s">
        <v>746</v>
      </c>
      <c r="B549" s="4" t="s">
        <v>559</v>
      </c>
      <c r="C549" s="4" t="s">
        <v>560</v>
      </c>
      <c r="D549" s="4" t="s">
        <v>561</v>
      </c>
      <c r="E549" s="4" t="s">
        <v>560</v>
      </c>
      <c r="F549" s="5">
        <v>5</v>
      </c>
      <c r="G549" s="4" t="s">
        <v>22</v>
      </c>
      <c r="H549" s="4">
        <v>1</v>
      </c>
      <c r="I549" s="4" t="s">
        <v>14</v>
      </c>
      <c r="J549" s="4">
        <v>2</v>
      </c>
      <c r="K549" s="4" t="s">
        <v>970</v>
      </c>
    </row>
    <row r="550" spans="1:11">
      <c r="A550" s="4" t="s">
        <v>747</v>
      </c>
      <c r="B550" s="4" t="s">
        <v>559</v>
      </c>
      <c r="C550" s="4" t="s">
        <v>560</v>
      </c>
      <c r="D550" s="4" t="s">
        <v>561</v>
      </c>
      <c r="E550" s="4" t="s">
        <v>560</v>
      </c>
      <c r="F550" s="5">
        <v>6</v>
      </c>
      <c r="G550" s="4" t="s">
        <v>24</v>
      </c>
      <c r="H550" s="4">
        <v>1</v>
      </c>
      <c r="I550" s="4" t="s">
        <v>14</v>
      </c>
      <c r="J550" s="4">
        <v>2</v>
      </c>
      <c r="K550" s="4" t="s">
        <v>970</v>
      </c>
    </row>
    <row r="551" spans="1:11">
      <c r="A551" s="4" t="s">
        <v>748</v>
      </c>
      <c r="B551" s="4" t="s">
        <v>559</v>
      </c>
      <c r="C551" s="4" t="s">
        <v>560</v>
      </c>
      <c r="D551" s="4" t="s">
        <v>561</v>
      </c>
      <c r="E551" s="4" t="s">
        <v>560</v>
      </c>
      <c r="F551" s="5">
        <v>7</v>
      </c>
      <c r="G551" s="4" t="s">
        <v>26</v>
      </c>
      <c r="H551" s="4">
        <v>1</v>
      </c>
      <c r="I551" s="4" t="s">
        <v>14</v>
      </c>
      <c r="J551" s="4">
        <v>2</v>
      </c>
      <c r="K551" s="4" t="s">
        <v>970</v>
      </c>
    </row>
    <row r="552" spans="1:11">
      <c r="A552" s="4" t="s">
        <v>749</v>
      </c>
      <c r="B552" s="4" t="s">
        <v>559</v>
      </c>
      <c r="C552" s="4" t="s">
        <v>560</v>
      </c>
      <c r="D552" s="4" t="s">
        <v>561</v>
      </c>
      <c r="E552" s="4" t="s">
        <v>560</v>
      </c>
      <c r="F552" s="5">
        <v>8</v>
      </c>
      <c r="G552" s="4" t="s">
        <v>28</v>
      </c>
      <c r="H552" s="4">
        <v>1</v>
      </c>
      <c r="I552" s="4" t="s">
        <v>14</v>
      </c>
      <c r="J552" s="4">
        <v>2</v>
      </c>
      <c r="K552" s="4" t="s">
        <v>970</v>
      </c>
    </row>
    <row r="553" spans="1:11">
      <c r="A553" s="4" t="s">
        <v>750</v>
      </c>
      <c r="B553" s="4" t="s">
        <v>559</v>
      </c>
      <c r="C553" s="4" t="s">
        <v>560</v>
      </c>
      <c r="D553" s="4" t="s">
        <v>561</v>
      </c>
      <c r="E553" s="4" t="s">
        <v>560</v>
      </c>
      <c r="F553" s="5">
        <v>9</v>
      </c>
      <c r="G553" s="4" t="s">
        <v>30</v>
      </c>
      <c r="H553" s="4">
        <v>1</v>
      </c>
      <c r="I553" s="4" t="s">
        <v>14</v>
      </c>
      <c r="J553" s="4">
        <v>2</v>
      </c>
      <c r="K553" s="4" t="s">
        <v>970</v>
      </c>
    </row>
    <row r="554" spans="1:11">
      <c r="A554" s="4" t="s">
        <v>751</v>
      </c>
      <c r="B554" s="4" t="s">
        <v>559</v>
      </c>
      <c r="C554" s="4" t="s">
        <v>560</v>
      </c>
      <c r="D554" s="4" t="s">
        <v>561</v>
      </c>
      <c r="E554" s="4" t="s">
        <v>560</v>
      </c>
      <c r="F554" s="5">
        <v>10</v>
      </c>
      <c r="G554" s="4" t="s">
        <v>32</v>
      </c>
      <c r="H554" s="4">
        <v>1</v>
      </c>
      <c r="I554" s="4" t="s">
        <v>14</v>
      </c>
      <c r="J554" s="4">
        <v>2</v>
      </c>
      <c r="K554" s="4" t="s">
        <v>970</v>
      </c>
    </row>
    <row r="555" spans="1:11">
      <c r="A555" s="4" t="s">
        <v>752</v>
      </c>
      <c r="B555" s="4" t="s">
        <v>559</v>
      </c>
      <c r="C555" s="4" t="s">
        <v>560</v>
      </c>
      <c r="D555" s="4" t="s">
        <v>561</v>
      </c>
      <c r="E555" s="4" t="s">
        <v>560</v>
      </c>
      <c r="F555" s="5">
        <v>11</v>
      </c>
      <c r="G555" s="4" t="s">
        <v>34</v>
      </c>
      <c r="H555" s="4">
        <v>1</v>
      </c>
      <c r="I555" s="4" t="s">
        <v>14</v>
      </c>
      <c r="J555" s="4">
        <v>2</v>
      </c>
      <c r="K555" s="4" t="s">
        <v>970</v>
      </c>
    </row>
    <row r="556" spans="1:11">
      <c r="A556" s="4" t="s">
        <v>753</v>
      </c>
      <c r="B556" s="4" t="s">
        <v>559</v>
      </c>
      <c r="C556" s="4" t="s">
        <v>560</v>
      </c>
      <c r="D556" s="4" t="s">
        <v>561</v>
      </c>
      <c r="E556" s="4" t="s">
        <v>560</v>
      </c>
      <c r="F556" s="5">
        <v>12</v>
      </c>
      <c r="G556" s="4" t="s">
        <v>36</v>
      </c>
      <c r="H556" s="4">
        <v>1</v>
      </c>
      <c r="I556" s="4" t="s">
        <v>14</v>
      </c>
      <c r="J556" s="4">
        <v>2</v>
      </c>
      <c r="K556" s="4" t="s">
        <v>970</v>
      </c>
    </row>
    <row r="557" spans="1:11">
      <c r="A557" s="4" t="s">
        <v>754</v>
      </c>
      <c r="B557" s="4" t="s">
        <v>559</v>
      </c>
      <c r="C557" s="4" t="s">
        <v>560</v>
      </c>
      <c r="D557" s="4" t="s">
        <v>561</v>
      </c>
      <c r="E557" s="4" t="s">
        <v>560</v>
      </c>
      <c r="F557" s="5">
        <v>13</v>
      </c>
      <c r="G557" s="4" t="s">
        <v>38</v>
      </c>
      <c r="H557" s="4">
        <v>1</v>
      </c>
      <c r="I557" s="4" t="s">
        <v>14</v>
      </c>
      <c r="J557" s="4">
        <v>2</v>
      </c>
      <c r="K557" s="4" t="s">
        <v>970</v>
      </c>
    </row>
    <row r="558" spans="1:11">
      <c r="A558" s="4" t="s">
        <v>755</v>
      </c>
      <c r="B558" s="4" t="s">
        <v>559</v>
      </c>
      <c r="C558" s="4" t="s">
        <v>560</v>
      </c>
      <c r="D558" s="4" t="s">
        <v>561</v>
      </c>
      <c r="E558" s="4" t="s">
        <v>560</v>
      </c>
      <c r="F558" s="5">
        <v>14</v>
      </c>
      <c r="G558" s="4" t="s">
        <v>40</v>
      </c>
      <c r="H558" s="4">
        <v>1</v>
      </c>
      <c r="I558" s="4" t="s">
        <v>14</v>
      </c>
      <c r="J558" s="4">
        <v>2</v>
      </c>
      <c r="K558" s="4" t="s">
        <v>970</v>
      </c>
    </row>
    <row r="559" spans="1:11">
      <c r="A559" s="4" t="s">
        <v>756</v>
      </c>
      <c r="B559" s="4" t="s">
        <v>559</v>
      </c>
      <c r="C559" s="4" t="s">
        <v>560</v>
      </c>
      <c r="D559" s="4" t="s">
        <v>561</v>
      </c>
      <c r="E559" s="4" t="s">
        <v>560</v>
      </c>
      <c r="F559" s="5">
        <v>15</v>
      </c>
      <c r="G559" s="4" t="s">
        <v>42</v>
      </c>
      <c r="H559" s="4">
        <v>1</v>
      </c>
      <c r="I559" s="4" t="s">
        <v>14</v>
      </c>
      <c r="J559" s="4">
        <v>2</v>
      </c>
      <c r="K559" s="4" t="s">
        <v>970</v>
      </c>
    </row>
    <row r="560" spans="1:11">
      <c r="A560" s="4" t="s">
        <v>757</v>
      </c>
      <c r="B560" s="4" t="s">
        <v>559</v>
      </c>
      <c r="C560" s="4" t="s">
        <v>560</v>
      </c>
      <c r="D560" s="4" t="s">
        <v>561</v>
      </c>
      <c r="E560" s="4" t="s">
        <v>560</v>
      </c>
      <c r="F560" s="5">
        <v>16</v>
      </c>
      <c r="G560" s="4" t="s">
        <v>44</v>
      </c>
      <c r="H560" s="4">
        <v>1</v>
      </c>
      <c r="I560" s="4" t="s">
        <v>14</v>
      </c>
      <c r="J560" s="4">
        <v>2</v>
      </c>
      <c r="K560" s="4" t="s">
        <v>970</v>
      </c>
    </row>
    <row r="561" spans="1:11">
      <c r="A561" s="4" t="s">
        <v>758</v>
      </c>
      <c r="B561" s="4" t="s">
        <v>559</v>
      </c>
      <c r="C561" s="4" t="s">
        <v>560</v>
      </c>
      <c r="D561" s="4" t="s">
        <v>561</v>
      </c>
      <c r="E561" s="4" t="s">
        <v>560</v>
      </c>
      <c r="F561" s="5">
        <v>17</v>
      </c>
      <c r="G561" s="4" t="s">
        <v>46</v>
      </c>
      <c r="H561" s="4">
        <v>1</v>
      </c>
      <c r="I561" s="4" t="s">
        <v>14</v>
      </c>
      <c r="J561" s="4">
        <v>2</v>
      </c>
      <c r="K561" s="4" t="s">
        <v>970</v>
      </c>
    </row>
    <row r="562" spans="1:11">
      <c r="A562" s="4" t="s">
        <v>759</v>
      </c>
      <c r="B562" s="4" t="s">
        <v>559</v>
      </c>
      <c r="C562" s="4" t="s">
        <v>560</v>
      </c>
      <c r="D562" s="4" t="s">
        <v>561</v>
      </c>
      <c r="E562" s="4" t="s">
        <v>560</v>
      </c>
      <c r="F562" s="5">
        <v>18</v>
      </c>
      <c r="G562" s="4" t="s">
        <v>48</v>
      </c>
      <c r="H562" s="4">
        <v>1</v>
      </c>
      <c r="I562" s="4" t="s">
        <v>14</v>
      </c>
      <c r="J562" s="4">
        <v>2</v>
      </c>
      <c r="K562" s="4" t="s">
        <v>970</v>
      </c>
    </row>
    <row r="563" spans="1:11">
      <c r="A563" s="4" t="s">
        <v>760</v>
      </c>
      <c r="B563" s="4" t="s">
        <v>559</v>
      </c>
      <c r="C563" s="4" t="s">
        <v>560</v>
      </c>
      <c r="D563" s="4" t="s">
        <v>561</v>
      </c>
      <c r="E563" s="4" t="s">
        <v>560</v>
      </c>
      <c r="F563" s="5">
        <v>19</v>
      </c>
      <c r="G563" s="4" t="s">
        <v>50</v>
      </c>
      <c r="H563" s="4">
        <v>1</v>
      </c>
      <c r="I563" s="4" t="s">
        <v>14</v>
      </c>
      <c r="J563" s="4">
        <v>2</v>
      </c>
      <c r="K563" s="4" t="s">
        <v>970</v>
      </c>
    </row>
    <row r="564" spans="1:11">
      <c r="A564" s="4" t="s">
        <v>761</v>
      </c>
      <c r="B564" s="4" t="s">
        <v>559</v>
      </c>
      <c r="C564" s="4" t="s">
        <v>560</v>
      </c>
      <c r="D564" s="4" t="s">
        <v>561</v>
      </c>
      <c r="E564" s="4" t="s">
        <v>560</v>
      </c>
      <c r="F564" s="5">
        <v>20</v>
      </c>
      <c r="G564" s="4" t="s">
        <v>52</v>
      </c>
      <c r="H564" s="4">
        <v>1</v>
      </c>
      <c r="I564" s="4" t="s">
        <v>14</v>
      </c>
      <c r="J564" s="4">
        <v>2</v>
      </c>
      <c r="K564" s="4" t="s">
        <v>970</v>
      </c>
    </row>
    <row r="565" spans="1:11">
      <c r="A565" s="4" t="s">
        <v>762</v>
      </c>
      <c r="B565" s="4" t="s">
        <v>559</v>
      </c>
      <c r="C565" s="4" t="s">
        <v>560</v>
      </c>
      <c r="D565" s="4" t="s">
        <v>561</v>
      </c>
      <c r="E565" s="4" t="s">
        <v>560</v>
      </c>
      <c r="F565" s="5">
        <v>21</v>
      </c>
      <c r="G565" s="4" t="s">
        <v>54</v>
      </c>
      <c r="H565" s="4">
        <v>1</v>
      </c>
      <c r="I565" s="4" t="s">
        <v>14</v>
      </c>
      <c r="J565" s="4">
        <v>2</v>
      </c>
      <c r="K565" s="4" t="s">
        <v>970</v>
      </c>
    </row>
    <row r="566" spans="1:11">
      <c r="A566" s="4" t="s">
        <v>763</v>
      </c>
      <c r="B566" s="4" t="s">
        <v>559</v>
      </c>
      <c r="C566" s="4" t="s">
        <v>560</v>
      </c>
      <c r="D566" s="4" t="s">
        <v>561</v>
      </c>
      <c r="E566" s="4" t="s">
        <v>560</v>
      </c>
      <c r="F566" s="5">
        <v>22</v>
      </c>
      <c r="G566" s="4" t="s">
        <v>56</v>
      </c>
      <c r="H566" s="4">
        <v>1</v>
      </c>
      <c r="I566" s="4" t="s">
        <v>14</v>
      </c>
      <c r="J566" s="4">
        <v>2</v>
      </c>
      <c r="K566" s="4" t="s">
        <v>970</v>
      </c>
    </row>
    <row r="567" spans="1:11">
      <c r="A567" s="4" t="s">
        <v>764</v>
      </c>
      <c r="B567" s="4" t="s">
        <v>559</v>
      </c>
      <c r="C567" s="4" t="s">
        <v>560</v>
      </c>
      <c r="D567" s="4" t="s">
        <v>561</v>
      </c>
      <c r="E567" s="4" t="s">
        <v>560</v>
      </c>
      <c r="F567" s="5">
        <v>23</v>
      </c>
      <c r="G567" s="4" t="s">
        <v>58</v>
      </c>
      <c r="H567" s="4">
        <v>1</v>
      </c>
      <c r="I567" s="4" t="s">
        <v>14</v>
      </c>
      <c r="J567" s="4">
        <v>2</v>
      </c>
      <c r="K567" s="4" t="s">
        <v>970</v>
      </c>
    </row>
    <row r="568" spans="1:11">
      <c r="A568" s="4" t="s">
        <v>765</v>
      </c>
      <c r="B568" s="4" t="s">
        <v>559</v>
      </c>
      <c r="C568" s="4" t="s">
        <v>560</v>
      </c>
      <c r="D568" s="4" t="s">
        <v>561</v>
      </c>
      <c r="E568" s="4" t="s">
        <v>560</v>
      </c>
      <c r="F568" s="5">
        <v>24</v>
      </c>
      <c r="G568" s="4" t="s">
        <v>60</v>
      </c>
      <c r="H568" s="4">
        <v>1</v>
      </c>
      <c r="I568" s="4" t="s">
        <v>14</v>
      </c>
      <c r="J568" s="4">
        <v>2</v>
      </c>
      <c r="K568" s="4" t="s">
        <v>970</v>
      </c>
    </row>
    <row r="569" spans="1:11">
      <c r="A569" s="4" t="s">
        <v>766</v>
      </c>
      <c r="B569" s="4" t="s">
        <v>559</v>
      </c>
      <c r="C569" s="4" t="s">
        <v>560</v>
      </c>
      <c r="D569" s="4" t="s">
        <v>561</v>
      </c>
      <c r="E569" s="4" t="s">
        <v>560</v>
      </c>
      <c r="F569" s="5">
        <v>25</v>
      </c>
      <c r="G569" s="4" t="s">
        <v>62</v>
      </c>
      <c r="H569" s="4">
        <v>1</v>
      </c>
      <c r="I569" s="4" t="s">
        <v>14</v>
      </c>
      <c r="J569" s="4">
        <v>2</v>
      </c>
      <c r="K569" s="4" t="s">
        <v>970</v>
      </c>
    </row>
    <row r="570" spans="1:11">
      <c r="A570" s="4" t="s">
        <v>767</v>
      </c>
      <c r="B570" s="4" t="s">
        <v>559</v>
      </c>
      <c r="C570" s="4" t="s">
        <v>560</v>
      </c>
      <c r="D570" s="4" t="s">
        <v>561</v>
      </c>
      <c r="E570" s="4" t="s">
        <v>560</v>
      </c>
      <c r="F570" s="5">
        <v>26</v>
      </c>
      <c r="G570" s="4" t="s">
        <v>64</v>
      </c>
      <c r="H570" s="4">
        <v>1</v>
      </c>
      <c r="I570" s="4" t="s">
        <v>14</v>
      </c>
      <c r="J570" s="4">
        <v>2</v>
      </c>
      <c r="K570" s="4" t="s">
        <v>970</v>
      </c>
    </row>
    <row r="571" spans="1:11">
      <c r="A571" s="4" t="s">
        <v>768</v>
      </c>
      <c r="B571" s="4" t="s">
        <v>559</v>
      </c>
      <c r="C571" s="4" t="s">
        <v>560</v>
      </c>
      <c r="D571" s="4" t="s">
        <v>561</v>
      </c>
      <c r="E571" s="4" t="s">
        <v>560</v>
      </c>
      <c r="F571" s="5">
        <v>27</v>
      </c>
      <c r="G571" s="4" t="s">
        <v>66</v>
      </c>
      <c r="H571" s="4">
        <v>3</v>
      </c>
      <c r="I571" s="4" t="s">
        <v>67</v>
      </c>
      <c r="J571" s="4">
        <v>2</v>
      </c>
      <c r="K571" s="4" t="s">
        <v>970</v>
      </c>
    </row>
    <row r="572" spans="1:11">
      <c r="A572" s="4" t="s">
        <v>769</v>
      </c>
      <c r="B572" s="4" t="s">
        <v>559</v>
      </c>
      <c r="C572" s="4" t="s">
        <v>560</v>
      </c>
      <c r="D572" s="4" t="s">
        <v>561</v>
      </c>
      <c r="E572" s="4" t="s">
        <v>560</v>
      </c>
      <c r="F572" s="5">
        <v>28</v>
      </c>
      <c r="G572" s="4" t="s">
        <v>69</v>
      </c>
      <c r="H572" s="4">
        <v>3</v>
      </c>
      <c r="I572" s="4" t="s">
        <v>67</v>
      </c>
      <c r="J572" s="4">
        <v>2</v>
      </c>
      <c r="K572" s="4" t="s">
        <v>970</v>
      </c>
    </row>
    <row r="573" spans="1:11">
      <c r="A573" s="4" t="s">
        <v>770</v>
      </c>
      <c r="B573" s="4" t="s">
        <v>559</v>
      </c>
      <c r="C573" s="4" t="s">
        <v>560</v>
      </c>
      <c r="D573" s="4" t="s">
        <v>561</v>
      </c>
      <c r="E573" s="4" t="s">
        <v>560</v>
      </c>
      <c r="F573" s="5">
        <v>29</v>
      </c>
      <c r="G573" s="4" t="s">
        <v>71</v>
      </c>
      <c r="H573" s="4">
        <v>3</v>
      </c>
      <c r="I573" s="4" t="s">
        <v>67</v>
      </c>
      <c r="J573" s="4">
        <v>2</v>
      </c>
      <c r="K573" s="4" t="s">
        <v>970</v>
      </c>
    </row>
    <row r="574" spans="1:11">
      <c r="A574" s="4" t="s">
        <v>771</v>
      </c>
      <c r="B574" s="4" t="s">
        <v>559</v>
      </c>
      <c r="C574" s="4" t="s">
        <v>560</v>
      </c>
      <c r="D574" s="4" t="s">
        <v>561</v>
      </c>
      <c r="E574" s="4" t="s">
        <v>560</v>
      </c>
      <c r="F574" s="5">
        <v>30</v>
      </c>
      <c r="G574" s="4" t="s">
        <v>73</v>
      </c>
      <c r="H574" s="4">
        <v>3</v>
      </c>
      <c r="I574" s="4" t="s">
        <v>67</v>
      </c>
      <c r="J574" s="4">
        <v>2</v>
      </c>
      <c r="K574" s="4" t="s">
        <v>970</v>
      </c>
    </row>
    <row r="575" spans="1:11">
      <c r="A575" s="4" t="s">
        <v>772</v>
      </c>
      <c r="B575" s="4" t="s">
        <v>559</v>
      </c>
      <c r="C575" s="4" t="s">
        <v>560</v>
      </c>
      <c r="D575" s="4" t="s">
        <v>561</v>
      </c>
      <c r="E575" s="4" t="s">
        <v>560</v>
      </c>
      <c r="F575" s="5">
        <v>31</v>
      </c>
      <c r="G575" s="4" t="s">
        <v>75</v>
      </c>
      <c r="H575" s="4">
        <v>3</v>
      </c>
      <c r="I575" s="4" t="s">
        <v>67</v>
      </c>
      <c r="J575" s="4">
        <v>2</v>
      </c>
      <c r="K575" s="4" t="s">
        <v>970</v>
      </c>
    </row>
    <row r="576" spans="1:11">
      <c r="A576" s="4" t="s">
        <v>773</v>
      </c>
      <c r="B576" s="4" t="s">
        <v>559</v>
      </c>
      <c r="C576" s="4" t="s">
        <v>560</v>
      </c>
      <c r="D576" s="4" t="s">
        <v>561</v>
      </c>
      <c r="E576" s="4" t="s">
        <v>560</v>
      </c>
      <c r="F576" s="5">
        <v>32</v>
      </c>
      <c r="G576" s="4" t="s">
        <v>77</v>
      </c>
      <c r="H576" s="4">
        <v>3</v>
      </c>
      <c r="I576" s="4" t="s">
        <v>67</v>
      </c>
      <c r="J576" s="4">
        <v>2</v>
      </c>
      <c r="K576" s="4" t="s">
        <v>970</v>
      </c>
    </row>
    <row r="577" spans="1:11">
      <c r="A577" s="4" t="s">
        <v>774</v>
      </c>
      <c r="B577" s="4" t="s">
        <v>559</v>
      </c>
      <c r="C577" s="4" t="s">
        <v>560</v>
      </c>
      <c r="D577" s="4" t="s">
        <v>561</v>
      </c>
      <c r="E577" s="4" t="s">
        <v>560</v>
      </c>
      <c r="F577" s="5">
        <v>33</v>
      </c>
      <c r="G577" s="4" t="s">
        <v>79</v>
      </c>
      <c r="H577" s="4">
        <v>3</v>
      </c>
      <c r="I577" s="4" t="s">
        <v>67</v>
      </c>
      <c r="J577" s="4">
        <v>2</v>
      </c>
      <c r="K577" s="4" t="s">
        <v>970</v>
      </c>
    </row>
    <row r="578" spans="1:11">
      <c r="A578" s="4" t="s">
        <v>775</v>
      </c>
      <c r="B578" s="4" t="s">
        <v>559</v>
      </c>
      <c r="C578" s="4" t="s">
        <v>560</v>
      </c>
      <c r="D578" s="4" t="s">
        <v>561</v>
      </c>
      <c r="E578" s="4" t="s">
        <v>560</v>
      </c>
      <c r="F578" s="5">
        <v>34</v>
      </c>
      <c r="G578" s="4" t="s">
        <v>81</v>
      </c>
      <c r="H578" s="4">
        <v>3</v>
      </c>
      <c r="I578" s="4" t="s">
        <v>67</v>
      </c>
      <c r="J578" s="4">
        <v>2</v>
      </c>
      <c r="K578" s="4" t="s">
        <v>970</v>
      </c>
    </row>
    <row r="579" spans="1:11">
      <c r="A579" s="4" t="s">
        <v>776</v>
      </c>
      <c r="B579" s="4" t="s">
        <v>559</v>
      </c>
      <c r="C579" s="4" t="s">
        <v>560</v>
      </c>
      <c r="D579" s="4" t="s">
        <v>561</v>
      </c>
      <c r="E579" s="4" t="s">
        <v>560</v>
      </c>
      <c r="F579" s="5">
        <v>35</v>
      </c>
      <c r="G579" s="4" t="s">
        <v>83</v>
      </c>
      <c r="H579" s="4">
        <v>3</v>
      </c>
      <c r="I579" s="4" t="s">
        <v>67</v>
      </c>
      <c r="J579" s="4">
        <v>2</v>
      </c>
      <c r="K579" s="4" t="s">
        <v>970</v>
      </c>
    </row>
    <row r="580" spans="1:11">
      <c r="A580" s="4" t="s">
        <v>777</v>
      </c>
      <c r="B580" s="4" t="s">
        <v>559</v>
      </c>
      <c r="C580" s="4" t="s">
        <v>560</v>
      </c>
      <c r="D580" s="4" t="s">
        <v>561</v>
      </c>
      <c r="E580" s="4" t="s">
        <v>560</v>
      </c>
      <c r="F580" s="5">
        <v>36</v>
      </c>
      <c r="G580" s="4" t="s">
        <v>85</v>
      </c>
      <c r="H580" s="4">
        <v>3</v>
      </c>
      <c r="I580" s="4" t="s">
        <v>67</v>
      </c>
      <c r="J580" s="4">
        <v>2</v>
      </c>
      <c r="K580" s="4" t="s">
        <v>970</v>
      </c>
    </row>
    <row r="581" spans="1:11">
      <c r="A581" s="4" t="s">
        <v>778</v>
      </c>
      <c r="B581" s="4" t="s">
        <v>559</v>
      </c>
      <c r="C581" s="4" t="s">
        <v>560</v>
      </c>
      <c r="D581" s="4" t="s">
        <v>561</v>
      </c>
      <c r="E581" s="4" t="s">
        <v>560</v>
      </c>
      <c r="F581" s="5">
        <v>37</v>
      </c>
      <c r="G581" s="4" t="s">
        <v>87</v>
      </c>
      <c r="H581" s="4">
        <v>1</v>
      </c>
      <c r="I581" s="4" t="s">
        <v>14</v>
      </c>
      <c r="J581" s="4">
        <v>2</v>
      </c>
      <c r="K581" s="4" t="s">
        <v>970</v>
      </c>
    </row>
    <row r="582" spans="1:11">
      <c r="A582" s="4" t="s">
        <v>779</v>
      </c>
      <c r="B582" s="4" t="s">
        <v>559</v>
      </c>
      <c r="C582" s="4" t="s">
        <v>560</v>
      </c>
      <c r="D582" s="4" t="s">
        <v>561</v>
      </c>
      <c r="E582" s="4" t="s">
        <v>560</v>
      </c>
      <c r="F582" s="5">
        <v>38</v>
      </c>
      <c r="G582" s="4" t="s">
        <v>89</v>
      </c>
      <c r="H582" s="4">
        <v>1</v>
      </c>
      <c r="I582" s="4" t="s">
        <v>14</v>
      </c>
      <c r="J582" s="4">
        <v>2</v>
      </c>
      <c r="K582" s="4" t="s">
        <v>970</v>
      </c>
    </row>
    <row r="583" spans="1:11">
      <c r="A583" s="4" t="s">
        <v>780</v>
      </c>
      <c r="B583" s="4" t="s">
        <v>559</v>
      </c>
      <c r="C583" s="4" t="s">
        <v>560</v>
      </c>
      <c r="D583" s="4" t="s">
        <v>561</v>
      </c>
      <c r="E583" s="4" t="s">
        <v>560</v>
      </c>
      <c r="F583" s="5">
        <v>39</v>
      </c>
      <c r="G583" s="4" t="s">
        <v>91</v>
      </c>
      <c r="H583" s="4">
        <v>1</v>
      </c>
      <c r="I583" s="4" t="s">
        <v>14</v>
      </c>
      <c r="J583" s="4">
        <v>2</v>
      </c>
      <c r="K583" s="4" t="s">
        <v>970</v>
      </c>
    </row>
    <row r="584" spans="1:11">
      <c r="A584" s="4" t="s">
        <v>781</v>
      </c>
      <c r="B584" s="4" t="s">
        <v>559</v>
      </c>
      <c r="C584" s="4" t="s">
        <v>560</v>
      </c>
      <c r="D584" s="4" t="s">
        <v>561</v>
      </c>
      <c r="E584" s="4" t="s">
        <v>560</v>
      </c>
      <c r="F584" s="5">
        <v>40</v>
      </c>
      <c r="G584" s="4" t="s">
        <v>93</v>
      </c>
      <c r="H584" s="4">
        <v>1</v>
      </c>
      <c r="I584" s="4" t="s">
        <v>14</v>
      </c>
      <c r="J584" s="4">
        <v>2</v>
      </c>
      <c r="K584" s="4" t="s">
        <v>970</v>
      </c>
    </row>
    <row r="585" spans="1:11">
      <c r="A585" s="4" t="s">
        <v>782</v>
      </c>
      <c r="B585" s="4" t="s">
        <v>559</v>
      </c>
      <c r="C585" s="4" t="s">
        <v>560</v>
      </c>
      <c r="D585" s="4" t="s">
        <v>561</v>
      </c>
      <c r="E585" s="4" t="s">
        <v>560</v>
      </c>
      <c r="F585" s="5">
        <v>41</v>
      </c>
      <c r="G585" s="4" t="s">
        <v>95</v>
      </c>
      <c r="H585" s="4">
        <v>1</v>
      </c>
      <c r="I585" s="4" t="s">
        <v>14</v>
      </c>
      <c r="J585" s="4">
        <v>2</v>
      </c>
      <c r="K585" s="4" t="s">
        <v>970</v>
      </c>
    </row>
    <row r="586" spans="1:11">
      <c r="A586" s="4" t="s">
        <v>783</v>
      </c>
      <c r="B586" s="4" t="s">
        <v>559</v>
      </c>
      <c r="C586" s="4" t="s">
        <v>560</v>
      </c>
      <c r="D586" s="4" t="s">
        <v>561</v>
      </c>
      <c r="E586" s="4" t="s">
        <v>560</v>
      </c>
      <c r="F586" s="5">
        <v>42</v>
      </c>
      <c r="G586" s="4" t="s">
        <v>97</v>
      </c>
      <c r="H586" s="4">
        <v>1</v>
      </c>
      <c r="I586" s="4" t="s">
        <v>14</v>
      </c>
      <c r="J586" s="4">
        <v>2</v>
      </c>
      <c r="K586" s="4" t="s">
        <v>970</v>
      </c>
    </row>
    <row r="587" spans="1:11">
      <c r="A587" s="4" t="s">
        <v>784</v>
      </c>
      <c r="B587" s="4" t="s">
        <v>559</v>
      </c>
      <c r="C587" s="4" t="s">
        <v>560</v>
      </c>
      <c r="D587" s="4" t="s">
        <v>561</v>
      </c>
      <c r="E587" s="4" t="s">
        <v>560</v>
      </c>
      <c r="F587" s="5">
        <v>43</v>
      </c>
      <c r="G587" s="4" t="s">
        <v>99</v>
      </c>
      <c r="H587" s="4">
        <v>1</v>
      </c>
      <c r="I587" s="4" t="s">
        <v>14</v>
      </c>
      <c r="J587" s="4">
        <v>2</v>
      </c>
      <c r="K587" s="4" t="s">
        <v>970</v>
      </c>
    </row>
    <row r="588" spans="1:11">
      <c r="A588" s="4" t="s">
        <v>785</v>
      </c>
      <c r="B588" s="4" t="s">
        <v>559</v>
      </c>
      <c r="C588" s="4" t="s">
        <v>560</v>
      </c>
      <c r="D588" s="4" t="s">
        <v>561</v>
      </c>
      <c r="E588" s="4" t="s">
        <v>560</v>
      </c>
      <c r="F588" s="5">
        <v>44</v>
      </c>
      <c r="G588" s="4" t="s">
        <v>101</v>
      </c>
      <c r="H588" s="4">
        <v>1</v>
      </c>
      <c r="I588" s="4" t="s">
        <v>14</v>
      </c>
      <c r="J588" s="4">
        <v>2</v>
      </c>
      <c r="K588" s="4" t="s">
        <v>970</v>
      </c>
    </row>
    <row r="589" spans="1:11">
      <c r="A589" s="4" t="s">
        <v>786</v>
      </c>
      <c r="B589" s="4" t="s">
        <v>559</v>
      </c>
      <c r="C589" s="4" t="s">
        <v>560</v>
      </c>
      <c r="D589" s="4" t="s">
        <v>561</v>
      </c>
      <c r="E589" s="4" t="s">
        <v>560</v>
      </c>
      <c r="F589" s="5">
        <v>45</v>
      </c>
      <c r="G589" s="4" t="s">
        <v>103</v>
      </c>
      <c r="H589" s="4">
        <v>1</v>
      </c>
      <c r="I589" s="4" t="s">
        <v>14</v>
      </c>
      <c r="J589" s="4">
        <v>2</v>
      </c>
      <c r="K589" s="4" t="s">
        <v>970</v>
      </c>
    </row>
    <row r="590" spans="1:11">
      <c r="A590" s="4" t="s">
        <v>787</v>
      </c>
      <c r="B590" s="4" t="s">
        <v>559</v>
      </c>
      <c r="C590" s="4" t="s">
        <v>560</v>
      </c>
      <c r="D590" s="4" t="s">
        <v>561</v>
      </c>
      <c r="E590" s="4" t="s">
        <v>560</v>
      </c>
      <c r="F590" s="5">
        <v>46</v>
      </c>
      <c r="G590" s="4" t="s">
        <v>105</v>
      </c>
      <c r="H590" s="4">
        <v>1</v>
      </c>
      <c r="I590" s="4" t="s">
        <v>14</v>
      </c>
      <c r="J590" s="4">
        <v>2</v>
      </c>
      <c r="K590" s="4" t="s">
        <v>970</v>
      </c>
    </row>
    <row r="591" spans="1:11">
      <c r="A591" s="4" t="s">
        <v>788</v>
      </c>
      <c r="B591" s="4" t="s">
        <v>559</v>
      </c>
      <c r="C591" s="4" t="s">
        <v>560</v>
      </c>
      <c r="D591" s="4" t="s">
        <v>561</v>
      </c>
      <c r="E591" s="4" t="s">
        <v>560</v>
      </c>
      <c r="F591" s="5">
        <v>47</v>
      </c>
      <c r="G591" s="4" t="s">
        <v>107</v>
      </c>
      <c r="H591" s="4">
        <v>1</v>
      </c>
      <c r="I591" s="4" t="s">
        <v>14</v>
      </c>
      <c r="J591" s="4">
        <v>2</v>
      </c>
      <c r="K591" s="4" t="s">
        <v>970</v>
      </c>
    </row>
    <row r="592" spans="1:11">
      <c r="A592" s="4" t="s">
        <v>789</v>
      </c>
      <c r="B592" s="4" t="s">
        <v>559</v>
      </c>
      <c r="C592" s="4" t="s">
        <v>560</v>
      </c>
      <c r="D592" s="4" t="s">
        <v>561</v>
      </c>
      <c r="E592" s="4" t="s">
        <v>560</v>
      </c>
      <c r="F592" s="5">
        <v>48</v>
      </c>
      <c r="G592" s="4" t="s">
        <v>109</v>
      </c>
      <c r="H592" s="4">
        <v>1</v>
      </c>
      <c r="I592" s="4" t="s">
        <v>14</v>
      </c>
      <c r="J592" s="4">
        <v>2</v>
      </c>
      <c r="K592" s="4" t="s">
        <v>970</v>
      </c>
    </row>
    <row r="593" spans="1:11">
      <c r="A593" s="4" t="s">
        <v>790</v>
      </c>
      <c r="B593" s="4" t="s">
        <v>559</v>
      </c>
      <c r="C593" s="4" t="s">
        <v>560</v>
      </c>
      <c r="D593" s="4" t="s">
        <v>561</v>
      </c>
      <c r="E593" s="4" t="s">
        <v>560</v>
      </c>
      <c r="F593" s="5">
        <v>49</v>
      </c>
      <c r="G593" s="4" t="s">
        <v>111</v>
      </c>
      <c r="H593" s="4">
        <v>1</v>
      </c>
      <c r="I593" s="4" t="s">
        <v>14</v>
      </c>
      <c r="J593" s="4">
        <v>2</v>
      </c>
      <c r="K593" s="4" t="s">
        <v>970</v>
      </c>
    </row>
    <row r="594" spans="1:11">
      <c r="A594" s="4" t="s">
        <v>791</v>
      </c>
      <c r="B594" s="4" t="s">
        <v>559</v>
      </c>
      <c r="C594" s="4" t="s">
        <v>560</v>
      </c>
      <c r="D594" s="4" t="s">
        <v>561</v>
      </c>
      <c r="E594" s="4" t="s">
        <v>560</v>
      </c>
      <c r="F594" s="5">
        <v>50</v>
      </c>
      <c r="G594" s="4" t="s">
        <v>113</v>
      </c>
      <c r="H594" s="4">
        <v>1</v>
      </c>
      <c r="I594" s="4" t="s">
        <v>14</v>
      </c>
      <c r="J594" s="4">
        <v>2</v>
      </c>
      <c r="K594" s="4" t="s">
        <v>970</v>
      </c>
    </row>
    <row r="595" spans="1:11">
      <c r="A595" s="4" t="s">
        <v>792</v>
      </c>
      <c r="B595" s="4" t="s">
        <v>559</v>
      </c>
      <c r="C595" s="4" t="s">
        <v>560</v>
      </c>
      <c r="D595" s="4" t="s">
        <v>561</v>
      </c>
      <c r="E595" s="4" t="s">
        <v>560</v>
      </c>
      <c r="F595" s="5">
        <v>51</v>
      </c>
      <c r="G595" s="4" t="s">
        <v>115</v>
      </c>
      <c r="H595" s="4">
        <v>1</v>
      </c>
      <c r="I595" s="4" t="s">
        <v>14</v>
      </c>
      <c r="J595" s="4">
        <v>2</v>
      </c>
      <c r="K595" s="4" t="s">
        <v>970</v>
      </c>
    </row>
    <row r="596" spans="1:11">
      <c r="A596" s="4" t="s">
        <v>793</v>
      </c>
      <c r="B596" s="4" t="s">
        <v>559</v>
      </c>
      <c r="C596" s="4" t="s">
        <v>560</v>
      </c>
      <c r="D596" s="4" t="s">
        <v>561</v>
      </c>
      <c r="E596" s="4" t="s">
        <v>560</v>
      </c>
      <c r="F596" s="5">
        <v>52</v>
      </c>
      <c r="G596" s="4" t="s">
        <v>117</v>
      </c>
      <c r="H596" s="4">
        <v>1</v>
      </c>
      <c r="I596" s="4" t="s">
        <v>14</v>
      </c>
      <c r="J596" s="4">
        <v>2</v>
      </c>
      <c r="K596" s="4" t="s">
        <v>970</v>
      </c>
    </row>
    <row r="597" spans="1:11">
      <c r="A597" s="4" t="s">
        <v>794</v>
      </c>
      <c r="B597" s="4" t="s">
        <v>559</v>
      </c>
      <c r="C597" s="4" t="s">
        <v>560</v>
      </c>
      <c r="D597" s="4" t="s">
        <v>561</v>
      </c>
      <c r="E597" s="4" t="s">
        <v>560</v>
      </c>
      <c r="F597" s="5">
        <v>53</v>
      </c>
      <c r="G597" s="4" t="s">
        <v>119</v>
      </c>
      <c r="H597" s="4">
        <v>1</v>
      </c>
      <c r="I597" s="4" t="s">
        <v>14</v>
      </c>
      <c r="J597" s="4">
        <v>2</v>
      </c>
      <c r="K597" s="4" t="s">
        <v>970</v>
      </c>
    </row>
    <row r="598" spans="1:11">
      <c r="A598" s="4" t="s">
        <v>795</v>
      </c>
      <c r="B598" s="4" t="s">
        <v>559</v>
      </c>
      <c r="C598" s="4" t="s">
        <v>560</v>
      </c>
      <c r="D598" s="4" t="s">
        <v>561</v>
      </c>
      <c r="E598" s="4" t="s">
        <v>560</v>
      </c>
      <c r="F598" s="5">
        <v>54</v>
      </c>
      <c r="G598" s="4" t="s">
        <v>121</v>
      </c>
      <c r="H598" s="4">
        <v>1</v>
      </c>
      <c r="I598" s="4" t="s">
        <v>14</v>
      </c>
      <c r="J598" s="4">
        <v>2</v>
      </c>
      <c r="K598" s="4" t="s">
        <v>970</v>
      </c>
    </row>
    <row r="599" spans="1:11">
      <c r="A599" s="4" t="s">
        <v>796</v>
      </c>
      <c r="B599" s="4" t="s">
        <v>559</v>
      </c>
      <c r="C599" s="4" t="s">
        <v>560</v>
      </c>
      <c r="D599" s="4" t="s">
        <v>561</v>
      </c>
      <c r="E599" s="4" t="s">
        <v>560</v>
      </c>
      <c r="F599" s="5">
        <v>55</v>
      </c>
      <c r="G599" s="4" t="s">
        <v>123</v>
      </c>
      <c r="H599" s="4">
        <v>1</v>
      </c>
      <c r="I599" s="4" t="s">
        <v>14</v>
      </c>
      <c r="J599" s="4">
        <v>2</v>
      </c>
      <c r="K599" s="4" t="s">
        <v>970</v>
      </c>
    </row>
    <row r="600" spans="1:11">
      <c r="A600" s="4" t="s">
        <v>797</v>
      </c>
      <c r="B600" s="4" t="s">
        <v>559</v>
      </c>
      <c r="C600" s="4" t="s">
        <v>560</v>
      </c>
      <c r="D600" s="4" t="s">
        <v>561</v>
      </c>
      <c r="E600" s="4" t="s">
        <v>560</v>
      </c>
      <c r="F600" s="5">
        <v>56</v>
      </c>
      <c r="G600" s="4" t="s">
        <v>125</v>
      </c>
      <c r="H600" s="4">
        <v>1</v>
      </c>
      <c r="I600" s="4" t="s">
        <v>14</v>
      </c>
      <c r="J600" s="4">
        <v>2</v>
      </c>
      <c r="K600" s="4" t="s">
        <v>970</v>
      </c>
    </row>
    <row r="601" spans="1:11">
      <c r="A601" s="4" t="s">
        <v>798</v>
      </c>
      <c r="B601" s="4" t="s">
        <v>559</v>
      </c>
      <c r="C601" s="4" t="s">
        <v>560</v>
      </c>
      <c r="D601" s="4" t="s">
        <v>561</v>
      </c>
      <c r="E601" s="4" t="s">
        <v>560</v>
      </c>
      <c r="F601" s="5">
        <v>57</v>
      </c>
      <c r="G601" s="4" t="s">
        <v>127</v>
      </c>
      <c r="H601" s="4">
        <v>1</v>
      </c>
      <c r="I601" s="4" t="s">
        <v>14</v>
      </c>
      <c r="J601" s="4">
        <v>2</v>
      </c>
      <c r="K601" s="4" t="s">
        <v>970</v>
      </c>
    </row>
    <row r="602" spans="1:11">
      <c r="A602" s="4" t="s">
        <v>799</v>
      </c>
      <c r="B602" s="4" t="s">
        <v>559</v>
      </c>
      <c r="C602" s="4" t="s">
        <v>560</v>
      </c>
      <c r="D602" s="4" t="s">
        <v>561</v>
      </c>
      <c r="E602" s="4" t="s">
        <v>560</v>
      </c>
      <c r="F602" s="5">
        <v>58</v>
      </c>
      <c r="G602" s="4" t="s">
        <v>129</v>
      </c>
      <c r="H602" s="4">
        <v>1</v>
      </c>
      <c r="I602" s="4" t="s">
        <v>14</v>
      </c>
      <c r="J602" s="4">
        <v>2</v>
      </c>
      <c r="K602" s="4" t="s">
        <v>970</v>
      </c>
    </row>
    <row r="603" spans="1:11">
      <c r="A603" s="4" t="s">
        <v>800</v>
      </c>
      <c r="B603" s="4" t="s">
        <v>559</v>
      </c>
      <c r="C603" s="4" t="s">
        <v>560</v>
      </c>
      <c r="D603" s="4" t="s">
        <v>561</v>
      </c>
      <c r="E603" s="4" t="s">
        <v>560</v>
      </c>
      <c r="F603" s="5">
        <v>59</v>
      </c>
      <c r="G603" s="4" t="s">
        <v>131</v>
      </c>
      <c r="H603" s="4">
        <v>1</v>
      </c>
      <c r="I603" s="4" t="s">
        <v>14</v>
      </c>
      <c r="J603" s="4">
        <v>2</v>
      </c>
      <c r="K603" s="4" t="s">
        <v>970</v>
      </c>
    </row>
    <row r="604" spans="1:11">
      <c r="A604" s="4" t="s">
        <v>801</v>
      </c>
      <c r="B604" s="4" t="s">
        <v>559</v>
      </c>
      <c r="C604" s="4" t="s">
        <v>560</v>
      </c>
      <c r="D604" s="4" t="s">
        <v>561</v>
      </c>
      <c r="E604" s="4" t="s">
        <v>560</v>
      </c>
      <c r="F604" s="5">
        <v>60</v>
      </c>
      <c r="G604" s="4" t="s">
        <v>133</v>
      </c>
      <c r="H604" s="4">
        <v>1</v>
      </c>
      <c r="I604" s="4" t="s">
        <v>14</v>
      </c>
      <c r="J604" s="4">
        <v>2</v>
      </c>
      <c r="K604" s="4" t="s">
        <v>970</v>
      </c>
    </row>
    <row r="605" spans="1:11">
      <c r="A605" s="4" t="s">
        <v>802</v>
      </c>
      <c r="B605" s="4" t="s">
        <v>559</v>
      </c>
      <c r="C605" s="4" t="s">
        <v>560</v>
      </c>
      <c r="D605" s="4" t="s">
        <v>561</v>
      </c>
      <c r="E605" s="4" t="s">
        <v>560</v>
      </c>
      <c r="F605" s="5">
        <v>61</v>
      </c>
      <c r="G605" s="4" t="s">
        <v>135</v>
      </c>
      <c r="H605" s="4">
        <v>1</v>
      </c>
      <c r="I605" s="4" t="s">
        <v>14</v>
      </c>
      <c r="J605" s="4">
        <v>2</v>
      </c>
      <c r="K605" s="4" t="s">
        <v>970</v>
      </c>
    </row>
    <row r="606" spans="1:11">
      <c r="A606" s="4" t="s">
        <v>803</v>
      </c>
      <c r="B606" s="4" t="s">
        <v>559</v>
      </c>
      <c r="C606" s="4" t="s">
        <v>560</v>
      </c>
      <c r="D606" s="4" t="s">
        <v>561</v>
      </c>
      <c r="E606" s="4" t="s">
        <v>560</v>
      </c>
      <c r="F606" s="5">
        <v>62</v>
      </c>
      <c r="G606" s="4" t="s">
        <v>137</v>
      </c>
      <c r="H606" s="4">
        <v>1</v>
      </c>
      <c r="I606" s="4" t="s">
        <v>14</v>
      </c>
      <c r="J606" s="4">
        <v>2</v>
      </c>
      <c r="K606" s="4" t="s">
        <v>970</v>
      </c>
    </row>
    <row r="607" spans="1:11">
      <c r="A607" s="4" t="s">
        <v>804</v>
      </c>
      <c r="B607" s="4" t="s">
        <v>559</v>
      </c>
      <c r="C607" s="4" t="s">
        <v>560</v>
      </c>
      <c r="D607" s="4" t="s">
        <v>561</v>
      </c>
      <c r="E607" s="4" t="s">
        <v>560</v>
      </c>
      <c r="F607" s="5">
        <v>63</v>
      </c>
      <c r="G607" s="4" t="s">
        <v>139</v>
      </c>
      <c r="H607" s="4">
        <v>1</v>
      </c>
      <c r="I607" s="4" t="s">
        <v>14</v>
      </c>
      <c r="J607" s="4">
        <v>2</v>
      </c>
      <c r="K607" s="4" t="s">
        <v>970</v>
      </c>
    </row>
    <row r="608" spans="1:11">
      <c r="A608" s="4" t="s">
        <v>805</v>
      </c>
      <c r="B608" s="4" t="s">
        <v>559</v>
      </c>
      <c r="C608" s="4" t="s">
        <v>560</v>
      </c>
      <c r="D608" s="4" t="s">
        <v>561</v>
      </c>
      <c r="E608" s="4" t="s">
        <v>560</v>
      </c>
      <c r="F608" s="5">
        <v>64</v>
      </c>
      <c r="G608" s="4" t="s">
        <v>141</v>
      </c>
      <c r="H608" s="4">
        <v>2</v>
      </c>
      <c r="I608" s="4" t="s">
        <v>142</v>
      </c>
      <c r="J608" s="4">
        <v>2</v>
      </c>
      <c r="K608" s="4" t="s">
        <v>970</v>
      </c>
    </row>
    <row r="609" spans="1:11">
      <c r="A609" s="4" t="s">
        <v>806</v>
      </c>
      <c r="B609" s="4" t="s">
        <v>559</v>
      </c>
      <c r="C609" s="4" t="s">
        <v>560</v>
      </c>
      <c r="D609" s="4" t="s">
        <v>561</v>
      </c>
      <c r="E609" s="4" t="s">
        <v>560</v>
      </c>
      <c r="F609" s="5">
        <v>65</v>
      </c>
      <c r="G609" s="4" t="s">
        <v>144</v>
      </c>
      <c r="H609" s="4">
        <v>2</v>
      </c>
      <c r="I609" s="4" t="s">
        <v>142</v>
      </c>
      <c r="J609" s="4">
        <v>2</v>
      </c>
      <c r="K609" s="4" t="s">
        <v>970</v>
      </c>
    </row>
    <row r="610" spans="1:11">
      <c r="A610" s="4" t="s">
        <v>807</v>
      </c>
      <c r="B610" s="4" t="s">
        <v>559</v>
      </c>
      <c r="C610" s="4" t="s">
        <v>560</v>
      </c>
      <c r="D610" s="4" t="s">
        <v>561</v>
      </c>
      <c r="E610" s="4" t="s">
        <v>560</v>
      </c>
      <c r="F610" s="5">
        <v>66</v>
      </c>
      <c r="G610" s="4" t="s">
        <v>146</v>
      </c>
      <c r="H610" s="4">
        <v>1</v>
      </c>
      <c r="I610" s="4" t="s">
        <v>14</v>
      </c>
      <c r="J610" s="4">
        <v>2</v>
      </c>
      <c r="K610" s="4" t="s">
        <v>970</v>
      </c>
    </row>
    <row r="611" spans="1:11">
      <c r="A611" s="4" t="s">
        <v>808</v>
      </c>
      <c r="B611" s="4" t="s">
        <v>559</v>
      </c>
      <c r="C611" s="4" t="s">
        <v>560</v>
      </c>
      <c r="D611" s="4" t="s">
        <v>561</v>
      </c>
      <c r="E611" s="4" t="s">
        <v>560</v>
      </c>
      <c r="F611" s="5">
        <v>67</v>
      </c>
      <c r="G611" s="4" t="s">
        <v>148</v>
      </c>
      <c r="H611" s="4">
        <v>2</v>
      </c>
      <c r="I611" s="4" t="s">
        <v>142</v>
      </c>
      <c r="J611" s="4">
        <v>2</v>
      </c>
      <c r="K611" s="4" t="s">
        <v>970</v>
      </c>
    </row>
    <row r="612" spans="1:11">
      <c r="A612" s="4" t="s">
        <v>809</v>
      </c>
      <c r="B612" s="4" t="s">
        <v>559</v>
      </c>
      <c r="C612" s="4" t="s">
        <v>560</v>
      </c>
      <c r="D612" s="4" t="s">
        <v>561</v>
      </c>
      <c r="E612" s="4" t="s">
        <v>560</v>
      </c>
      <c r="F612" s="5">
        <v>68</v>
      </c>
      <c r="G612" s="4" t="s">
        <v>150</v>
      </c>
      <c r="H612" s="4">
        <v>2</v>
      </c>
      <c r="I612" s="4" t="s">
        <v>142</v>
      </c>
      <c r="J612" s="4">
        <v>2</v>
      </c>
      <c r="K612" s="4" t="s">
        <v>970</v>
      </c>
    </row>
    <row r="613" spans="1:11">
      <c r="A613" s="4" t="s">
        <v>810</v>
      </c>
      <c r="B613" s="4" t="s">
        <v>559</v>
      </c>
      <c r="C613" s="4" t="s">
        <v>560</v>
      </c>
      <c r="D613" s="4" t="s">
        <v>561</v>
      </c>
      <c r="E613" s="4" t="s">
        <v>560</v>
      </c>
      <c r="F613" s="5">
        <v>69</v>
      </c>
      <c r="G613" s="4" t="s">
        <v>152</v>
      </c>
      <c r="H613" s="4">
        <v>2</v>
      </c>
      <c r="I613" s="4" t="s">
        <v>142</v>
      </c>
      <c r="J613" s="4">
        <v>2</v>
      </c>
      <c r="K613" s="4" t="s">
        <v>970</v>
      </c>
    </row>
    <row r="614" spans="1:11">
      <c r="A614" s="4" t="s">
        <v>811</v>
      </c>
      <c r="B614" s="4" t="s">
        <v>559</v>
      </c>
      <c r="C614" s="4" t="s">
        <v>560</v>
      </c>
      <c r="D614" s="4" t="s">
        <v>561</v>
      </c>
      <c r="E614" s="4" t="s">
        <v>560</v>
      </c>
      <c r="F614" s="5">
        <v>70</v>
      </c>
      <c r="G614" s="4" t="s">
        <v>154</v>
      </c>
      <c r="H614" s="4">
        <v>2</v>
      </c>
      <c r="I614" s="4" t="s">
        <v>142</v>
      </c>
      <c r="J614" s="4">
        <v>2</v>
      </c>
      <c r="K614" s="4" t="s">
        <v>970</v>
      </c>
    </row>
    <row r="615" spans="1:11">
      <c r="A615" s="4" t="s">
        <v>812</v>
      </c>
      <c r="B615" s="4" t="s">
        <v>559</v>
      </c>
      <c r="C615" s="4" t="s">
        <v>560</v>
      </c>
      <c r="D615" s="4" t="s">
        <v>561</v>
      </c>
      <c r="E615" s="4" t="s">
        <v>560</v>
      </c>
      <c r="F615" s="5">
        <v>71</v>
      </c>
      <c r="G615" s="4" t="s">
        <v>156</v>
      </c>
      <c r="H615" s="4">
        <v>2</v>
      </c>
      <c r="I615" s="4" t="s">
        <v>142</v>
      </c>
      <c r="J615" s="4">
        <v>2</v>
      </c>
      <c r="K615" s="4" t="s">
        <v>970</v>
      </c>
    </row>
    <row r="616" spans="1:11">
      <c r="A616" s="4" t="s">
        <v>813</v>
      </c>
      <c r="B616" s="4" t="s">
        <v>559</v>
      </c>
      <c r="C616" s="4" t="s">
        <v>560</v>
      </c>
      <c r="D616" s="4" t="s">
        <v>561</v>
      </c>
      <c r="E616" s="4" t="s">
        <v>560</v>
      </c>
      <c r="F616" s="5">
        <v>72</v>
      </c>
      <c r="G616" s="4" t="s">
        <v>158</v>
      </c>
      <c r="H616" s="4">
        <v>2</v>
      </c>
      <c r="I616" s="4" t="s">
        <v>142</v>
      </c>
      <c r="J616" s="4">
        <v>2</v>
      </c>
      <c r="K616" s="4" t="s">
        <v>970</v>
      </c>
    </row>
    <row r="617" spans="1:11">
      <c r="A617" s="4" t="s">
        <v>814</v>
      </c>
      <c r="B617" s="4" t="s">
        <v>559</v>
      </c>
      <c r="C617" s="4" t="s">
        <v>560</v>
      </c>
      <c r="D617" s="4" t="s">
        <v>561</v>
      </c>
      <c r="E617" s="4" t="s">
        <v>560</v>
      </c>
      <c r="F617" s="5">
        <v>73</v>
      </c>
      <c r="G617" s="4" t="s">
        <v>160</v>
      </c>
      <c r="H617" s="4">
        <v>2</v>
      </c>
      <c r="I617" s="4" t="s">
        <v>142</v>
      </c>
      <c r="J617" s="4">
        <v>2</v>
      </c>
      <c r="K617" s="4" t="s">
        <v>970</v>
      </c>
    </row>
    <row r="618" spans="1:11">
      <c r="A618" s="4" t="s">
        <v>815</v>
      </c>
      <c r="B618" s="4" t="s">
        <v>559</v>
      </c>
      <c r="C618" s="4" t="s">
        <v>560</v>
      </c>
      <c r="D618" s="4" t="s">
        <v>561</v>
      </c>
      <c r="E618" s="4" t="s">
        <v>560</v>
      </c>
      <c r="F618" s="5">
        <v>74</v>
      </c>
      <c r="G618" s="4" t="s">
        <v>162</v>
      </c>
      <c r="H618" s="4">
        <v>2</v>
      </c>
      <c r="I618" s="4" t="s">
        <v>142</v>
      </c>
      <c r="J618" s="4">
        <v>2</v>
      </c>
      <c r="K618" s="4" t="s">
        <v>970</v>
      </c>
    </row>
    <row r="619" spans="1:11">
      <c r="A619" s="4" t="s">
        <v>816</v>
      </c>
      <c r="B619" s="4" t="s">
        <v>559</v>
      </c>
      <c r="C619" s="4" t="s">
        <v>560</v>
      </c>
      <c r="D619" s="4" t="s">
        <v>561</v>
      </c>
      <c r="E619" s="4" t="s">
        <v>560</v>
      </c>
      <c r="F619" s="5">
        <v>75</v>
      </c>
      <c r="G619" s="4" t="s">
        <v>164</v>
      </c>
      <c r="H619" s="4">
        <v>2</v>
      </c>
      <c r="I619" s="4" t="s">
        <v>142</v>
      </c>
      <c r="J619" s="4">
        <v>2</v>
      </c>
      <c r="K619" s="4" t="s">
        <v>970</v>
      </c>
    </row>
    <row r="620" spans="1:11">
      <c r="A620" s="4" t="s">
        <v>817</v>
      </c>
      <c r="B620" s="4" t="s">
        <v>559</v>
      </c>
      <c r="C620" s="4" t="s">
        <v>560</v>
      </c>
      <c r="D620" s="4" t="s">
        <v>561</v>
      </c>
      <c r="E620" s="4" t="s">
        <v>560</v>
      </c>
      <c r="F620" s="5">
        <v>76</v>
      </c>
      <c r="G620" s="4" t="s">
        <v>166</v>
      </c>
      <c r="H620" s="4">
        <v>3</v>
      </c>
      <c r="I620" s="4" t="s">
        <v>67</v>
      </c>
      <c r="J620" s="4">
        <v>2</v>
      </c>
      <c r="K620" s="4" t="s">
        <v>970</v>
      </c>
    </row>
    <row r="621" spans="1:11">
      <c r="A621" s="4" t="s">
        <v>818</v>
      </c>
      <c r="B621" s="4" t="s">
        <v>559</v>
      </c>
      <c r="C621" s="4" t="s">
        <v>560</v>
      </c>
      <c r="D621" s="4" t="s">
        <v>561</v>
      </c>
      <c r="E621" s="4" t="s">
        <v>560</v>
      </c>
      <c r="F621" s="5">
        <v>77</v>
      </c>
      <c r="G621" s="4" t="s">
        <v>168</v>
      </c>
      <c r="H621" s="4">
        <v>3</v>
      </c>
      <c r="I621" s="4" t="s">
        <v>67</v>
      </c>
      <c r="J621" s="4">
        <v>2</v>
      </c>
      <c r="K621" s="4" t="s">
        <v>970</v>
      </c>
    </row>
    <row r="622" spans="1:11">
      <c r="A622" s="4" t="s">
        <v>819</v>
      </c>
      <c r="B622" s="4" t="s">
        <v>559</v>
      </c>
      <c r="C622" s="4" t="s">
        <v>560</v>
      </c>
      <c r="D622" s="4" t="s">
        <v>561</v>
      </c>
      <c r="E622" s="4" t="s">
        <v>560</v>
      </c>
      <c r="F622" s="5">
        <v>78</v>
      </c>
      <c r="G622" s="4" t="s">
        <v>170</v>
      </c>
      <c r="H622" s="4">
        <v>3</v>
      </c>
      <c r="I622" s="4" t="s">
        <v>67</v>
      </c>
      <c r="J622" s="4">
        <v>2</v>
      </c>
      <c r="K622" s="4" t="s">
        <v>970</v>
      </c>
    </row>
    <row r="623" spans="1:11">
      <c r="A623" s="4" t="s">
        <v>820</v>
      </c>
      <c r="B623" s="4" t="s">
        <v>559</v>
      </c>
      <c r="C623" s="4" t="s">
        <v>560</v>
      </c>
      <c r="D623" s="4" t="s">
        <v>561</v>
      </c>
      <c r="E623" s="4" t="s">
        <v>560</v>
      </c>
      <c r="F623" s="5">
        <v>79</v>
      </c>
      <c r="G623" s="4" t="s">
        <v>172</v>
      </c>
      <c r="H623" s="4">
        <v>3</v>
      </c>
      <c r="I623" s="4" t="s">
        <v>67</v>
      </c>
      <c r="J623" s="4">
        <v>2</v>
      </c>
      <c r="K623" s="4" t="s">
        <v>970</v>
      </c>
    </row>
    <row r="624" spans="1:11">
      <c r="A624" s="4" t="s">
        <v>821</v>
      </c>
      <c r="B624" s="4" t="s">
        <v>559</v>
      </c>
      <c r="C624" s="4" t="s">
        <v>560</v>
      </c>
      <c r="D624" s="4" t="s">
        <v>561</v>
      </c>
      <c r="E624" s="4" t="s">
        <v>560</v>
      </c>
      <c r="F624" s="5">
        <v>80</v>
      </c>
      <c r="G624" s="4" t="s">
        <v>174</v>
      </c>
      <c r="H624" s="4">
        <v>3</v>
      </c>
      <c r="I624" s="4" t="s">
        <v>67</v>
      </c>
      <c r="J624" s="4">
        <v>2</v>
      </c>
      <c r="K624" s="4" t="s">
        <v>970</v>
      </c>
    </row>
    <row r="625" spans="1:11">
      <c r="A625" s="4" t="s">
        <v>822</v>
      </c>
      <c r="B625" s="4" t="s">
        <v>559</v>
      </c>
      <c r="C625" s="4" t="s">
        <v>560</v>
      </c>
      <c r="D625" s="4" t="s">
        <v>561</v>
      </c>
      <c r="E625" s="4" t="s">
        <v>560</v>
      </c>
      <c r="F625" s="5">
        <v>81</v>
      </c>
      <c r="G625" s="4" t="s">
        <v>176</v>
      </c>
      <c r="H625" s="4">
        <v>3</v>
      </c>
      <c r="I625" s="4" t="s">
        <v>67</v>
      </c>
      <c r="J625" s="4">
        <v>2</v>
      </c>
      <c r="K625" s="4" t="s">
        <v>970</v>
      </c>
    </row>
    <row r="626" spans="1:11">
      <c r="A626" s="4" t="s">
        <v>823</v>
      </c>
      <c r="B626" s="4" t="s">
        <v>559</v>
      </c>
      <c r="C626" s="4" t="s">
        <v>560</v>
      </c>
      <c r="D626" s="4" t="s">
        <v>561</v>
      </c>
      <c r="E626" s="4" t="s">
        <v>560</v>
      </c>
      <c r="F626" s="5">
        <v>82</v>
      </c>
      <c r="G626" s="4" t="s">
        <v>178</v>
      </c>
      <c r="H626" s="4">
        <v>2</v>
      </c>
      <c r="I626" s="4" t="s">
        <v>142</v>
      </c>
      <c r="J626" s="4">
        <v>2</v>
      </c>
      <c r="K626" s="4" t="s">
        <v>970</v>
      </c>
    </row>
    <row r="627" spans="1:11">
      <c r="A627" s="4" t="s">
        <v>824</v>
      </c>
      <c r="B627" s="4" t="s">
        <v>559</v>
      </c>
      <c r="C627" s="4" t="s">
        <v>560</v>
      </c>
      <c r="D627" s="4" t="s">
        <v>561</v>
      </c>
      <c r="E627" s="4" t="s">
        <v>560</v>
      </c>
      <c r="F627" s="5">
        <v>83</v>
      </c>
      <c r="G627" s="4" t="s">
        <v>180</v>
      </c>
      <c r="H627" s="4">
        <v>3</v>
      </c>
      <c r="I627" s="4" t="s">
        <v>67</v>
      </c>
      <c r="J627" s="4">
        <v>2</v>
      </c>
      <c r="K627" s="4" t="s">
        <v>970</v>
      </c>
    </row>
    <row r="628" spans="1:11">
      <c r="A628" s="4" t="s">
        <v>825</v>
      </c>
      <c r="B628" s="4" t="s">
        <v>559</v>
      </c>
      <c r="C628" s="4" t="s">
        <v>560</v>
      </c>
      <c r="D628" s="4" t="s">
        <v>561</v>
      </c>
      <c r="E628" s="4" t="s">
        <v>560</v>
      </c>
      <c r="F628" s="5">
        <v>84</v>
      </c>
      <c r="G628" s="4" t="s">
        <v>182</v>
      </c>
      <c r="H628" s="4">
        <v>3</v>
      </c>
      <c r="I628" s="4" t="s">
        <v>67</v>
      </c>
      <c r="J628" s="4">
        <v>2</v>
      </c>
      <c r="K628" s="4" t="s">
        <v>970</v>
      </c>
    </row>
    <row r="629" spans="1:11">
      <c r="A629" s="4" t="s">
        <v>826</v>
      </c>
      <c r="B629" s="4" t="s">
        <v>559</v>
      </c>
      <c r="C629" s="4" t="s">
        <v>560</v>
      </c>
      <c r="D629" s="4" t="s">
        <v>561</v>
      </c>
      <c r="E629" s="4" t="s">
        <v>560</v>
      </c>
      <c r="F629" s="5">
        <v>85</v>
      </c>
      <c r="G629" s="4" t="s">
        <v>184</v>
      </c>
      <c r="H629" s="4">
        <v>3</v>
      </c>
      <c r="I629" s="4" t="s">
        <v>67</v>
      </c>
      <c r="J629" s="4">
        <v>2</v>
      </c>
      <c r="K629" s="4" t="s">
        <v>970</v>
      </c>
    </row>
    <row r="630" spans="1:11">
      <c r="A630" s="4" t="s">
        <v>827</v>
      </c>
      <c r="B630" s="4" t="s">
        <v>559</v>
      </c>
      <c r="C630" s="4" t="s">
        <v>560</v>
      </c>
      <c r="D630" s="4" t="s">
        <v>561</v>
      </c>
      <c r="E630" s="4" t="s">
        <v>560</v>
      </c>
      <c r="F630" s="5">
        <v>86</v>
      </c>
      <c r="G630" s="4" t="s">
        <v>186</v>
      </c>
      <c r="H630" s="4">
        <v>2</v>
      </c>
      <c r="I630" s="4" t="s">
        <v>142</v>
      </c>
      <c r="J630" s="4">
        <v>2</v>
      </c>
      <c r="K630" s="4" t="s">
        <v>970</v>
      </c>
    </row>
    <row r="631" spans="1:11">
      <c r="A631" s="4" t="s">
        <v>828</v>
      </c>
      <c r="B631" s="4" t="s">
        <v>559</v>
      </c>
      <c r="C631" s="4" t="s">
        <v>560</v>
      </c>
      <c r="D631" s="4" t="s">
        <v>561</v>
      </c>
      <c r="E631" s="4" t="s">
        <v>560</v>
      </c>
      <c r="F631" s="5">
        <v>87</v>
      </c>
      <c r="G631" s="4" t="s">
        <v>188</v>
      </c>
      <c r="H631" s="4">
        <v>2</v>
      </c>
      <c r="I631" s="4" t="s">
        <v>142</v>
      </c>
      <c r="J631" s="4">
        <v>2</v>
      </c>
      <c r="K631" s="4" t="s">
        <v>970</v>
      </c>
    </row>
    <row r="632" spans="1:11">
      <c r="A632" s="4" t="s">
        <v>829</v>
      </c>
      <c r="B632" s="4" t="s">
        <v>559</v>
      </c>
      <c r="C632" s="4" t="s">
        <v>560</v>
      </c>
      <c r="D632" s="4" t="s">
        <v>561</v>
      </c>
      <c r="E632" s="4" t="s">
        <v>560</v>
      </c>
      <c r="F632" s="5">
        <v>88</v>
      </c>
      <c r="G632" s="4" t="s">
        <v>190</v>
      </c>
      <c r="H632" s="4">
        <v>3</v>
      </c>
      <c r="I632" s="4" t="s">
        <v>67</v>
      </c>
      <c r="J632" s="4">
        <v>2</v>
      </c>
      <c r="K632" s="4" t="s">
        <v>970</v>
      </c>
    </row>
    <row r="633" spans="1:11">
      <c r="A633" s="4" t="s">
        <v>830</v>
      </c>
      <c r="B633" s="4" t="s">
        <v>559</v>
      </c>
      <c r="C633" s="4" t="s">
        <v>560</v>
      </c>
      <c r="D633" s="4" t="s">
        <v>561</v>
      </c>
      <c r="E633" s="4" t="s">
        <v>560</v>
      </c>
      <c r="F633" s="5">
        <v>89</v>
      </c>
      <c r="G633" s="4" t="s">
        <v>192</v>
      </c>
      <c r="H633" s="4">
        <v>3</v>
      </c>
      <c r="I633" s="4" t="s">
        <v>67</v>
      </c>
      <c r="J633" s="4">
        <v>2</v>
      </c>
      <c r="K633" s="4" t="s">
        <v>970</v>
      </c>
    </row>
    <row r="634" spans="1:11">
      <c r="A634" s="4" t="s">
        <v>831</v>
      </c>
      <c r="B634" s="4" t="s">
        <v>559</v>
      </c>
      <c r="C634" s="4" t="s">
        <v>560</v>
      </c>
      <c r="D634" s="4" t="s">
        <v>561</v>
      </c>
      <c r="E634" s="4" t="s">
        <v>560</v>
      </c>
      <c r="F634" s="5">
        <v>90</v>
      </c>
      <c r="G634" s="4" t="s">
        <v>194</v>
      </c>
      <c r="H634" s="4">
        <v>3</v>
      </c>
      <c r="I634" s="4" t="s">
        <v>67</v>
      </c>
      <c r="J634" s="4">
        <v>2</v>
      </c>
      <c r="K634" s="4" t="s">
        <v>970</v>
      </c>
    </row>
    <row r="635" spans="1:11">
      <c r="A635" s="4" t="s">
        <v>832</v>
      </c>
      <c r="B635" s="4" t="s">
        <v>559</v>
      </c>
      <c r="C635" s="4" t="s">
        <v>560</v>
      </c>
      <c r="D635" s="4" t="s">
        <v>561</v>
      </c>
      <c r="E635" s="4" t="s">
        <v>560</v>
      </c>
      <c r="F635" s="5">
        <v>91</v>
      </c>
      <c r="G635" s="4" t="s">
        <v>196</v>
      </c>
      <c r="H635" s="4">
        <v>3</v>
      </c>
      <c r="I635" s="4" t="s">
        <v>67</v>
      </c>
      <c r="J635" s="4">
        <v>2</v>
      </c>
      <c r="K635" s="4" t="s">
        <v>970</v>
      </c>
    </row>
    <row r="636" spans="1:11">
      <c r="A636" s="4" t="s">
        <v>833</v>
      </c>
      <c r="B636" s="4" t="s">
        <v>559</v>
      </c>
      <c r="C636" s="4" t="s">
        <v>560</v>
      </c>
      <c r="D636" s="4" t="s">
        <v>561</v>
      </c>
      <c r="E636" s="4" t="s">
        <v>560</v>
      </c>
      <c r="F636" s="5">
        <v>92</v>
      </c>
      <c r="G636" s="4" t="s">
        <v>198</v>
      </c>
      <c r="H636" s="4">
        <v>3</v>
      </c>
      <c r="I636" s="4" t="s">
        <v>67</v>
      </c>
      <c r="J636" s="4">
        <v>2</v>
      </c>
      <c r="K636" s="4" t="s">
        <v>970</v>
      </c>
    </row>
    <row r="637" spans="1:11">
      <c r="A637" s="4" t="s">
        <v>834</v>
      </c>
      <c r="B637" s="4" t="s">
        <v>559</v>
      </c>
      <c r="C637" s="4" t="s">
        <v>560</v>
      </c>
      <c r="D637" s="4" t="s">
        <v>561</v>
      </c>
      <c r="E637" s="4" t="s">
        <v>560</v>
      </c>
      <c r="F637" s="5">
        <v>93</v>
      </c>
      <c r="G637" s="4" t="s">
        <v>200</v>
      </c>
      <c r="H637" s="4">
        <v>3</v>
      </c>
      <c r="I637" s="4" t="s">
        <v>67</v>
      </c>
      <c r="J637" s="4">
        <v>2</v>
      </c>
      <c r="K637" s="4" t="s">
        <v>970</v>
      </c>
    </row>
    <row r="638" spans="1:11">
      <c r="A638" s="4" t="s">
        <v>835</v>
      </c>
      <c r="B638" s="4" t="s">
        <v>559</v>
      </c>
      <c r="C638" s="4" t="s">
        <v>560</v>
      </c>
      <c r="D638" s="4" t="s">
        <v>561</v>
      </c>
      <c r="E638" s="4" t="s">
        <v>560</v>
      </c>
      <c r="F638" s="5">
        <v>94</v>
      </c>
      <c r="G638" s="4" t="s">
        <v>202</v>
      </c>
      <c r="H638" s="4">
        <v>3</v>
      </c>
      <c r="I638" s="4" t="s">
        <v>67</v>
      </c>
      <c r="J638" s="4">
        <v>2</v>
      </c>
      <c r="K638" s="4" t="s">
        <v>970</v>
      </c>
    </row>
    <row r="639" spans="1:11">
      <c r="A639" s="4" t="s">
        <v>836</v>
      </c>
      <c r="B639" s="4" t="s">
        <v>559</v>
      </c>
      <c r="C639" s="4" t="s">
        <v>560</v>
      </c>
      <c r="D639" s="4" t="s">
        <v>561</v>
      </c>
      <c r="E639" s="4" t="s">
        <v>560</v>
      </c>
      <c r="F639" s="5">
        <v>95</v>
      </c>
      <c r="G639" s="4" t="s">
        <v>204</v>
      </c>
      <c r="H639" s="4">
        <v>3</v>
      </c>
      <c r="I639" s="4" t="s">
        <v>67</v>
      </c>
      <c r="J639" s="4">
        <v>2</v>
      </c>
      <c r="K639" s="4" t="s">
        <v>970</v>
      </c>
    </row>
    <row r="640" spans="1:11">
      <c r="A640" s="4" t="s">
        <v>837</v>
      </c>
      <c r="B640" s="4" t="s">
        <v>559</v>
      </c>
      <c r="C640" s="4" t="s">
        <v>560</v>
      </c>
      <c r="D640" s="4" t="s">
        <v>561</v>
      </c>
      <c r="E640" s="4" t="s">
        <v>560</v>
      </c>
      <c r="F640" s="5">
        <v>96</v>
      </c>
      <c r="G640" s="4" t="s">
        <v>206</v>
      </c>
      <c r="H640" s="4">
        <v>3</v>
      </c>
      <c r="I640" s="4" t="s">
        <v>67</v>
      </c>
      <c r="J640" s="4">
        <v>2</v>
      </c>
      <c r="K640" s="4" t="s">
        <v>970</v>
      </c>
    </row>
    <row r="641" spans="1:11">
      <c r="A641" s="4" t="s">
        <v>838</v>
      </c>
      <c r="B641" s="4" t="s">
        <v>559</v>
      </c>
      <c r="C641" s="4" t="s">
        <v>560</v>
      </c>
      <c r="D641" s="4" t="s">
        <v>561</v>
      </c>
      <c r="E641" s="4" t="s">
        <v>560</v>
      </c>
      <c r="F641" s="5">
        <v>97</v>
      </c>
      <c r="G641" s="4" t="s">
        <v>208</v>
      </c>
      <c r="H641" s="4">
        <v>3</v>
      </c>
      <c r="I641" s="4" t="s">
        <v>67</v>
      </c>
      <c r="J641" s="4">
        <v>2</v>
      </c>
      <c r="K641" s="4" t="s">
        <v>970</v>
      </c>
    </row>
    <row r="642" spans="1:11">
      <c r="A642" s="4" t="s">
        <v>839</v>
      </c>
      <c r="B642" s="4" t="s">
        <v>559</v>
      </c>
      <c r="C642" s="4" t="s">
        <v>560</v>
      </c>
      <c r="D642" s="4" t="s">
        <v>561</v>
      </c>
      <c r="E642" s="4" t="s">
        <v>560</v>
      </c>
      <c r="F642" s="5">
        <v>98</v>
      </c>
      <c r="G642" s="4" t="s">
        <v>210</v>
      </c>
      <c r="H642" s="4">
        <v>3</v>
      </c>
      <c r="I642" s="4" t="s">
        <v>67</v>
      </c>
      <c r="J642" s="4">
        <v>2</v>
      </c>
      <c r="K642" s="4" t="s">
        <v>970</v>
      </c>
    </row>
    <row r="643" spans="1:11">
      <c r="A643" s="4" t="s">
        <v>840</v>
      </c>
      <c r="B643" s="4" t="s">
        <v>559</v>
      </c>
      <c r="C643" s="4" t="s">
        <v>560</v>
      </c>
      <c r="D643" s="4" t="s">
        <v>561</v>
      </c>
      <c r="E643" s="4" t="s">
        <v>560</v>
      </c>
      <c r="F643" s="5">
        <v>99</v>
      </c>
      <c r="G643" s="4" t="s">
        <v>212</v>
      </c>
      <c r="H643" s="4">
        <v>3</v>
      </c>
      <c r="I643" s="4" t="s">
        <v>67</v>
      </c>
      <c r="J643" s="4">
        <v>2</v>
      </c>
      <c r="K643" s="4" t="s">
        <v>970</v>
      </c>
    </row>
    <row r="644" spans="1:11">
      <c r="A644" s="4" t="s">
        <v>841</v>
      </c>
      <c r="B644" s="4" t="s">
        <v>559</v>
      </c>
      <c r="C644" s="4" t="s">
        <v>560</v>
      </c>
      <c r="D644" s="4" t="s">
        <v>561</v>
      </c>
      <c r="E644" s="4" t="s">
        <v>560</v>
      </c>
      <c r="F644" s="5">
        <v>100</v>
      </c>
      <c r="G644" s="4" t="s">
        <v>214</v>
      </c>
      <c r="H644" s="4">
        <v>3</v>
      </c>
      <c r="I644" s="4" t="s">
        <v>67</v>
      </c>
      <c r="J644" s="4">
        <v>2</v>
      </c>
      <c r="K644" s="4" t="s">
        <v>970</v>
      </c>
    </row>
    <row r="645" spans="1:11">
      <c r="A645" s="4" t="s">
        <v>842</v>
      </c>
      <c r="B645" s="4" t="s">
        <v>559</v>
      </c>
      <c r="C645" s="4" t="s">
        <v>560</v>
      </c>
      <c r="D645" s="4" t="s">
        <v>561</v>
      </c>
      <c r="E645" s="4" t="s">
        <v>560</v>
      </c>
      <c r="F645" s="5">
        <v>101</v>
      </c>
      <c r="G645" s="4" t="s">
        <v>216</v>
      </c>
      <c r="H645" s="4">
        <v>3</v>
      </c>
      <c r="I645" s="4" t="s">
        <v>67</v>
      </c>
      <c r="J645" s="4">
        <v>2</v>
      </c>
      <c r="K645" s="4" t="s">
        <v>970</v>
      </c>
    </row>
    <row r="646" spans="1:11">
      <c r="A646" s="4" t="s">
        <v>843</v>
      </c>
      <c r="B646" s="4" t="s">
        <v>559</v>
      </c>
      <c r="C646" s="4" t="s">
        <v>560</v>
      </c>
      <c r="D646" s="4" t="s">
        <v>561</v>
      </c>
      <c r="E646" s="4" t="s">
        <v>560</v>
      </c>
      <c r="F646" s="5">
        <v>102</v>
      </c>
      <c r="G646" s="4" t="s">
        <v>218</v>
      </c>
      <c r="H646" s="4">
        <v>3</v>
      </c>
      <c r="I646" s="4" t="s">
        <v>67</v>
      </c>
      <c r="J646" s="4">
        <v>2</v>
      </c>
      <c r="K646" s="4" t="s">
        <v>970</v>
      </c>
    </row>
    <row r="647" spans="1:11">
      <c r="A647" s="4" t="s">
        <v>844</v>
      </c>
      <c r="B647" s="4" t="s">
        <v>559</v>
      </c>
      <c r="C647" s="4" t="s">
        <v>560</v>
      </c>
      <c r="D647" s="4" t="s">
        <v>561</v>
      </c>
      <c r="E647" s="4" t="s">
        <v>560</v>
      </c>
      <c r="F647" s="5">
        <v>103</v>
      </c>
      <c r="G647" s="4" t="s">
        <v>220</v>
      </c>
      <c r="H647" s="4">
        <v>3</v>
      </c>
      <c r="I647" s="4" t="s">
        <v>67</v>
      </c>
      <c r="J647" s="4">
        <v>2</v>
      </c>
      <c r="K647" s="4" t="s">
        <v>970</v>
      </c>
    </row>
    <row r="648" spans="1:11">
      <c r="A648" s="4" t="s">
        <v>845</v>
      </c>
      <c r="B648" s="4" t="s">
        <v>559</v>
      </c>
      <c r="C648" s="4" t="s">
        <v>560</v>
      </c>
      <c r="D648" s="4" t="s">
        <v>561</v>
      </c>
      <c r="E648" s="4" t="s">
        <v>560</v>
      </c>
      <c r="F648" s="5">
        <v>104</v>
      </c>
      <c r="G648" s="4" t="s">
        <v>222</v>
      </c>
      <c r="H648" s="4">
        <v>3</v>
      </c>
      <c r="I648" s="4" t="s">
        <v>67</v>
      </c>
      <c r="J648" s="4">
        <v>2</v>
      </c>
      <c r="K648" s="4" t="s">
        <v>970</v>
      </c>
    </row>
    <row r="649" spans="1:11">
      <c r="A649" s="4" t="s">
        <v>846</v>
      </c>
      <c r="B649" s="4" t="s">
        <v>559</v>
      </c>
      <c r="C649" s="4" t="s">
        <v>560</v>
      </c>
      <c r="D649" s="4" t="s">
        <v>561</v>
      </c>
      <c r="E649" s="4" t="s">
        <v>560</v>
      </c>
      <c r="F649" s="5">
        <v>105</v>
      </c>
      <c r="G649" s="4" t="s">
        <v>224</v>
      </c>
      <c r="H649" s="4">
        <v>3</v>
      </c>
      <c r="I649" s="4" t="s">
        <v>67</v>
      </c>
      <c r="J649" s="4">
        <v>2</v>
      </c>
      <c r="K649" s="4" t="s">
        <v>970</v>
      </c>
    </row>
    <row r="650" spans="1:11">
      <c r="A650" s="4" t="s">
        <v>847</v>
      </c>
      <c r="B650" s="4" t="s">
        <v>559</v>
      </c>
      <c r="C650" s="4" t="s">
        <v>560</v>
      </c>
      <c r="D650" s="4" t="s">
        <v>561</v>
      </c>
      <c r="E650" s="4" t="s">
        <v>560</v>
      </c>
      <c r="F650" s="5">
        <v>106</v>
      </c>
      <c r="G650" s="4" t="s">
        <v>226</v>
      </c>
      <c r="H650" s="4">
        <v>3</v>
      </c>
      <c r="I650" s="4" t="s">
        <v>67</v>
      </c>
      <c r="J650" s="4">
        <v>2</v>
      </c>
      <c r="K650" s="4" t="s">
        <v>970</v>
      </c>
    </row>
    <row r="651" spans="1:11">
      <c r="A651" s="4" t="s">
        <v>848</v>
      </c>
      <c r="B651" s="4" t="s">
        <v>559</v>
      </c>
      <c r="C651" s="4" t="s">
        <v>560</v>
      </c>
      <c r="D651" s="4" t="s">
        <v>561</v>
      </c>
      <c r="E651" s="4" t="s">
        <v>560</v>
      </c>
      <c r="F651" s="5">
        <v>107</v>
      </c>
      <c r="G651" s="4" t="s">
        <v>228</v>
      </c>
      <c r="H651" s="4">
        <v>3</v>
      </c>
      <c r="I651" s="4" t="s">
        <v>67</v>
      </c>
      <c r="J651" s="4">
        <v>2</v>
      </c>
      <c r="K651" s="4" t="s">
        <v>970</v>
      </c>
    </row>
    <row r="652" spans="1:11">
      <c r="A652" s="4" t="s">
        <v>849</v>
      </c>
      <c r="B652" s="4" t="s">
        <v>559</v>
      </c>
      <c r="C652" s="4" t="s">
        <v>560</v>
      </c>
      <c r="D652" s="4" t="s">
        <v>561</v>
      </c>
      <c r="E652" s="4" t="s">
        <v>560</v>
      </c>
      <c r="F652" s="5">
        <v>108</v>
      </c>
      <c r="G652" s="4" t="s">
        <v>230</v>
      </c>
      <c r="H652" s="4">
        <v>3</v>
      </c>
      <c r="I652" s="4" t="s">
        <v>67</v>
      </c>
      <c r="J652" s="4">
        <v>2</v>
      </c>
      <c r="K652" s="4" t="s">
        <v>970</v>
      </c>
    </row>
    <row r="653" spans="1:11">
      <c r="A653" s="4" t="s">
        <v>850</v>
      </c>
      <c r="B653" s="4" t="s">
        <v>559</v>
      </c>
      <c r="C653" s="4" t="s">
        <v>560</v>
      </c>
      <c r="D653" s="4" t="s">
        <v>561</v>
      </c>
      <c r="E653" s="4" t="s">
        <v>560</v>
      </c>
      <c r="F653" s="5">
        <v>109</v>
      </c>
      <c r="G653" s="4" t="s">
        <v>232</v>
      </c>
      <c r="H653" s="4">
        <v>3</v>
      </c>
      <c r="I653" s="4" t="s">
        <v>67</v>
      </c>
      <c r="J653" s="4">
        <v>2</v>
      </c>
      <c r="K653" s="4" t="s">
        <v>970</v>
      </c>
    </row>
    <row r="654" spans="1:11">
      <c r="A654" s="4" t="s">
        <v>851</v>
      </c>
      <c r="B654" s="4" t="s">
        <v>559</v>
      </c>
      <c r="C654" s="4" t="s">
        <v>560</v>
      </c>
      <c r="D654" s="4" t="s">
        <v>561</v>
      </c>
      <c r="E654" s="4" t="s">
        <v>560</v>
      </c>
      <c r="F654" s="5">
        <v>110</v>
      </c>
      <c r="G654" s="4" t="s">
        <v>234</v>
      </c>
      <c r="H654" s="4">
        <v>3</v>
      </c>
      <c r="I654" s="4" t="s">
        <v>67</v>
      </c>
      <c r="J654" s="4">
        <v>2</v>
      </c>
      <c r="K654" s="4" t="s">
        <v>970</v>
      </c>
    </row>
    <row r="655" spans="1:11">
      <c r="A655" s="4" t="s">
        <v>852</v>
      </c>
      <c r="B655" s="4" t="s">
        <v>559</v>
      </c>
      <c r="C655" s="4" t="s">
        <v>560</v>
      </c>
      <c r="D655" s="4" t="s">
        <v>561</v>
      </c>
      <c r="E655" s="4" t="s">
        <v>560</v>
      </c>
      <c r="F655" s="5">
        <v>111</v>
      </c>
      <c r="G655" s="4" t="s">
        <v>236</v>
      </c>
      <c r="H655" s="4">
        <v>3</v>
      </c>
      <c r="I655" s="4" t="s">
        <v>67</v>
      </c>
      <c r="J655" s="4">
        <v>2</v>
      </c>
      <c r="K655" s="4" t="s">
        <v>970</v>
      </c>
    </row>
    <row r="656" spans="1:11">
      <c r="A656" s="4" t="s">
        <v>853</v>
      </c>
      <c r="B656" s="4" t="s">
        <v>559</v>
      </c>
      <c r="C656" s="4" t="s">
        <v>560</v>
      </c>
      <c r="D656" s="4" t="s">
        <v>561</v>
      </c>
      <c r="E656" s="4" t="s">
        <v>560</v>
      </c>
      <c r="F656" s="5">
        <v>112</v>
      </c>
      <c r="G656" s="4" t="s">
        <v>238</v>
      </c>
      <c r="H656" s="4">
        <v>3</v>
      </c>
      <c r="I656" s="4" t="s">
        <v>67</v>
      </c>
      <c r="J656" s="4">
        <v>2</v>
      </c>
      <c r="K656" s="4" t="s">
        <v>970</v>
      </c>
    </row>
    <row r="657" spans="1:11">
      <c r="A657" s="4" t="s">
        <v>854</v>
      </c>
      <c r="B657" s="4" t="s">
        <v>559</v>
      </c>
      <c r="C657" s="4" t="s">
        <v>560</v>
      </c>
      <c r="D657" s="4" t="s">
        <v>561</v>
      </c>
      <c r="E657" s="4" t="s">
        <v>560</v>
      </c>
      <c r="F657" s="5">
        <v>113</v>
      </c>
      <c r="G657" s="4" t="s">
        <v>240</v>
      </c>
      <c r="H657" s="4">
        <v>3</v>
      </c>
      <c r="I657" s="4" t="s">
        <v>67</v>
      </c>
      <c r="J657" s="4">
        <v>2</v>
      </c>
      <c r="K657" s="4" t="s">
        <v>970</v>
      </c>
    </row>
    <row r="658" spans="1:11">
      <c r="A658" s="4" t="s">
        <v>855</v>
      </c>
      <c r="B658" s="4" t="s">
        <v>559</v>
      </c>
      <c r="C658" s="4" t="s">
        <v>560</v>
      </c>
      <c r="D658" s="4" t="s">
        <v>561</v>
      </c>
      <c r="E658" s="4" t="s">
        <v>560</v>
      </c>
      <c r="F658" s="5">
        <v>114</v>
      </c>
      <c r="G658" s="4" t="s">
        <v>242</v>
      </c>
      <c r="H658" s="4">
        <v>3</v>
      </c>
      <c r="I658" s="4" t="s">
        <v>67</v>
      </c>
      <c r="J658" s="4">
        <v>2</v>
      </c>
      <c r="K658" s="4" t="s">
        <v>970</v>
      </c>
    </row>
    <row r="659" spans="1:11">
      <c r="A659" s="4" t="s">
        <v>856</v>
      </c>
      <c r="B659" s="4" t="s">
        <v>559</v>
      </c>
      <c r="C659" s="4" t="s">
        <v>560</v>
      </c>
      <c r="D659" s="4" t="s">
        <v>561</v>
      </c>
      <c r="E659" s="4" t="s">
        <v>560</v>
      </c>
      <c r="F659" s="5">
        <v>115</v>
      </c>
      <c r="G659" s="4" t="s">
        <v>244</v>
      </c>
      <c r="H659" s="4">
        <v>3</v>
      </c>
      <c r="I659" s="4" t="s">
        <v>67</v>
      </c>
      <c r="J659" s="4">
        <v>2</v>
      </c>
      <c r="K659" s="4" t="s">
        <v>970</v>
      </c>
    </row>
    <row r="660" spans="1:11">
      <c r="A660" s="4" t="s">
        <v>857</v>
      </c>
      <c r="B660" s="4" t="s">
        <v>559</v>
      </c>
      <c r="C660" s="4" t="s">
        <v>560</v>
      </c>
      <c r="D660" s="4" t="s">
        <v>561</v>
      </c>
      <c r="E660" s="4" t="s">
        <v>560</v>
      </c>
      <c r="F660" s="5">
        <v>116</v>
      </c>
      <c r="G660" s="4" t="s">
        <v>246</v>
      </c>
      <c r="H660" s="4">
        <v>3</v>
      </c>
      <c r="I660" s="4" t="s">
        <v>67</v>
      </c>
      <c r="J660" s="4">
        <v>2</v>
      </c>
      <c r="K660" s="4" t="s">
        <v>970</v>
      </c>
    </row>
    <row r="661" spans="1:11">
      <c r="A661" s="4" t="s">
        <v>858</v>
      </c>
      <c r="B661" s="4" t="s">
        <v>559</v>
      </c>
      <c r="C661" s="4" t="s">
        <v>560</v>
      </c>
      <c r="D661" s="4" t="s">
        <v>561</v>
      </c>
      <c r="E661" s="4" t="s">
        <v>560</v>
      </c>
      <c r="F661" s="5">
        <v>117</v>
      </c>
      <c r="G661" s="4" t="s">
        <v>248</v>
      </c>
      <c r="H661" s="4">
        <v>3</v>
      </c>
      <c r="I661" s="4" t="s">
        <v>67</v>
      </c>
      <c r="J661" s="4">
        <v>2</v>
      </c>
      <c r="K661" s="4" t="s">
        <v>970</v>
      </c>
    </row>
    <row r="662" spans="1:11">
      <c r="A662" s="4" t="s">
        <v>859</v>
      </c>
      <c r="B662" s="4" t="s">
        <v>559</v>
      </c>
      <c r="C662" s="4" t="s">
        <v>560</v>
      </c>
      <c r="D662" s="4" t="s">
        <v>561</v>
      </c>
      <c r="E662" s="4" t="s">
        <v>560</v>
      </c>
      <c r="F662" s="5">
        <v>118</v>
      </c>
      <c r="G662" s="4" t="s">
        <v>250</v>
      </c>
      <c r="H662" s="4">
        <v>3</v>
      </c>
      <c r="I662" s="4" t="s">
        <v>67</v>
      </c>
      <c r="J662" s="4">
        <v>2</v>
      </c>
      <c r="K662" s="4" t="s">
        <v>970</v>
      </c>
    </row>
    <row r="663" spans="1:11">
      <c r="A663" s="4" t="s">
        <v>860</v>
      </c>
      <c r="B663" s="4" t="s">
        <v>559</v>
      </c>
      <c r="C663" s="4" t="s">
        <v>560</v>
      </c>
      <c r="D663" s="4" t="s">
        <v>561</v>
      </c>
      <c r="E663" s="4" t="s">
        <v>560</v>
      </c>
      <c r="F663" s="5">
        <v>119</v>
      </c>
      <c r="G663" s="4" t="s">
        <v>252</v>
      </c>
      <c r="H663" s="4">
        <v>3</v>
      </c>
      <c r="I663" s="4" t="s">
        <v>67</v>
      </c>
      <c r="J663" s="4">
        <v>2</v>
      </c>
      <c r="K663" s="4" t="s">
        <v>970</v>
      </c>
    </row>
    <row r="664" spans="1:11">
      <c r="A664" s="4" t="s">
        <v>861</v>
      </c>
      <c r="B664" s="4" t="s">
        <v>559</v>
      </c>
      <c r="C664" s="4" t="s">
        <v>560</v>
      </c>
      <c r="D664" s="4" t="s">
        <v>561</v>
      </c>
      <c r="E664" s="4" t="s">
        <v>560</v>
      </c>
      <c r="F664" s="5">
        <v>120</v>
      </c>
      <c r="G664" s="4" t="s">
        <v>254</v>
      </c>
      <c r="H664" s="4">
        <v>3</v>
      </c>
      <c r="I664" s="4" t="s">
        <v>67</v>
      </c>
      <c r="J664" s="4">
        <v>2</v>
      </c>
      <c r="K664" s="4" t="s">
        <v>970</v>
      </c>
    </row>
    <row r="665" spans="1:11">
      <c r="A665" s="4" t="s">
        <v>862</v>
      </c>
      <c r="B665" s="4" t="s">
        <v>559</v>
      </c>
      <c r="C665" s="4" t="s">
        <v>560</v>
      </c>
      <c r="D665" s="4" t="s">
        <v>561</v>
      </c>
      <c r="E665" s="4" t="s">
        <v>560</v>
      </c>
      <c r="F665" s="5">
        <v>121</v>
      </c>
      <c r="G665" s="4" t="s">
        <v>256</v>
      </c>
      <c r="H665" s="4">
        <v>3</v>
      </c>
      <c r="I665" s="4" t="s">
        <v>67</v>
      </c>
      <c r="J665" s="4">
        <v>2</v>
      </c>
      <c r="K665" s="4" t="s">
        <v>970</v>
      </c>
    </row>
    <row r="666" spans="1:11">
      <c r="A666" s="4" t="s">
        <v>863</v>
      </c>
      <c r="B666" s="4" t="s">
        <v>559</v>
      </c>
      <c r="C666" s="4" t="s">
        <v>560</v>
      </c>
      <c r="D666" s="4" t="s">
        <v>561</v>
      </c>
      <c r="E666" s="4" t="s">
        <v>560</v>
      </c>
      <c r="F666" s="5">
        <v>122</v>
      </c>
      <c r="G666" s="4" t="s">
        <v>258</v>
      </c>
      <c r="H666" s="4">
        <v>3</v>
      </c>
      <c r="I666" s="4" t="s">
        <v>67</v>
      </c>
      <c r="J666" s="4">
        <v>2</v>
      </c>
      <c r="K666" s="4" t="s">
        <v>970</v>
      </c>
    </row>
    <row r="667" spans="1:11">
      <c r="A667" s="4" t="s">
        <v>864</v>
      </c>
      <c r="B667" s="4" t="s">
        <v>559</v>
      </c>
      <c r="C667" s="4" t="s">
        <v>560</v>
      </c>
      <c r="D667" s="4" t="s">
        <v>561</v>
      </c>
      <c r="E667" s="4" t="s">
        <v>560</v>
      </c>
      <c r="F667" s="5">
        <v>123</v>
      </c>
      <c r="G667" s="4" t="s">
        <v>260</v>
      </c>
      <c r="H667" s="4">
        <v>2</v>
      </c>
      <c r="I667" s="4" t="s">
        <v>142</v>
      </c>
      <c r="J667" s="4">
        <v>2</v>
      </c>
      <c r="K667" s="4" t="s">
        <v>970</v>
      </c>
    </row>
    <row r="668" spans="1:11">
      <c r="A668" s="4" t="s">
        <v>865</v>
      </c>
      <c r="B668" s="4" t="s">
        <v>559</v>
      </c>
      <c r="C668" s="4" t="s">
        <v>560</v>
      </c>
      <c r="D668" s="4" t="s">
        <v>561</v>
      </c>
      <c r="E668" s="4" t="s">
        <v>560</v>
      </c>
      <c r="F668" s="5">
        <v>124</v>
      </c>
      <c r="G668" s="4" t="s">
        <v>262</v>
      </c>
      <c r="H668" s="4">
        <v>2</v>
      </c>
      <c r="I668" s="4" t="s">
        <v>142</v>
      </c>
      <c r="J668" s="4">
        <v>2</v>
      </c>
      <c r="K668" s="4" t="s">
        <v>970</v>
      </c>
    </row>
    <row r="669" spans="1:11">
      <c r="A669" s="4" t="s">
        <v>866</v>
      </c>
      <c r="B669" s="4" t="s">
        <v>559</v>
      </c>
      <c r="C669" s="4" t="s">
        <v>560</v>
      </c>
      <c r="D669" s="4" t="s">
        <v>561</v>
      </c>
      <c r="E669" s="4" t="s">
        <v>560</v>
      </c>
      <c r="F669" s="5">
        <v>125</v>
      </c>
      <c r="G669" s="4" t="s">
        <v>264</v>
      </c>
      <c r="H669" s="4">
        <v>3</v>
      </c>
      <c r="I669" s="4" t="s">
        <v>67</v>
      </c>
      <c r="J669" s="4">
        <v>2</v>
      </c>
      <c r="K669" s="4" t="s">
        <v>970</v>
      </c>
    </row>
    <row r="670" spans="1:11">
      <c r="A670" s="4" t="s">
        <v>867</v>
      </c>
      <c r="B670" s="4" t="s">
        <v>559</v>
      </c>
      <c r="C670" s="4" t="s">
        <v>560</v>
      </c>
      <c r="D670" s="4" t="s">
        <v>561</v>
      </c>
      <c r="E670" s="4" t="s">
        <v>560</v>
      </c>
      <c r="F670" s="5">
        <v>126</v>
      </c>
      <c r="G670" s="4" t="s">
        <v>266</v>
      </c>
      <c r="H670" s="4">
        <v>3</v>
      </c>
      <c r="I670" s="4" t="s">
        <v>67</v>
      </c>
      <c r="J670" s="4">
        <v>2</v>
      </c>
      <c r="K670" s="4" t="s">
        <v>970</v>
      </c>
    </row>
    <row r="671" spans="1:11">
      <c r="A671" s="4" t="s">
        <v>868</v>
      </c>
      <c r="B671" s="4" t="s">
        <v>559</v>
      </c>
      <c r="C671" s="4" t="s">
        <v>560</v>
      </c>
      <c r="D671" s="4" t="s">
        <v>561</v>
      </c>
      <c r="E671" s="4" t="s">
        <v>560</v>
      </c>
      <c r="F671" s="5">
        <v>127</v>
      </c>
      <c r="G671" s="4" t="s">
        <v>268</v>
      </c>
      <c r="H671" s="4">
        <v>3</v>
      </c>
      <c r="I671" s="4" t="s">
        <v>67</v>
      </c>
      <c r="J671" s="4">
        <v>2</v>
      </c>
      <c r="K671" s="4" t="s">
        <v>970</v>
      </c>
    </row>
    <row r="672" spans="1:11">
      <c r="A672" s="4" t="s">
        <v>869</v>
      </c>
      <c r="B672" s="4" t="s">
        <v>559</v>
      </c>
      <c r="C672" s="4" t="s">
        <v>560</v>
      </c>
      <c r="D672" s="4" t="s">
        <v>561</v>
      </c>
      <c r="E672" s="4" t="s">
        <v>560</v>
      </c>
      <c r="F672" s="5">
        <v>128</v>
      </c>
      <c r="G672" s="4" t="s">
        <v>270</v>
      </c>
      <c r="H672" s="4">
        <v>3</v>
      </c>
      <c r="I672" s="4" t="s">
        <v>67</v>
      </c>
      <c r="J672" s="4">
        <v>2</v>
      </c>
      <c r="K672" s="4" t="s">
        <v>970</v>
      </c>
    </row>
    <row r="673" spans="1:11">
      <c r="A673" s="4" t="s">
        <v>870</v>
      </c>
      <c r="B673" s="4" t="s">
        <v>559</v>
      </c>
      <c r="C673" s="4" t="s">
        <v>560</v>
      </c>
      <c r="D673" s="4" t="s">
        <v>561</v>
      </c>
      <c r="E673" s="4" t="s">
        <v>560</v>
      </c>
      <c r="F673" s="5">
        <v>129</v>
      </c>
      <c r="G673" s="4" t="s">
        <v>272</v>
      </c>
      <c r="H673" s="4">
        <v>3</v>
      </c>
      <c r="I673" s="4" t="s">
        <v>67</v>
      </c>
      <c r="J673" s="4">
        <v>2</v>
      </c>
      <c r="K673" s="4" t="s">
        <v>970</v>
      </c>
    </row>
    <row r="674" spans="1:11">
      <c r="A674" s="4" t="s">
        <v>871</v>
      </c>
      <c r="B674" s="4" t="s">
        <v>559</v>
      </c>
      <c r="C674" s="4" t="s">
        <v>560</v>
      </c>
      <c r="D674" s="4" t="s">
        <v>561</v>
      </c>
      <c r="E674" s="4" t="s">
        <v>560</v>
      </c>
      <c r="F674" s="5">
        <v>130</v>
      </c>
      <c r="G674" s="4" t="s">
        <v>274</v>
      </c>
      <c r="H674" s="4">
        <v>3</v>
      </c>
      <c r="I674" s="4" t="s">
        <v>67</v>
      </c>
      <c r="J674" s="4">
        <v>2</v>
      </c>
      <c r="K674" s="4" t="s">
        <v>970</v>
      </c>
    </row>
    <row r="675" spans="1:11">
      <c r="A675" s="4" t="s">
        <v>872</v>
      </c>
      <c r="B675" s="4" t="s">
        <v>559</v>
      </c>
      <c r="C675" s="4" t="s">
        <v>560</v>
      </c>
      <c r="D675" s="4" t="s">
        <v>561</v>
      </c>
      <c r="E675" s="4" t="s">
        <v>560</v>
      </c>
      <c r="F675" s="5">
        <v>131</v>
      </c>
      <c r="G675" s="4" t="s">
        <v>276</v>
      </c>
      <c r="H675" s="4">
        <v>3</v>
      </c>
      <c r="I675" s="4" t="s">
        <v>67</v>
      </c>
      <c r="J675" s="4">
        <v>2</v>
      </c>
      <c r="K675" s="4" t="s">
        <v>970</v>
      </c>
    </row>
    <row r="676" spans="1:11">
      <c r="A676" s="4" t="s">
        <v>873</v>
      </c>
      <c r="B676" s="4" t="s">
        <v>559</v>
      </c>
      <c r="C676" s="4" t="s">
        <v>560</v>
      </c>
      <c r="D676" s="4" t="s">
        <v>561</v>
      </c>
      <c r="E676" s="4" t="s">
        <v>560</v>
      </c>
      <c r="F676" s="5">
        <v>132</v>
      </c>
      <c r="G676" s="4" t="s">
        <v>278</v>
      </c>
      <c r="H676" s="4">
        <v>3</v>
      </c>
      <c r="I676" s="4" t="s">
        <v>67</v>
      </c>
      <c r="J676" s="4">
        <v>2</v>
      </c>
      <c r="K676" s="4" t="s">
        <v>970</v>
      </c>
    </row>
    <row r="677" spans="1:11">
      <c r="A677" s="4" t="s">
        <v>874</v>
      </c>
      <c r="B677" s="4" t="s">
        <v>559</v>
      </c>
      <c r="C677" s="4" t="s">
        <v>560</v>
      </c>
      <c r="D677" s="4" t="s">
        <v>561</v>
      </c>
      <c r="E677" s="4" t="s">
        <v>560</v>
      </c>
      <c r="F677" s="5">
        <v>133</v>
      </c>
      <c r="G677" s="4" t="s">
        <v>280</v>
      </c>
      <c r="H677" s="4">
        <v>3</v>
      </c>
      <c r="I677" s="4" t="s">
        <v>67</v>
      </c>
      <c r="J677" s="4">
        <v>2</v>
      </c>
      <c r="K677" s="4" t="s">
        <v>970</v>
      </c>
    </row>
    <row r="678" spans="1:11">
      <c r="A678" s="4" t="s">
        <v>875</v>
      </c>
      <c r="B678" s="4" t="s">
        <v>559</v>
      </c>
      <c r="C678" s="4" t="s">
        <v>560</v>
      </c>
      <c r="D678" s="4" t="s">
        <v>561</v>
      </c>
      <c r="E678" s="4" t="s">
        <v>560</v>
      </c>
      <c r="F678" s="5">
        <v>134</v>
      </c>
      <c r="G678" s="4" t="s">
        <v>282</v>
      </c>
      <c r="H678" s="4">
        <v>3</v>
      </c>
      <c r="I678" s="4" t="s">
        <v>67</v>
      </c>
      <c r="J678" s="4">
        <v>2</v>
      </c>
      <c r="K678" s="4" t="s">
        <v>970</v>
      </c>
    </row>
    <row r="679" spans="1:11">
      <c r="A679" s="4" t="s">
        <v>876</v>
      </c>
      <c r="B679" s="4" t="s">
        <v>559</v>
      </c>
      <c r="C679" s="4" t="s">
        <v>560</v>
      </c>
      <c r="D679" s="4" t="s">
        <v>561</v>
      </c>
      <c r="E679" s="4" t="s">
        <v>560</v>
      </c>
      <c r="F679" s="5">
        <v>135</v>
      </c>
      <c r="G679" s="4" t="s">
        <v>284</v>
      </c>
      <c r="H679" s="4">
        <v>3</v>
      </c>
      <c r="I679" s="4" t="s">
        <v>67</v>
      </c>
      <c r="J679" s="4">
        <v>2</v>
      </c>
      <c r="K679" s="4" t="s">
        <v>970</v>
      </c>
    </row>
    <row r="680" spans="1:11">
      <c r="A680" s="4" t="s">
        <v>877</v>
      </c>
      <c r="B680" s="4" t="s">
        <v>559</v>
      </c>
      <c r="C680" s="4" t="s">
        <v>560</v>
      </c>
      <c r="D680" s="4" t="s">
        <v>561</v>
      </c>
      <c r="E680" s="4" t="s">
        <v>560</v>
      </c>
      <c r="F680" s="5">
        <v>136</v>
      </c>
      <c r="G680" s="4" t="s">
        <v>286</v>
      </c>
      <c r="H680" s="4">
        <v>3</v>
      </c>
      <c r="I680" s="4" t="s">
        <v>67</v>
      </c>
      <c r="J680" s="4">
        <v>2</v>
      </c>
      <c r="K680" s="4" t="s">
        <v>970</v>
      </c>
    </row>
    <row r="681" spans="1:11">
      <c r="A681" s="4" t="s">
        <v>878</v>
      </c>
      <c r="B681" s="4" t="s">
        <v>559</v>
      </c>
      <c r="C681" s="4" t="s">
        <v>560</v>
      </c>
      <c r="D681" s="4" t="s">
        <v>561</v>
      </c>
      <c r="E681" s="4" t="s">
        <v>560</v>
      </c>
      <c r="F681" s="5">
        <v>137</v>
      </c>
      <c r="G681" s="4" t="s">
        <v>288</v>
      </c>
      <c r="H681" s="4">
        <v>3</v>
      </c>
      <c r="I681" s="4" t="s">
        <v>67</v>
      </c>
      <c r="J681" s="4">
        <v>2</v>
      </c>
      <c r="K681" s="4" t="s">
        <v>970</v>
      </c>
    </row>
    <row r="682" spans="1:11">
      <c r="A682" s="4" t="s">
        <v>879</v>
      </c>
      <c r="B682" s="4" t="s">
        <v>559</v>
      </c>
      <c r="C682" s="4" t="s">
        <v>560</v>
      </c>
      <c r="D682" s="4" t="s">
        <v>561</v>
      </c>
      <c r="E682" s="4" t="s">
        <v>560</v>
      </c>
      <c r="F682" s="5">
        <v>138</v>
      </c>
      <c r="G682" s="4" t="s">
        <v>290</v>
      </c>
      <c r="H682" s="4">
        <v>2</v>
      </c>
      <c r="I682" s="4" t="s">
        <v>142</v>
      </c>
      <c r="J682" s="4">
        <v>2</v>
      </c>
      <c r="K682" s="4" t="s">
        <v>970</v>
      </c>
    </row>
    <row r="683" spans="1:11">
      <c r="A683" s="4" t="s">
        <v>880</v>
      </c>
      <c r="B683" s="4" t="s">
        <v>559</v>
      </c>
      <c r="C683" s="4" t="s">
        <v>560</v>
      </c>
      <c r="D683" s="4" t="s">
        <v>561</v>
      </c>
      <c r="E683" s="4" t="s">
        <v>560</v>
      </c>
      <c r="F683" s="5">
        <v>139</v>
      </c>
      <c r="G683" s="4" t="s">
        <v>292</v>
      </c>
      <c r="H683" s="4">
        <v>3</v>
      </c>
      <c r="I683" s="4" t="s">
        <v>67</v>
      </c>
      <c r="J683" s="4">
        <v>2</v>
      </c>
      <c r="K683" s="4" t="s">
        <v>970</v>
      </c>
    </row>
    <row r="684" spans="1:11">
      <c r="A684" s="4" t="s">
        <v>881</v>
      </c>
      <c r="B684" s="4" t="s">
        <v>559</v>
      </c>
      <c r="C684" s="4" t="s">
        <v>560</v>
      </c>
      <c r="D684" s="4" t="s">
        <v>561</v>
      </c>
      <c r="E684" s="4" t="s">
        <v>560</v>
      </c>
      <c r="F684" s="5">
        <v>140</v>
      </c>
      <c r="G684" s="4" t="s">
        <v>294</v>
      </c>
      <c r="H684" s="4">
        <v>3</v>
      </c>
      <c r="I684" s="4" t="s">
        <v>67</v>
      </c>
      <c r="J684" s="4">
        <v>2</v>
      </c>
      <c r="K684" s="4" t="s">
        <v>970</v>
      </c>
    </row>
    <row r="685" spans="1:11">
      <c r="A685" s="4" t="s">
        <v>882</v>
      </c>
      <c r="B685" s="4" t="s">
        <v>559</v>
      </c>
      <c r="C685" s="4" t="s">
        <v>560</v>
      </c>
      <c r="D685" s="4" t="s">
        <v>561</v>
      </c>
      <c r="E685" s="4" t="s">
        <v>560</v>
      </c>
      <c r="F685" s="5">
        <v>141</v>
      </c>
      <c r="G685" s="4" t="s">
        <v>296</v>
      </c>
      <c r="H685" s="4">
        <v>3</v>
      </c>
      <c r="I685" s="4" t="s">
        <v>67</v>
      </c>
      <c r="J685" s="4">
        <v>2</v>
      </c>
      <c r="K685" s="4" t="s">
        <v>970</v>
      </c>
    </row>
    <row r="686" spans="1:11">
      <c r="A686" s="4" t="s">
        <v>883</v>
      </c>
      <c r="B686" s="4" t="s">
        <v>559</v>
      </c>
      <c r="C686" s="4" t="s">
        <v>560</v>
      </c>
      <c r="D686" s="4" t="s">
        <v>561</v>
      </c>
      <c r="E686" s="4" t="s">
        <v>560</v>
      </c>
      <c r="F686" s="5">
        <v>142</v>
      </c>
      <c r="G686" s="4" t="s">
        <v>298</v>
      </c>
      <c r="H686" s="4">
        <v>3</v>
      </c>
      <c r="I686" s="4" t="s">
        <v>67</v>
      </c>
      <c r="J686" s="4">
        <v>2</v>
      </c>
      <c r="K686" s="4" t="s">
        <v>970</v>
      </c>
    </row>
    <row r="687" spans="1:11">
      <c r="A687" s="4" t="s">
        <v>884</v>
      </c>
      <c r="B687" s="4" t="s">
        <v>559</v>
      </c>
      <c r="C687" s="4" t="s">
        <v>560</v>
      </c>
      <c r="D687" s="4" t="s">
        <v>561</v>
      </c>
      <c r="E687" s="4" t="s">
        <v>560</v>
      </c>
      <c r="F687" s="5">
        <v>143</v>
      </c>
      <c r="G687" s="4" t="s">
        <v>300</v>
      </c>
      <c r="H687" s="4">
        <v>3</v>
      </c>
      <c r="I687" s="4" t="s">
        <v>67</v>
      </c>
      <c r="J687" s="4">
        <v>2</v>
      </c>
      <c r="K687" s="4" t="s">
        <v>970</v>
      </c>
    </row>
    <row r="688" spans="1:11">
      <c r="A688" s="4" t="s">
        <v>885</v>
      </c>
      <c r="B688" s="4" t="s">
        <v>559</v>
      </c>
      <c r="C688" s="4" t="s">
        <v>560</v>
      </c>
      <c r="D688" s="4" t="s">
        <v>561</v>
      </c>
      <c r="E688" s="4" t="s">
        <v>560</v>
      </c>
      <c r="F688" s="5">
        <v>144</v>
      </c>
      <c r="G688" s="4" t="s">
        <v>302</v>
      </c>
      <c r="H688" s="4">
        <v>3</v>
      </c>
      <c r="I688" s="4" t="s">
        <v>67</v>
      </c>
      <c r="J688" s="4">
        <v>2</v>
      </c>
      <c r="K688" s="4" t="s">
        <v>970</v>
      </c>
    </row>
    <row r="689" spans="1:11">
      <c r="A689" s="4" t="s">
        <v>886</v>
      </c>
      <c r="B689" s="4" t="s">
        <v>559</v>
      </c>
      <c r="C689" s="4" t="s">
        <v>560</v>
      </c>
      <c r="D689" s="4" t="s">
        <v>561</v>
      </c>
      <c r="E689" s="4" t="s">
        <v>560</v>
      </c>
      <c r="F689" s="5">
        <v>145</v>
      </c>
      <c r="G689" s="4" t="s">
        <v>304</v>
      </c>
      <c r="H689" s="4">
        <v>3</v>
      </c>
      <c r="I689" s="4" t="s">
        <v>67</v>
      </c>
      <c r="J689" s="4">
        <v>2</v>
      </c>
      <c r="K689" s="4" t="s">
        <v>970</v>
      </c>
    </row>
    <row r="690" spans="1:11">
      <c r="A690" s="4" t="s">
        <v>887</v>
      </c>
      <c r="B690" s="4" t="s">
        <v>559</v>
      </c>
      <c r="C690" s="4" t="s">
        <v>560</v>
      </c>
      <c r="D690" s="4" t="s">
        <v>561</v>
      </c>
      <c r="E690" s="4" t="s">
        <v>560</v>
      </c>
      <c r="F690" s="5">
        <v>146</v>
      </c>
      <c r="G690" s="4" t="s">
        <v>306</v>
      </c>
      <c r="H690" s="4">
        <v>3</v>
      </c>
      <c r="I690" s="4" t="s">
        <v>67</v>
      </c>
      <c r="J690" s="4">
        <v>2</v>
      </c>
      <c r="K690" s="4" t="s">
        <v>970</v>
      </c>
    </row>
    <row r="691" spans="1:11">
      <c r="A691" s="4" t="s">
        <v>888</v>
      </c>
      <c r="B691" s="4" t="s">
        <v>559</v>
      </c>
      <c r="C691" s="4" t="s">
        <v>560</v>
      </c>
      <c r="D691" s="4" t="s">
        <v>561</v>
      </c>
      <c r="E691" s="4" t="s">
        <v>560</v>
      </c>
      <c r="F691" s="5">
        <v>147</v>
      </c>
      <c r="G691" s="4" t="s">
        <v>308</v>
      </c>
      <c r="H691" s="4">
        <v>3</v>
      </c>
      <c r="I691" s="4" t="s">
        <v>67</v>
      </c>
      <c r="J691" s="4">
        <v>2</v>
      </c>
      <c r="K691" s="4" t="s">
        <v>970</v>
      </c>
    </row>
    <row r="692" spans="1:11">
      <c r="A692" s="4" t="s">
        <v>889</v>
      </c>
      <c r="B692" s="4" t="s">
        <v>559</v>
      </c>
      <c r="C692" s="4" t="s">
        <v>560</v>
      </c>
      <c r="D692" s="4" t="s">
        <v>561</v>
      </c>
      <c r="E692" s="4" t="s">
        <v>560</v>
      </c>
      <c r="F692" s="5">
        <v>148</v>
      </c>
      <c r="G692" s="4" t="s">
        <v>310</v>
      </c>
      <c r="H692" s="4">
        <v>3</v>
      </c>
      <c r="I692" s="4" t="s">
        <v>67</v>
      </c>
      <c r="J692" s="4">
        <v>2</v>
      </c>
      <c r="K692" s="4" t="s">
        <v>970</v>
      </c>
    </row>
    <row r="693" spans="1:11">
      <c r="A693" s="4" t="s">
        <v>890</v>
      </c>
      <c r="B693" s="4" t="s">
        <v>559</v>
      </c>
      <c r="C693" s="4" t="s">
        <v>560</v>
      </c>
      <c r="D693" s="4" t="s">
        <v>561</v>
      </c>
      <c r="E693" s="4" t="s">
        <v>560</v>
      </c>
      <c r="F693" s="5">
        <v>149</v>
      </c>
      <c r="G693" s="4" t="s">
        <v>312</v>
      </c>
      <c r="H693" s="4">
        <v>3</v>
      </c>
      <c r="I693" s="4" t="s">
        <v>67</v>
      </c>
      <c r="J693" s="4">
        <v>2</v>
      </c>
      <c r="K693" s="4" t="s">
        <v>970</v>
      </c>
    </row>
    <row r="694" spans="1:11">
      <c r="A694" s="4" t="s">
        <v>891</v>
      </c>
      <c r="B694" s="4" t="s">
        <v>559</v>
      </c>
      <c r="C694" s="4" t="s">
        <v>560</v>
      </c>
      <c r="D694" s="4" t="s">
        <v>561</v>
      </c>
      <c r="E694" s="4" t="s">
        <v>560</v>
      </c>
      <c r="F694" s="5">
        <v>150</v>
      </c>
      <c r="G694" s="4" t="s">
        <v>314</v>
      </c>
      <c r="H694" s="4">
        <v>3</v>
      </c>
      <c r="I694" s="4" t="s">
        <v>67</v>
      </c>
      <c r="J694" s="4">
        <v>2</v>
      </c>
      <c r="K694" s="4" t="s">
        <v>970</v>
      </c>
    </row>
    <row r="695" spans="1:11">
      <c r="A695" s="4" t="s">
        <v>892</v>
      </c>
      <c r="B695" s="4" t="s">
        <v>559</v>
      </c>
      <c r="C695" s="4" t="s">
        <v>560</v>
      </c>
      <c r="D695" s="4" t="s">
        <v>561</v>
      </c>
      <c r="E695" s="4" t="s">
        <v>560</v>
      </c>
      <c r="F695" s="5">
        <v>151</v>
      </c>
      <c r="G695" s="4" t="s">
        <v>316</v>
      </c>
      <c r="H695" s="4">
        <v>3</v>
      </c>
      <c r="I695" s="4" t="s">
        <v>67</v>
      </c>
      <c r="J695" s="4">
        <v>2</v>
      </c>
      <c r="K695" s="4" t="s">
        <v>970</v>
      </c>
    </row>
    <row r="696" spans="1:11">
      <c r="A696" s="4" t="s">
        <v>893</v>
      </c>
      <c r="B696" s="4" t="s">
        <v>559</v>
      </c>
      <c r="C696" s="4" t="s">
        <v>560</v>
      </c>
      <c r="D696" s="4" t="s">
        <v>561</v>
      </c>
      <c r="E696" s="4" t="s">
        <v>560</v>
      </c>
      <c r="F696" s="5">
        <v>152</v>
      </c>
      <c r="G696" s="4" t="s">
        <v>318</v>
      </c>
      <c r="H696" s="4">
        <v>3</v>
      </c>
      <c r="I696" s="4" t="s">
        <v>67</v>
      </c>
      <c r="J696" s="4">
        <v>2</v>
      </c>
      <c r="K696" s="4" t="s">
        <v>970</v>
      </c>
    </row>
    <row r="697" spans="1:11">
      <c r="A697" s="4" t="s">
        <v>894</v>
      </c>
      <c r="B697" s="4" t="s">
        <v>559</v>
      </c>
      <c r="C697" s="4" t="s">
        <v>560</v>
      </c>
      <c r="D697" s="4" t="s">
        <v>561</v>
      </c>
      <c r="E697" s="4" t="s">
        <v>560</v>
      </c>
      <c r="F697" s="5">
        <v>153</v>
      </c>
      <c r="G697" s="4" t="s">
        <v>320</v>
      </c>
      <c r="H697" s="4">
        <v>3</v>
      </c>
      <c r="I697" s="4" t="s">
        <v>67</v>
      </c>
      <c r="J697" s="4">
        <v>2</v>
      </c>
      <c r="K697" s="4" t="s">
        <v>970</v>
      </c>
    </row>
    <row r="698" spans="1:11">
      <c r="A698" s="4" t="s">
        <v>895</v>
      </c>
      <c r="B698" s="4" t="s">
        <v>559</v>
      </c>
      <c r="C698" s="4" t="s">
        <v>560</v>
      </c>
      <c r="D698" s="4" t="s">
        <v>561</v>
      </c>
      <c r="E698" s="4" t="s">
        <v>560</v>
      </c>
      <c r="F698" s="5">
        <v>154</v>
      </c>
      <c r="G698" s="4" t="s">
        <v>322</v>
      </c>
      <c r="H698" s="4">
        <v>3</v>
      </c>
      <c r="I698" s="4" t="s">
        <v>67</v>
      </c>
      <c r="J698" s="4">
        <v>2</v>
      </c>
      <c r="K698" s="4" t="s">
        <v>970</v>
      </c>
    </row>
    <row r="699" spans="1:11">
      <c r="A699" s="4" t="s">
        <v>896</v>
      </c>
      <c r="B699" s="4" t="s">
        <v>559</v>
      </c>
      <c r="C699" s="4" t="s">
        <v>560</v>
      </c>
      <c r="D699" s="4" t="s">
        <v>561</v>
      </c>
      <c r="E699" s="4" t="s">
        <v>560</v>
      </c>
      <c r="F699" s="5">
        <v>155</v>
      </c>
      <c r="G699" s="4" t="s">
        <v>324</v>
      </c>
      <c r="H699" s="4">
        <v>3</v>
      </c>
      <c r="I699" s="4" t="s">
        <v>67</v>
      </c>
      <c r="J699" s="4">
        <v>2</v>
      </c>
      <c r="K699" s="4" t="s">
        <v>970</v>
      </c>
    </row>
    <row r="700" spans="1:11">
      <c r="A700" s="4" t="s">
        <v>897</v>
      </c>
      <c r="B700" s="4" t="s">
        <v>559</v>
      </c>
      <c r="C700" s="4" t="s">
        <v>560</v>
      </c>
      <c r="D700" s="4" t="s">
        <v>561</v>
      </c>
      <c r="E700" s="4" t="s">
        <v>560</v>
      </c>
      <c r="F700" s="5">
        <v>156</v>
      </c>
      <c r="G700" s="4" t="s">
        <v>326</v>
      </c>
      <c r="H700" s="4">
        <v>3</v>
      </c>
      <c r="I700" s="4" t="s">
        <v>67</v>
      </c>
      <c r="J700" s="4">
        <v>2</v>
      </c>
      <c r="K700" s="4" t="s">
        <v>970</v>
      </c>
    </row>
    <row r="701" spans="1:11">
      <c r="A701" s="4" t="s">
        <v>898</v>
      </c>
      <c r="B701" s="4" t="s">
        <v>559</v>
      </c>
      <c r="C701" s="4" t="s">
        <v>560</v>
      </c>
      <c r="D701" s="4" t="s">
        <v>561</v>
      </c>
      <c r="E701" s="4" t="s">
        <v>560</v>
      </c>
      <c r="F701" s="5">
        <v>157</v>
      </c>
      <c r="G701" s="4" t="s">
        <v>328</v>
      </c>
      <c r="H701" s="4">
        <v>3</v>
      </c>
      <c r="I701" s="4" t="s">
        <v>67</v>
      </c>
      <c r="J701" s="4">
        <v>2</v>
      </c>
      <c r="K701" s="4" t="s">
        <v>970</v>
      </c>
    </row>
    <row r="702" spans="1:11">
      <c r="A702" s="4" t="s">
        <v>899</v>
      </c>
      <c r="B702" s="4" t="s">
        <v>559</v>
      </c>
      <c r="C702" s="4" t="s">
        <v>560</v>
      </c>
      <c r="D702" s="4" t="s">
        <v>561</v>
      </c>
      <c r="E702" s="4" t="s">
        <v>560</v>
      </c>
      <c r="F702" s="5">
        <v>158</v>
      </c>
      <c r="G702" s="4" t="s">
        <v>330</v>
      </c>
      <c r="H702" s="4">
        <v>3</v>
      </c>
      <c r="I702" s="4" t="s">
        <v>67</v>
      </c>
      <c r="J702" s="4">
        <v>2</v>
      </c>
      <c r="K702" s="4" t="s">
        <v>970</v>
      </c>
    </row>
    <row r="703" spans="1:11">
      <c r="A703" s="4" t="s">
        <v>900</v>
      </c>
      <c r="B703" s="4" t="s">
        <v>559</v>
      </c>
      <c r="C703" s="4" t="s">
        <v>560</v>
      </c>
      <c r="D703" s="4" t="s">
        <v>561</v>
      </c>
      <c r="E703" s="4" t="s">
        <v>560</v>
      </c>
      <c r="F703" s="5">
        <v>159</v>
      </c>
      <c r="G703" s="4" t="s">
        <v>332</v>
      </c>
      <c r="H703" s="4">
        <v>3</v>
      </c>
      <c r="I703" s="4" t="s">
        <v>67</v>
      </c>
      <c r="J703" s="4">
        <v>2</v>
      </c>
      <c r="K703" s="4" t="s">
        <v>970</v>
      </c>
    </row>
    <row r="704" spans="1:11">
      <c r="A704" s="4" t="s">
        <v>901</v>
      </c>
      <c r="B704" s="4" t="s">
        <v>559</v>
      </c>
      <c r="C704" s="4" t="s">
        <v>560</v>
      </c>
      <c r="D704" s="4" t="s">
        <v>561</v>
      </c>
      <c r="E704" s="4" t="s">
        <v>560</v>
      </c>
      <c r="F704" s="5">
        <v>160</v>
      </c>
      <c r="G704" s="4" t="s">
        <v>334</v>
      </c>
      <c r="H704" s="4">
        <v>3</v>
      </c>
      <c r="I704" s="4" t="s">
        <v>67</v>
      </c>
      <c r="J704" s="4">
        <v>2</v>
      </c>
      <c r="K704" s="4" t="s">
        <v>970</v>
      </c>
    </row>
    <row r="705" spans="1:11">
      <c r="A705" s="4" t="s">
        <v>902</v>
      </c>
      <c r="B705" s="4" t="s">
        <v>559</v>
      </c>
      <c r="C705" s="4" t="s">
        <v>560</v>
      </c>
      <c r="D705" s="4" t="s">
        <v>561</v>
      </c>
      <c r="E705" s="4" t="s">
        <v>560</v>
      </c>
      <c r="F705" s="5">
        <v>161</v>
      </c>
      <c r="G705" s="4" t="s">
        <v>336</v>
      </c>
      <c r="H705" s="4">
        <v>3</v>
      </c>
      <c r="I705" s="4" t="s">
        <v>67</v>
      </c>
      <c r="J705" s="4">
        <v>2</v>
      </c>
      <c r="K705" s="4" t="s">
        <v>970</v>
      </c>
    </row>
    <row r="706" spans="1:11">
      <c r="A706" s="4" t="s">
        <v>903</v>
      </c>
      <c r="B706" s="4" t="s">
        <v>559</v>
      </c>
      <c r="C706" s="4" t="s">
        <v>560</v>
      </c>
      <c r="D706" s="4" t="s">
        <v>561</v>
      </c>
      <c r="E706" s="4" t="s">
        <v>560</v>
      </c>
      <c r="F706" s="5">
        <v>162</v>
      </c>
      <c r="G706" s="4" t="s">
        <v>338</v>
      </c>
      <c r="H706" s="4">
        <v>3</v>
      </c>
      <c r="I706" s="4" t="s">
        <v>67</v>
      </c>
      <c r="J706" s="4">
        <v>2</v>
      </c>
      <c r="K706" s="4" t="s">
        <v>970</v>
      </c>
    </row>
    <row r="707" spans="1:11">
      <c r="A707" s="4" t="s">
        <v>904</v>
      </c>
      <c r="B707" s="4" t="s">
        <v>559</v>
      </c>
      <c r="C707" s="4" t="s">
        <v>560</v>
      </c>
      <c r="D707" s="4" t="s">
        <v>561</v>
      </c>
      <c r="E707" s="4" t="s">
        <v>560</v>
      </c>
      <c r="F707" s="5">
        <v>163</v>
      </c>
      <c r="G707" s="4" t="s">
        <v>340</v>
      </c>
      <c r="H707" s="4">
        <v>3</v>
      </c>
      <c r="I707" s="4" t="s">
        <v>67</v>
      </c>
      <c r="J707" s="4">
        <v>2</v>
      </c>
      <c r="K707" s="4" t="s">
        <v>970</v>
      </c>
    </row>
    <row r="708" spans="1:11">
      <c r="A708" s="4" t="s">
        <v>905</v>
      </c>
      <c r="B708" s="4" t="s">
        <v>559</v>
      </c>
      <c r="C708" s="4" t="s">
        <v>560</v>
      </c>
      <c r="D708" s="4" t="s">
        <v>561</v>
      </c>
      <c r="E708" s="4" t="s">
        <v>560</v>
      </c>
      <c r="F708" s="5">
        <v>164</v>
      </c>
      <c r="G708" s="4" t="s">
        <v>342</v>
      </c>
      <c r="H708" s="4">
        <v>3</v>
      </c>
      <c r="I708" s="4" t="s">
        <v>67</v>
      </c>
      <c r="J708" s="4">
        <v>2</v>
      </c>
      <c r="K708" s="4" t="s">
        <v>970</v>
      </c>
    </row>
    <row r="709" spans="1:11">
      <c r="A709" s="4" t="s">
        <v>906</v>
      </c>
      <c r="B709" s="4" t="s">
        <v>559</v>
      </c>
      <c r="C709" s="4" t="s">
        <v>560</v>
      </c>
      <c r="D709" s="4" t="s">
        <v>561</v>
      </c>
      <c r="E709" s="4" t="s">
        <v>560</v>
      </c>
      <c r="F709" s="5">
        <v>165</v>
      </c>
      <c r="G709" s="4" t="s">
        <v>344</v>
      </c>
      <c r="H709" s="4">
        <v>3</v>
      </c>
      <c r="I709" s="4" t="s">
        <v>67</v>
      </c>
      <c r="J709" s="4">
        <v>2</v>
      </c>
      <c r="K709" s="4" t="s">
        <v>970</v>
      </c>
    </row>
    <row r="710" spans="1:11">
      <c r="A710" s="4" t="s">
        <v>907</v>
      </c>
      <c r="B710" s="4" t="s">
        <v>559</v>
      </c>
      <c r="C710" s="4" t="s">
        <v>560</v>
      </c>
      <c r="D710" s="4" t="s">
        <v>561</v>
      </c>
      <c r="E710" s="4" t="s">
        <v>560</v>
      </c>
      <c r="F710" s="5">
        <v>166</v>
      </c>
      <c r="G710" s="4" t="s">
        <v>346</v>
      </c>
      <c r="H710" s="4">
        <v>3</v>
      </c>
      <c r="I710" s="4" t="s">
        <v>67</v>
      </c>
      <c r="J710" s="4">
        <v>2</v>
      </c>
      <c r="K710" s="4" t="s">
        <v>970</v>
      </c>
    </row>
    <row r="711" spans="1:11">
      <c r="A711" s="4" t="s">
        <v>908</v>
      </c>
      <c r="B711" s="4" t="s">
        <v>559</v>
      </c>
      <c r="C711" s="4" t="s">
        <v>560</v>
      </c>
      <c r="D711" s="4" t="s">
        <v>561</v>
      </c>
      <c r="E711" s="4" t="s">
        <v>560</v>
      </c>
      <c r="F711" s="5">
        <v>167</v>
      </c>
      <c r="G711" s="4" t="s">
        <v>348</v>
      </c>
      <c r="H711" s="4">
        <v>2</v>
      </c>
      <c r="I711" s="4" t="s">
        <v>142</v>
      </c>
      <c r="J711" s="4">
        <v>2</v>
      </c>
      <c r="K711" s="4" t="s">
        <v>970</v>
      </c>
    </row>
    <row r="712" spans="1:11">
      <c r="A712" s="4" t="s">
        <v>909</v>
      </c>
      <c r="B712" s="4" t="s">
        <v>559</v>
      </c>
      <c r="C712" s="4" t="s">
        <v>560</v>
      </c>
      <c r="D712" s="4" t="s">
        <v>561</v>
      </c>
      <c r="E712" s="4" t="s">
        <v>560</v>
      </c>
      <c r="F712" s="5">
        <v>168</v>
      </c>
      <c r="G712" s="4" t="s">
        <v>350</v>
      </c>
      <c r="H712" s="4">
        <v>3</v>
      </c>
      <c r="I712" s="4" t="s">
        <v>67</v>
      </c>
      <c r="J712" s="4">
        <v>2</v>
      </c>
      <c r="K712" s="4" t="s">
        <v>970</v>
      </c>
    </row>
    <row r="713" spans="1:11">
      <c r="A713" s="4" t="s">
        <v>910</v>
      </c>
      <c r="B713" s="4" t="s">
        <v>559</v>
      </c>
      <c r="C713" s="4" t="s">
        <v>560</v>
      </c>
      <c r="D713" s="4" t="s">
        <v>561</v>
      </c>
      <c r="E713" s="4" t="s">
        <v>560</v>
      </c>
      <c r="F713" s="5">
        <v>169</v>
      </c>
      <c r="G713" s="4" t="s">
        <v>352</v>
      </c>
      <c r="H713" s="4">
        <v>3</v>
      </c>
      <c r="I713" s="4" t="s">
        <v>67</v>
      </c>
      <c r="J713" s="4">
        <v>2</v>
      </c>
      <c r="K713" s="4" t="s">
        <v>970</v>
      </c>
    </row>
    <row r="714" spans="1:11">
      <c r="A714" s="4" t="s">
        <v>911</v>
      </c>
      <c r="B714" s="4" t="s">
        <v>559</v>
      </c>
      <c r="C714" s="4" t="s">
        <v>560</v>
      </c>
      <c r="D714" s="4" t="s">
        <v>561</v>
      </c>
      <c r="E714" s="4" t="s">
        <v>560</v>
      </c>
      <c r="F714" s="5">
        <v>170</v>
      </c>
      <c r="G714" s="4" t="s">
        <v>354</v>
      </c>
      <c r="H714" s="4">
        <v>3</v>
      </c>
      <c r="I714" s="4" t="s">
        <v>67</v>
      </c>
      <c r="J714" s="4">
        <v>2</v>
      </c>
      <c r="K714" s="4" t="s">
        <v>970</v>
      </c>
    </row>
    <row r="715" spans="1:11">
      <c r="A715" s="4" t="s">
        <v>912</v>
      </c>
      <c r="B715" s="4" t="s">
        <v>559</v>
      </c>
      <c r="C715" s="4" t="s">
        <v>560</v>
      </c>
      <c r="D715" s="4" t="s">
        <v>561</v>
      </c>
      <c r="E715" s="4" t="s">
        <v>560</v>
      </c>
      <c r="F715" s="5">
        <v>171</v>
      </c>
      <c r="G715" s="4" t="s">
        <v>356</v>
      </c>
      <c r="H715" s="4">
        <v>3</v>
      </c>
      <c r="I715" s="4" t="s">
        <v>67</v>
      </c>
      <c r="J715" s="4">
        <v>2</v>
      </c>
      <c r="K715" s="4" t="s">
        <v>970</v>
      </c>
    </row>
    <row r="716" spans="1:11">
      <c r="A716" s="4" t="s">
        <v>913</v>
      </c>
      <c r="B716" s="4" t="s">
        <v>559</v>
      </c>
      <c r="C716" s="4" t="s">
        <v>560</v>
      </c>
      <c r="D716" s="4" t="s">
        <v>561</v>
      </c>
      <c r="E716" s="4" t="s">
        <v>560</v>
      </c>
      <c r="F716" s="5">
        <v>172</v>
      </c>
      <c r="G716" s="4" t="s">
        <v>358</v>
      </c>
      <c r="H716" s="4">
        <v>3</v>
      </c>
      <c r="I716" s="4" t="s">
        <v>67</v>
      </c>
      <c r="J716" s="4">
        <v>2</v>
      </c>
      <c r="K716" s="4" t="s">
        <v>970</v>
      </c>
    </row>
    <row r="717" spans="1:11">
      <c r="A717" s="4" t="s">
        <v>914</v>
      </c>
      <c r="B717" s="4" t="s">
        <v>559</v>
      </c>
      <c r="C717" s="4" t="s">
        <v>560</v>
      </c>
      <c r="D717" s="4" t="s">
        <v>561</v>
      </c>
      <c r="E717" s="4" t="s">
        <v>560</v>
      </c>
      <c r="F717" s="5">
        <v>173</v>
      </c>
      <c r="G717" s="4" t="s">
        <v>360</v>
      </c>
      <c r="H717" s="4">
        <v>3</v>
      </c>
      <c r="I717" s="4" t="s">
        <v>67</v>
      </c>
      <c r="J717" s="4">
        <v>2</v>
      </c>
      <c r="K717" s="4" t="s">
        <v>970</v>
      </c>
    </row>
    <row r="718" spans="1:11">
      <c r="A718" s="4" t="s">
        <v>915</v>
      </c>
      <c r="B718" s="4" t="s">
        <v>559</v>
      </c>
      <c r="C718" s="4" t="s">
        <v>560</v>
      </c>
      <c r="D718" s="4" t="s">
        <v>561</v>
      </c>
      <c r="E718" s="4" t="s">
        <v>560</v>
      </c>
      <c r="F718" s="5">
        <v>174</v>
      </c>
      <c r="G718" s="4" t="s">
        <v>362</v>
      </c>
      <c r="H718" s="4">
        <v>3</v>
      </c>
      <c r="I718" s="4" t="s">
        <v>67</v>
      </c>
      <c r="J718" s="4">
        <v>2</v>
      </c>
      <c r="K718" s="4" t="s">
        <v>970</v>
      </c>
    </row>
    <row r="719" spans="1:11">
      <c r="A719" s="4" t="s">
        <v>916</v>
      </c>
      <c r="B719" s="4" t="s">
        <v>559</v>
      </c>
      <c r="C719" s="4" t="s">
        <v>560</v>
      </c>
      <c r="D719" s="4" t="s">
        <v>561</v>
      </c>
      <c r="E719" s="4" t="s">
        <v>560</v>
      </c>
      <c r="F719" s="5">
        <v>175</v>
      </c>
      <c r="G719" s="4" t="s">
        <v>364</v>
      </c>
      <c r="H719" s="4">
        <v>3</v>
      </c>
      <c r="I719" s="4" t="s">
        <v>67</v>
      </c>
      <c r="J719" s="4">
        <v>2</v>
      </c>
      <c r="K719" s="4" t="s">
        <v>970</v>
      </c>
    </row>
    <row r="720" spans="1:11">
      <c r="A720" s="4" t="s">
        <v>917</v>
      </c>
      <c r="B720" s="4" t="s">
        <v>559</v>
      </c>
      <c r="C720" s="4" t="s">
        <v>560</v>
      </c>
      <c r="D720" s="4" t="s">
        <v>561</v>
      </c>
      <c r="E720" s="4" t="s">
        <v>560</v>
      </c>
      <c r="F720" s="5">
        <v>176</v>
      </c>
      <c r="G720" s="4" t="s">
        <v>366</v>
      </c>
      <c r="H720" s="4">
        <v>3</v>
      </c>
      <c r="I720" s="4" t="s">
        <v>67</v>
      </c>
      <c r="J720" s="4">
        <v>2</v>
      </c>
      <c r="K720" s="4" t="s">
        <v>970</v>
      </c>
    </row>
    <row r="721" spans="1:11">
      <c r="A721" s="4" t="s">
        <v>918</v>
      </c>
      <c r="B721" s="4" t="s">
        <v>559</v>
      </c>
      <c r="C721" s="4" t="s">
        <v>560</v>
      </c>
      <c r="D721" s="4" t="s">
        <v>561</v>
      </c>
      <c r="E721" s="4" t="s">
        <v>560</v>
      </c>
      <c r="F721" s="5">
        <v>177</v>
      </c>
      <c r="G721" s="4" t="s">
        <v>368</v>
      </c>
      <c r="H721" s="4">
        <v>3</v>
      </c>
      <c r="I721" s="4" t="s">
        <v>67</v>
      </c>
      <c r="J721" s="4">
        <v>2</v>
      </c>
      <c r="K721" s="4" t="s">
        <v>970</v>
      </c>
    </row>
    <row r="722" spans="1:11">
      <c r="A722" s="4" t="s">
        <v>919</v>
      </c>
      <c r="B722" s="4" t="s">
        <v>559</v>
      </c>
      <c r="C722" s="4" t="s">
        <v>560</v>
      </c>
      <c r="D722" s="4" t="s">
        <v>561</v>
      </c>
      <c r="E722" s="4" t="s">
        <v>560</v>
      </c>
      <c r="F722" s="5">
        <v>178</v>
      </c>
      <c r="G722" s="4" t="s">
        <v>370</v>
      </c>
      <c r="H722" s="4">
        <v>3</v>
      </c>
      <c r="I722" s="4" t="s">
        <v>67</v>
      </c>
      <c r="J722" s="4">
        <v>2</v>
      </c>
      <c r="K722" s="4" t="s">
        <v>970</v>
      </c>
    </row>
    <row r="723" spans="1:11">
      <c r="A723" s="4" t="s">
        <v>920</v>
      </c>
      <c r="B723" s="4" t="s">
        <v>559</v>
      </c>
      <c r="C723" s="4" t="s">
        <v>560</v>
      </c>
      <c r="D723" s="4" t="s">
        <v>561</v>
      </c>
      <c r="E723" s="4" t="s">
        <v>560</v>
      </c>
      <c r="F723" s="5">
        <v>179</v>
      </c>
      <c r="G723" s="4" t="s">
        <v>372</v>
      </c>
      <c r="H723" s="4">
        <v>3</v>
      </c>
      <c r="I723" s="4" t="s">
        <v>67</v>
      </c>
      <c r="J723" s="4">
        <v>2</v>
      </c>
      <c r="K723" s="4" t="s">
        <v>970</v>
      </c>
    </row>
    <row r="724" spans="1:11">
      <c r="A724" s="4" t="s">
        <v>921</v>
      </c>
      <c r="B724" s="4" t="s">
        <v>559</v>
      </c>
      <c r="C724" s="4" t="s">
        <v>560</v>
      </c>
      <c r="D724" s="4" t="s">
        <v>561</v>
      </c>
      <c r="E724" s="4" t="s">
        <v>560</v>
      </c>
      <c r="F724" s="5">
        <v>180</v>
      </c>
      <c r="G724" s="4" t="s">
        <v>374</v>
      </c>
      <c r="H724" s="4">
        <v>3</v>
      </c>
      <c r="I724" s="4" t="s">
        <v>67</v>
      </c>
      <c r="J724" s="4">
        <v>2</v>
      </c>
      <c r="K724" s="4" t="s">
        <v>970</v>
      </c>
    </row>
    <row r="725" spans="1:11">
      <c r="A725" s="4" t="s">
        <v>922</v>
      </c>
      <c r="B725" s="4" t="s">
        <v>559</v>
      </c>
      <c r="C725" s="4" t="s">
        <v>560</v>
      </c>
      <c r="D725" s="4" t="s">
        <v>561</v>
      </c>
      <c r="E725" s="4" t="s">
        <v>560</v>
      </c>
      <c r="F725" s="5">
        <v>181</v>
      </c>
      <c r="G725" s="4" t="s">
        <v>376</v>
      </c>
      <c r="H725" s="4">
        <v>3</v>
      </c>
      <c r="I725" s="4" t="s">
        <v>67</v>
      </c>
      <c r="J725" s="4">
        <v>2</v>
      </c>
      <c r="K725" s="4" t="s">
        <v>970</v>
      </c>
    </row>
    <row r="726" spans="1:11">
      <c r="A726" s="2" t="s">
        <v>923</v>
      </c>
      <c r="B726" s="2" t="s">
        <v>924</v>
      </c>
      <c r="C726" s="2" t="s">
        <v>925</v>
      </c>
      <c r="D726" s="2" t="s">
        <v>926</v>
      </c>
      <c r="E726" s="2" t="s">
        <v>927</v>
      </c>
      <c r="F726" s="2"/>
      <c r="G726" s="2"/>
      <c r="H726" s="2"/>
      <c r="I726" s="2"/>
      <c r="J726" s="2"/>
      <c r="K726" s="2"/>
    </row>
    <row r="727" spans="1:11">
      <c r="A727" s="2" t="s">
        <v>928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>
      <c r="A728" s="2" t="s">
        <v>929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>
      <c r="A729" s="2" t="s">
        <v>930</v>
      </c>
      <c r="B729" s="2" t="s">
        <v>924</v>
      </c>
      <c r="C729" s="2" t="s">
        <v>925</v>
      </c>
      <c r="D729" s="2" t="s">
        <v>931</v>
      </c>
      <c r="E729" s="2" t="s">
        <v>932</v>
      </c>
      <c r="F729" s="2"/>
      <c r="G729" s="2"/>
      <c r="H729" s="2"/>
      <c r="I729" s="2"/>
      <c r="J729" s="2"/>
      <c r="K729" s="2"/>
    </row>
    <row r="730" spans="1:11">
      <c r="A730" s="2" t="s">
        <v>933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>
      <c r="A731" s="2" t="s">
        <v>934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>
      <c r="A732" s="2" t="s">
        <v>935</v>
      </c>
      <c r="B732" s="2" t="s">
        <v>924</v>
      </c>
      <c r="C732" s="2" t="s">
        <v>925</v>
      </c>
      <c r="D732" s="2" t="s">
        <v>936</v>
      </c>
      <c r="E732" s="2" t="s">
        <v>937</v>
      </c>
      <c r="F732" s="2"/>
      <c r="G732" s="2"/>
      <c r="H732" s="2"/>
      <c r="I732" s="2"/>
      <c r="J732" s="2"/>
      <c r="K732" s="2"/>
    </row>
    <row r="733" spans="1:11">
      <c r="A733" s="2" t="s">
        <v>938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>
      <c r="A734" s="2" t="s">
        <v>939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>
      <c r="A735" s="2" t="s">
        <v>940</v>
      </c>
      <c r="B735" s="2" t="s">
        <v>924</v>
      </c>
      <c r="C735" s="2" t="s">
        <v>925</v>
      </c>
      <c r="D735" s="2" t="s">
        <v>941</v>
      </c>
      <c r="E735" s="2" t="s">
        <v>942</v>
      </c>
      <c r="F735" s="2"/>
      <c r="G735" s="2"/>
      <c r="H735" s="2"/>
      <c r="I735" s="2"/>
      <c r="J735" s="2"/>
      <c r="K735" s="2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55"/>
  <sheetViews>
    <sheetView topLeftCell="P1" zoomScale="95" zoomScaleNormal="95" workbookViewId="0">
      <selection activeCell="T1" sqref="T1"/>
    </sheetView>
  </sheetViews>
  <sheetFormatPr baseColWidth="10" defaultColWidth="12" defaultRowHeight="13.15"/>
  <cols>
    <col min="1" max="1" width="10" customWidth="1"/>
    <col min="2" max="2" width="19.42578125" customWidth="1"/>
    <col min="3" max="3" width="22.85546875" customWidth="1"/>
    <col min="4" max="4" width="43.0703125" customWidth="1"/>
    <col min="5" max="5" width="65.5703125" customWidth="1"/>
    <col min="6" max="6" width="30.92578125" customWidth="1"/>
    <col min="7" max="7" width="27.78515625" customWidth="1"/>
    <col min="8" max="8" width="42" customWidth="1"/>
    <col min="9" max="9" width="20.5" customWidth="1"/>
    <col min="10" max="10" width="37.28515625" customWidth="1"/>
    <col min="11" max="11" width="21.78515625" customWidth="1"/>
    <col min="12" max="12" width="56.7109375" customWidth="1"/>
    <col min="13" max="13" width="14.140625" customWidth="1"/>
    <col min="14" max="14" width="77.140625" customWidth="1"/>
    <col min="15" max="15" width="26.78515625" customWidth="1"/>
    <col min="16" max="16" width="58" customWidth="1"/>
    <col min="17" max="17" width="31.5" customWidth="1"/>
    <col min="18" max="18" width="22.28515625" customWidth="1"/>
  </cols>
  <sheetData>
    <row r="1" spans="1:20">
      <c r="A1" t="s">
        <v>943</v>
      </c>
      <c r="B1" t="s">
        <v>944</v>
      </c>
      <c r="C1" t="s">
        <v>945</v>
      </c>
      <c r="D1" t="s">
        <v>946</v>
      </c>
      <c r="E1" t="s">
        <v>947</v>
      </c>
      <c r="F1" t="s">
        <v>948</v>
      </c>
      <c r="G1" t="s">
        <v>949</v>
      </c>
      <c r="H1" t="s">
        <v>950</v>
      </c>
      <c r="I1" t="s">
        <v>951</v>
      </c>
      <c r="J1" t="s">
        <v>1543</v>
      </c>
      <c r="K1" t="s">
        <v>1544</v>
      </c>
      <c r="L1" t="s">
        <v>952</v>
      </c>
      <c r="M1" t="s">
        <v>953</v>
      </c>
      <c r="N1" t="s">
        <v>954</v>
      </c>
      <c r="O1" t="s">
        <v>955</v>
      </c>
      <c r="P1" t="s">
        <v>956</v>
      </c>
      <c r="Q1" t="s">
        <v>957</v>
      </c>
      <c r="R1" t="s">
        <v>958</v>
      </c>
      <c r="S1" t="s">
        <v>959</v>
      </c>
      <c r="T1" t="s">
        <v>960</v>
      </c>
    </row>
    <row r="2" spans="1:20">
      <c r="A2" s="2" t="s">
        <v>961</v>
      </c>
      <c r="B2" s="2" t="s">
        <v>962</v>
      </c>
      <c r="C2" s="2" t="s">
        <v>963</v>
      </c>
      <c r="D2" s="2" t="s">
        <v>964</v>
      </c>
      <c r="E2" s="2" t="s">
        <v>11</v>
      </c>
      <c r="F2" s="2">
        <v>1</v>
      </c>
      <c r="G2" s="2" t="s">
        <v>12</v>
      </c>
      <c r="H2" s="2" t="s">
        <v>11</v>
      </c>
      <c r="I2" s="2">
        <v>1</v>
      </c>
      <c r="J2" s="2" t="s">
        <v>11</v>
      </c>
      <c r="K2" s="2" t="s">
        <v>1545</v>
      </c>
      <c r="L2" s="2" t="s">
        <v>965</v>
      </c>
      <c r="M2" s="2" t="s">
        <v>966</v>
      </c>
      <c r="N2" s="2" t="s">
        <v>967</v>
      </c>
      <c r="O2" s="2" t="s">
        <v>968</v>
      </c>
      <c r="P2" s="2" t="s">
        <v>969</v>
      </c>
      <c r="Q2" s="2">
        <v>1</v>
      </c>
      <c r="R2" s="2" t="s">
        <v>14</v>
      </c>
      <c r="S2" s="2">
        <v>2</v>
      </c>
      <c r="T2" s="2" t="s">
        <v>970</v>
      </c>
    </row>
    <row r="3" spans="1:20">
      <c r="A3" s="2" t="s">
        <v>971</v>
      </c>
      <c r="B3" s="2" t="s">
        <v>962</v>
      </c>
      <c r="C3" s="2" t="s">
        <v>963</v>
      </c>
      <c r="D3" s="2" t="s">
        <v>964</v>
      </c>
      <c r="E3" s="2" t="s">
        <v>11</v>
      </c>
      <c r="F3" s="2">
        <v>1</v>
      </c>
      <c r="G3" s="2" t="s">
        <v>12</v>
      </c>
      <c r="H3" s="2" t="s">
        <v>11</v>
      </c>
      <c r="I3" s="2">
        <v>1</v>
      </c>
      <c r="J3" s="2" t="s">
        <v>11</v>
      </c>
      <c r="K3" s="2" t="s">
        <v>1546</v>
      </c>
      <c r="L3" s="2" t="s">
        <v>972</v>
      </c>
      <c r="M3" s="2" t="s">
        <v>966</v>
      </c>
      <c r="N3" s="2" t="s">
        <v>967</v>
      </c>
      <c r="O3" s="2" t="s">
        <v>968</v>
      </c>
      <c r="P3" s="2" t="s">
        <v>969</v>
      </c>
      <c r="Q3" s="2">
        <v>1</v>
      </c>
      <c r="R3" s="2" t="s">
        <v>14</v>
      </c>
      <c r="S3" s="2">
        <v>2</v>
      </c>
      <c r="T3" s="2" t="s">
        <v>970</v>
      </c>
    </row>
    <row r="4" spans="1:20">
      <c r="A4" s="2" t="s">
        <v>973</v>
      </c>
      <c r="B4" s="2" t="s">
        <v>962</v>
      </c>
      <c r="C4" s="2" t="s">
        <v>963</v>
      </c>
      <c r="D4" s="2" t="s">
        <v>964</v>
      </c>
      <c r="E4" s="2" t="s">
        <v>11</v>
      </c>
      <c r="F4" s="2">
        <v>1</v>
      </c>
      <c r="G4" s="2" t="s">
        <v>12</v>
      </c>
      <c r="H4" s="2" t="s">
        <v>11</v>
      </c>
      <c r="I4" s="2">
        <v>1</v>
      </c>
      <c r="J4" s="2" t="s">
        <v>11</v>
      </c>
      <c r="K4" s="2" t="s">
        <v>1547</v>
      </c>
      <c r="L4" s="2" t="s">
        <v>974</v>
      </c>
      <c r="M4" s="2" t="s">
        <v>966</v>
      </c>
      <c r="N4" s="2" t="s">
        <v>967</v>
      </c>
      <c r="O4" s="2" t="s">
        <v>968</v>
      </c>
      <c r="P4" s="2" t="s">
        <v>969</v>
      </c>
      <c r="Q4" s="2">
        <v>1</v>
      </c>
      <c r="R4" s="2" t="s">
        <v>14</v>
      </c>
      <c r="S4" s="2">
        <v>2</v>
      </c>
      <c r="T4" s="2" t="s">
        <v>970</v>
      </c>
    </row>
    <row r="5" spans="1:20">
      <c r="A5" s="2" t="s">
        <v>975</v>
      </c>
      <c r="B5" s="2" t="s">
        <v>962</v>
      </c>
      <c r="C5" s="2" t="s">
        <v>963</v>
      </c>
      <c r="D5" s="2" t="s">
        <v>964</v>
      </c>
      <c r="E5" s="2" t="s">
        <v>11</v>
      </c>
      <c r="F5" s="2">
        <v>1</v>
      </c>
      <c r="G5" s="2" t="s">
        <v>12</v>
      </c>
      <c r="H5" s="2" t="s">
        <v>11</v>
      </c>
      <c r="I5" s="2">
        <v>1</v>
      </c>
      <c r="J5" s="2" t="s">
        <v>11</v>
      </c>
      <c r="K5" s="2" t="s">
        <v>1548</v>
      </c>
      <c r="L5" s="2" t="s">
        <v>976</v>
      </c>
      <c r="M5" s="2" t="s">
        <v>966</v>
      </c>
      <c r="N5" s="2" t="s">
        <v>967</v>
      </c>
      <c r="O5" s="2" t="s">
        <v>968</v>
      </c>
      <c r="P5" s="2" t="s">
        <v>969</v>
      </c>
      <c r="Q5" s="2">
        <v>1</v>
      </c>
      <c r="R5" s="2" t="s">
        <v>14</v>
      </c>
      <c r="S5" s="2">
        <v>2</v>
      </c>
      <c r="T5" s="2" t="s">
        <v>970</v>
      </c>
    </row>
    <row r="6" spans="1:20">
      <c r="A6" s="2" t="s">
        <v>977</v>
      </c>
      <c r="B6" s="2" t="s">
        <v>962</v>
      </c>
      <c r="C6" s="2" t="s">
        <v>963</v>
      </c>
      <c r="D6" s="2" t="s">
        <v>964</v>
      </c>
      <c r="E6" s="2" t="s">
        <v>11</v>
      </c>
      <c r="F6" s="2">
        <v>1</v>
      </c>
      <c r="G6" s="2" t="s">
        <v>12</v>
      </c>
      <c r="H6" s="2" t="s">
        <v>11</v>
      </c>
      <c r="I6" s="2">
        <v>1</v>
      </c>
      <c r="J6" s="2" t="s">
        <v>11</v>
      </c>
      <c r="K6" s="2" t="s">
        <v>1549</v>
      </c>
      <c r="L6" s="2" t="s">
        <v>978</v>
      </c>
      <c r="M6" s="2" t="s">
        <v>966</v>
      </c>
      <c r="N6" s="2" t="s">
        <v>967</v>
      </c>
      <c r="O6" s="2" t="s">
        <v>968</v>
      </c>
      <c r="P6" s="2" t="s">
        <v>969</v>
      </c>
      <c r="Q6" s="2">
        <v>1</v>
      </c>
      <c r="R6" s="2" t="s">
        <v>14</v>
      </c>
      <c r="S6" s="2">
        <v>2</v>
      </c>
      <c r="T6" s="2" t="s">
        <v>970</v>
      </c>
    </row>
    <row r="7" spans="1:20">
      <c r="A7" s="2" t="s">
        <v>979</v>
      </c>
      <c r="B7" s="2" t="s">
        <v>962</v>
      </c>
      <c r="C7" s="2" t="s">
        <v>963</v>
      </c>
      <c r="D7" s="2" t="s">
        <v>964</v>
      </c>
      <c r="E7" s="2" t="s">
        <v>11</v>
      </c>
      <c r="F7" s="2">
        <v>1</v>
      </c>
      <c r="G7" s="2" t="s">
        <v>12</v>
      </c>
      <c r="H7" s="2" t="s">
        <v>11</v>
      </c>
      <c r="I7" s="2">
        <v>1</v>
      </c>
      <c r="J7" s="2" t="s">
        <v>11</v>
      </c>
      <c r="K7" s="2" t="s">
        <v>1550</v>
      </c>
      <c r="L7" s="2" t="s">
        <v>980</v>
      </c>
      <c r="M7" s="2" t="s">
        <v>966</v>
      </c>
      <c r="N7" s="2" t="s">
        <v>967</v>
      </c>
      <c r="O7" s="2" t="s">
        <v>968</v>
      </c>
      <c r="P7" s="2" t="s">
        <v>969</v>
      </c>
      <c r="Q7" s="2">
        <v>1</v>
      </c>
      <c r="R7" s="2" t="s">
        <v>14</v>
      </c>
      <c r="S7" s="2">
        <v>2</v>
      </c>
      <c r="T7" s="2" t="s">
        <v>970</v>
      </c>
    </row>
    <row r="8" spans="1:20">
      <c r="A8" s="2" t="s">
        <v>981</v>
      </c>
      <c r="B8" s="2" t="s">
        <v>962</v>
      </c>
      <c r="C8" s="2" t="s">
        <v>963</v>
      </c>
      <c r="D8" s="2" t="s">
        <v>964</v>
      </c>
      <c r="E8" s="2" t="s">
        <v>11</v>
      </c>
      <c r="F8" s="2">
        <v>1</v>
      </c>
      <c r="G8" s="2" t="s">
        <v>12</v>
      </c>
      <c r="H8" s="2" t="s">
        <v>11</v>
      </c>
      <c r="I8" s="2">
        <v>1</v>
      </c>
      <c r="J8" s="2" t="s">
        <v>11</v>
      </c>
      <c r="K8" s="2" t="s">
        <v>1551</v>
      </c>
      <c r="L8" s="2" t="s">
        <v>982</v>
      </c>
      <c r="M8" s="2" t="s">
        <v>966</v>
      </c>
      <c r="N8" s="2" t="s">
        <v>967</v>
      </c>
      <c r="O8" s="2" t="s">
        <v>968</v>
      </c>
      <c r="P8" s="2" t="s">
        <v>969</v>
      </c>
      <c r="Q8" s="2">
        <v>1</v>
      </c>
      <c r="R8" s="2" t="s">
        <v>14</v>
      </c>
      <c r="S8" s="2">
        <v>2</v>
      </c>
      <c r="T8" s="2" t="s">
        <v>970</v>
      </c>
    </row>
    <row r="9" spans="1:20">
      <c r="A9" s="2" t="s">
        <v>983</v>
      </c>
      <c r="B9" s="2" t="s">
        <v>962</v>
      </c>
      <c r="C9" s="2" t="s">
        <v>963</v>
      </c>
      <c r="D9" s="2" t="s">
        <v>964</v>
      </c>
      <c r="E9" s="2" t="s">
        <v>11</v>
      </c>
      <c r="F9" s="2">
        <v>1</v>
      </c>
      <c r="G9" s="2" t="s">
        <v>12</v>
      </c>
      <c r="H9" s="2" t="s">
        <v>11</v>
      </c>
      <c r="I9" s="2">
        <v>1</v>
      </c>
      <c r="J9" s="2" t="s">
        <v>11</v>
      </c>
      <c r="K9" s="2" t="s">
        <v>1552</v>
      </c>
      <c r="L9" s="2" t="s">
        <v>984</v>
      </c>
      <c r="M9" s="2" t="s">
        <v>966</v>
      </c>
      <c r="N9" s="2" t="s">
        <v>967</v>
      </c>
      <c r="O9" s="2" t="s">
        <v>968</v>
      </c>
      <c r="P9" s="2" t="s">
        <v>969</v>
      </c>
      <c r="Q9" s="2">
        <v>1</v>
      </c>
      <c r="R9" s="2" t="s">
        <v>14</v>
      </c>
      <c r="S9" s="2">
        <v>2</v>
      </c>
      <c r="T9" s="2" t="s">
        <v>970</v>
      </c>
    </row>
    <row r="10" spans="1:20">
      <c r="A10" s="2" t="s">
        <v>985</v>
      </c>
      <c r="B10" s="2" t="s">
        <v>962</v>
      </c>
      <c r="C10" s="2" t="s">
        <v>963</v>
      </c>
      <c r="D10" s="2" t="s">
        <v>964</v>
      </c>
      <c r="E10" s="2" t="s">
        <v>11</v>
      </c>
      <c r="F10" s="2">
        <v>1</v>
      </c>
      <c r="G10" s="2" t="s">
        <v>12</v>
      </c>
      <c r="H10" s="2" t="s">
        <v>11</v>
      </c>
      <c r="I10" s="2">
        <v>1</v>
      </c>
      <c r="J10" s="2" t="s">
        <v>11</v>
      </c>
      <c r="K10" s="2" t="s">
        <v>1553</v>
      </c>
      <c r="L10" s="2" t="s">
        <v>986</v>
      </c>
      <c r="M10" s="2" t="s">
        <v>966</v>
      </c>
      <c r="N10" s="2" t="s">
        <v>967</v>
      </c>
      <c r="O10" s="2" t="s">
        <v>968</v>
      </c>
      <c r="P10" s="2" t="s">
        <v>969</v>
      </c>
      <c r="Q10" s="2">
        <v>1</v>
      </c>
      <c r="R10" s="2" t="s">
        <v>14</v>
      </c>
      <c r="S10" s="2">
        <v>2</v>
      </c>
      <c r="T10" s="2" t="s">
        <v>970</v>
      </c>
    </row>
    <row r="11" spans="1:20">
      <c r="A11" s="2" t="s">
        <v>987</v>
      </c>
      <c r="B11" s="2" t="s">
        <v>962</v>
      </c>
      <c r="C11" s="2" t="s">
        <v>963</v>
      </c>
      <c r="D11" s="2" t="s">
        <v>964</v>
      </c>
      <c r="E11" s="2" t="s">
        <v>11</v>
      </c>
      <c r="F11" s="2">
        <v>1</v>
      </c>
      <c r="G11" s="2" t="s">
        <v>12</v>
      </c>
      <c r="H11" s="2" t="s">
        <v>11</v>
      </c>
      <c r="I11" s="2">
        <v>1</v>
      </c>
      <c r="J11" s="2" t="s">
        <v>11</v>
      </c>
      <c r="K11" s="2" t="s">
        <v>1554</v>
      </c>
      <c r="L11" s="2" t="s">
        <v>988</v>
      </c>
      <c r="M11" s="2" t="s">
        <v>966</v>
      </c>
      <c r="N11" s="2" t="s">
        <v>967</v>
      </c>
      <c r="O11" s="2" t="s">
        <v>968</v>
      </c>
      <c r="P11" s="2" t="s">
        <v>969</v>
      </c>
      <c r="Q11" s="2">
        <v>1</v>
      </c>
      <c r="R11" s="2" t="s">
        <v>14</v>
      </c>
      <c r="S11" s="2">
        <v>2</v>
      </c>
      <c r="T11" s="2" t="s">
        <v>970</v>
      </c>
    </row>
    <row r="12" spans="1:20">
      <c r="A12" s="2" t="s">
        <v>989</v>
      </c>
      <c r="B12" s="2" t="s">
        <v>962</v>
      </c>
      <c r="C12" s="2" t="s">
        <v>963</v>
      </c>
      <c r="D12" s="2" t="s">
        <v>964</v>
      </c>
      <c r="E12" s="2" t="s">
        <v>11</v>
      </c>
      <c r="F12" s="2">
        <v>1</v>
      </c>
      <c r="G12" s="2" t="s">
        <v>12</v>
      </c>
      <c r="H12" s="2" t="s">
        <v>11</v>
      </c>
      <c r="I12" s="2">
        <v>1</v>
      </c>
      <c r="J12" s="2" t="s">
        <v>11</v>
      </c>
      <c r="K12" s="2" t="s">
        <v>1555</v>
      </c>
      <c r="L12" s="2" t="s">
        <v>990</v>
      </c>
      <c r="M12" s="2" t="s">
        <v>966</v>
      </c>
      <c r="N12" s="2" t="s">
        <v>967</v>
      </c>
      <c r="O12" s="2" t="s">
        <v>968</v>
      </c>
      <c r="P12" s="2" t="s">
        <v>969</v>
      </c>
      <c r="Q12" s="2">
        <v>1</v>
      </c>
      <c r="R12" s="2" t="s">
        <v>14</v>
      </c>
      <c r="S12" s="2">
        <v>2</v>
      </c>
      <c r="T12" s="2" t="s">
        <v>970</v>
      </c>
    </row>
    <row r="13" spans="1:20">
      <c r="A13" s="2" t="s">
        <v>991</v>
      </c>
      <c r="B13" s="2" t="s">
        <v>962</v>
      </c>
      <c r="C13" s="2" t="s">
        <v>963</v>
      </c>
      <c r="D13" s="2" t="s">
        <v>964</v>
      </c>
      <c r="E13" s="2" t="s">
        <v>11</v>
      </c>
      <c r="F13" s="2">
        <v>1</v>
      </c>
      <c r="G13" s="2" t="s">
        <v>12</v>
      </c>
      <c r="H13" s="2" t="s">
        <v>11</v>
      </c>
      <c r="I13" s="2">
        <v>1</v>
      </c>
      <c r="J13" s="2" t="s">
        <v>11</v>
      </c>
      <c r="K13" s="2" t="s">
        <v>1556</v>
      </c>
      <c r="L13" s="2" t="s">
        <v>992</v>
      </c>
      <c r="M13" s="2" t="s">
        <v>966</v>
      </c>
      <c r="N13" s="2" t="s">
        <v>967</v>
      </c>
      <c r="O13" s="2" t="s">
        <v>968</v>
      </c>
      <c r="P13" s="2" t="s">
        <v>969</v>
      </c>
      <c r="Q13" s="2">
        <v>1</v>
      </c>
      <c r="R13" s="2" t="s">
        <v>14</v>
      </c>
      <c r="S13" s="2">
        <v>2</v>
      </c>
      <c r="T13" s="2" t="s">
        <v>970</v>
      </c>
    </row>
    <row r="14" spans="1:20">
      <c r="A14" s="2" t="s">
        <v>993</v>
      </c>
      <c r="B14" s="2" t="s">
        <v>962</v>
      </c>
      <c r="C14" s="2" t="s">
        <v>963</v>
      </c>
      <c r="D14" s="2" t="s">
        <v>964</v>
      </c>
      <c r="E14" s="2" t="s">
        <v>11</v>
      </c>
      <c r="F14" s="2">
        <v>1</v>
      </c>
      <c r="G14" s="2" t="s">
        <v>12</v>
      </c>
      <c r="H14" s="2" t="s">
        <v>11</v>
      </c>
      <c r="I14" s="2">
        <v>1</v>
      </c>
      <c r="J14" s="2" t="s">
        <v>11</v>
      </c>
      <c r="K14" s="2" t="s">
        <v>1557</v>
      </c>
      <c r="L14" s="2" t="s">
        <v>994</v>
      </c>
      <c r="M14" s="2" t="s">
        <v>995</v>
      </c>
      <c r="N14" s="2" t="s">
        <v>996</v>
      </c>
      <c r="O14" s="2" t="s">
        <v>997</v>
      </c>
      <c r="P14" s="2" t="s">
        <v>998</v>
      </c>
      <c r="Q14" s="2">
        <v>3</v>
      </c>
      <c r="R14" s="2" t="s">
        <v>67</v>
      </c>
      <c r="S14" s="2">
        <v>2</v>
      </c>
      <c r="T14" s="2" t="s">
        <v>970</v>
      </c>
    </row>
    <row r="15" spans="1:20">
      <c r="A15" s="2" t="s">
        <v>999</v>
      </c>
      <c r="B15" s="2" t="s">
        <v>962</v>
      </c>
      <c r="C15" s="2" t="s">
        <v>963</v>
      </c>
      <c r="D15" s="2" t="s">
        <v>964</v>
      </c>
      <c r="E15" s="2" t="s">
        <v>11</v>
      </c>
      <c r="F15" s="2">
        <v>1</v>
      </c>
      <c r="G15" s="2" t="s">
        <v>12</v>
      </c>
      <c r="H15" s="2" t="s">
        <v>11</v>
      </c>
      <c r="I15" s="2">
        <v>1</v>
      </c>
      <c r="J15" s="2" t="s">
        <v>11</v>
      </c>
      <c r="K15" s="2" t="s">
        <v>1558</v>
      </c>
      <c r="L15" s="2" t="s">
        <v>1000</v>
      </c>
      <c r="M15" s="2" t="s">
        <v>995</v>
      </c>
      <c r="N15" s="2" t="s">
        <v>996</v>
      </c>
      <c r="O15" s="2" t="s">
        <v>997</v>
      </c>
      <c r="P15" s="2" t="s">
        <v>998</v>
      </c>
      <c r="Q15" s="2">
        <v>3</v>
      </c>
      <c r="R15" s="2" t="s">
        <v>67</v>
      </c>
      <c r="S15" s="2">
        <v>2</v>
      </c>
      <c r="T15" s="2" t="s">
        <v>970</v>
      </c>
    </row>
    <row r="16" spans="1:20">
      <c r="A16" s="2" t="s">
        <v>1001</v>
      </c>
      <c r="B16" s="2" t="s">
        <v>962</v>
      </c>
      <c r="C16" s="2" t="s">
        <v>963</v>
      </c>
      <c r="D16" s="2" t="s">
        <v>964</v>
      </c>
      <c r="E16" s="2" t="s">
        <v>11</v>
      </c>
      <c r="F16" s="2">
        <v>1</v>
      </c>
      <c r="G16" s="2" t="s">
        <v>12</v>
      </c>
      <c r="H16" s="2" t="s">
        <v>11</v>
      </c>
      <c r="I16" s="2">
        <v>1</v>
      </c>
      <c r="J16" s="2" t="s">
        <v>11</v>
      </c>
      <c r="K16" s="2" t="s">
        <v>1559</v>
      </c>
      <c r="L16" s="2" t="s">
        <v>1002</v>
      </c>
      <c r="M16" s="2" t="s">
        <v>995</v>
      </c>
      <c r="N16" s="2" t="s">
        <v>996</v>
      </c>
      <c r="O16" s="2" t="s">
        <v>997</v>
      </c>
      <c r="P16" s="2" t="s">
        <v>998</v>
      </c>
      <c r="Q16" s="2">
        <v>3</v>
      </c>
      <c r="R16" s="2" t="s">
        <v>67</v>
      </c>
      <c r="S16" s="2">
        <v>2</v>
      </c>
      <c r="T16" s="2" t="s">
        <v>970</v>
      </c>
    </row>
    <row r="17" spans="1:20">
      <c r="A17" s="2" t="s">
        <v>1003</v>
      </c>
      <c r="B17" s="2" t="s">
        <v>962</v>
      </c>
      <c r="C17" s="2" t="s">
        <v>963</v>
      </c>
      <c r="D17" s="2" t="s">
        <v>964</v>
      </c>
      <c r="E17" s="2" t="s">
        <v>11</v>
      </c>
      <c r="F17" s="2">
        <v>1</v>
      </c>
      <c r="G17" s="2" t="s">
        <v>12</v>
      </c>
      <c r="H17" s="2" t="s">
        <v>11</v>
      </c>
      <c r="I17" s="2">
        <v>1</v>
      </c>
      <c r="J17" s="2" t="s">
        <v>11</v>
      </c>
      <c r="K17" s="2" t="s">
        <v>1560</v>
      </c>
      <c r="L17" s="2" t="s">
        <v>1004</v>
      </c>
      <c r="M17" s="2" t="s">
        <v>995</v>
      </c>
      <c r="N17" s="2" t="s">
        <v>996</v>
      </c>
      <c r="O17" s="2" t="s">
        <v>997</v>
      </c>
      <c r="P17" s="2" t="s">
        <v>998</v>
      </c>
      <c r="Q17" s="2">
        <v>3</v>
      </c>
      <c r="R17" s="2" t="s">
        <v>67</v>
      </c>
      <c r="S17" s="2">
        <v>2</v>
      </c>
      <c r="T17" s="2" t="s">
        <v>970</v>
      </c>
    </row>
    <row r="18" spans="1:20">
      <c r="A18" s="2" t="s">
        <v>1005</v>
      </c>
      <c r="B18" s="2" t="s">
        <v>962</v>
      </c>
      <c r="C18" s="2" t="s">
        <v>963</v>
      </c>
      <c r="D18" s="2" t="s">
        <v>964</v>
      </c>
      <c r="E18" s="2" t="s">
        <v>11</v>
      </c>
      <c r="F18" s="2">
        <v>1</v>
      </c>
      <c r="G18" s="2" t="s">
        <v>12</v>
      </c>
      <c r="H18" s="2" t="s">
        <v>11</v>
      </c>
      <c r="I18" s="2">
        <v>1</v>
      </c>
      <c r="J18" s="2" t="s">
        <v>11</v>
      </c>
      <c r="K18" s="2" t="s">
        <v>1561</v>
      </c>
      <c r="L18" s="2" t="s">
        <v>1006</v>
      </c>
      <c r="M18" s="2" t="s">
        <v>995</v>
      </c>
      <c r="N18" s="2" t="s">
        <v>996</v>
      </c>
      <c r="O18" s="2" t="s">
        <v>997</v>
      </c>
      <c r="P18" s="2" t="s">
        <v>998</v>
      </c>
      <c r="Q18" s="2">
        <v>3</v>
      </c>
      <c r="R18" s="2" t="s">
        <v>67</v>
      </c>
      <c r="S18" s="2">
        <v>2</v>
      </c>
      <c r="T18" s="2" t="s">
        <v>970</v>
      </c>
    </row>
    <row r="19" spans="1:20">
      <c r="A19" s="2" t="s">
        <v>1007</v>
      </c>
      <c r="B19" s="2" t="s">
        <v>962</v>
      </c>
      <c r="C19" s="2" t="s">
        <v>963</v>
      </c>
      <c r="D19" s="2" t="s">
        <v>964</v>
      </c>
      <c r="E19" s="2" t="s">
        <v>11</v>
      </c>
      <c r="F19" s="2">
        <v>1</v>
      </c>
      <c r="G19" s="2" t="s">
        <v>12</v>
      </c>
      <c r="H19" s="2" t="s">
        <v>11</v>
      </c>
      <c r="I19" s="2">
        <v>1</v>
      </c>
      <c r="J19" s="2" t="s">
        <v>11</v>
      </c>
      <c r="K19" s="2" t="s">
        <v>1562</v>
      </c>
      <c r="L19" s="2" t="s">
        <v>1008</v>
      </c>
      <c r="M19" s="2" t="s">
        <v>995</v>
      </c>
      <c r="N19" s="2" t="s">
        <v>996</v>
      </c>
      <c r="O19" s="2" t="s">
        <v>997</v>
      </c>
      <c r="P19" s="2" t="s">
        <v>998</v>
      </c>
      <c r="Q19" s="2">
        <v>3</v>
      </c>
      <c r="R19" s="2" t="s">
        <v>67</v>
      </c>
      <c r="S19" s="2">
        <v>2</v>
      </c>
      <c r="T19" s="2" t="s">
        <v>970</v>
      </c>
    </row>
    <row r="20" spans="1:20">
      <c r="A20" s="2" t="s">
        <v>1009</v>
      </c>
      <c r="B20" s="2" t="s">
        <v>962</v>
      </c>
      <c r="C20" s="2" t="s">
        <v>963</v>
      </c>
      <c r="D20" s="2" t="s">
        <v>964</v>
      </c>
      <c r="E20" s="2" t="s">
        <v>11</v>
      </c>
      <c r="F20" s="2">
        <v>1</v>
      </c>
      <c r="G20" s="2" t="s">
        <v>12</v>
      </c>
      <c r="H20" s="2" t="s">
        <v>11</v>
      </c>
      <c r="I20" s="2">
        <v>1</v>
      </c>
      <c r="J20" s="2" t="s">
        <v>11</v>
      </c>
      <c r="K20" s="2" t="s">
        <v>1563</v>
      </c>
      <c r="L20" s="2" t="s">
        <v>1010</v>
      </c>
      <c r="M20" s="2" t="s">
        <v>1011</v>
      </c>
      <c r="N20" s="2" t="s">
        <v>1012</v>
      </c>
      <c r="O20" s="2" t="s">
        <v>1013</v>
      </c>
      <c r="P20" s="2" t="s">
        <v>1014</v>
      </c>
      <c r="Q20" s="2">
        <v>1</v>
      </c>
      <c r="R20" s="2" t="s">
        <v>14</v>
      </c>
      <c r="S20" s="2">
        <v>2</v>
      </c>
      <c r="T20" s="2" t="s">
        <v>970</v>
      </c>
    </row>
    <row r="21" spans="1:20">
      <c r="A21" s="2" t="s">
        <v>1015</v>
      </c>
      <c r="B21" s="2" t="s">
        <v>962</v>
      </c>
      <c r="C21" s="2" t="s">
        <v>963</v>
      </c>
      <c r="D21" s="2" t="s">
        <v>964</v>
      </c>
      <c r="E21" s="2" t="s">
        <v>11</v>
      </c>
      <c r="F21" s="2">
        <v>1</v>
      </c>
      <c r="G21" s="2" t="s">
        <v>12</v>
      </c>
      <c r="H21" s="2" t="s">
        <v>11</v>
      </c>
      <c r="I21" s="2">
        <v>1</v>
      </c>
      <c r="J21" s="2" t="s">
        <v>11</v>
      </c>
      <c r="K21" s="2" t="s">
        <v>1564</v>
      </c>
      <c r="L21" s="2" t="s">
        <v>1016</v>
      </c>
      <c r="M21" s="2" t="s">
        <v>1011</v>
      </c>
      <c r="N21" s="2" t="s">
        <v>1012</v>
      </c>
      <c r="O21" s="2" t="s">
        <v>1013</v>
      </c>
      <c r="P21" s="2" t="s">
        <v>1014</v>
      </c>
      <c r="Q21" s="2">
        <v>1</v>
      </c>
      <c r="R21" s="2" t="s">
        <v>14</v>
      </c>
      <c r="S21" s="2">
        <v>2</v>
      </c>
      <c r="T21" s="2" t="s">
        <v>970</v>
      </c>
    </row>
    <row r="22" spans="1:20">
      <c r="A22" s="2" t="s">
        <v>1017</v>
      </c>
      <c r="B22" s="2" t="s">
        <v>962</v>
      </c>
      <c r="C22" s="2" t="s">
        <v>963</v>
      </c>
      <c r="D22" s="2" t="s">
        <v>964</v>
      </c>
      <c r="E22" s="2" t="s">
        <v>11</v>
      </c>
      <c r="F22" s="2">
        <v>1</v>
      </c>
      <c r="G22" s="2" t="s">
        <v>12</v>
      </c>
      <c r="H22" s="2" t="s">
        <v>11</v>
      </c>
      <c r="I22" s="2">
        <v>1</v>
      </c>
      <c r="J22" s="2" t="s">
        <v>11</v>
      </c>
      <c r="K22" s="2" t="s">
        <v>1565</v>
      </c>
      <c r="L22" s="2" t="s">
        <v>1018</v>
      </c>
      <c r="M22" s="2" t="s">
        <v>1011</v>
      </c>
      <c r="N22" s="2" t="s">
        <v>1012</v>
      </c>
      <c r="O22" s="2" t="s">
        <v>1013</v>
      </c>
      <c r="P22" s="2" t="s">
        <v>1014</v>
      </c>
      <c r="Q22" s="2">
        <v>1</v>
      </c>
      <c r="R22" s="2" t="s">
        <v>14</v>
      </c>
      <c r="S22" s="2">
        <v>2</v>
      </c>
      <c r="T22" s="2" t="s">
        <v>970</v>
      </c>
    </row>
    <row r="23" spans="1:20">
      <c r="A23" s="2" t="s">
        <v>1019</v>
      </c>
      <c r="B23" s="2" t="s">
        <v>962</v>
      </c>
      <c r="C23" s="2" t="s">
        <v>963</v>
      </c>
      <c r="D23" s="2" t="s">
        <v>964</v>
      </c>
      <c r="E23" s="2" t="s">
        <v>11</v>
      </c>
      <c r="F23" s="2">
        <v>1</v>
      </c>
      <c r="G23" s="2" t="s">
        <v>12</v>
      </c>
      <c r="H23" s="2" t="s">
        <v>11</v>
      </c>
      <c r="I23" s="2">
        <v>1</v>
      </c>
      <c r="J23" s="2" t="s">
        <v>11</v>
      </c>
      <c r="K23" s="2" t="s">
        <v>1566</v>
      </c>
      <c r="L23" s="2" t="s">
        <v>1020</v>
      </c>
      <c r="M23" s="2" t="s">
        <v>1011</v>
      </c>
      <c r="N23" s="2" t="s">
        <v>1012</v>
      </c>
      <c r="O23" s="2" t="s">
        <v>1013</v>
      </c>
      <c r="P23" s="2" t="s">
        <v>1014</v>
      </c>
      <c r="Q23" s="2">
        <v>1</v>
      </c>
      <c r="R23" s="2" t="s">
        <v>14</v>
      </c>
      <c r="S23" s="2">
        <v>2</v>
      </c>
      <c r="T23" s="2" t="s">
        <v>970</v>
      </c>
    </row>
    <row r="24" spans="1:20">
      <c r="A24" s="2" t="s">
        <v>1021</v>
      </c>
      <c r="B24" s="2" t="s">
        <v>962</v>
      </c>
      <c r="C24" s="2" t="s">
        <v>963</v>
      </c>
      <c r="D24" s="2" t="s">
        <v>964</v>
      </c>
      <c r="E24" s="2" t="s">
        <v>11</v>
      </c>
      <c r="F24" s="2">
        <v>1</v>
      </c>
      <c r="G24" s="2" t="s">
        <v>12</v>
      </c>
      <c r="H24" s="2" t="s">
        <v>11</v>
      </c>
      <c r="I24" s="2">
        <v>1</v>
      </c>
      <c r="J24" s="2" t="s">
        <v>11</v>
      </c>
      <c r="K24" s="2" t="s">
        <v>1567</v>
      </c>
      <c r="L24" s="2" t="s">
        <v>1022</v>
      </c>
      <c r="M24" s="2" t="s">
        <v>1011</v>
      </c>
      <c r="N24" s="2" t="s">
        <v>1012</v>
      </c>
      <c r="O24" s="2" t="s">
        <v>1013</v>
      </c>
      <c r="P24" s="2" t="s">
        <v>1014</v>
      </c>
      <c r="Q24" s="2">
        <v>1</v>
      </c>
      <c r="R24" s="2" t="s">
        <v>14</v>
      </c>
      <c r="S24" s="2">
        <v>2</v>
      </c>
      <c r="T24" s="2" t="s">
        <v>970</v>
      </c>
    </row>
    <row r="25" spans="1:20">
      <c r="A25" s="2" t="s">
        <v>1023</v>
      </c>
      <c r="B25" s="2" t="s">
        <v>962</v>
      </c>
      <c r="C25" s="2" t="s">
        <v>963</v>
      </c>
      <c r="D25" s="2" t="s">
        <v>964</v>
      </c>
      <c r="E25" s="2" t="s">
        <v>11</v>
      </c>
      <c r="F25" s="2">
        <v>1</v>
      </c>
      <c r="G25" s="2" t="s">
        <v>12</v>
      </c>
      <c r="H25" s="2" t="s">
        <v>11</v>
      </c>
      <c r="I25" s="2">
        <v>1</v>
      </c>
      <c r="J25" s="2" t="s">
        <v>11</v>
      </c>
      <c r="K25" s="2" t="s">
        <v>1568</v>
      </c>
      <c r="L25" s="2" t="s">
        <v>1024</v>
      </c>
      <c r="M25" s="2" t="s">
        <v>1011</v>
      </c>
      <c r="N25" s="2" t="s">
        <v>1012</v>
      </c>
      <c r="O25" s="2" t="s">
        <v>1013</v>
      </c>
      <c r="P25" s="2" t="s">
        <v>1014</v>
      </c>
      <c r="Q25" s="2">
        <v>1</v>
      </c>
      <c r="R25" s="2" t="s">
        <v>14</v>
      </c>
      <c r="S25" s="2">
        <v>2</v>
      </c>
      <c r="T25" s="2" t="s">
        <v>970</v>
      </c>
    </row>
    <row r="26" spans="1:20">
      <c r="A26" s="2" t="s">
        <v>1025</v>
      </c>
      <c r="B26" s="2" t="s">
        <v>962</v>
      </c>
      <c r="C26" s="2" t="s">
        <v>963</v>
      </c>
      <c r="D26" s="2" t="s">
        <v>964</v>
      </c>
      <c r="E26" s="2" t="s">
        <v>11</v>
      </c>
      <c r="F26" s="2">
        <v>1</v>
      </c>
      <c r="G26" s="2" t="s">
        <v>12</v>
      </c>
      <c r="H26" s="2" t="s">
        <v>11</v>
      </c>
      <c r="I26" s="2">
        <v>1</v>
      </c>
      <c r="J26" s="2" t="s">
        <v>11</v>
      </c>
      <c r="K26" s="2" t="s">
        <v>1569</v>
      </c>
      <c r="L26" s="2" t="s">
        <v>1026</v>
      </c>
      <c r="M26" s="2" t="s">
        <v>1011</v>
      </c>
      <c r="N26" s="2" t="s">
        <v>1012</v>
      </c>
      <c r="O26" s="2" t="s">
        <v>1013</v>
      </c>
      <c r="P26" s="2" t="s">
        <v>1014</v>
      </c>
      <c r="Q26" s="2">
        <v>1</v>
      </c>
      <c r="R26" s="2" t="s">
        <v>14</v>
      </c>
      <c r="S26" s="2">
        <v>2</v>
      </c>
      <c r="T26" s="2" t="s">
        <v>970</v>
      </c>
    </row>
    <row r="27" spans="1:20">
      <c r="A27" s="2" t="s">
        <v>1027</v>
      </c>
      <c r="B27" s="2" t="s">
        <v>962</v>
      </c>
      <c r="C27" s="2" t="s">
        <v>963</v>
      </c>
      <c r="D27" s="2" t="s">
        <v>964</v>
      </c>
      <c r="E27" s="2" t="s">
        <v>11</v>
      </c>
      <c r="F27" s="2">
        <v>1</v>
      </c>
      <c r="G27" s="2" t="s">
        <v>12</v>
      </c>
      <c r="H27" s="2" t="s">
        <v>11</v>
      </c>
      <c r="I27" s="2">
        <v>1</v>
      </c>
      <c r="J27" s="2" t="s">
        <v>11</v>
      </c>
      <c r="K27" s="2" t="s">
        <v>1570</v>
      </c>
      <c r="L27" s="2" t="s">
        <v>1028</v>
      </c>
      <c r="M27" s="2" t="s">
        <v>1011</v>
      </c>
      <c r="N27" s="2" t="s">
        <v>1012</v>
      </c>
      <c r="O27" s="2" t="s">
        <v>1013</v>
      </c>
      <c r="P27" s="2" t="s">
        <v>1014</v>
      </c>
      <c r="Q27" s="2">
        <v>1</v>
      </c>
      <c r="R27" s="2" t="s">
        <v>14</v>
      </c>
      <c r="S27" s="2">
        <v>2</v>
      </c>
      <c r="T27" s="2" t="s">
        <v>970</v>
      </c>
    </row>
    <row r="28" spans="1:20">
      <c r="A28" s="2" t="s">
        <v>1029</v>
      </c>
      <c r="B28" s="2" t="s">
        <v>962</v>
      </c>
      <c r="C28" s="2" t="s">
        <v>963</v>
      </c>
      <c r="D28" s="2" t="s">
        <v>964</v>
      </c>
      <c r="E28" s="2" t="s">
        <v>11</v>
      </c>
      <c r="F28" s="2">
        <v>1</v>
      </c>
      <c r="G28" s="2" t="s">
        <v>12</v>
      </c>
      <c r="H28" s="2" t="s">
        <v>11</v>
      </c>
      <c r="I28" s="2">
        <v>1</v>
      </c>
      <c r="J28" s="2" t="s">
        <v>11</v>
      </c>
      <c r="K28" s="2" t="s">
        <v>1571</v>
      </c>
      <c r="L28" s="2" t="s">
        <v>1030</v>
      </c>
      <c r="M28" s="2" t="s">
        <v>1011</v>
      </c>
      <c r="N28" s="2" t="s">
        <v>1012</v>
      </c>
      <c r="O28" s="2" t="s">
        <v>1013</v>
      </c>
      <c r="P28" s="2" t="s">
        <v>1014</v>
      </c>
      <c r="Q28" s="2">
        <v>1</v>
      </c>
      <c r="R28" s="2" t="s">
        <v>14</v>
      </c>
      <c r="S28" s="2">
        <v>2</v>
      </c>
      <c r="T28" s="2" t="s">
        <v>970</v>
      </c>
    </row>
    <row r="29" spans="1:20">
      <c r="A29" s="2" t="s">
        <v>1031</v>
      </c>
      <c r="B29" s="2" t="s">
        <v>962</v>
      </c>
      <c r="C29" s="2" t="s">
        <v>963</v>
      </c>
      <c r="D29" s="2" t="s">
        <v>964</v>
      </c>
      <c r="E29" s="2" t="s">
        <v>11</v>
      </c>
      <c r="F29" s="2">
        <v>1</v>
      </c>
      <c r="G29" s="2" t="s">
        <v>12</v>
      </c>
      <c r="H29" s="2" t="s">
        <v>11</v>
      </c>
      <c r="I29" s="2">
        <v>1</v>
      </c>
      <c r="J29" s="2" t="s">
        <v>11</v>
      </c>
      <c r="K29" s="2" t="s">
        <v>1572</v>
      </c>
      <c r="L29" s="2" t="s">
        <v>1032</v>
      </c>
      <c r="M29" s="2" t="s">
        <v>1011</v>
      </c>
      <c r="N29" s="2" t="s">
        <v>1012</v>
      </c>
      <c r="O29" s="2" t="s">
        <v>1013</v>
      </c>
      <c r="P29" s="2" t="s">
        <v>1014</v>
      </c>
      <c r="Q29" s="2">
        <v>1</v>
      </c>
      <c r="R29" s="2" t="s">
        <v>14</v>
      </c>
      <c r="S29" s="2">
        <v>2</v>
      </c>
      <c r="T29" s="2" t="s">
        <v>970</v>
      </c>
    </row>
    <row r="30" spans="1:20">
      <c r="A30" s="2" t="s">
        <v>1033</v>
      </c>
      <c r="B30" s="2" t="s">
        <v>962</v>
      </c>
      <c r="C30" s="2" t="s">
        <v>963</v>
      </c>
      <c r="D30" s="2" t="s">
        <v>964</v>
      </c>
      <c r="E30" s="2" t="s">
        <v>11</v>
      </c>
      <c r="F30" s="2">
        <v>1</v>
      </c>
      <c r="G30" s="2" t="s">
        <v>12</v>
      </c>
      <c r="H30" s="2" t="s">
        <v>11</v>
      </c>
      <c r="I30" s="2">
        <v>1</v>
      </c>
      <c r="J30" s="2" t="s">
        <v>11</v>
      </c>
      <c r="K30" s="2" t="s">
        <v>1573</v>
      </c>
      <c r="L30" s="2" t="s">
        <v>1034</v>
      </c>
      <c r="M30" s="2" t="s">
        <v>1011</v>
      </c>
      <c r="N30" s="2" t="s">
        <v>1012</v>
      </c>
      <c r="O30" s="2" t="s">
        <v>1013</v>
      </c>
      <c r="P30" s="2" t="s">
        <v>1014</v>
      </c>
      <c r="Q30" s="2">
        <v>1</v>
      </c>
      <c r="R30" s="2" t="s">
        <v>14</v>
      </c>
      <c r="S30" s="2">
        <v>2</v>
      </c>
      <c r="T30" s="2" t="s">
        <v>970</v>
      </c>
    </row>
    <row r="31" spans="1:20">
      <c r="A31" s="2" t="s">
        <v>1035</v>
      </c>
      <c r="B31" s="2" t="s">
        <v>962</v>
      </c>
      <c r="C31" s="2" t="s">
        <v>963</v>
      </c>
      <c r="D31" s="2" t="s">
        <v>964</v>
      </c>
      <c r="E31" s="2" t="s">
        <v>11</v>
      </c>
      <c r="F31" s="2">
        <v>1</v>
      </c>
      <c r="G31" s="2" t="s">
        <v>12</v>
      </c>
      <c r="H31" s="2" t="s">
        <v>11</v>
      </c>
      <c r="I31" s="2">
        <v>1</v>
      </c>
      <c r="J31" s="2" t="s">
        <v>11</v>
      </c>
      <c r="K31" s="2" t="s">
        <v>1574</v>
      </c>
      <c r="L31" s="2" t="s">
        <v>1036</v>
      </c>
      <c r="M31" s="2" t="s">
        <v>1011</v>
      </c>
      <c r="N31" s="2" t="s">
        <v>1012</v>
      </c>
      <c r="O31" s="2" t="s">
        <v>1013</v>
      </c>
      <c r="P31" s="2" t="s">
        <v>1014</v>
      </c>
      <c r="Q31" s="2">
        <v>1</v>
      </c>
      <c r="R31" s="2" t="s">
        <v>14</v>
      </c>
      <c r="S31" s="2">
        <v>2</v>
      </c>
      <c r="T31" s="2" t="s">
        <v>970</v>
      </c>
    </row>
    <row r="32" spans="1:20">
      <c r="A32" s="2" t="s">
        <v>1037</v>
      </c>
      <c r="B32" s="2" t="s">
        <v>962</v>
      </c>
      <c r="C32" s="2" t="s">
        <v>963</v>
      </c>
      <c r="D32" s="2" t="s">
        <v>964</v>
      </c>
      <c r="E32" s="2" t="s">
        <v>11</v>
      </c>
      <c r="F32" s="2">
        <v>1</v>
      </c>
      <c r="G32" s="2" t="s">
        <v>12</v>
      </c>
      <c r="H32" s="2" t="s">
        <v>11</v>
      </c>
      <c r="I32" s="2">
        <v>1</v>
      </c>
      <c r="J32" s="2" t="s">
        <v>11</v>
      </c>
      <c r="K32" s="2" t="s">
        <v>1575</v>
      </c>
      <c r="L32" s="2" t="s">
        <v>1038</v>
      </c>
      <c r="M32" s="2" t="s">
        <v>1011</v>
      </c>
      <c r="N32" s="2" t="s">
        <v>1012</v>
      </c>
      <c r="O32" s="2" t="s">
        <v>1013</v>
      </c>
      <c r="P32" s="2" t="s">
        <v>1014</v>
      </c>
      <c r="Q32" s="2">
        <v>1</v>
      </c>
      <c r="R32" s="2" t="s">
        <v>14</v>
      </c>
      <c r="S32" s="2">
        <v>2</v>
      </c>
      <c r="T32" s="2" t="s">
        <v>970</v>
      </c>
    </row>
    <row r="33" spans="1:20">
      <c r="A33" s="2" t="s">
        <v>1039</v>
      </c>
      <c r="B33" s="2" t="s">
        <v>962</v>
      </c>
      <c r="C33" s="2" t="s">
        <v>963</v>
      </c>
      <c r="D33" s="2" t="s">
        <v>964</v>
      </c>
      <c r="E33" s="2" t="s">
        <v>11</v>
      </c>
      <c r="F33" s="2">
        <v>1</v>
      </c>
      <c r="G33" s="2" t="s">
        <v>12</v>
      </c>
      <c r="H33" s="2" t="s">
        <v>11</v>
      </c>
      <c r="I33" s="2">
        <v>1</v>
      </c>
      <c r="J33" s="2" t="s">
        <v>11</v>
      </c>
      <c r="K33" s="2" t="s">
        <v>1576</v>
      </c>
      <c r="L33" s="2" t="s">
        <v>1040</v>
      </c>
      <c r="M33" s="2" t="s">
        <v>1011</v>
      </c>
      <c r="N33" s="2" t="s">
        <v>1012</v>
      </c>
      <c r="O33" s="2" t="s">
        <v>1013</v>
      </c>
      <c r="P33" s="2" t="s">
        <v>1014</v>
      </c>
      <c r="Q33" s="2">
        <v>1</v>
      </c>
      <c r="R33" s="2" t="s">
        <v>14</v>
      </c>
      <c r="S33" s="2">
        <v>2</v>
      </c>
      <c r="T33" s="2" t="s">
        <v>970</v>
      </c>
    </row>
    <row r="34" spans="1:20">
      <c r="A34" s="2" t="s">
        <v>1041</v>
      </c>
      <c r="B34" s="2" t="s">
        <v>962</v>
      </c>
      <c r="C34" s="2" t="s">
        <v>963</v>
      </c>
      <c r="D34" s="2" t="s">
        <v>964</v>
      </c>
      <c r="E34" s="2" t="s">
        <v>11</v>
      </c>
      <c r="F34" s="2">
        <v>1</v>
      </c>
      <c r="G34" s="2" t="s">
        <v>12</v>
      </c>
      <c r="H34" s="2" t="s">
        <v>11</v>
      </c>
      <c r="I34" s="2">
        <v>1</v>
      </c>
      <c r="J34" s="2" t="s">
        <v>11</v>
      </c>
      <c r="K34" s="2" t="s">
        <v>1577</v>
      </c>
      <c r="L34" s="2" t="s">
        <v>1042</v>
      </c>
      <c r="M34" s="2" t="s">
        <v>1011</v>
      </c>
      <c r="N34" s="2" t="s">
        <v>1012</v>
      </c>
      <c r="O34" s="2" t="s">
        <v>1013</v>
      </c>
      <c r="P34" s="2" t="s">
        <v>1014</v>
      </c>
      <c r="Q34" s="2">
        <v>1</v>
      </c>
      <c r="R34" s="2" t="s">
        <v>14</v>
      </c>
      <c r="S34" s="2">
        <v>2</v>
      </c>
      <c r="T34" s="2" t="s">
        <v>970</v>
      </c>
    </row>
    <row r="35" spans="1:20">
      <c r="A35" s="2" t="s">
        <v>1043</v>
      </c>
      <c r="B35" s="2" t="s">
        <v>962</v>
      </c>
      <c r="C35" s="2" t="s">
        <v>963</v>
      </c>
      <c r="D35" s="2" t="s">
        <v>964</v>
      </c>
      <c r="E35" s="2" t="s">
        <v>11</v>
      </c>
      <c r="F35" s="2">
        <v>1</v>
      </c>
      <c r="G35" s="2" t="s">
        <v>12</v>
      </c>
      <c r="H35" s="2" t="s">
        <v>11</v>
      </c>
      <c r="I35" s="2">
        <v>1</v>
      </c>
      <c r="J35" s="2" t="s">
        <v>11</v>
      </c>
      <c r="K35" s="2" t="s">
        <v>1578</v>
      </c>
      <c r="L35" s="2" t="s">
        <v>1044</v>
      </c>
      <c r="M35" s="2" t="s">
        <v>1011</v>
      </c>
      <c r="N35" s="2" t="s">
        <v>1012</v>
      </c>
      <c r="O35" s="2" t="s">
        <v>1013</v>
      </c>
      <c r="P35" s="2" t="s">
        <v>1014</v>
      </c>
      <c r="Q35" s="2">
        <v>1</v>
      </c>
      <c r="R35" s="2" t="s">
        <v>14</v>
      </c>
      <c r="S35" s="2">
        <v>2</v>
      </c>
      <c r="T35" s="2" t="s">
        <v>970</v>
      </c>
    </row>
    <row r="36" spans="1:20">
      <c r="A36" s="2" t="s">
        <v>1045</v>
      </c>
      <c r="B36" s="2" t="s">
        <v>962</v>
      </c>
      <c r="C36" s="2" t="s">
        <v>963</v>
      </c>
      <c r="D36" s="2" t="s">
        <v>964</v>
      </c>
      <c r="E36" s="2" t="s">
        <v>11</v>
      </c>
      <c r="F36" s="2">
        <v>1</v>
      </c>
      <c r="G36" s="2" t="s">
        <v>12</v>
      </c>
      <c r="H36" s="2" t="s">
        <v>11</v>
      </c>
      <c r="I36" s="2">
        <v>1</v>
      </c>
      <c r="J36" s="2" t="s">
        <v>11</v>
      </c>
      <c r="K36" s="2" t="s">
        <v>1579</v>
      </c>
      <c r="L36" s="2" t="s">
        <v>1046</v>
      </c>
      <c r="M36" s="2" t="s">
        <v>1011</v>
      </c>
      <c r="N36" s="2" t="s">
        <v>1012</v>
      </c>
      <c r="O36" s="2" t="s">
        <v>1013</v>
      </c>
      <c r="P36" s="2" t="s">
        <v>1014</v>
      </c>
      <c r="Q36" s="2">
        <v>2</v>
      </c>
      <c r="R36" s="2" t="s">
        <v>142</v>
      </c>
      <c r="S36" s="2">
        <v>2</v>
      </c>
      <c r="T36" s="2" t="s">
        <v>970</v>
      </c>
    </row>
    <row r="37" spans="1:20">
      <c r="A37" s="2" t="s">
        <v>1047</v>
      </c>
      <c r="B37" s="2" t="s">
        <v>962</v>
      </c>
      <c r="C37" s="2" t="s">
        <v>963</v>
      </c>
      <c r="D37" s="2" t="s">
        <v>964</v>
      </c>
      <c r="E37" s="2" t="s">
        <v>11</v>
      </c>
      <c r="F37" s="2">
        <v>1</v>
      </c>
      <c r="G37" s="2" t="s">
        <v>12</v>
      </c>
      <c r="H37" s="2" t="s">
        <v>11</v>
      </c>
      <c r="I37" s="2">
        <v>1</v>
      </c>
      <c r="J37" s="2" t="s">
        <v>11</v>
      </c>
      <c r="K37" s="2" t="s">
        <v>1580</v>
      </c>
      <c r="L37" s="2" t="s">
        <v>1048</v>
      </c>
      <c r="M37" s="2" t="s">
        <v>1011</v>
      </c>
      <c r="N37" s="2" t="s">
        <v>1012</v>
      </c>
      <c r="O37" s="2" t="s">
        <v>1013</v>
      </c>
      <c r="P37" s="2" t="s">
        <v>1014</v>
      </c>
      <c r="Q37" s="2">
        <v>2</v>
      </c>
      <c r="R37" s="2" t="s">
        <v>142</v>
      </c>
      <c r="S37" s="2">
        <v>2</v>
      </c>
      <c r="T37" s="2" t="s">
        <v>970</v>
      </c>
    </row>
    <row r="38" spans="1:20">
      <c r="A38" s="2" t="s">
        <v>1049</v>
      </c>
      <c r="B38" s="2" t="s">
        <v>962</v>
      </c>
      <c r="C38" s="2" t="s">
        <v>963</v>
      </c>
      <c r="D38" s="2" t="s">
        <v>964</v>
      </c>
      <c r="E38" s="2" t="s">
        <v>11</v>
      </c>
      <c r="F38" s="2">
        <v>1</v>
      </c>
      <c r="G38" s="2" t="s">
        <v>12</v>
      </c>
      <c r="H38" s="2" t="s">
        <v>11</v>
      </c>
      <c r="I38" s="2">
        <v>1</v>
      </c>
      <c r="J38" s="2" t="s">
        <v>11</v>
      </c>
      <c r="K38" s="2" t="s">
        <v>1581</v>
      </c>
      <c r="L38" s="2" t="s">
        <v>1050</v>
      </c>
      <c r="M38" s="2" t="s">
        <v>1011</v>
      </c>
      <c r="N38" s="2" t="s">
        <v>1012</v>
      </c>
      <c r="O38" s="2" t="s">
        <v>1013</v>
      </c>
      <c r="P38" s="2" t="s">
        <v>1014</v>
      </c>
      <c r="Q38" s="2">
        <v>1</v>
      </c>
      <c r="R38" s="2" t="s">
        <v>14</v>
      </c>
      <c r="S38" s="2">
        <v>2</v>
      </c>
      <c r="T38" s="2" t="s">
        <v>970</v>
      </c>
    </row>
    <row r="39" spans="1:20">
      <c r="A39" s="2" t="s">
        <v>1051</v>
      </c>
      <c r="B39" s="2" t="s">
        <v>962</v>
      </c>
      <c r="C39" s="2" t="s">
        <v>963</v>
      </c>
      <c r="D39" s="2" t="s">
        <v>964</v>
      </c>
      <c r="E39" s="2" t="s">
        <v>11</v>
      </c>
      <c r="F39" s="2">
        <v>1</v>
      </c>
      <c r="G39" s="2" t="s">
        <v>12</v>
      </c>
      <c r="H39" s="2" t="s">
        <v>11</v>
      </c>
      <c r="I39" s="2">
        <v>1</v>
      </c>
      <c r="J39" s="2" t="s">
        <v>11</v>
      </c>
      <c r="K39" s="2" t="s">
        <v>1582</v>
      </c>
      <c r="L39" s="2" t="s">
        <v>1052</v>
      </c>
      <c r="M39" s="2" t="s">
        <v>1011</v>
      </c>
      <c r="N39" s="2" t="s">
        <v>1012</v>
      </c>
      <c r="O39" s="2" t="s">
        <v>1013</v>
      </c>
      <c r="P39" s="2" t="s">
        <v>1014</v>
      </c>
      <c r="Q39" s="2">
        <v>2</v>
      </c>
      <c r="R39" s="2" t="s">
        <v>142</v>
      </c>
      <c r="S39" s="2">
        <v>2</v>
      </c>
      <c r="T39" s="2" t="s">
        <v>970</v>
      </c>
    </row>
    <row r="40" spans="1:20">
      <c r="A40" s="2" t="s">
        <v>1053</v>
      </c>
      <c r="B40" s="2" t="s">
        <v>962</v>
      </c>
      <c r="C40" s="2" t="s">
        <v>963</v>
      </c>
      <c r="D40" s="2" t="s">
        <v>964</v>
      </c>
      <c r="E40" s="2" t="s">
        <v>11</v>
      </c>
      <c r="F40" s="2">
        <v>1</v>
      </c>
      <c r="G40" s="2" t="s">
        <v>12</v>
      </c>
      <c r="H40" s="2" t="s">
        <v>11</v>
      </c>
      <c r="I40" s="2">
        <v>1</v>
      </c>
      <c r="J40" s="2" t="s">
        <v>11</v>
      </c>
      <c r="K40" s="2" t="s">
        <v>1583</v>
      </c>
      <c r="L40" s="2" t="s">
        <v>1054</v>
      </c>
      <c r="M40" s="2" t="s">
        <v>1011</v>
      </c>
      <c r="N40" s="2" t="s">
        <v>1012</v>
      </c>
      <c r="O40" s="2" t="s">
        <v>1013</v>
      </c>
      <c r="P40" s="2" t="s">
        <v>1014</v>
      </c>
      <c r="Q40" s="2">
        <v>1</v>
      </c>
      <c r="R40" s="2" t="s">
        <v>14</v>
      </c>
      <c r="S40" s="2">
        <v>2</v>
      </c>
      <c r="T40" s="2" t="s">
        <v>970</v>
      </c>
    </row>
    <row r="41" spans="1:20">
      <c r="A41" s="2" t="s">
        <v>1055</v>
      </c>
      <c r="B41" s="2" t="s">
        <v>962</v>
      </c>
      <c r="C41" s="2" t="s">
        <v>963</v>
      </c>
      <c r="D41" s="2" t="s">
        <v>964</v>
      </c>
      <c r="E41" s="2" t="s">
        <v>11</v>
      </c>
      <c r="F41" s="2">
        <v>1</v>
      </c>
      <c r="G41" s="2" t="s">
        <v>12</v>
      </c>
      <c r="H41" s="2" t="s">
        <v>11</v>
      </c>
      <c r="I41" s="2">
        <v>1</v>
      </c>
      <c r="J41" s="2" t="s">
        <v>11</v>
      </c>
      <c r="K41" s="2" t="s">
        <v>1584</v>
      </c>
      <c r="L41" s="2" t="s">
        <v>1056</v>
      </c>
      <c r="M41" s="2" t="s">
        <v>1011</v>
      </c>
      <c r="N41" s="2" t="s">
        <v>1012</v>
      </c>
      <c r="O41" s="2" t="s">
        <v>1013</v>
      </c>
      <c r="P41" s="2" t="s">
        <v>1014</v>
      </c>
      <c r="Q41" s="2">
        <v>1</v>
      </c>
      <c r="R41" s="2" t="s">
        <v>14</v>
      </c>
      <c r="S41" s="2">
        <v>2</v>
      </c>
      <c r="T41" s="2" t="s">
        <v>970</v>
      </c>
    </row>
    <row r="42" spans="1:20">
      <c r="A42" s="2" t="s">
        <v>1057</v>
      </c>
      <c r="B42" s="2" t="s">
        <v>962</v>
      </c>
      <c r="C42" s="2" t="s">
        <v>963</v>
      </c>
      <c r="D42" s="2" t="s">
        <v>964</v>
      </c>
      <c r="E42" s="2" t="s">
        <v>11</v>
      </c>
      <c r="F42" s="2">
        <v>1</v>
      </c>
      <c r="G42" s="2" t="s">
        <v>12</v>
      </c>
      <c r="H42" s="2" t="s">
        <v>11</v>
      </c>
      <c r="I42" s="2">
        <v>1</v>
      </c>
      <c r="J42" s="2" t="s">
        <v>11</v>
      </c>
      <c r="K42" s="2" t="s">
        <v>1585</v>
      </c>
      <c r="L42" s="2" t="s">
        <v>1058</v>
      </c>
      <c r="M42" s="2" t="s">
        <v>1011</v>
      </c>
      <c r="N42" s="2" t="s">
        <v>1012</v>
      </c>
      <c r="O42" s="2" t="s">
        <v>1013</v>
      </c>
      <c r="P42" s="2" t="s">
        <v>1014</v>
      </c>
      <c r="Q42" s="2">
        <v>1</v>
      </c>
      <c r="R42" s="2" t="s">
        <v>14</v>
      </c>
      <c r="S42" s="2">
        <v>2</v>
      </c>
      <c r="T42" s="2" t="s">
        <v>970</v>
      </c>
    </row>
    <row r="43" spans="1:20">
      <c r="A43" s="2" t="s">
        <v>1059</v>
      </c>
      <c r="B43" s="2" t="s">
        <v>962</v>
      </c>
      <c r="C43" s="2" t="s">
        <v>963</v>
      </c>
      <c r="D43" s="2" t="s">
        <v>964</v>
      </c>
      <c r="E43" s="2" t="s">
        <v>11</v>
      </c>
      <c r="F43" s="2">
        <v>1</v>
      </c>
      <c r="G43" s="2" t="s">
        <v>12</v>
      </c>
      <c r="H43" s="2" t="s">
        <v>11</v>
      </c>
      <c r="I43" s="2">
        <v>1</v>
      </c>
      <c r="J43" s="2" t="s">
        <v>11</v>
      </c>
      <c r="K43" s="2" t="s">
        <v>1586</v>
      </c>
      <c r="L43" s="2" t="s">
        <v>1060</v>
      </c>
      <c r="M43" s="2" t="s">
        <v>1011</v>
      </c>
      <c r="N43" s="2" t="s">
        <v>1012</v>
      </c>
      <c r="O43" s="2" t="s">
        <v>1013</v>
      </c>
      <c r="P43" s="2" t="s">
        <v>1014</v>
      </c>
      <c r="Q43" s="2">
        <v>1</v>
      </c>
      <c r="R43" s="2" t="s">
        <v>14</v>
      </c>
      <c r="S43" s="2">
        <v>2</v>
      </c>
      <c r="T43" s="2" t="s">
        <v>970</v>
      </c>
    </row>
    <row r="44" spans="1:20">
      <c r="A44" s="2" t="s">
        <v>1061</v>
      </c>
      <c r="B44" s="2" t="s">
        <v>962</v>
      </c>
      <c r="C44" s="2" t="s">
        <v>963</v>
      </c>
      <c r="D44" s="2" t="s">
        <v>964</v>
      </c>
      <c r="E44" s="2" t="s">
        <v>11</v>
      </c>
      <c r="F44" s="2">
        <v>1</v>
      </c>
      <c r="G44" s="2" t="s">
        <v>12</v>
      </c>
      <c r="H44" s="2" t="s">
        <v>11</v>
      </c>
      <c r="I44" s="2">
        <v>1</v>
      </c>
      <c r="J44" s="2" t="s">
        <v>11</v>
      </c>
      <c r="K44" s="2" t="s">
        <v>1587</v>
      </c>
      <c r="L44" s="2" t="s">
        <v>1062</v>
      </c>
      <c r="M44" s="2" t="s">
        <v>1011</v>
      </c>
      <c r="N44" s="2" t="s">
        <v>1012</v>
      </c>
      <c r="O44" s="2" t="s">
        <v>1013</v>
      </c>
      <c r="P44" s="2" t="s">
        <v>1014</v>
      </c>
      <c r="Q44" s="2">
        <v>2</v>
      </c>
      <c r="R44" s="2" t="s">
        <v>142</v>
      </c>
      <c r="S44" s="2">
        <v>2</v>
      </c>
      <c r="T44" s="2" t="s">
        <v>970</v>
      </c>
    </row>
    <row r="45" spans="1:20">
      <c r="A45" s="2" t="s">
        <v>1063</v>
      </c>
      <c r="B45" s="2" t="s">
        <v>962</v>
      </c>
      <c r="C45" s="2" t="s">
        <v>963</v>
      </c>
      <c r="D45" s="2" t="s">
        <v>964</v>
      </c>
      <c r="E45" s="2" t="s">
        <v>11</v>
      </c>
      <c r="F45" s="2">
        <v>1</v>
      </c>
      <c r="G45" s="2" t="s">
        <v>12</v>
      </c>
      <c r="H45" s="2" t="s">
        <v>11</v>
      </c>
      <c r="I45" s="2">
        <v>1</v>
      </c>
      <c r="J45" s="2" t="s">
        <v>11</v>
      </c>
      <c r="K45" s="2" t="s">
        <v>1588</v>
      </c>
      <c r="L45" s="2" t="s">
        <v>1064</v>
      </c>
      <c r="M45" s="2" t="s">
        <v>1011</v>
      </c>
      <c r="N45" s="2" t="s">
        <v>1012</v>
      </c>
      <c r="O45" s="2" t="s">
        <v>1013</v>
      </c>
      <c r="P45" s="2" t="s">
        <v>1014</v>
      </c>
      <c r="Q45" s="2">
        <v>3</v>
      </c>
      <c r="R45" s="2" t="s">
        <v>67</v>
      </c>
      <c r="S45" s="2">
        <v>2</v>
      </c>
      <c r="T45" s="2" t="s">
        <v>1065</v>
      </c>
    </row>
    <row r="46" spans="1:20">
      <c r="A46" s="2" t="s">
        <v>1066</v>
      </c>
      <c r="B46" s="2" t="s">
        <v>962</v>
      </c>
      <c r="C46" s="2" t="s">
        <v>963</v>
      </c>
      <c r="D46" s="2" t="s">
        <v>964</v>
      </c>
      <c r="E46" s="2" t="s">
        <v>11</v>
      </c>
      <c r="F46" s="2">
        <v>1</v>
      </c>
      <c r="G46" s="2" t="s">
        <v>12</v>
      </c>
      <c r="H46" s="2" t="s">
        <v>11</v>
      </c>
      <c r="I46" s="2">
        <v>1</v>
      </c>
      <c r="J46" s="2" t="s">
        <v>11</v>
      </c>
      <c r="K46" s="2" t="s">
        <v>1589</v>
      </c>
      <c r="L46" s="2" t="s">
        <v>1067</v>
      </c>
      <c r="M46" s="2" t="s">
        <v>1011</v>
      </c>
      <c r="N46" s="2" t="s">
        <v>1012</v>
      </c>
      <c r="O46" s="2" t="s">
        <v>1013</v>
      </c>
      <c r="P46" s="2" t="s">
        <v>1014</v>
      </c>
      <c r="Q46" s="2">
        <v>3</v>
      </c>
      <c r="R46" s="2" t="s">
        <v>67</v>
      </c>
      <c r="S46" s="2">
        <v>2</v>
      </c>
      <c r="T46" s="2" t="s">
        <v>970</v>
      </c>
    </row>
    <row r="47" spans="1:20">
      <c r="A47" s="2" t="s">
        <v>1068</v>
      </c>
      <c r="B47" s="2" t="s">
        <v>962</v>
      </c>
      <c r="C47" s="2" t="s">
        <v>963</v>
      </c>
      <c r="D47" s="2" t="s">
        <v>964</v>
      </c>
      <c r="E47" s="2" t="s">
        <v>11</v>
      </c>
      <c r="F47" s="2">
        <v>1</v>
      </c>
      <c r="G47" s="2" t="s">
        <v>12</v>
      </c>
      <c r="H47" s="2" t="s">
        <v>11</v>
      </c>
      <c r="I47" s="2">
        <v>1</v>
      </c>
      <c r="J47" s="2" t="s">
        <v>11</v>
      </c>
      <c r="K47" s="2" t="s">
        <v>1590</v>
      </c>
      <c r="L47" s="2" t="s">
        <v>1069</v>
      </c>
      <c r="M47" s="2" t="s">
        <v>1011</v>
      </c>
      <c r="N47" s="2" t="s">
        <v>1012</v>
      </c>
      <c r="O47" s="2" t="s">
        <v>1013</v>
      </c>
      <c r="P47" s="2" t="s">
        <v>1014</v>
      </c>
      <c r="Q47" s="2">
        <v>2</v>
      </c>
      <c r="R47" s="2" t="s">
        <v>142</v>
      </c>
      <c r="S47" s="2">
        <v>2</v>
      </c>
      <c r="T47" s="2" t="s">
        <v>970</v>
      </c>
    </row>
    <row r="48" spans="1:20">
      <c r="A48" s="2" t="s">
        <v>1070</v>
      </c>
      <c r="B48" s="2" t="s">
        <v>962</v>
      </c>
      <c r="C48" s="2" t="s">
        <v>963</v>
      </c>
      <c r="D48" s="2" t="s">
        <v>964</v>
      </c>
      <c r="E48" s="2" t="s">
        <v>11</v>
      </c>
      <c r="F48" s="2">
        <v>1</v>
      </c>
      <c r="G48" s="2" t="s">
        <v>12</v>
      </c>
      <c r="H48" s="2" t="s">
        <v>11</v>
      </c>
      <c r="I48" s="2">
        <v>1</v>
      </c>
      <c r="J48" s="2" t="s">
        <v>11</v>
      </c>
      <c r="K48" s="2" t="s">
        <v>1591</v>
      </c>
      <c r="L48" s="2" t="s">
        <v>1071</v>
      </c>
      <c r="M48" s="2" t="s">
        <v>1011</v>
      </c>
      <c r="N48" s="2" t="s">
        <v>1012</v>
      </c>
      <c r="O48" s="2" t="s">
        <v>1013</v>
      </c>
      <c r="P48" s="2" t="s">
        <v>1014</v>
      </c>
      <c r="Q48" s="2">
        <v>3</v>
      </c>
      <c r="R48" s="2" t="s">
        <v>67</v>
      </c>
      <c r="S48" s="2">
        <v>2</v>
      </c>
      <c r="T48" s="2" t="s">
        <v>970</v>
      </c>
    </row>
    <row r="49" spans="1:20">
      <c r="A49" s="2" t="s">
        <v>1072</v>
      </c>
      <c r="B49" s="2" t="s">
        <v>962</v>
      </c>
      <c r="C49" s="2" t="s">
        <v>963</v>
      </c>
      <c r="D49" s="2" t="s">
        <v>964</v>
      </c>
      <c r="E49" s="2" t="s">
        <v>11</v>
      </c>
      <c r="F49" s="2">
        <v>1</v>
      </c>
      <c r="G49" s="2" t="s">
        <v>12</v>
      </c>
      <c r="H49" s="2" t="s">
        <v>11</v>
      </c>
      <c r="I49" s="2">
        <v>1</v>
      </c>
      <c r="J49" s="2" t="s">
        <v>11</v>
      </c>
      <c r="K49" s="2" t="s">
        <v>1592</v>
      </c>
      <c r="L49" s="2" t="s">
        <v>1073</v>
      </c>
      <c r="M49" s="2" t="s">
        <v>1011</v>
      </c>
      <c r="N49" s="2" t="s">
        <v>1012</v>
      </c>
      <c r="O49" s="2" t="s">
        <v>1013</v>
      </c>
      <c r="P49" s="2" t="s">
        <v>1014</v>
      </c>
      <c r="Q49" s="2">
        <v>2</v>
      </c>
      <c r="R49" s="2" t="s">
        <v>142</v>
      </c>
      <c r="S49" s="2">
        <v>2</v>
      </c>
      <c r="T49" s="2" t="s">
        <v>970</v>
      </c>
    </row>
    <row r="50" spans="1:20">
      <c r="A50" s="2" t="s">
        <v>1074</v>
      </c>
      <c r="B50" s="2" t="s">
        <v>962</v>
      </c>
      <c r="C50" s="2" t="s">
        <v>963</v>
      </c>
      <c r="D50" s="2" t="s">
        <v>964</v>
      </c>
      <c r="E50" s="2" t="s">
        <v>11</v>
      </c>
      <c r="F50" s="2">
        <v>1</v>
      </c>
      <c r="G50" s="2" t="s">
        <v>12</v>
      </c>
      <c r="H50" s="2" t="s">
        <v>11</v>
      </c>
      <c r="I50" s="2">
        <v>1</v>
      </c>
      <c r="J50" s="2" t="s">
        <v>11</v>
      </c>
      <c r="K50" s="2" t="s">
        <v>1593</v>
      </c>
      <c r="L50" s="2" t="s">
        <v>1075</v>
      </c>
      <c r="M50" s="2" t="s">
        <v>1011</v>
      </c>
      <c r="N50" s="2" t="s">
        <v>1012</v>
      </c>
      <c r="O50" s="2" t="s">
        <v>1013</v>
      </c>
      <c r="P50" s="2" t="s">
        <v>1014</v>
      </c>
      <c r="Q50" s="2">
        <v>2</v>
      </c>
      <c r="R50" s="2" t="s">
        <v>142</v>
      </c>
      <c r="S50" s="2">
        <v>2</v>
      </c>
      <c r="T50" s="2" t="s">
        <v>970</v>
      </c>
    </row>
    <row r="51" spans="1:20">
      <c r="A51" s="2" t="s">
        <v>1076</v>
      </c>
      <c r="B51" s="2" t="s">
        <v>962</v>
      </c>
      <c r="C51" s="2" t="s">
        <v>963</v>
      </c>
      <c r="D51" s="2" t="s">
        <v>964</v>
      </c>
      <c r="E51" s="2" t="s">
        <v>11</v>
      </c>
      <c r="F51" s="2">
        <v>1</v>
      </c>
      <c r="G51" s="2" t="s">
        <v>12</v>
      </c>
      <c r="H51" s="2" t="s">
        <v>11</v>
      </c>
      <c r="I51" s="2">
        <v>1</v>
      </c>
      <c r="J51" s="2" t="s">
        <v>11</v>
      </c>
      <c r="K51" s="2" t="s">
        <v>1594</v>
      </c>
      <c r="L51" s="2" t="s">
        <v>1077</v>
      </c>
      <c r="M51" s="2" t="s">
        <v>1011</v>
      </c>
      <c r="N51" s="2" t="s">
        <v>1012</v>
      </c>
      <c r="O51" s="2" t="s">
        <v>1013</v>
      </c>
      <c r="P51" s="2" t="s">
        <v>1014</v>
      </c>
      <c r="Q51" s="2">
        <v>3</v>
      </c>
      <c r="R51" s="2" t="s">
        <v>67</v>
      </c>
      <c r="S51" s="2">
        <v>2</v>
      </c>
      <c r="T51" s="2" t="s">
        <v>970</v>
      </c>
    </row>
    <row r="52" spans="1:20">
      <c r="A52" s="2" t="s">
        <v>1078</v>
      </c>
      <c r="B52" s="2" t="s">
        <v>962</v>
      </c>
      <c r="C52" s="2" t="s">
        <v>963</v>
      </c>
      <c r="D52" s="2" t="s">
        <v>964</v>
      </c>
      <c r="E52" s="2" t="s">
        <v>11</v>
      </c>
      <c r="F52" s="2">
        <v>1</v>
      </c>
      <c r="G52" s="2" t="s">
        <v>12</v>
      </c>
      <c r="H52" s="2" t="s">
        <v>11</v>
      </c>
      <c r="I52" s="2">
        <v>1</v>
      </c>
      <c r="J52" s="2" t="s">
        <v>11</v>
      </c>
      <c r="K52" s="2" t="s">
        <v>1595</v>
      </c>
      <c r="L52" s="2" t="s">
        <v>1079</v>
      </c>
      <c r="M52" s="2" t="s">
        <v>1011</v>
      </c>
      <c r="N52" s="2" t="s">
        <v>1012</v>
      </c>
      <c r="O52" s="2" t="s">
        <v>1013</v>
      </c>
      <c r="P52" s="2" t="s">
        <v>1014</v>
      </c>
      <c r="Q52" s="2">
        <v>3</v>
      </c>
      <c r="R52" s="2" t="s">
        <v>67</v>
      </c>
      <c r="S52" s="2">
        <v>2</v>
      </c>
      <c r="T52" s="2" t="s">
        <v>970</v>
      </c>
    </row>
    <row r="53" spans="1:20">
      <c r="A53" s="2" t="s">
        <v>1080</v>
      </c>
      <c r="B53" s="2" t="s">
        <v>962</v>
      </c>
      <c r="C53" s="2" t="s">
        <v>963</v>
      </c>
      <c r="D53" s="2" t="s">
        <v>964</v>
      </c>
      <c r="E53" s="2" t="s">
        <v>11</v>
      </c>
      <c r="F53" s="2">
        <v>1</v>
      </c>
      <c r="G53" s="2" t="s">
        <v>12</v>
      </c>
      <c r="H53" s="2" t="s">
        <v>11</v>
      </c>
      <c r="I53" s="2">
        <v>1</v>
      </c>
      <c r="J53" s="2" t="s">
        <v>11</v>
      </c>
      <c r="K53" s="2" t="s">
        <v>1596</v>
      </c>
      <c r="L53" s="2" t="s">
        <v>1081</v>
      </c>
      <c r="M53" s="2" t="s">
        <v>1011</v>
      </c>
      <c r="N53" s="2" t="s">
        <v>1012</v>
      </c>
      <c r="O53" s="2" t="s">
        <v>1013</v>
      </c>
      <c r="P53" s="2" t="s">
        <v>1014</v>
      </c>
      <c r="Q53" s="2">
        <v>3</v>
      </c>
      <c r="R53" s="2" t="s">
        <v>67</v>
      </c>
      <c r="S53" s="2">
        <v>2</v>
      </c>
      <c r="T53" s="2" t="s">
        <v>970</v>
      </c>
    </row>
    <row r="54" spans="1:20">
      <c r="A54" s="2" t="s">
        <v>1082</v>
      </c>
      <c r="B54" s="2" t="s">
        <v>962</v>
      </c>
      <c r="C54" s="2" t="s">
        <v>963</v>
      </c>
      <c r="D54" s="2" t="s">
        <v>964</v>
      </c>
      <c r="E54" s="2" t="s">
        <v>11</v>
      </c>
      <c r="F54" s="2">
        <v>1</v>
      </c>
      <c r="G54" s="2" t="s">
        <v>12</v>
      </c>
      <c r="H54" s="2" t="s">
        <v>11</v>
      </c>
      <c r="I54" s="2">
        <v>1</v>
      </c>
      <c r="J54" s="2" t="s">
        <v>11</v>
      </c>
      <c r="K54" s="2" t="s">
        <v>1597</v>
      </c>
      <c r="L54" s="2" t="s">
        <v>1083</v>
      </c>
      <c r="M54" s="2" t="s">
        <v>1011</v>
      </c>
      <c r="N54" s="2" t="s">
        <v>1012</v>
      </c>
      <c r="O54" s="2" t="s">
        <v>1013</v>
      </c>
      <c r="P54" s="2" t="s">
        <v>1014</v>
      </c>
      <c r="Q54" s="2">
        <v>3</v>
      </c>
      <c r="R54" s="2" t="s">
        <v>67</v>
      </c>
      <c r="S54" s="2">
        <v>2</v>
      </c>
      <c r="T54" s="2" t="s">
        <v>970</v>
      </c>
    </row>
    <row r="55" spans="1:20">
      <c r="A55" s="2" t="s">
        <v>1084</v>
      </c>
      <c r="B55" s="2" t="s">
        <v>962</v>
      </c>
      <c r="C55" s="2" t="s">
        <v>963</v>
      </c>
      <c r="D55" s="2" t="s">
        <v>964</v>
      </c>
      <c r="E55" s="2" t="s">
        <v>11</v>
      </c>
      <c r="F55" s="2">
        <v>1</v>
      </c>
      <c r="G55" s="2" t="s">
        <v>12</v>
      </c>
      <c r="H55" s="2" t="s">
        <v>11</v>
      </c>
      <c r="I55" s="2">
        <v>1</v>
      </c>
      <c r="J55" s="2" t="s">
        <v>11</v>
      </c>
      <c r="K55" s="2" t="s">
        <v>1598</v>
      </c>
      <c r="L55" s="2" t="s">
        <v>1085</v>
      </c>
      <c r="M55" s="2" t="s">
        <v>1011</v>
      </c>
      <c r="N55" s="2" t="s">
        <v>1012</v>
      </c>
      <c r="O55" s="2" t="s">
        <v>1013</v>
      </c>
      <c r="P55" s="2" t="s">
        <v>1014</v>
      </c>
      <c r="Q55" s="2">
        <v>3</v>
      </c>
      <c r="R55" s="2" t="s">
        <v>67</v>
      </c>
      <c r="S55" s="2">
        <v>2</v>
      </c>
      <c r="T55" s="2" t="s">
        <v>970</v>
      </c>
    </row>
    <row r="56" spans="1:20">
      <c r="A56" s="2" t="s">
        <v>1086</v>
      </c>
      <c r="B56" s="2" t="s">
        <v>962</v>
      </c>
      <c r="C56" s="2" t="s">
        <v>963</v>
      </c>
      <c r="D56" s="2" t="s">
        <v>964</v>
      </c>
      <c r="E56" s="2" t="s">
        <v>11</v>
      </c>
      <c r="F56" s="2">
        <v>1</v>
      </c>
      <c r="G56" s="2" t="s">
        <v>12</v>
      </c>
      <c r="H56" s="2" t="s">
        <v>11</v>
      </c>
      <c r="I56" s="2">
        <v>1</v>
      </c>
      <c r="J56" s="2" t="s">
        <v>11</v>
      </c>
      <c r="K56" s="2" t="s">
        <v>1599</v>
      </c>
      <c r="L56" s="2" t="s">
        <v>1087</v>
      </c>
      <c r="M56" s="2" t="s">
        <v>1011</v>
      </c>
      <c r="N56" s="2" t="s">
        <v>1012</v>
      </c>
      <c r="O56" s="2" t="s">
        <v>1013</v>
      </c>
      <c r="P56" s="2" t="s">
        <v>1014</v>
      </c>
      <c r="Q56" s="2">
        <v>3</v>
      </c>
      <c r="R56" s="2" t="s">
        <v>67</v>
      </c>
      <c r="S56" s="2">
        <v>2</v>
      </c>
      <c r="T56" s="2" t="s">
        <v>970</v>
      </c>
    </row>
    <row r="57" spans="1:20">
      <c r="A57" s="2" t="s">
        <v>1088</v>
      </c>
      <c r="B57" s="2" t="s">
        <v>962</v>
      </c>
      <c r="C57" s="2" t="s">
        <v>963</v>
      </c>
      <c r="D57" s="2" t="s">
        <v>964</v>
      </c>
      <c r="E57" s="2" t="s">
        <v>11</v>
      </c>
      <c r="F57" s="2">
        <v>1</v>
      </c>
      <c r="G57" s="2" t="s">
        <v>12</v>
      </c>
      <c r="H57" s="2" t="s">
        <v>11</v>
      </c>
      <c r="I57" s="2">
        <v>1</v>
      </c>
      <c r="J57" s="2" t="s">
        <v>11</v>
      </c>
      <c r="K57" s="2" t="s">
        <v>1600</v>
      </c>
      <c r="L57" s="2" t="s">
        <v>1089</v>
      </c>
      <c r="M57" s="2" t="s">
        <v>1011</v>
      </c>
      <c r="N57" s="2" t="s">
        <v>1012</v>
      </c>
      <c r="O57" s="2" t="s">
        <v>1013</v>
      </c>
      <c r="P57" s="2" t="s">
        <v>1014</v>
      </c>
      <c r="Q57" s="2">
        <v>3</v>
      </c>
      <c r="R57" s="2" t="s">
        <v>67</v>
      </c>
      <c r="S57" s="2">
        <v>2</v>
      </c>
      <c r="T57" s="2" t="s">
        <v>970</v>
      </c>
    </row>
    <row r="58" spans="1:20">
      <c r="A58" s="2" t="s">
        <v>1090</v>
      </c>
      <c r="B58" s="2" t="s">
        <v>962</v>
      </c>
      <c r="C58" s="2" t="s">
        <v>963</v>
      </c>
      <c r="D58" s="2" t="s">
        <v>964</v>
      </c>
      <c r="E58" s="2" t="s">
        <v>11</v>
      </c>
      <c r="F58" s="2">
        <v>1</v>
      </c>
      <c r="G58" s="2" t="s">
        <v>12</v>
      </c>
      <c r="H58" s="2" t="s">
        <v>11</v>
      </c>
      <c r="I58" s="2">
        <v>1</v>
      </c>
      <c r="J58" s="2" t="s">
        <v>11</v>
      </c>
      <c r="K58" s="2" t="s">
        <v>1601</v>
      </c>
      <c r="L58" s="2" t="s">
        <v>1091</v>
      </c>
      <c r="M58" s="2" t="s">
        <v>1011</v>
      </c>
      <c r="N58" s="2" t="s">
        <v>1012</v>
      </c>
      <c r="O58" s="2" t="s">
        <v>1013</v>
      </c>
      <c r="P58" s="2" t="s">
        <v>1014</v>
      </c>
      <c r="Q58" s="2">
        <v>3</v>
      </c>
      <c r="R58" s="2" t="s">
        <v>67</v>
      </c>
      <c r="S58" s="2">
        <v>2</v>
      </c>
      <c r="T58" s="2" t="s">
        <v>970</v>
      </c>
    </row>
    <row r="59" spans="1:20">
      <c r="A59" s="2" t="s">
        <v>1092</v>
      </c>
      <c r="B59" s="2" t="s">
        <v>962</v>
      </c>
      <c r="C59" s="2" t="s">
        <v>963</v>
      </c>
      <c r="D59" s="2" t="s">
        <v>964</v>
      </c>
      <c r="E59" s="2" t="s">
        <v>11</v>
      </c>
      <c r="F59" s="2">
        <v>1</v>
      </c>
      <c r="G59" s="2" t="s">
        <v>12</v>
      </c>
      <c r="H59" s="2" t="s">
        <v>11</v>
      </c>
      <c r="I59" s="2">
        <v>1</v>
      </c>
      <c r="J59" s="2" t="s">
        <v>11</v>
      </c>
      <c r="K59" s="2" t="s">
        <v>1602</v>
      </c>
      <c r="L59" s="2" t="s">
        <v>1093</v>
      </c>
      <c r="M59" s="2" t="s">
        <v>1011</v>
      </c>
      <c r="N59" s="2" t="s">
        <v>1012</v>
      </c>
      <c r="O59" s="2" t="s">
        <v>1013</v>
      </c>
      <c r="P59" s="2" t="s">
        <v>1014</v>
      </c>
      <c r="Q59" s="2">
        <v>3</v>
      </c>
      <c r="R59" s="2" t="s">
        <v>67</v>
      </c>
      <c r="S59" s="2">
        <v>2</v>
      </c>
      <c r="T59" s="2" t="s">
        <v>970</v>
      </c>
    </row>
    <row r="60" spans="1:20">
      <c r="A60" s="2" t="s">
        <v>1094</v>
      </c>
      <c r="B60" s="2" t="s">
        <v>962</v>
      </c>
      <c r="C60" s="2" t="s">
        <v>963</v>
      </c>
      <c r="D60" s="2" t="s">
        <v>964</v>
      </c>
      <c r="E60" s="2" t="s">
        <v>11</v>
      </c>
      <c r="F60" s="2">
        <v>1</v>
      </c>
      <c r="G60" s="2" t="s">
        <v>12</v>
      </c>
      <c r="H60" s="2" t="s">
        <v>11</v>
      </c>
      <c r="I60" s="2">
        <v>1</v>
      </c>
      <c r="J60" s="2" t="s">
        <v>11</v>
      </c>
      <c r="K60" s="2" t="s">
        <v>1603</v>
      </c>
      <c r="L60" s="2" t="s">
        <v>1095</v>
      </c>
      <c r="M60" s="2" t="s">
        <v>1011</v>
      </c>
      <c r="N60" s="2" t="s">
        <v>1012</v>
      </c>
      <c r="O60" s="2" t="s">
        <v>1013</v>
      </c>
      <c r="P60" s="2" t="s">
        <v>1014</v>
      </c>
      <c r="Q60" s="2">
        <v>3</v>
      </c>
      <c r="R60" s="2" t="s">
        <v>67</v>
      </c>
      <c r="S60" s="2">
        <v>2</v>
      </c>
      <c r="T60" s="2" t="s">
        <v>970</v>
      </c>
    </row>
    <row r="61" spans="1:20">
      <c r="A61" s="2" t="s">
        <v>1096</v>
      </c>
      <c r="B61" s="2" t="s">
        <v>962</v>
      </c>
      <c r="C61" s="2" t="s">
        <v>963</v>
      </c>
      <c r="D61" s="2" t="s">
        <v>964</v>
      </c>
      <c r="E61" s="2" t="s">
        <v>11</v>
      </c>
      <c r="F61" s="2">
        <v>1</v>
      </c>
      <c r="G61" s="2" t="s">
        <v>12</v>
      </c>
      <c r="H61" s="2" t="s">
        <v>11</v>
      </c>
      <c r="I61" s="2">
        <v>1</v>
      </c>
      <c r="J61" s="2" t="s">
        <v>11</v>
      </c>
      <c r="K61" s="2" t="s">
        <v>1604</v>
      </c>
      <c r="L61" s="2" t="s">
        <v>1097</v>
      </c>
      <c r="M61" s="2" t="s">
        <v>1011</v>
      </c>
      <c r="N61" s="2" t="s">
        <v>1012</v>
      </c>
      <c r="O61" s="2" t="s">
        <v>1013</v>
      </c>
      <c r="P61" s="2" t="s">
        <v>1014</v>
      </c>
      <c r="Q61" s="2">
        <v>3</v>
      </c>
      <c r="R61" s="2" t="s">
        <v>67</v>
      </c>
      <c r="S61" s="2">
        <v>2</v>
      </c>
      <c r="T61" s="2" t="s">
        <v>1065</v>
      </c>
    </row>
    <row r="62" spans="1:20">
      <c r="A62" s="2" t="s">
        <v>1098</v>
      </c>
      <c r="B62" s="2" t="s">
        <v>962</v>
      </c>
      <c r="C62" s="2" t="s">
        <v>963</v>
      </c>
      <c r="D62" s="2" t="s">
        <v>964</v>
      </c>
      <c r="E62" s="2" t="s">
        <v>11</v>
      </c>
      <c r="F62" s="2">
        <v>1</v>
      </c>
      <c r="G62" s="2" t="s">
        <v>12</v>
      </c>
      <c r="H62" s="2" t="s">
        <v>11</v>
      </c>
      <c r="I62" s="2">
        <v>1</v>
      </c>
      <c r="J62" s="2" t="s">
        <v>11</v>
      </c>
      <c r="K62" s="2" t="s">
        <v>1605</v>
      </c>
      <c r="L62" s="2" t="s">
        <v>1099</v>
      </c>
      <c r="M62" s="2" t="s">
        <v>1011</v>
      </c>
      <c r="N62" s="2" t="s">
        <v>1012</v>
      </c>
      <c r="O62" s="2" t="s">
        <v>1013</v>
      </c>
      <c r="P62" s="2" t="s">
        <v>1014</v>
      </c>
      <c r="Q62" s="2">
        <v>3</v>
      </c>
      <c r="R62" s="2" t="s">
        <v>67</v>
      </c>
      <c r="S62" s="2">
        <v>2</v>
      </c>
      <c r="T62" s="2" t="s">
        <v>970</v>
      </c>
    </row>
    <row r="63" spans="1:20">
      <c r="A63" s="2" t="s">
        <v>1100</v>
      </c>
      <c r="B63" s="2" t="s">
        <v>962</v>
      </c>
      <c r="C63" s="2" t="s">
        <v>963</v>
      </c>
      <c r="D63" s="2" t="s">
        <v>964</v>
      </c>
      <c r="E63" s="2" t="s">
        <v>11</v>
      </c>
      <c r="F63" s="2">
        <v>1</v>
      </c>
      <c r="G63" s="2" t="s">
        <v>12</v>
      </c>
      <c r="H63" s="2" t="s">
        <v>11</v>
      </c>
      <c r="I63" s="2">
        <v>1</v>
      </c>
      <c r="J63" s="2" t="s">
        <v>11</v>
      </c>
      <c r="K63" s="2" t="s">
        <v>1606</v>
      </c>
      <c r="L63" s="2" t="s">
        <v>1101</v>
      </c>
      <c r="M63" s="2" t="s">
        <v>1011</v>
      </c>
      <c r="N63" s="2" t="s">
        <v>1012</v>
      </c>
      <c r="O63" s="2" t="s">
        <v>1013</v>
      </c>
      <c r="P63" s="2" t="s">
        <v>1014</v>
      </c>
      <c r="Q63" s="2">
        <v>3</v>
      </c>
      <c r="R63" s="2" t="s">
        <v>67</v>
      </c>
      <c r="S63" s="2">
        <v>2</v>
      </c>
      <c r="T63" s="2" t="s">
        <v>970</v>
      </c>
    </row>
    <row r="64" spans="1:20">
      <c r="A64" s="2" t="s">
        <v>1102</v>
      </c>
      <c r="B64" s="2" t="s">
        <v>962</v>
      </c>
      <c r="C64" s="2" t="s">
        <v>963</v>
      </c>
      <c r="D64" s="2" t="s">
        <v>964</v>
      </c>
      <c r="E64" s="2" t="s">
        <v>11</v>
      </c>
      <c r="F64" s="2">
        <v>1</v>
      </c>
      <c r="G64" s="2" t="s">
        <v>12</v>
      </c>
      <c r="H64" s="2" t="s">
        <v>11</v>
      </c>
      <c r="I64" s="2">
        <v>1</v>
      </c>
      <c r="J64" s="2" t="s">
        <v>11</v>
      </c>
      <c r="K64" s="2" t="s">
        <v>1607</v>
      </c>
      <c r="L64" s="2" t="s">
        <v>1103</v>
      </c>
      <c r="M64" s="2" t="s">
        <v>1011</v>
      </c>
      <c r="N64" s="2" t="s">
        <v>1012</v>
      </c>
      <c r="O64" s="2" t="s">
        <v>1013</v>
      </c>
      <c r="P64" s="2" t="s">
        <v>1014</v>
      </c>
      <c r="Q64" s="2">
        <v>3</v>
      </c>
      <c r="R64" s="2" t="s">
        <v>67</v>
      </c>
      <c r="S64" s="2">
        <v>2</v>
      </c>
      <c r="T64" s="2" t="s">
        <v>1065</v>
      </c>
    </row>
    <row r="65" spans="1:20">
      <c r="A65" s="2" t="s">
        <v>1104</v>
      </c>
      <c r="B65" s="2" t="s">
        <v>962</v>
      </c>
      <c r="C65" s="2" t="s">
        <v>963</v>
      </c>
      <c r="D65" s="2" t="s">
        <v>964</v>
      </c>
      <c r="E65" s="2" t="s">
        <v>11</v>
      </c>
      <c r="F65" s="2">
        <v>1</v>
      </c>
      <c r="G65" s="2" t="s">
        <v>12</v>
      </c>
      <c r="H65" s="2" t="s">
        <v>11</v>
      </c>
      <c r="I65" s="2">
        <v>1</v>
      </c>
      <c r="J65" s="2" t="s">
        <v>11</v>
      </c>
      <c r="K65" s="2" t="s">
        <v>1608</v>
      </c>
      <c r="L65" s="2" t="s">
        <v>1105</v>
      </c>
      <c r="M65" s="2" t="s">
        <v>1106</v>
      </c>
      <c r="N65" s="2" t="s">
        <v>1107</v>
      </c>
      <c r="O65" s="2" t="s">
        <v>1108</v>
      </c>
      <c r="P65" s="2" t="s">
        <v>1109</v>
      </c>
      <c r="Q65" s="2">
        <v>3</v>
      </c>
      <c r="R65" s="2" t="s">
        <v>67</v>
      </c>
      <c r="S65" s="2">
        <v>2</v>
      </c>
      <c r="T65" s="2" t="s">
        <v>970</v>
      </c>
    </row>
    <row r="66" spans="1:20">
      <c r="A66" s="2" t="s">
        <v>1110</v>
      </c>
      <c r="B66" s="2" t="s">
        <v>962</v>
      </c>
      <c r="C66" s="2" t="s">
        <v>963</v>
      </c>
      <c r="D66" s="2" t="s">
        <v>964</v>
      </c>
      <c r="E66" s="2" t="s">
        <v>11</v>
      </c>
      <c r="F66" s="2">
        <v>1</v>
      </c>
      <c r="G66" s="2" t="s">
        <v>12</v>
      </c>
      <c r="H66" s="2" t="s">
        <v>11</v>
      </c>
      <c r="I66" s="2">
        <v>1</v>
      </c>
      <c r="J66" s="2" t="s">
        <v>11</v>
      </c>
      <c r="K66" s="2" t="s">
        <v>1609</v>
      </c>
      <c r="L66" s="2" t="s">
        <v>1111</v>
      </c>
      <c r="M66" s="2" t="s">
        <v>1106</v>
      </c>
      <c r="N66" s="2" t="s">
        <v>1107</v>
      </c>
      <c r="O66" s="2" t="s">
        <v>1108</v>
      </c>
      <c r="P66" s="2" t="s">
        <v>1109</v>
      </c>
      <c r="Q66" s="2">
        <v>3</v>
      </c>
      <c r="R66" s="2" t="s">
        <v>67</v>
      </c>
      <c r="S66" s="2">
        <v>2</v>
      </c>
      <c r="T66" s="2" t="s">
        <v>970</v>
      </c>
    </row>
    <row r="67" spans="1:20">
      <c r="A67" s="2" t="s">
        <v>1112</v>
      </c>
      <c r="B67" s="2" t="s">
        <v>962</v>
      </c>
      <c r="C67" s="2" t="s">
        <v>963</v>
      </c>
      <c r="D67" s="2" t="s">
        <v>964</v>
      </c>
      <c r="E67" s="2" t="s">
        <v>11</v>
      </c>
      <c r="F67" s="2">
        <v>1</v>
      </c>
      <c r="G67" s="2" t="s">
        <v>12</v>
      </c>
      <c r="H67" s="2" t="s">
        <v>11</v>
      </c>
      <c r="I67" s="2">
        <v>1</v>
      </c>
      <c r="J67" s="2" t="s">
        <v>11</v>
      </c>
      <c r="K67" s="2" t="s">
        <v>1610</v>
      </c>
      <c r="L67" s="2" t="s">
        <v>1113</v>
      </c>
      <c r="M67" s="2" t="s">
        <v>1106</v>
      </c>
      <c r="N67" s="2" t="s">
        <v>1107</v>
      </c>
      <c r="O67" s="2" t="s">
        <v>1108</v>
      </c>
      <c r="P67" s="2" t="s">
        <v>1109</v>
      </c>
      <c r="Q67" s="2">
        <v>3</v>
      </c>
      <c r="R67" s="2" t="s">
        <v>67</v>
      </c>
      <c r="S67" s="2">
        <v>2</v>
      </c>
      <c r="T67" s="2" t="s">
        <v>970</v>
      </c>
    </row>
    <row r="68" spans="1:20">
      <c r="A68" s="2" t="s">
        <v>1114</v>
      </c>
      <c r="B68" s="2" t="s">
        <v>962</v>
      </c>
      <c r="C68" s="2" t="s">
        <v>963</v>
      </c>
      <c r="D68" s="2" t="s">
        <v>964</v>
      </c>
      <c r="E68" s="2" t="s">
        <v>11</v>
      </c>
      <c r="F68" s="2">
        <v>1</v>
      </c>
      <c r="G68" s="2" t="s">
        <v>12</v>
      </c>
      <c r="H68" s="2" t="s">
        <v>11</v>
      </c>
      <c r="I68" s="2">
        <v>1</v>
      </c>
      <c r="J68" s="2" t="s">
        <v>11</v>
      </c>
      <c r="K68" s="2" t="s">
        <v>1611</v>
      </c>
      <c r="L68" s="2" t="s">
        <v>1115</v>
      </c>
      <c r="M68" s="2" t="s">
        <v>1106</v>
      </c>
      <c r="N68" s="2" t="s">
        <v>1107</v>
      </c>
      <c r="O68" s="2" t="s">
        <v>1108</v>
      </c>
      <c r="P68" s="2" t="s">
        <v>1109</v>
      </c>
      <c r="Q68" s="2">
        <v>3</v>
      </c>
      <c r="R68" s="2" t="s">
        <v>67</v>
      </c>
      <c r="S68" s="2">
        <v>2</v>
      </c>
      <c r="T68" s="2" t="s">
        <v>970</v>
      </c>
    </row>
    <row r="69" spans="1:20">
      <c r="A69" s="2" t="s">
        <v>1116</v>
      </c>
      <c r="B69" s="2" t="s">
        <v>962</v>
      </c>
      <c r="C69" s="2" t="s">
        <v>963</v>
      </c>
      <c r="D69" s="2" t="s">
        <v>964</v>
      </c>
      <c r="E69" s="2" t="s">
        <v>11</v>
      </c>
      <c r="F69" s="2">
        <v>1</v>
      </c>
      <c r="G69" s="2" t="s">
        <v>12</v>
      </c>
      <c r="H69" s="2" t="s">
        <v>11</v>
      </c>
      <c r="I69" s="2">
        <v>1</v>
      </c>
      <c r="J69" s="2" t="s">
        <v>11</v>
      </c>
      <c r="K69" s="2" t="s">
        <v>1612</v>
      </c>
      <c r="L69" s="2" t="s">
        <v>1117</v>
      </c>
      <c r="M69" s="2" t="s">
        <v>1118</v>
      </c>
      <c r="N69" s="2" t="s">
        <v>1119</v>
      </c>
      <c r="O69" s="2" t="s">
        <v>1117</v>
      </c>
      <c r="P69" s="2" t="s">
        <v>1120</v>
      </c>
      <c r="Q69" s="2">
        <v>2</v>
      </c>
      <c r="R69" s="2" t="s">
        <v>142</v>
      </c>
      <c r="S69" s="2">
        <v>2</v>
      </c>
      <c r="T69" s="2" t="s">
        <v>970</v>
      </c>
    </row>
    <row r="70" spans="1:20">
      <c r="A70" s="2" t="s">
        <v>1121</v>
      </c>
      <c r="B70" s="2" t="s">
        <v>962</v>
      </c>
      <c r="C70" s="2" t="s">
        <v>963</v>
      </c>
      <c r="D70" s="2" t="s">
        <v>964</v>
      </c>
      <c r="E70" s="2" t="s">
        <v>11</v>
      </c>
      <c r="F70" s="2">
        <v>1</v>
      </c>
      <c r="G70" s="2" t="s">
        <v>12</v>
      </c>
      <c r="H70" s="2" t="s">
        <v>11</v>
      </c>
      <c r="I70" s="2">
        <v>1</v>
      </c>
      <c r="J70" s="2" t="s">
        <v>11</v>
      </c>
      <c r="K70" s="2" t="s">
        <v>1613</v>
      </c>
      <c r="L70" s="2" t="s">
        <v>1122</v>
      </c>
      <c r="M70" s="2" t="s">
        <v>1118</v>
      </c>
      <c r="N70" s="2" t="s">
        <v>1119</v>
      </c>
      <c r="O70" s="2" t="s">
        <v>1117</v>
      </c>
      <c r="P70" s="2" t="s">
        <v>1120</v>
      </c>
      <c r="Q70" s="2">
        <v>2</v>
      </c>
      <c r="R70" s="2" t="s">
        <v>142</v>
      </c>
      <c r="S70" s="2">
        <v>2</v>
      </c>
      <c r="T70" s="2" t="s">
        <v>970</v>
      </c>
    </row>
    <row r="71" spans="1:20">
      <c r="A71" s="2" t="s">
        <v>1123</v>
      </c>
      <c r="B71" s="2" t="s">
        <v>962</v>
      </c>
      <c r="C71" s="2" t="s">
        <v>963</v>
      </c>
      <c r="D71" s="2" t="s">
        <v>964</v>
      </c>
      <c r="E71" s="2" t="s">
        <v>11</v>
      </c>
      <c r="F71" s="2">
        <v>1</v>
      </c>
      <c r="G71" s="2" t="s">
        <v>12</v>
      </c>
      <c r="H71" s="2" t="s">
        <v>11</v>
      </c>
      <c r="I71" s="2">
        <v>1</v>
      </c>
      <c r="J71" s="2" t="s">
        <v>11</v>
      </c>
      <c r="K71" s="2" t="s">
        <v>1614</v>
      </c>
      <c r="L71" s="2" t="s">
        <v>1124</v>
      </c>
      <c r="M71" s="2" t="s">
        <v>1125</v>
      </c>
      <c r="N71" s="2" t="s">
        <v>1126</v>
      </c>
      <c r="O71" s="2" t="s">
        <v>1126</v>
      </c>
      <c r="P71" s="2" t="s">
        <v>1127</v>
      </c>
      <c r="Q71" s="2">
        <v>3</v>
      </c>
      <c r="R71" s="2" t="s">
        <v>67</v>
      </c>
      <c r="S71" s="2">
        <v>2</v>
      </c>
      <c r="T71" s="2" t="s">
        <v>970</v>
      </c>
    </row>
    <row r="72" spans="1:20">
      <c r="A72" s="2" t="s">
        <v>1128</v>
      </c>
      <c r="B72" s="2" t="s">
        <v>962</v>
      </c>
      <c r="C72" s="2" t="s">
        <v>963</v>
      </c>
      <c r="D72" s="2" t="s">
        <v>964</v>
      </c>
      <c r="E72" s="2" t="s">
        <v>11</v>
      </c>
      <c r="F72" s="2">
        <v>1</v>
      </c>
      <c r="G72" s="2" t="s">
        <v>12</v>
      </c>
      <c r="H72" s="2" t="s">
        <v>11</v>
      </c>
      <c r="I72" s="2">
        <v>1</v>
      </c>
      <c r="J72" s="2" t="s">
        <v>11</v>
      </c>
      <c r="K72" s="2" t="s">
        <v>1615</v>
      </c>
      <c r="L72" s="2" t="s">
        <v>1129</v>
      </c>
      <c r="M72" s="2" t="s">
        <v>1125</v>
      </c>
      <c r="N72" s="2" t="s">
        <v>1126</v>
      </c>
      <c r="O72" s="2" t="s">
        <v>1126</v>
      </c>
      <c r="P72" s="2" t="s">
        <v>1127</v>
      </c>
      <c r="Q72" s="2">
        <v>3</v>
      </c>
      <c r="R72" s="2" t="s">
        <v>67</v>
      </c>
      <c r="S72" s="2">
        <v>2</v>
      </c>
      <c r="T72" s="2" t="s">
        <v>970</v>
      </c>
    </row>
    <row r="73" spans="1:20">
      <c r="A73" s="2" t="s">
        <v>1130</v>
      </c>
      <c r="B73" s="2" t="s">
        <v>962</v>
      </c>
      <c r="C73" s="2" t="s">
        <v>963</v>
      </c>
      <c r="D73" s="2" t="s">
        <v>964</v>
      </c>
      <c r="E73" s="2" t="s">
        <v>11</v>
      </c>
      <c r="F73" s="2">
        <v>1</v>
      </c>
      <c r="G73" s="2" t="s">
        <v>12</v>
      </c>
      <c r="H73" s="2" t="s">
        <v>11</v>
      </c>
      <c r="I73" s="2">
        <v>1</v>
      </c>
      <c r="J73" s="2" t="s">
        <v>11</v>
      </c>
      <c r="K73" s="2" t="s">
        <v>1616</v>
      </c>
      <c r="L73" s="2" t="s">
        <v>1131</v>
      </c>
      <c r="M73" s="2" t="s">
        <v>1125</v>
      </c>
      <c r="N73" s="2" t="s">
        <v>1126</v>
      </c>
      <c r="O73" s="2" t="s">
        <v>1126</v>
      </c>
      <c r="P73" s="2" t="s">
        <v>1127</v>
      </c>
      <c r="Q73" s="2">
        <v>3</v>
      </c>
      <c r="R73" s="2" t="s">
        <v>67</v>
      </c>
      <c r="S73" s="2">
        <v>2</v>
      </c>
      <c r="T73" s="2" t="s">
        <v>970</v>
      </c>
    </row>
    <row r="74" spans="1:20">
      <c r="A74" s="2" t="s">
        <v>1132</v>
      </c>
      <c r="B74" s="2" t="s">
        <v>962</v>
      </c>
      <c r="C74" s="2" t="s">
        <v>963</v>
      </c>
      <c r="D74" s="2" t="s">
        <v>964</v>
      </c>
      <c r="E74" s="2" t="s">
        <v>11</v>
      </c>
      <c r="F74" s="2">
        <v>1</v>
      </c>
      <c r="G74" s="2" t="s">
        <v>12</v>
      </c>
      <c r="H74" s="2" t="s">
        <v>11</v>
      </c>
      <c r="I74" s="2">
        <v>1</v>
      </c>
      <c r="J74" s="2" t="s">
        <v>11</v>
      </c>
      <c r="K74" s="2" t="s">
        <v>1617</v>
      </c>
      <c r="L74" s="2" t="s">
        <v>1133</v>
      </c>
      <c r="M74" s="2" t="s">
        <v>1125</v>
      </c>
      <c r="N74" s="2" t="s">
        <v>1126</v>
      </c>
      <c r="O74" s="2" t="s">
        <v>1126</v>
      </c>
      <c r="P74" s="2" t="s">
        <v>1127</v>
      </c>
      <c r="Q74" s="2">
        <v>3</v>
      </c>
      <c r="R74" s="2" t="s">
        <v>67</v>
      </c>
      <c r="S74" s="2">
        <v>2</v>
      </c>
      <c r="T74" s="2" t="s">
        <v>970</v>
      </c>
    </row>
    <row r="75" spans="1:20">
      <c r="A75" s="2" t="s">
        <v>1134</v>
      </c>
      <c r="B75" s="2" t="s">
        <v>962</v>
      </c>
      <c r="C75" s="2" t="s">
        <v>963</v>
      </c>
      <c r="D75" s="2" t="s">
        <v>964</v>
      </c>
      <c r="E75" s="2" t="s">
        <v>11</v>
      </c>
      <c r="F75" s="2">
        <v>1</v>
      </c>
      <c r="G75" s="2" t="s">
        <v>12</v>
      </c>
      <c r="H75" s="2" t="s">
        <v>11</v>
      </c>
      <c r="I75" s="2">
        <v>1</v>
      </c>
      <c r="J75" s="2" t="s">
        <v>11</v>
      </c>
      <c r="K75" s="2" t="s">
        <v>1618</v>
      </c>
      <c r="L75" s="2" t="s">
        <v>1135</v>
      </c>
      <c r="M75" s="2" t="s">
        <v>1136</v>
      </c>
      <c r="N75" s="2" t="s">
        <v>1137</v>
      </c>
      <c r="O75" s="2" t="s">
        <v>1138</v>
      </c>
      <c r="P75" s="2" t="s">
        <v>1139</v>
      </c>
      <c r="Q75" s="2">
        <v>3</v>
      </c>
      <c r="R75" s="2" t="s">
        <v>67</v>
      </c>
      <c r="S75" s="2">
        <v>2</v>
      </c>
      <c r="T75" s="2" t="s">
        <v>970</v>
      </c>
    </row>
    <row r="76" spans="1:20">
      <c r="A76" s="2" t="s">
        <v>1140</v>
      </c>
      <c r="B76" s="2" t="s">
        <v>962</v>
      </c>
      <c r="C76" s="2" t="s">
        <v>963</v>
      </c>
      <c r="D76" s="2" t="s">
        <v>964</v>
      </c>
      <c r="E76" s="2" t="s">
        <v>11</v>
      </c>
      <c r="F76" s="2">
        <v>1</v>
      </c>
      <c r="G76" s="2" t="s">
        <v>12</v>
      </c>
      <c r="H76" s="2" t="s">
        <v>11</v>
      </c>
      <c r="I76" s="2">
        <v>1</v>
      </c>
      <c r="J76" s="2" t="s">
        <v>11</v>
      </c>
      <c r="K76" s="2" t="s">
        <v>1619</v>
      </c>
      <c r="L76" s="2" t="s">
        <v>1141</v>
      </c>
      <c r="M76" s="2" t="s">
        <v>1136</v>
      </c>
      <c r="N76" s="2" t="s">
        <v>1137</v>
      </c>
      <c r="O76" s="2" t="s">
        <v>1138</v>
      </c>
      <c r="P76" s="2" t="s">
        <v>1139</v>
      </c>
      <c r="Q76" s="2">
        <v>3</v>
      </c>
      <c r="R76" s="2" t="s">
        <v>67</v>
      </c>
      <c r="S76" s="2">
        <v>2</v>
      </c>
      <c r="T76" s="2" t="s">
        <v>970</v>
      </c>
    </row>
    <row r="77" spans="1:20">
      <c r="A77" s="2" t="s">
        <v>1142</v>
      </c>
      <c r="B77" s="2" t="s">
        <v>962</v>
      </c>
      <c r="C77" s="2" t="s">
        <v>963</v>
      </c>
      <c r="D77" s="2" t="s">
        <v>964</v>
      </c>
      <c r="E77" s="2" t="s">
        <v>11</v>
      </c>
      <c r="F77" s="2">
        <v>1</v>
      </c>
      <c r="G77" s="2" t="s">
        <v>12</v>
      </c>
      <c r="H77" s="2" t="s">
        <v>11</v>
      </c>
      <c r="I77" s="2">
        <v>1</v>
      </c>
      <c r="J77" s="2" t="s">
        <v>11</v>
      </c>
      <c r="K77" s="2" t="s">
        <v>1620</v>
      </c>
      <c r="L77" s="2" t="s">
        <v>1143</v>
      </c>
      <c r="M77" s="2" t="s">
        <v>1136</v>
      </c>
      <c r="N77" s="2" t="s">
        <v>1137</v>
      </c>
      <c r="O77" s="2" t="s">
        <v>1138</v>
      </c>
      <c r="P77" s="2" t="s">
        <v>1139</v>
      </c>
      <c r="Q77" s="2">
        <v>3</v>
      </c>
      <c r="R77" s="2" t="s">
        <v>67</v>
      </c>
      <c r="S77" s="2">
        <v>2</v>
      </c>
      <c r="T77" s="2" t="s">
        <v>1065</v>
      </c>
    </row>
    <row r="78" spans="1:20">
      <c r="A78" s="2" t="s">
        <v>1144</v>
      </c>
      <c r="B78" s="2" t="s">
        <v>962</v>
      </c>
      <c r="C78" s="2" t="s">
        <v>963</v>
      </c>
      <c r="D78" s="2" t="s">
        <v>964</v>
      </c>
      <c r="E78" s="2" t="s">
        <v>11</v>
      </c>
      <c r="F78" s="2">
        <v>1</v>
      </c>
      <c r="G78" s="2" t="s">
        <v>12</v>
      </c>
      <c r="H78" s="2" t="s">
        <v>11</v>
      </c>
      <c r="I78" s="2">
        <v>1</v>
      </c>
      <c r="J78" s="2" t="s">
        <v>11</v>
      </c>
      <c r="K78" s="2" t="s">
        <v>1621</v>
      </c>
      <c r="L78" s="2" t="s">
        <v>1145</v>
      </c>
      <c r="M78" s="2" t="s">
        <v>1146</v>
      </c>
      <c r="N78" s="2" t="s">
        <v>1147</v>
      </c>
      <c r="O78" s="2" t="s">
        <v>1148</v>
      </c>
      <c r="P78" s="2" t="s">
        <v>1149</v>
      </c>
      <c r="Q78" s="2">
        <v>3</v>
      </c>
      <c r="R78" s="2" t="s">
        <v>67</v>
      </c>
      <c r="S78" s="2">
        <v>2</v>
      </c>
      <c r="T78" s="2" t="s">
        <v>970</v>
      </c>
    </row>
    <row r="79" spans="1:20">
      <c r="A79" s="2" t="s">
        <v>1150</v>
      </c>
      <c r="B79" s="2" t="s">
        <v>962</v>
      </c>
      <c r="C79" s="2" t="s">
        <v>963</v>
      </c>
      <c r="D79" s="2" t="s">
        <v>964</v>
      </c>
      <c r="E79" s="2" t="s">
        <v>11</v>
      </c>
      <c r="F79" s="2">
        <v>1</v>
      </c>
      <c r="G79" s="2" t="s">
        <v>12</v>
      </c>
      <c r="H79" s="2" t="s">
        <v>11</v>
      </c>
      <c r="I79" s="2">
        <v>1</v>
      </c>
      <c r="J79" s="2" t="s">
        <v>11</v>
      </c>
      <c r="K79" s="2" t="s">
        <v>1622</v>
      </c>
      <c r="L79" s="2" t="s">
        <v>1151</v>
      </c>
      <c r="M79" s="2" t="s">
        <v>1146</v>
      </c>
      <c r="N79" s="2" t="s">
        <v>1147</v>
      </c>
      <c r="O79" s="2" t="s">
        <v>1148</v>
      </c>
      <c r="P79" s="2" t="s">
        <v>1149</v>
      </c>
      <c r="Q79" s="2">
        <v>2</v>
      </c>
      <c r="R79" s="2" t="s">
        <v>142</v>
      </c>
      <c r="S79" s="2">
        <v>2</v>
      </c>
      <c r="T79" s="2" t="s">
        <v>970</v>
      </c>
    </row>
    <row r="80" spans="1:20">
      <c r="A80" s="2" t="s">
        <v>1152</v>
      </c>
      <c r="B80" s="2" t="s">
        <v>962</v>
      </c>
      <c r="C80" s="2" t="s">
        <v>963</v>
      </c>
      <c r="D80" s="2" t="s">
        <v>964</v>
      </c>
      <c r="E80" s="2" t="s">
        <v>11</v>
      </c>
      <c r="F80" s="2">
        <v>1</v>
      </c>
      <c r="G80" s="2" t="s">
        <v>12</v>
      </c>
      <c r="H80" s="2" t="s">
        <v>11</v>
      </c>
      <c r="I80" s="2">
        <v>1</v>
      </c>
      <c r="J80" s="2" t="s">
        <v>11</v>
      </c>
      <c r="K80" s="2" t="s">
        <v>1623</v>
      </c>
      <c r="L80" s="2" t="s">
        <v>1153</v>
      </c>
      <c r="M80" s="2" t="s">
        <v>1154</v>
      </c>
      <c r="N80" s="2" t="s">
        <v>1155</v>
      </c>
      <c r="O80" s="2" t="s">
        <v>1155</v>
      </c>
      <c r="P80" s="2" t="s">
        <v>1156</v>
      </c>
      <c r="Q80" s="2">
        <v>3</v>
      </c>
      <c r="R80" s="2" t="s">
        <v>67</v>
      </c>
      <c r="S80" s="2">
        <v>2</v>
      </c>
      <c r="T80" s="2" t="s">
        <v>970</v>
      </c>
    </row>
    <row r="81" spans="1:20">
      <c r="A81" s="2" t="s">
        <v>1157</v>
      </c>
      <c r="B81" s="2" t="s">
        <v>962</v>
      </c>
      <c r="C81" s="2" t="s">
        <v>963</v>
      </c>
      <c r="D81" s="2" t="s">
        <v>964</v>
      </c>
      <c r="E81" s="2" t="s">
        <v>11</v>
      </c>
      <c r="F81" s="2">
        <v>1</v>
      </c>
      <c r="G81" s="2" t="s">
        <v>12</v>
      </c>
      <c r="H81" s="2" t="s">
        <v>11</v>
      </c>
      <c r="I81" s="2">
        <v>1</v>
      </c>
      <c r="J81" s="2" t="s">
        <v>11</v>
      </c>
      <c r="K81" s="2" t="s">
        <v>1624</v>
      </c>
      <c r="L81" s="2" t="s">
        <v>1158</v>
      </c>
      <c r="M81" s="2" t="s">
        <v>1154</v>
      </c>
      <c r="N81" s="2" t="s">
        <v>1155</v>
      </c>
      <c r="O81" s="2" t="s">
        <v>1155</v>
      </c>
      <c r="P81" s="2" t="s">
        <v>1156</v>
      </c>
      <c r="Q81" s="2">
        <v>3</v>
      </c>
      <c r="R81" s="2" t="s">
        <v>67</v>
      </c>
      <c r="S81" s="2">
        <v>2</v>
      </c>
      <c r="T81" s="2" t="s">
        <v>970</v>
      </c>
    </row>
    <row r="82" spans="1:20">
      <c r="A82" s="2" t="s">
        <v>1159</v>
      </c>
      <c r="B82" s="2" t="s">
        <v>962</v>
      </c>
      <c r="C82" s="2" t="s">
        <v>963</v>
      </c>
      <c r="D82" s="2" t="s">
        <v>964</v>
      </c>
      <c r="E82" s="2" t="s">
        <v>11</v>
      </c>
      <c r="F82" s="2">
        <v>1</v>
      </c>
      <c r="G82" s="2" t="s">
        <v>12</v>
      </c>
      <c r="H82" s="2" t="s">
        <v>11</v>
      </c>
      <c r="I82" s="2">
        <v>1</v>
      </c>
      <c r="J82" s="2" t="s">
        <v>11</v>
      </c>
      <c r="K82" s="2" t="s">
        <v>1625</v>
      </c>
      <c r="L82" s="2" t="s">
        <v>1160</v>
      </c>
      <c r="M82" s="2" t="s">
        <v>1154</v>
      </c>
      <c r="N82" s="2" t="s">
        <v>1155</v>
      </c>
      <c r="O82" s="2" t="s">
        <v>1155</v>
      </c>
      <c r="P82" s="2" t="s">
        <v>1156</v>
      </c>
      <c r="Q82" s="2">
        <v>3</v>
      </c>
      <c r="R82" s="2" t="s">
        <v>67</v>
      </c>
      <c r="S82" s="2">
        <v>2</v>
      </c>
      <c r="T82" s="2" t="s">
        <v>970</v>
      </c>
    </row>
    <row r="83" spans="1:20">
      <c r="A83" s="2" t="s">
        <v>1161</v>
      </c>
      <c r="B83" s="2" t="s">
        <v>962</v>
      </c>
      <c r="C83" s="2" t="s">
        <v>963</v>
      </c>
      <c r="D83" s="2" t="s">
        <v>964</v>
      </c>
      <c r="E83" s="2" t="s">
        <v>11</v>
      </c>
      <c r="F83" s="2">
        <v>1</v>
      </c>
      <c r="G83" s="2" t="s">
        <v>12</v>
      </c>
      <c r="H83" s="2" t="s">
        <v>11</v>
      </c>
      <c r="I83" s="2">
        <v>1</v>
      </c>
      <c r="J83" s="2" t="s">
        <v>11</v>
      </c>
      <c r="K83" s="2" t="s">
        <v>1626</v>
      </c>
      <c r="L83" s="2" t="s">
        <v>298</v>
      </c>
      <c r="M83" s="2" t="s">
        <v>1154</v>
      </c>
      <c r="N83" s="2" t="s">
        <v>1155</v>
      </c>
      <c r="O83" s="2" t="s">
        <v>1155</v>
      </c>
      <c r="P83" s="2" t="s">
        <v>1156</v>
      </c>
      <c r="Q83" s="2">
        <v>3</v>
      </c>
      <c r="R83" s="2" t="s">
        <v>67</v>
      </c>
      <c r="S83" s="2">
        <v>2</v>
      </c>
      <c r="T83" s="2" t="s">
        <v>970</v>
      </c>
    </row>
    <row r="84" spans="1:20">
      <c r="A84" s="2" t="s">
        <v>1162</v>
      </c>
      <c r="B84" s="2" t="s">
        <v>962</v>
      </c>
      <c r="C84" s="2" t="s">
        <v>963</v>
      </c>
      <c r="D84" s="2" t="s">
        <v>964</v>
      </c>
      <c r="E84" s="2" t="s">
        <v>11</v>
      </c>
      <c r="F84" s="2">
        <v>1</v>
      </c>
      <c r="G84" s="2" t="s">
        <v>12</v>
      </c>
      <c r="H84" s="2" t="s">
        <v>11</v>
      </c>
      <c r="I84" s="2">
        <v>1</v>
      </c>
      <c r="J84" s="2" t="s">
        <v>11</v>
      </c>
      <c r="K84" s="2" t="s">
        <v>1627</v>
      </c>
      <c r="L84" s="2" t="s">
        <v>1163</v>
      </c>
      <c r="M84" s="2" t="s">
        <v>1154</v>
      </c>
      <c r="N84" s="2" t="s">
        <v>1155</v>
      </c>
      <c r="O84" s="2" t="s">
        <v>1155</v>
      </c>
      <c r="P84" s="2" t="s">
        <v>1156</v>
      </c>
      <c r="Q84" s="2">
        <v>3</v>
      </c>
      <c r="R84" s="2" t="s">
        <v>67</v>
      </c>
      <c r="S84" s="2">
        <v>2</v>
      </c>
      <c r="T84" s="2" t="s">
        <v>970</v>
      </c>
    </row>
    <row r="85" spans="1:20">
      <c r="A85" s="2" t="s">
        <v>1164</v>
      </c>
      <c r="B85" s="2" t="s">
        <v>962</v>
      </c>
      <c r="C85" s="2" t="s">
        <v>963</v>
      </c>
      <c r="D85" s="2" t="s">
        <v>964</v>
      </c>
      <c r="E85" s="2" t="s">
        <v>11</v>
      </c>
      <c r="F85" s="2">
        <v>1</v>
      </c>
      <c r="G85" s="2" t="s">
        <v>12</v>
      </c>
      <c r="H85" s="2" t="s">
        <v>11</v>
      </c>
      <c r="I85" s="2">
        <v>1</v>
      </c>
      <c r="J85" s="2" t="s">
        <v>11</v>
      </c>
      <c r="K85" s="2" t="s">
        <v>1628</v>
      </c>
      <c r="L85" s="2" t="s">
        <v>1165</v>
      </c>
      <c r="M85" s="2" t="s">
        <v>1154</v>
      </c>
      <c r="N85" s="2" t="s">
        <v>1155</v>
      </c>
      <c r="O85" s="2" t="s">
        <v>1155</v>
      </c>
      <c r="P85" s="2" t="s">
        <v>1156</v>
      </c>
      <c r="Q85" s="2">
        <v>3</v>
      </c>
      <c r="R85" s="2" t="s">
        <v>67</v>
      </c>
      <c r="S85" s="2">
        <v>2</v>
      </c>
      <c r="T85" s="2" t="s">
        <v>970</v>
      </c>
    </row>
    <row r="86" spans="1:20">
      <c r="A86" s="2" t="s">
        <v>1166</v>
      </c>
      <c r="B86" s="2" t="s">
        <v>962</v>
      </c>
      <c r="C86" s="2" t="s">
        <v>963</v>
      </c>
      <c r="D86" s="2" t="s">
        <v>964</v>
      </c>
      <c r="E86" s="2" t="s">
        <v>11</v>
      </c>
      <c r="F86" s="2">
        <v>1</v>
      </c>
      <c r="G86" s="2" t="s">
        <v>12</v>
      </c>
      <c r="H86" s="2" t="s">
        <v>11</v>
      </c>
      <c r="I86" s="2">
        <v>1</v>
      </c>
      <c r="J86" s="2" t="s">
        <v>11</v>
      </c>
      <c r="K86" s="2" t="s">
        <v>1629</v>
      </c>
      <c r="L86" s="2" t="s">
        <v>1167</v>
      </c>
      <c r="M86" s="2" t="s">
        <v>1154</v>
      </c>
      <c r="N86" s="2" t="s">
        <v>1155</v>
      </c>
      <c r="O86" s="2" t="s">
        <v>1155</v>
      </c>
      <c r="P86" s="2" t="s">
        <v>1156</v>
      </c>
      <c r="Q86" s="2">
        <v>3</v>
      </c>
      <c r="R86" s="2" t="s">
        <v>67</v>
      </c>
      <c r="S86" s="2">
        <v>2</v>
      </c>
      <c r="T86" s="2" t="s">
        <v>970</v>
      </c>
    </row>
    <row r="87" spans="1:20">
      <c r="A87" s="2" t="s">
        <v>1168</v>
      </c>
      <c r="B87" s="2" t="s">
        <v>962</v>
      </c>
      <c r="C87" s="2" t="s">
        <v>963</v>
      </c>
      <c r="D87" s="2" t="s">
        <v>964</v>
      </c>
      <c r="E87" s="2" t="s">
        <v>11</v>
      </c>
      <c r="F87" s="2">
        <v>1</v>
      </c>
      <c r="G87" s="2" t="s">
        <v>12</v>
      </c>
      <c r="H87" s="2" t="s">
        <v>11</v>
      </c>
      <c r="I87" s="2">
        <v>1</v>
      </c>
      <c r="J87" s="2" t="s">
        <v>11</v>
      </c>
      <c r="K87" s="2" t="s">
        <v>1630</v>
      </c>
      <c r="L87" s="2" t="s">
        <v>1169</v>
      </c>
      <c r="M87" s="2" t="s">
        <v>1154</v>
      </c>
      <c r="N87" s="2" t="s">
        <v>1155</v>
      </c>
      <c r="O87" s="2" t="s">
        <v>1155</v>
      </c>
      <c r="P87" s="2" t="s">
        <v>1156</v>
      </c>
      <c r="Q87" s="2">
        <v>3</v>
      </c>
      <c r="R87" s="2" t="s">
        <v>67</v>
      </c>
      <c r="S87" s="2">
        <v>2</v>
      </c>
      <c r="T87" s="2" t="s">
        <v>970</v>
      </c>
    </row>
    <row r="88" spans="1:20">
      <c r="A88" s="2" t="s">
        <v>1170</v>
      </c>
      <c r="B88" s="2" t="s">
        <v>962</v>
      </c>
      <c r="C88" s="2" t="s">
        <v>963</v>
      </c>
      <c r="D88" s="2" t="s">
        <v>964</v>
      </c>
      <c r="E88" s="2" t="s">
        <v>11</v>
      </c>
      <c r="F88" s="2">
        <v>1</v>
      </c>
      <c r="G88" s="2" t="s">
        <v>12</v>
      </c>
      <c r="H88" s="2" t="s">
        <v>11</v>
      </c>
      <c r="I88" s="2">
        <v>1</v>
      </c>
      <c r="J88" s="2" t="s">
        <v>11</v>
      </c>
      <c r="K88" s="2" t="s">
        <v>1631</v>
      </c>
      <c r="L88" s="2" t="s">
        <v>1171</v>
      </c>
      <c r="M88" s="2" t="s">
        <v>1154</v>
      </c>
      <c r="N88" s="2" t="s">
        <v>1155</v>
      </c>
      <c r="O88" s="2" t="s">
        <v>1155</v>
      </c>
      <c r="P88" s="2" t="s">
        <v>1156</v>
      </c>
      <c r="Q88" s="2">
        <v>3</v>
      </c>
      <c r="R88" s="2" t="s">
        <v>67</v>
      </c>
      <c r="S88" s="2">
        <v>2</v>
      </c>
      <c r="T88" s="2" t="s">
        <v>970</v>
      </c>
    </row>
    <row r="89" spans="1:20">
      <c r="A89" s="2" t="s">
        <v>1172</v>
      </c>
      <c r="B89" s="2" t="s">
        <v>962</v>
      </c>
      <c r="C89" s="2" t="s">
        <v>963</v>
      </c>
      <c r="D89" s="2" t="s">
        <v>964</v>
      </c>
      <c r="E89" s="2" t="s">
        <v>11</v>
      </c>
      <c r="F89" s="2">
        <v>1</v>
      </c>
      <c r="G89" s="2" t="s">
        <v>12</v>
      </c>
      <c r="H89" s="2" t="s">
        <v>11</v>
      </c>
      <c r="I89" s="2">
        <v>1</v>
      </c>
      <c r="J89" s="2" t="s">
        <v>11</v>
      </c>
      <c r="K89" s="2" t="s">
        <v>1632</v>
      </c>
      <c r="L89" s="2" t="s">
        <v>1173</v>
      </c>
      <c r="M89" s="2" t="s">
        <v>1174</v>
      </c>
      <c r="N89" s="2" t="s">
        <v>1175</v>
      </c>
      <c r="O89" s="2" t="s">
        <v>1175</v>
      </c>
      <c r="P89" s="2" t="s">
        <v>1176</v>
      </c>
      <c r="Q89" s="2">
        <v>3</v>
      </c>
      <c r="R89" s="2" t="s">
        <v>67</v>
      </c>
      <c r="S89" s="2">
        <v>2</v>
      </c>
      <c r="T89" s="2" t="s">
        <v>970</v>
      </c>
    </row>
    <row r="90" spans="1:20">
      <c r="A90" s="2" t="s">
        <v>1177</v>
      </c>
      <c r="B90" s="2" t="s">
        <v>962</v>
      </c>
      <c r="C90" s="2" t="s">
        <v>963</v>
      </c>
      <c r="D90" s="2" t="s">
        <v>964</v>
      </c>
      <c r="E90" s="2" t="s">
        <v>11</v>
      </c>
      <c r="F90" s="2">
        <v>1</v>
      </c>
      <c r="G90" s="2" t="s">
        <v>12</v>
      </c>
      <c r="H90" s="2" t="s">
        <v>11</v>
      </c>
      <c r="I90" s="2">
        <v>1</v>
      </c>
      <c r="J90" s="2" t="s">
        <v>11</v>
      </c>
      <c r="K90" s="2" t="s">
        <v>1633</v>
      </c>
      <c r="L90" s="2" t="s">
        <v>1178</v>
      </c>
      <c r="M90" s="2" t="s">
        <v>1174</v>
      </c>
      <c r="N90" s="2" t="s">
        <v>1175</v>
      </c>
      <c r="O90" s="2" t="s">
        <v>1175</v>
      </c>
      <c r="P90" s="2" t="s">
        <v>1176</v>
      </c>
      <c r="Q90" s="2">
        <v>3</v>
      </c>
      <c r="R90" s="2" t="s">
        <v>67</v>
      </c>
      <c r="S90" s="2">
        <v>2</v>
      </c>
      <c r="T90" s="2" t="s">
        <v>970</v>
      </c>
    </row>
    <row r="91" spans="1:20">
      <c r="A91" s="2" t="s">
        <v>1179</v>
      </c>
      <c r="B91" s="2" t="s">
        <v>962</v>
      </c>
      <c r="C91" s="2" t="s">
        <v>963</v>
      </c>
      <c r="D91" s="2" t="s">
        <v>964</v>
      </c>
      <c r="E91" s="2" t="s">
        <v>11</v>
      </c>
      <c r="F91" s="2">
        <v>1</v>
      </c>
      <c r="G91" s="2" t="s">
        <v>12</v>
      </c>
      <c r="H91" s="2" t="s">
        <v>11</v>
      </c>
      <c r="I91" s="2">
        <v>1</v>
      </c>
      <c r="J91" s="2" t="s">
        <v>11</v>
      </c>
      <c r="K91" s="2" t="s">
        <v>1634</v>
      </c>
      <c r="L91" s="2" t="s">
        <v>1180</v>
      </c>
      <c r="M91" s="2" t="s">
        <v>1174</v>
      </c>
      <c r="N91" s="2" t="s">
        <v>1175</v>
      </c>
      <c r="O91" s="2" t="s">
        <v>1175</v>
      </c>
      <c r="P91" s="2" t="s">
        <v>1176</v>
      </c>
      <c r="Q91" s="2">
        <v>3</v>
      </c>
      <c r="R91" s="2" t="s">
        <v>67</v>
      </c>
      <c r="S91" s="2">
        <v>2</v>
      </c>
      <c r="T91" s="2" t="s">
        <v>970</v>
      </c>
    </row>
    <row r="92" spans="1:20">
      <c r="A92" s="2" t="s">
        <v>1181</v>
      </c>
      <c r="B92" s="2" t="s">
        <v>962</v>
      </c>
      <c r="C92" s="2" t="s">
        <v>963</v>
      </c>
      <c r="D92" s="2" t="s">
        <v>964</v>
      </c>
      <c r="E92" s="2" t="s">
        <v>11</v>
      </c>
      <c r="F92" s="2">
        <v>1</v>
      </c>
      <c r="G92" s="2" t="s">
        <v>12</v>
      </c>
      <c r="H92" s="2" t="s">
        <v>11</v>
      </c>
      <c r="I92" s="2">
        <v>1</v>
      </c>
      <c r="J92" s="2" t="s">
        <v>11</v>
      </c>
      <c r="K92" s="2" t="s">
        <v>1635</v>
      </c>
      <c r="L92" s="2" t="s">
        <v>1182</v>
      </c>
      <c r="M92" s="2" t="s">
        <v>1174</v>
      </c>
      <c r="N92" s="2" t="s">
        <v>1175</v>
      </c>
      <c r="O92" s="2" t="s">
        <v>1175</v>
      </c>
      <c r="P92" s="2" t="s">
        <v>1176</v>
      </c>
      <c r="Q92" s="2">
        <v>3</v>
      </c>
      <c r="R92" s="2" t="s">
        <v>67</v>
      </c>
      <c r="S92" s="2">
        <v>1</v>
      </c>
      <c r="T92" s="2" t="s">
        <v>1065</v>
      </c>
    </row>
    <row r="93" spans="1:20">
      <c r="A93" s="2" t="s">
        <v>1183</v>
      </c>
      <c r="B93" s="2" t="s">
        <v>962</v>
      </c>
      <c r="C93" s="2" t="s">
        <v>963</v>
      </c>
      <c r="D93" s="2" t="s">
        <v>964</v>
      </c>
      <c r="E93" s="2" t="s">
        <v>11</v>
      </c>
      <c r="F93" s="2">
        <v>1</v>
      </c>
      <c r="G93" s="2" t="s">
        <v>12</v>
      </c>
      <c r="H93" s="2" t="s">
        <v>11</v>
      </c>
      <c r="I93" s="2">
        <v>1</v>
      </c>
      <c r="J93" s="2" t="s">
        <v>11</v>
      </c>
      <c r="K93" s="2" t="s">
        <v>1636</v>
      </c>
      <c r="L93" s="2" t="s">
        <v>1184</v>
      </c>
      <c r="M93" s="2" t="s">
        <v>1174</v>
      </c>
      <c r="N93" s="2" t="s">
        <v>1175</v>
      </c>
      <c r="O93" s="2" t="s">
        <v>1175</v>
      </c>
      <c r="P93" s="2" t="s">
        <v>1176</v>
      </c>
      <c r="Q93" s="2">
        <v>3</v>
      </c>
      <c r="R93" s="2" t="s">
        <v>67</v>
      </c>
      <c r="S93" s="2">
        <v>2</v>
      </c>
      <c r="T93" s="2" t="s">
        <v>970</v>
      </c>
    </row>
    <row r="94" spans="1:20">
      <c r="A94" s="2" t="s">
        <v>1185</v>
      </c>
      <c r="B94" s="2" t="s">
        <v>962</v>
      </c>
      <c r="C94" s="2" t="s">
        <v>963</v>
      </c>
      <c r="D94" s="2" t="s">
        <v>964</v>
      </c>
      <c r="E94" s="2" t="s">
        <v>11</v>
      </c>
      <c r="F94" s="2">
        <v>1</v>
      </c>
      <c r="G94" s="2" t="s">
        <v>12</v>
      </c>
      <c r="H94" s="2" t="s">
        <v>11</v>
      </c>
      <c r="I94" s="2">
        <v>1</v>
      </c>
      <c r="J94" s="2" t="s">
        <v>11</v>
      </c>
      <c r="K94" s="2" t="s">
        <v>1637</v>
      </c>
      <c r="L94" s="2" t="s">
        <v>1186</v>
      </c>
      <c r="M94" s="2" t="s">
        <v>1174</v>
      </c>
      <c r="N94" s="2" t="s">
        <v>1175</v>
      </c>
      <c r="O94" s="2" t="s">
        <v>1175</v>
      </c>
      <c r="P94" s="2" t="s">
        <v>1176</v>
      </c>
      <c r="Q94" s="2">
        <v>3</v>
      </c>
      <c r="R94" s="2" t="s">
        <v>67</v>
      </c>
      <c r="S94" s="2">
        <v>1</v>
      </c>
      <c r="T94" s="2" t="s">
        <v>1065</v>
      </c>
    </row>
    <row r="95" spans="1:20">
      <c r="A95" s="2" t="s">
        <v>1187</v>
      </c>
      <c r="B95" s="2" t="s">
        <v>962</v>
      </c>
      <c r="C95" s="2" t="s">
        <v>963</v>
      </c>
      <c r="D95" s="2" t="s">
        <v>964</v>
      </c>
      <c r="E95" s="2" t="s">
        <v>11</v>
      </c>
      <c r="F95" s="2">
        <v>1</v>
      </c>
      <c r="G95" s="2" t="s">
        <v>12</v>
      </c>
      <c r="H95" s="2" t="s">
        <v>11</v>
      </c>
      <c r="I95" s="2">
        <v>1</v>
      </c>
      <c r="J95" s="2" t="s">
        <v>11</v>
      </c>
      <c r="K95" s="2" t="s">
        <v>1638</v>
      </c>
      <c r="L95" s="2" t="s">
        <v>1188</v>
      </c>
      <c r="M95" s="2" t="s">
        <v>1189</v>
      </c>
      <c r="N95" s="2" t="s">
        <v>1190</v>
      </c>
      <c r="O95" s="2" t="s">
        <v>1191</v>
      </c>
      <c r="P95" s="2" t="s">
        <v>1192</v>
      </c>
      <c r="Q95" s="2">
        <v>3</v>
      </c>
      <c r="R95" s="2" t="s">
        <v>67</v>
      </c>
      <c r="S95" s="2">
        <v>2</v>
      </c>
      <c r="T95" s="2" t="s">
        <v>970</v>
      </c>
    </row>
    <row r="96" spans="1:20">
      <c r="A96" s="2" t="s">
        <v>1193</v>
      </c>
      <c r="B96" s="2" t="s">
        <v>962</v>
      </c>
      <c r="C96" s="2" t="s">
        <v>963</v>
      </c>
      <c r="D96" s="2" t="s">
        <v>964</v>
      </c>
      <c r="E96" s="2" t="s">
        <v>11</v>
      </c>
      <c r="F96" s="2">
        <v>1</v>
      </c>
      <c r="G96" s="2" t="s">
        <v>12</v>
      </c>
      <c r="H96" s="2" t="s">
        <v>11</v>
      </c>
      <c r="I96" s="2">
        <v>1</v>
      </c>
      <c r="J96" s="2" t="s">
        <v>11</v>
      </c>
      <c r="K96" s="2" t="s">
        <v>1639</v>
      </c>
      <c r="L96" s="2" t="s">
        <v>1194</v>
      </c>
      <c r="M96" s="2" t="s">
        <v>1189</v>
      </c>
      <c r="N96" s="2" t="s">
        <v>1190</v>
      </c>
      <c r="O96" s="2" t="s">
        <v>1191</v>
      </c>
      <c r="P96" s="2" t="s">
        <v>1192</v>
      </c>
      <c r="Q96" s="2">
        <v>3</v>
      </c>
      <c r="R96" s="2" t="s">
        <v>67</v>
      </c>
      <c r="S96" s="2">
        <v>2</v>
      </c>
      <c r="T96" s="2" t="s">
        <v>970</v>
      </c>
    </row>
    <row r="97" spans="1:20">
      <c r="A97" s="2" t="s">
        <v>1195</v>
      </c>
      <c r="B97" s="2" t="s">
        <v>962</v>
      </c>
      <c r="C97" s="2" t="s">
        <v>963</v>
      </c>
      <c r="D97" s="2" t="s">
        <v>964</v>
      </c>
      <c r="E97" s="2" t="s">
        <v>11</v>
      </c>
      <c r="F97" s="2">
        <v>1</v>
      </c>
      <c r="G97" s="2" t="s">
        <v>12</v>
      </c>
      <c r="H97" s="2" t="s">
        <v>11</v>
      </c>
      <c r="I97" s="2">
        <v>1</v>
      </c>
      <c r="J97" s="2" t="s">
        <v>11</v>
      </c>
      <c r="K97" s="2" t="s">
        <v>1640</v>
      </c>
      <c r="L97" s="2" t="s">
        <v>1196</v>
      </c>
      <c r="M97" s="2" t="s">
        <v>1189</v>
      </c>
      <c r="N97" s="2" t="s">
        <v>1190</v>
      </c>
      <c r="O97" s="2" t="s">
        <v>1191</v>
      </c>
      <c r="P97" s="2" t="s">
        <v>1192</v>
      </c>
      <c r="Q97" s="2">
        <v>3</v>
      </c>
      <c r="R97" s="2" t="s">
        <v>67</v>
      </c>
      <c r="S97" s="2">
        <v>2</v>
      </c>
      <c r="T97" s="2" t="s">
        <v>970</v>
      </c>
    </row>
    <row r="98" spans="1:20">
      <c r="A98" s="2" t="s">
        <v>1197</v>
      </c>
      <c r="B98" s="2" t="s">
        <v>962</v>
      </c>
      <c r="C98" s="2" t="s">
        <v>963</v>
      </c>
      <c r="D98" s="2" t="s">
        <v>964</v>
      </c>
      <c r="E98" s="2" t="s">
        <v>11</v>
      </c>
      <c r="F98" s="2">
        <v>1</v>
      </c>
      <c r="G98" s="2" t="s">
        <v>12</v>
      </c>
      <c r="H98" s="2" t="s">
        <v>11</v>
      </c>
      <c r="I98" s="2">
        <v>1</v>
      </c>
      <c r="J98" s="2" t="s">
        <v>11</v>
      </c>
      <c r="K98" s="2" t="s">
        <v>1641</v>
      </c>
      <c r="L98" s="2" t="s">
        <v>1198</v>
      </c>
      <c r="M98" s="2" t="s">
        <v>1199</v>
      </c>
      <c r="N98" s="2" t="s">
        <v>1198</v>
      </c>
      <c r="O98" s="2" t="s">
        <v>1200</v>
      </c>
      <c r="P98" s="2" t="s">
        <v>1201</v>
      </c>
      <c r="Q98" s="2">
        <v>3</v>
      </c>
      <c r="R98" s="2" t="s">
        <v>67</v>
      </c>
      <c r="S98" s="2">
        <v>2</v>
      </c>
      <c r="T98" s="2" t="s">
        <v>970</v>
      </c>
    </row>
    <row r="99" spans="1:20">
      <c r="A99" s="2" t="s">
        <v>1202</v>
      </c>
      <c r="B99" s="2" t="s">
        <v>962</v>
      </c>
      <c r="C99" s="2" t="s">
        <v>963</v>
      </c>
      <c r="D99" s="2" t="s">
        <v>964</v>
      </c>
      <c r="E99" s="2" t="s">
        <v>11</v>
      </c>
      <c r="F99" s="2">
        <v>1</v>
      </c>
      <c r="G99" s="2" t="s">
        <v>12</v>
      </c>
      <c r="H99" s="2" t="s">
        <v>11</v>
      </c>
      <c r="I99" s="2">
        <v>1</v>
      </c>
      <c r="J99" s="2" t="s">
        <v>11</v>
      </c>
      <c r="K99" s="2" t="s">
        <v>1642</v>
      </c>
      <c r="L99" s="2" t="s">
        <v>340</v>
      </c>
      <c r="M99" s="2" t="s">
        <v>1199</v>
      </c>
      <c r="N99" s="2" t="s">
        <v>1198</v>
      </c>
      <c r="O99" s="2" t="s">
        <v>1200</v>
      </c>
      <c r="P99" s="2" t="s">
        <v>1201</v>
      </c>
      <c r="Q99" s="2">
        <v>3</v>
      </c>
      <c r="R99" s="2" t="s">
        <v>67</v>
      </c>
      <c r="S99" s="2">
        <v>2</v>
      </c>
      <c r="T99" s="2" t="s">
        <v>970</v>
      </c>
    </row>
    <row r="100" spans="1:20">
      <c r="A100" s="2" t="s">
        <v>1203</v>
      </c>
      <c r="B100" s="2" t="s">
        <v>962</v>
      </c>
      <c r="C100" s="2" t="s">
        <v>963</v>
      </c>
      <c r="D100" s="2" t="s">
        <v>964</v>
      </c>
      <c r="E100" s="2" t="s">
        <v>11</v>
      </c>
      <c r="F100" s="2">
        <v>1</v>
      </c>
      <c r="G100" s="2" t="s">
        <v>12</v>
      </c>
      <c r="H100" s="2" t="s">
        <v>11</v>
      </c>
      <c r="I100" s="2">
        <v>1</v>
      </c>
      <c r="J100" s="2" t="s">
        <v>11</v>
      </c>
      <c r="K100" s="2" t="s">
        <v>1643</v>
      </c>
      <c r="L100" s="2" t="s">
        <v>1204</v>
      </c>
      <c r="M100" s="2" t="s">
        <v>1205</v>
      </c>
      <c r="N100" s="2" t="s">
        <v>1206</v>
      </c>
      <c r="O100" s="2" t="s">
        <v>1207</v>
      </c>
      <c r="P100" s="2" t="s">
        <v>1208</v>
      </c>
      <c r="Q100" s="2">
        <v>3</v>
      </c>
      <c r="R100" s="2" t="s">
        <v>67</v>
      </c>
      <c r="S100" s="2">
        <v>2</v>
      </c>
      <c r="T100" s="2" t="s">
        <v>970</v>
      </c>
    </row>
    <row r="101" spans="1:20">
      <c r="A101" s="2" t="s">
        <v>1209</v>
      </c>
      <c r="B101" s="2" t="s">
        <v>962</v>
      </c>
      <c r="C101" s="2" t="s">
        <v>963</v>
      </c>
      <c r="D101" s="2" t="s">
        <v>964</v>
      </c>
      <c r="E101" s="2" t="s">
        <v>11</v>
      </c>
      <c r="F101" s="2">
        <v>1</v>
      </c>
      <c r="G101" s="2" t="s">
        <v>12</v>
      </c>
      <c r="H101" s="2" t="s">
        <v>11</v>
      </c>
      <c r="I101" s="2">
        <v>1</v>
      </c>
      <c r="J101" s="2" t="s">
        <v>11</v>
      </c>
      <c r="K101" s="2" t="s">
        <v>1644</v>
      </c>
      <c r="L101" s="2" t="s">
        <v>1210</v>
      </c>
      <c r="M101" s="2" t="s">
        <v>1205</v>
      </c>
      <c r="N101" s="2" t="s">
        <v>1206</v>
      </c>
      <c r="O101" s="2" t="s">
        <v>1207</v>
      </c>
      <c r="P101" s="2" t="s">
        <v>1208</v>
      </c>
      <c r="Q101" s="2">
        <v>3</v>
      </c>
      <c r="R101" s="2" t="s">
        <v>67</v>
      </c>
      <c r="S101" s="2">
        <v>1</v>
      </c>
      <c r="T101" s="2" t="s">
        <v>1065</v>
      </c>
    </row>
    <row r="102" spans="1:20">
      <c r="A102" s="2" t="s">
        <v>1211</v>
      </c>
      <c r="B102" s="2" t="s">
        <v>962</v>
      </c>
      <c r="C102" s="2" t="s">
        <v>963</v>
      </c>
      <c r="D102" s="2" t="s">
        <v>964</v>
      </c>
      <c r="E102" s="2" t="s">
        <v>11</v>
      </c>
      <c r="F102" s="2">
        <v>1</v>
      </c>
      <c r="G102" s="2" t="s">
        <v>12</v>
      </c>
      <c r="H102" s="2" t="s">
        <v>11</v>
      </c>
      <c r="I102" s="2">
        <v>1</v>
      </c>
      <c r="J102" s="2" t="s">
        <v>11</v>
      </c>
      <c r="K102" s="2" t="s">
        <v>1645</v>
      </c>
      <c r="L102" s="2" t="s">
        <v>1212</v>
      </c>
      <c r="M102" s="2" t="s">
        <v>1205</v>
      </c>
      <c r="N102" s="2" t="s">
        <v>1206</v>
      </c>
      <c r="O102" s="2" t="s">
        <v>1207</v>
      </c>
      <c r="P102" s="2" t="s">
        <v>1208</v>
      </c>
      <c r="Q102" s="2">
        <v>2</v>
      </c>
      <c r="R102" s="2" t="s">
        <v>142</v>
      </c>
      <c r="S102" s="2">
        <v>1</v>
      </c>
      <c r="T102" s="2" t="s">
        <v>1065</v>
      </c>
    </row>
    <row r="103" spans="1:20">
      <c r="A103" s="2" t="s">
        <v>1213</v>
      </c>
      <c r="B103" s="2" t="s">
        <v>962</v>
      </c>
      <c r="C103" s="2" t="s">
        <v>963</v>
      </c>
      <c r="D103" s="2" t="s">
        <v>964</v>
      </c>
      <c r="E103" s="2" t="s">
        <v>11</v>
      </c>
      <c r="F103" s="2">
        <v>1</v>
      </c>
      <c r="G103" s="2" t="s">
        <v>12</v>
      </c>
      <c r="H103" s="2" t="s">
        <v>11</v>
      </c>
      <c r="I103" s="2">
        <v>1</v>
      </c>
      <c r="J103" s="2" t="s">
        <v>11</v>
      </c>
      <c r="K103" s="2" t="s">
        <v>1646</v>
      </c>
      <c r="L103" s="2" t="s">
        <v>1214</v>
      </c>
      <c r="M103" s="2" t="s">
        <v>1215</v>
      </c>
      <c r="N103" s="2" t="s">
        <v>1216</v>
      </c>
      <c r="O103" s="2" t="s">
        <v>1217</v>
      </c>
      <c r="P103" s="2" t="s">
        <v>1218</v>
      </c>
      <c r="Q103" s="2">
        <v>3</v>
      </c>
      <c r="R103" s="2" t="s">
        <v>67</v>
      </c>
      <c r="S103" s="2">
        <v>2</v>
      </c>
      <c r="T103" s="2" t="s">
        <v>970</v>
      </c>
    </row>
    <row r="104" spans="1:20">
      <c r="A104" s="2" t="s">
        <v>1219</v>
      </c>
      <c r="B104" s="2" t="s">
        <v>962</v>
      </c>
      <c r="C104" s="2" t="s">
        <v>963</v>
      </c>
      <c r="D104" s="2" t="s">
        <v>964</v>
      </c>
      <c r="E104" s="2" t="s">
        <v>11</v>
      </c>
      <c r="F104" s="2">
        <v>1</v>
      </c>
      <c r="G104" s="2" t="s">
        <v>12</v>
      </c>
      <c r="H104" s="2" t="s">
        <v>11</v>
      </c>
      <c r="I104" s="2">
        <v>1</v>
      </c>
      <c r="J104" s="2" t="s">
        <v>11</v>
      </c>
      <c r="K104" s="2" t="s">
        <v>1647</v>
      </c>
      <c r="L104" s="2" t="s">
        <v>1220</v>
      </c>
      <c r="M104" s="2" t="s">
        <v>1215</v>
      </c>
      <c r="N104" s="2" t="s">
        <v>1216</v>
      </c>
      <c r="O104" s="2" t="s">
        <v>1217</v>
      </c>
      <c r="P104" s="2" t="s">
        <v>1218</v>
      </c>
      <c r="Q104" s="2">
        <v>3</v>
      </c>
      <c r="R104" s="2" t="s">
        <v>67</v>
      </c>
      <c r="S104" s="2">
        <v>2</v>
      </c>
      <c r="T104" s="2" t="s">
        <v>970</v>
      </c>
    </row>
    <row r="105" spans="1:20">
      <c r="A105" s="2" t="s">
        <v>1221</v>
      </c>
      <c r="B105" s="2" t="s">
        <v>962</v>
      </c>
      <c r="C105" s="2" t="s">
        <v>963</v>
      </c>
      <c r="D105" s="2" t="s">
        <v>964</v>
      </c>
      <c r="E105" s="2" t="s">
        <v>11</v>
      </c>
      <c r="F105" s="2">
        <v>1</v>
      </c>
      <c r="G105" s="2" t="s">
        <v>12</v>
      </c>
      <c r="H105" s="2" t="s">
        <v>11</v>
      </c>
      <c r="I105" s="2">
        <v>1</v>
      </c>
      <c r="J105" s="2" t="s">
        <v>11</v>
      </c>
      <c r="K105" s="2" t="s">
        <v>1648</v>
      </c>
      <c r="L105" s="2" t="s">
        <v>1222</v>
      </c>
      <c r="M105" s="2" t="s">
        <v>1223</v>
      </c>
      <c r="N105" s="2" t="s">
        <v>1224</v>
      </c>
      <c r="O105" s="2" t="s">
        <v>1222</v>
      </c>
      <c r="P105" s="2" t="s">
        <v>1225</v>
      </c>
      <c r="Q105" s="2">
        <v>3</v>
      </c>
      <c r="R105" s="2" t="s">
        <v>67</v>
      </c>
      <c r="S105" s="2">
        <v>2</v>
      </c>
      <c r="T105" s="2" t="s">
        <v>970</v>
      </c>
    </row>
    <row r="106" spans="1:20">
      <c r="A106" s="2" t="s">
        <v>1226</v>
      </c>
      <c r="B106" s="2" t="s">
        <v>962</v>
      </c>
      <c r="C106" s="2" t="s">
        <v>963</v>
      </c>
      <c r="D106" s="2" t="s">
        <v>964</v>
      </c>
      <c r="E106" s="2" t="s">
        <v>11</v>
      </c>
      <c r="F106" s="2">
        <v>1</v>
      </c>
      <c r="G106" s="2" t="s">
        <v>12</v>
      </c>
      <c r="H106" s="2" t="s">
        <v>11</v>
      </c>
      <c r="I106" s="2">
        <v>1</v>
      </c>
      <c r="J106" s="2" t="s">
        <v>11</v>
      </c>
      <c r="K106" s="2" t="s">
        <v>1649</v>
      </c>
      <c r="L106" s="2" t="s">
        <v>1227</v>
      </c>
      <c r="M106" s="2" t="s">
        <v>1228</v>
      </c>
      <c r="N106" s="2" t="s">
        <v>1229</v>
      </c>
      <c r="O106" s="2" t="s">
        <v>1229</v>
      </c>
      <c r="P106" s="2" t="s">
        <v>1230</v>
      </c>
      <c r="Q106" s="2">
        <v>3</v>
      </c>
      <c r="R106" s="2" t="s">
        <v>67</v>
      </c>
      <c r="S106" s="2">
        <v>2</v>
      </c>
      <c r="T106" s="2" t="s">
        <v>970</v>
      </c>
    </row>
    <row r="107" spans="1:20">
      <c r="A107" s="2" t="s">
        <v>1231</v>
      </c>
      <c r="B107" s="2" t="s">
        <v>962</v>
      </c>
      <c r="C107" s="2" t="s">
        <v>963</v>
      </c>
      <c r="D107" s="2" t="s">
        <v>964</v>
      </c>
      <c r="E107" s="2" t="s">
        <v>11</v>
      </c>
      <c r="F107" s="2">
        <v>1</v>
      </c>
      <c r="G107" s="2" t="s">
        <v>12</v>
      </c>
      <c r="H107" s="2" t="s">
        <v>11</v>
      </c>
      <c r="I107" s="2">
        <v>1</v>
      </c>
      <c r="J107" s="2" t="s">
        <v>11</v>
      </c>
      <c r="K107" s="2" t="s">
        <v>1650</v>
      </c>
      <c r="L107" s="2" t="s">
        <v>1232</v>
      </c>
      <c r="M107" s="2" t="s">
        <v>1228</v>
      </c>
      <c r="N107" s="2" t="s">
        <v>1229</v>
      </c>
      <c r="O107" s="2" t="s">
        <v>1229</v>
      </c>
      <c r="P107" s="2" t="s">
        <v>1230</v>
      </c>
      <c r="Q107" s="2">
        <v>3</v>
      </c>
      <c r="R107" s="2" t="s">
        <v>67</v>
      </c>
      <c r="S107" s="2">
        <v>1</v>
      </c>
      <c r="T107" s="2" t="s">
        <v>1065</v>
      </c>
    </row>
    <row r="108" spans="1:20">
      <c r="A108" s="2" t="s">
        <v>1233</v>
      </c>
      <c r="B108" s="2" t="s">
        <v>962</v>
      </c>
      <c r="C108" s="2" t="s">
        <v>963</v>
      </c>
      <c r="D108" s="2" t="s">
        <v>964</v>
      </c>
      <c r="E108" s="2" t="s">
        <v>11</v>
      </c>
      <c r="F108" s="2">
        <v>1</v>
      </c>
      <c r="G108" s="2" t="s">
        <v>12</v>
      </c>
      <c r="H108" s="2" t="s">
        <v>11</v>
      </c>
      <c r="I108" s="2">
        <v>1</v>
      </c>
      <c r="J108" s="2" t="s">
        <v>11</v>
      </c>
      <c r="K108" s="2" t="s">
        <v>1651</v>
      </c>
      <c r="L108" s="2" t="s">
        <v>1234</v>
      </c>
      <c r="M108" s="2" t="s">
        <v>1235</v>
      </c>
      <c r="N108" s="2" t="s">
        <v>1236</v>
      </c>
      <c r="O108" s="2" t="s">
        <v>1237</v>
      </c>
      <c r="P108" s="2" t="s">
        <v>1238</v>
      </c>
      <c r="Q108" s="2">
        <v>3</v>
      </c>
      <c r="R108" s="2" t="s">
        <v>67</v>
      </c>
      <c r="S108" s="2">
        <v>2</v>
      </c>
      <c r="T108" s="2" t="s">
        <v>970</v>
      </c>
    </row>
    <row r="109" spans="1:20">
      <c r="A109" s="2" t="s">
        <v>1239</v>
      </c>
      <c r="B109" s="2" t="s">
        <v>962</v>
      </c>
      <c r="C109" s="2" t="s">
        <v>963</v>
      </c>
      <c r="D109" s="2" t="s">
        <v>964</v>
      </c>
      <c r="E109" s="2" t="s">
        <v>11</v>
      </c>
      <c r="F109" s="2">
        <v>1</v>
      </c>
      <c r="G109" s="2" t="s">
        <v>12</v>
      </c>
      <c r="H109" s="2" t="s">
        <v>11</v>
      </c>
      <c r="I109" s="2">
        <v>1</v>
      </c>
      <c r="J109" s="2" t="s">
        <v>11</v>
      </c>
      <c r="K109" s="2" t="s">
        <v>1652</v>
      </c>
      <c r="L109" s="2" t="s">
        <v>1240</v>
      </c>
      <c r="M109" s="2" t="s">
        <v>1235</v>
      </c>
      <c r="N109" s="2" t="s">
        <v>1236</v>
      </c>
      <c r="O109" s="2" t="s">
        <v>1237</v>
      </c>
      <c r="P109" s="2" t="s">
        <v>1238</v>
      </c>
      <c r="Q109" s="2">
        <v>3</v>
      </c>
      <c r="R109" s="2" t="s">
        <v>67</v>
      </c>
      <c r="S109" s="2">
        <v>2</v>
      </c>
      <c r="T109" s="2" t="s">
        <v>970</v>
      </c>
    </row>
    <row r="110" spans="1:20">
      <c r="A110" s="2" t="s">
        <v>1241</v>
      </c>
      <c r="B110" s="2" t="s">
        <v>962</v>
      </c>
      <c r="C110" s="2" t="s">
        <v>963</v>
      </c>
      <c r="D110" s="2" t="s">
        <v>964</v>
      </c>
      <c r="E110" s="2" t="s">
        <v>11</v>
      </c>
      <c r="F110" s="2">
        <v>1</v>
      </c>
      <c r="G110" s="2" t="s">
        <v>12</v>
      </c>
      <c r="H110" s="2" t="s">
        <v>11</v>
      </c>
      <c r="I110" s="2">
        <v>1</v>
      </c>
      <c r="J110" s="2" t="s">
        <v>11</v>
      </c>
      <c r="K110" s="2" t="s">
        <v>1653</v>
      </c>
      <c r="L110" s="2" t="s">
        <v>1242</v>
      </c>
      <c r="M110" s="2" t="s">
        <v>1243</v>
      </c>
      <c r="N110" s="2" t="s">
        <v>1244</v>
      </c>
      <c r="O110" s="2" t="s">
        <v>1245</v>
      </c>
      <c r="P110" s="2" t="s">
        <v>1246</v>
      </c>
      <c r="Q110" s="2">
        <v>3</v>
      </c>
      <c r="R110" s="2" t="s">
        <v>67</v>
      </c>
      <c r="S110" s="2">
        <v>1</v>
      </c>
      <c r="T110" s="2" t="s">
        <v>1065</v>
      </c>
    </row>
    <row r="111" spans="1:20">
      <c r="A111" s="2" t="s">
        <v>1247</v>
      </c>
      <c r="B111" s="2" t="s">
        <v>962</v>
      </c>
      <c r="C111" s="2" t="s">
        <v>963</v>
      </c>
      <c r="D111" s="2" t="s">
        <v>964</v>
      </c>
      <c r="E111" s="2" t="s">
        <v>11</v>
      </c>
      <c r="F111" s="2">
        <v>1</v>
      </c>
      <c r="G111" s="2" t="s">
        <v>12</v>
      </c>
      <c r="H111" s="2" t="s">
        <v>11</v>
      </c>
      <c r="I111" s="2">
        <v>1</v>
      </c>
      <c r="J111" s="2" t="s">
        <v>11</v>
      </c>
      <c r="K111" s="2" t="s">
        <v>1654</v>
      </c>
      <c r="L111" s="2" t="s">
        <v>1248</v>
      </c>
      <c r="M111" s="2" t="s">
        <v>1243</v>
      </c>
      <c r="N111" s="2" t="s">
        <v>1244</v>
      </c>
      <c r="O111" s="2" t="s">
        <v>1245</v>
      </c>
      <c r="P111" s="2" t="s">
        <v>1246</v>
      </c>
      <c r="Q111" s="2">
        <v>3</v>
      </c>
      <c r="R111" s="2" t="s">
        <v>67</v>
      </c>
      <c r="S111" s="2">
        <v>1</v>
      </c>
      <c r="T111" s="2" t="s">
        <v>1065</v>
      </c>
    </row>
    <row r="112" spans="1:20">
      <c r="A112" s="2" t="s">
        <v>1249</v>
      </c>
      <c r="B112" s="2" t="s">
        <v>962</v>
      </c>
      <c r="C112" s="2" t="s">
        <v>963</v>
      </c>
      <c r="D112" s="2" t="s">
        <v>964</v>
      </c>
      <c r="E112" s="2" t="s">
        <v>11</v>
      </c>
      <c r="F112" s="2">
        <v>1</v>
      </c>
      <c r="G112" s="2" t="s">
        <v>12</v>
      </c>
      <c r="H112" s="2" t="s">
        <v>11</v>
      </c>
      <c r="I112" s="2">
        <v>1</v>
      </c>
      <c r="J112" s="2" t="s">
        <v>11</v>
      </c>
      <c r="K112" s="2" t="s">
        <v>1655</v>
      </c>
      <c r="L112" s="2" t="s">
        <v>1250</v>
      </c>
      <c r="M112" s="2" t="s">
        <v>1251</v>
      </c>
      <c r="N112" s="2" t="s">
        <v>1252</v>
      </c>
      <c r="O112" s="2" t="s">
        <v>1253</v>
      </c>
      <c r="P112" s="2" t="s">
        <v>1254</v>
      </c>
      <c r="Q112" s="2">
        <v>3</v>
      </c>
      <c r="R112" s="2" t="s">
        <v>67</v>
      </c>
      <c r="S112" s="2">
        <v>2</v>
      </c>
      <c r="T112" s="2" t="s">
        <v>970</v>
      </c>
    </row>
    <row r="113" spans="1:20">
      <c r="A113" s="2" t="s">
        <v>1255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>
      <c r="A114" s="4" t="s">
        <v>1256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0">
      <c r="A115" s="4" t="s">
        <v>1257</v>
      </c>
      <c r="B115" s="4" t="s">
        <v>1258</v>
      </c>
      <c r="C115" s="4" t="s">
        <v>1259</v>
      </c>
      <c r="D115" s="4" t="s">
        <v>1260</v>
      </c>
      <c r="E115" s="4" t="s">
        <v>1261</v>
      </c>
      <c r="F115" s="4">
        <v>7</v>
      </c>
      <c r="G115" s="4" t="s">
        <v>1262</v>
      </c>
      <c r="H115" s="4" t="s">
        <v>1263</v>
      </c>
      <c r="I115" s="4">
        <v>2</v>
      </c>
      <c r="J115" s="4" t="s">
        <v>1656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>
      <c r="A116" s="4" t="s">
        <v>1264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0">
      <c r="A117" s="4" t="s">
        <v>1265</v>
      </c>
      <c r="B117" s="4" t="s">
        <v>1266</v>
      </c>
      <c r="C117" s="4" t="s">
        <v>1267</v>
      </c>
      <c r="D117" s="4" t="s">
        <v>1268</v>
      </c>
      <c r="E117" s="4" t="s">
        <v>1269</v>
      </c>
      <c r="F117" s="4">
        <v>9</v>
      </c>
      <c r="G117" s="4" t="s">
        <v>1270</v>
      </c>
      <c r="H117" s="4" t="s">
        <v>1271</v>
      </c>
      <c r="I117" s="4">
        <v>3</v>
      </c>
      <c r="J117" s="4" t="s">
        <v>1657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>
      <c r="A118" s="4" t="s">
        <v>1272</v>
      </c>
      <c r="B118" s="4" t="s">
        <v>1273</v>
      </c>
      <c r="C118" s="4" t="s">
        <v>1267</v>
      </c>
      <c r="D118" s="4" t="s">
        <v>1268</v>
      </c>
      <c r="E118" s="4" t="s">
        <v>1274</v>
      </c>
      <c r="F118" s="4">
        <v>9</v>
      </c>
      <c r="G118" s="4" t="s">
        <v>1270</v>
      </c>
      <c r="H118" s="4" t="s">
        <v>1271</v>
      </c>
      <c r="I118" s="4">
        <v>4</v>
      </c>
      <c r="J118" s="4" t="s">
        <v>1658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>
      <c r="A119" s="4" t="s">
        <v>1275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>
      <c r="A120" s="4" t="s">
        <v>1276</v>
      </c>
      <c r="B120" s="4" t="s">
        <v>1277</v>
      </c>
      <c r="C120" s="4" t="s">
        <v>1278</v>
      </c>
      <c r="D120" s="4" t="s">
        <v>1279</v>
      </c>
      <c r="E120" s="4" t="s">
        <v>1280</v>
      </c>
      <c r="F120" s="4">
        <v>12</v>
      </c>
      <c r="G120" s="4" t="s">
        <v>1281</v>
      </c>
      <c r="H120" s="4" t="s">
        <v>1279</v>
      </c>
      <c r="I120" s="4">
        <v>5</v>
      </c>
      <c r="J120" s="4" t="s">
        <v>1659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0">
      <c r="A121" s="4" t="s">
        <v>1282</v>
      </c>
      <c r="B121" s="4" t="s">
        <v>1283</v>
      </c>
      <c r="C121" s="4" t="s">
        <v>1267</v>
      </c>
      <c r="D121" s="4" t="s">
        <v>1268</v>
      </c>
      <c r="E121" s="4" t="s">
        <v>1284</v>
      </c>
      <c r="F121" s="4">
        <v>9</v>
      </c>
      <c r="G121" s="4" t="s">
        <v>1270</v>
      </c>
      <c r="H121" s="4" t="s">
        <v>1271</v>
      </c>
      <c r="I121" s="4">
        <v>6</v>
      </c>
      <c r="J121" s="4" t="s">
        <v>1660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1:20">
      <c r="A122" s="4" t="s">
        <v>1285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:20">
      <c r="A123" s="2" t="s">
        <v>1286</v>
      </c>
      <c r="B123" s="2" t="s">
        <v>1287</v>
      </c>
      <c r="C123" s="2" t="s">
        <v>963</v>
      </c>
      <c r="D123" s="2" t="s">
        <v>964</v>
      </c>
      <c r="E123" s="2" t="s">
        <v>1288</v>
      </c>
      <c r="F123" s="2">
        <v>2</v>
      </c>
      <c r="G123" s="2" t="s">
        <v>561</v>
      </c>
      <c r="H123" s="2" t="s">
        <v>560</v>
      </c>
      <c r="I123" s="2">
        <v>1</v>
      </c>
      <c r="J123" s="2" t="s">
        <v>11</v>
      </c>
      <c r="K123" s="2" t="s">
        <v>1545</v>
      </c>
      <c r="L123" s="2" t="s">
        <v>965</v>
      </c>
      <c r="M123" s="2" t="s">
        <v>966</v>
      </c>
      <c r="N123" s="2" t="s">
        <v>967</v>
      </c>
      <c r="O123" s="2" t="s">
        <v>968</v>
      </c>
      <c r="P123" s="2" t="s">
        <v>969</v>
      </c>
      <c r="Q123" s="2">
        <v>1</v>
      </c>
      <c r="R123" s="2" t="s">
        <v>14</v>
      </c>
      <c r="S123" s="2">
        <v>2</v>
      </c>
      <c r="T123" s="2" t="s">
        <v>970</v>
      </c>
    </row>
    <row r="124" spans="1:20">
      <c r="A124" s="2" t="s">
        <v>1289</v>
      </c>
      <c r="B124" s="2" t="s">
        <v>1287</v>
      </c>
      <c r="C124" s="2" t="s">
        <v>963</v>
      </c>
      <c r="D124" s="2" t="s">
        <v>964</v>
      </c>
      <c r="E124" s="2" t="s">
        <v>1288</v>
      </c>
      <c r="F124" s="2">
        <v>2</v>
      </c>
      <c r="G124" s="2" t="s">
        <v>561</v>
      </c>
      <c r="H124" s="2" t="s">
        <v>560</v>
      </c>
      <c r="I124" s="2">
        <v>1</v>
      </c>
      <c r="J124" s="2" t="s">
        <v>11</v>
      </c>
      <c r="K124" s="2" t="s">
        <v>1546</v>
      </c>
      <c r="L124" s="2" t="s">
        <v>972</v>
      </c>
      <c r="M124" s="2" t="s">
        <v>966</v>
      </c>
      <c r="N124" s="2" t="s">
        <v>967</v>
      </c>
      <c r="O124" s="2" t="s">
        <v>968</v>
      </c>
      <c r="P124" s="2" t="s">
        <v>969</v>
      </c>
      <c r="Q124" s="2">
        <v>1</v>
      </c>
      <c r="R124" s="2" t="s">
        <v>14</v>
      </c>
      <c r="S124" s="2">
        <v>2</v>
      </c>
      <c r="T124" s="2" t="s">
        <v>970</v>
      </c>
    </row>
    <row r="125" spans="1:20">
      <c r="A125" s="2" t="s">
        <v>1290</v>
      </c>
      <c r="B125" s="2" t="s">
        <v>1287</v>
      </c>
      <c r="C125" s="2" t="s">
        <v>963</v>
      </c>
      <c r="D125" s="2" t="s">
        <v>964</v>
      </c>
      <c r="E125" s="2" t="s">
        <v>1288</v>
      </c>
      <c r="F125" s="2">
        <v>2</v>
      </c>
      <c r="G125" s="2" t="s">
        <v>561</v>
      </c>
      <c r="H125" s="2" t="s">
        <v>560</v>
      </c>
      <c r="I125" s="2">
        <v>1</v>
      </c>
      <c r="J125" s="2" t="s">
        <v>11</v>
      </c>
      <c r="K125" s="2" t="s">
        <v>1547</v>
      </c>
      <c r="L125" s="2" t="s">
        <v>974</v>
      </c>
      <c r="M125" s="2" t="s">
        <v>966</v>
      </c>
      <c r="N125" s="2" t="s">
        <v>967</v>
      </c>
      <c r="O125" s="2" t="s">
        <v>968</v>
      </c>
      <c r="P125" s="2" t="s">
        <v>969</v>
      </c>
      <c r="Q125" s="2">
        <v>1</v>
      </c>
      <c r="R125" s="2" t="s">
        <v>14</v>
      </c>
      <c r="S125" s="2">
        <v>2</v>
      </c>
      <c r="T125" s="2" t="s">
        <v>970</v>
      </c>
    </row>
    <row r="126" spans="1:20">
      <c r="A126" s="2" t="s">
        <v>1291</v>
      </c>
      <c r="B126" s="2" t="s">
        <v>1287</v>
      </c>
      <c r="C126" s="2" t="s">
        <v>963</v>
      </c>
      <c r="D126" s="2" t="s">
        <v>964</v>
      </c>
      <c r="E126" s="2" t="s">
        <v>1288</v>
      </c>
      <c r="F126" s="2">
        <v>2</v>
      </c>
      <c r="G126" s="2" t="s">
        <v>561</v>
      </c>
      <c r="H126" s="2" t="s">
        <v>560</v>
      </c>
      <c r="I126" s="2">
        <v>1</v>
      </c>
      <c r="J126" s="2" t="s">
        <v>11</v>
      </c>
      <c r="K126" s="2" t="s">
        <v>1548</v>
      </c>
      <c r="L126" s="2" t="s">
        <v>976</v>
      </c>
      <c r="M126" s="2" t="s">
        <v>966</v>
      </c>
      <c r="N126" s="2" t="s">
        <v>967</v>
      </c>
      <c r="O126" s="2" t="s">
        <v>968</v>
      </c>
      <c r="P126" s="2" t="s">
        <v>969</v>
      </c>
      <c r="Q126" s="2">
        <v>1</v>
      </c>
      <c r="R126" s="2" t="s">
        <v>14</v>
      </c>
      <c r="S126" s="2">
        <v>2</v>
      </c>
      <c r="T126" s="2" t="s">
        <v>970</v>
      </c>
    </row>
    <row r="127" spans="1:20">
      <c r="A127" s="2" t="s">
        <v>1292</v>
      </c>
      <c r="B127" s="2" t="s">
        <v>1287</v>
      </c>
      <c r="C127" s="2" t="s">
        <v>963</v>
      </c>
      <c r="D127" s="2" t="s">
        <v>964</v>
      </c>
      <c r="E127" s="2" t="s">
        <v>1288</v>
      </c>
      <c r="F127" s="2">
        <v>2</v>
      </c>
      <c r="G127" s="2" t="s">
        <v>561</v>
      </c>
      <c r="H127" s="2" t="s">
        <v>560</v>
      </c>
      <c r="I127" s="2">
        <v>1</v>
      </c>
      <c r="J127" s="2" t="s">
        <v>11</v>
      </c>
      <c r="K127" s="2" t="s">
        <v>1549</v>
      </c>
      <c r="L127" s="2" t="s">
        <v>978</v>
      </c>
      <c r="M127" s="2" t="s">
        <v>966</v>
      </c>
      <c r="N127" s="2" t="s">
        <v>967</v>
      </c>
      <c r="O127" s="2" t="s">
        <v>968</v>
      </c>
      <c r="P127" s="2" t="s">
        <v>969</v>
      </c>
      <c r="Q127" s="2">
        <v>1</v>
      </c>
      <c r="R127" s="2" t="s">
        <v>14</v>
      </c>
      <c r="S127" s="2">
        <v>2</v>
      </c>
      <c r="T127" s="2" t="s">
        <v>970</v>
      </c>
    </row>
    <row r="128" spans="1:20">
      <c r="A128" s="2" t="s">
        <v>1293</v>
      </c>
      <c r="B128" s="2" t="s">
        <v>1287</v>
      </c>
      <c r="C128" s="2" t="s">
        <v>963</v>
      </c>
      <c r="D128" s="2" t="s">
        <v>964</v>
      </c>
      <c r="E128" s="2" t="s">
        <v>1288</v>
      </c>
      <c r="F128" s="2">
        <v>2</v>
      </c>
      <c r="G128" s="2" t="s">
        <v>561</v>
      </c>
      <c r="H128" s="2" t="s">
        <v>560</v>
      </c>
      <c r="I128" s="2">
        <v>1</v>
      </c>
      <c r="J128" s="2" t="s">
        <v>11</v>
      </c>
      <c r="K128" s="2" t="s">
        <v>1550</v>
      </c>
      <c r="L128" s="2" t="s">
        <v>980</v>
      </c>
      <c r="M128" s="2" t="s">
        <v>966</v>
      </c>
      <c r="N128" s="2" t="s">
        <v>967</v>
      </c>
      <c r="O128" s="2" t="s">
        <v>968</v>
      </c>
      <c r="P128" s="2" t="s">
        <v>969</v>
      </c>
      <c r="Q128" s="2">
        <v>1</v>
      </c>
      <c r="R128" s="2" t="s">
        <v>14</v>
      </c>
      <c r="S128" s="2">
        <v>2</v>
      </c>
      <c r="T128" s="2" t="s">
        <v>970</v>
      </c>
    </row>
    <row r="129" spans="1:20">
      <c r="A129" s="2" t="s">
        <v>1294</v>
      </c>
      <c r="B129" s="2" t="s">
        <v>1287</v>
      </c>
      <c r="C129" s="2" t="s">
        <v>963</v>
      </c>
      <c r="D129" s="2" t="s">
        <v>964</v>
      </c>
      <c r="E129" s="2" t="s">
        <v>1288</v>
      </c>
      <c r="F129" s="2">
        <v>2</v>
      </c>
      <c r="G129" s="2" t="s">
        <v>561</v>
      </c>
      <c r="H129" s="2" t="s">
        <v>560</v>
      </c>
      <c r="I129" s="2">
        <v>1</v>
      </c>
      <c r="J129" s="2" t="s">
        <v>11</v>
      </c>
      <c r="K129" s="2" t="s">
        <v>1551</v>
      </c>
      <c r="L129" s="2" t="s">
        <v>982</v>
      </c>
      <c r="M129" s="2" t="s">
        <v>966</v>
      </c>
      <c r="N129" s="2" t="s">
        <v>967</v>
      </c>
      <c r="O129" s="2" t="s">
        <v>968</v>
      </c>
      <c r="P129" s="2" t="s">
        <v>969</v>
      </c>
      <c r="Q129" s="2">
        <v>1</v>
      </c>
      <c r="R129" s="2" t="s">
        <v>14</v>
      </c>
      <c r="S129" s="2">
        <v>2</v>
      </c>
      <c r="T129" s="2" t="s">
        <v>970</v>
      </c>
    </row>
    <row r="130" spans="1:20">
      <c r="A130" s="2" t="s">
        <v>1295</v>
      </c>
      <c r="B130" s="2" t="s">
        <v>1287</v>
      </c>
      <c r="C130" s="2" t="s">
        <v>963</v>
      </c>
      <c r="D130" s="2" t="s">
        <v>964</v>
      </c>
      <c r="E130" s="2" t="s">
        <v>1288</v>
      </c>
      <c r="F130" s="2">
        <v>2</v>
      </c>
      <c r="G130" s="2" t="s">
        <v>561</v>
      </c>
      <c r="H130" s="2" t="s">
        <v>560</v>
      </c>
      <c r="I130" s="2">
        <v>1</v>
      </c>
      <c r="J130" s="2" t="s">
        <v>11</v>
      </c>
      <c r="K130" s="2" t="s">
        <v>1552</v>
      </c>
      <c r="L130" s="2" t="s">
        <v>984</v>
      </c>
      <c r="M130" s="2" t="s">
        <v>966</v>
      </c>
      <c r="N130" s="2" t="s">
        <v>967</v>
      </c>
      <c r="O130" s="2" t="s">
        <v>968</v>
      </c>
      <c r="P130" s="2" t="s">
        <v>969</v>
      </c>
      <c r="Q130" s="2">
        <v>1</v>
      </c>
      <c r="R130" s="2" t="s">
        <v>14</v>
      </c>
      <c r="S130" s="2">
        <v>2</v>
      </c>
      <c r="T130" s="2" t="s">
        <v>970</v>
      </c>
    </row>
    <row r="131" spans="1:20">
      <c r="A131" s="2" t="s">
        <v>1296</v>
      </c>
      <c r="B131" s="2" t="s">
        <v>1287</v>
      </c>
      <c r="C131" s="2" t="s">
        <v>963</v>
      </c>
      <c r="D131" s="2" t="s">
        <v>964</v>
      </c>
      <c r="E131" s="2" t="s">
        <v>1288</v>
      </c>
      <c r="F131" s="2">
        <v>2</v>
      </c>
      <c r="G131" s="2" t="s">
        <v>561</v>
      </c>
      <c r="H131" s="2" t="s">
        <v>560</v>
      </c>
      <c r="I131" s="2">
        <v>1</v>
      </c>
      <c r="J131" s="2" t="s">
        <v>11</v>
      </c>
      <c r="K131" s="2" t="s">
        <v>1553</v>
      </c>
      <c r="L131" s="2" t="s">
        <v>986</v>
      </c>
      <c r="M131" s="2" t="s">
        <v>966</v>
      </c>
      <c r="N131" s="2" t="s">
        <v>967</v>
      </c>
      <c r="O131" s="2" t="s">
        <v>968</v>
      </c>
      <c r="P131" s="2" t="s">
        <v>969</v>
      </c>
      <c r="Q131" s="2">
        <v>1</v>
      </c>
      <c r="R131" s="2" t="s">
        <v>14</v>
      </c>
      <c r="S131" s="2">
        <v>2</v>
      </c>
      <c r="T131" s="2" t="s">
        <v>970</v>
      </c>
    </row>
    <row r="132" spans="1:20">
      <c r="A132" s="2" t="s">
        <v>1297</v>
      </c>
      <c r="B132" s="2" t="s">
        <v>1287</v>
      </c>
      <c r="C132" s="2" t="s">
        <v>963</v>
      </c>
      <c r="D132" s="2" t="s">
        <v>964</v>
      </c>
      <c r="E132" s="2" t="s">
        <v>1288</v>
      </c>
      <c r="F132" s="2">
        <v>2</v>
      </c>
      <c r="G132" s="2" t="s">
        <v>561</v>
      </c>
      <c r="H132" s="2" t="s">
        <v>560</v>
      </c>
      <c r="I132" s="2">
        <v>1</v>
      </c>
      <c r="J132" s="2" t="s">
        <v>11</v>
      </c>
      <c r="K132" s="2" t="s">
        <v>1554</v>
      </c>
      <c r="L132" s="2" t="s">
        <v>988</v>
      </c>
      <c r="M132" s="2" t="s">
        <v>966</v>
      </c>
      <c r="N132" s="2" t="s">
        <v>967</v>
      </c>
      <c r="O132" s="2" t="s">
        <v>968</v>
      </c>
      <c r="P132" s="2" t="s">
        <v>969</v>
      </c>
      <c r="Q132" s="2">
        <v>1</v>
      </c>
      <c r="R132" s="2" t="s">
        <v>14</v>
      </c>
      <c r="S132" s="2">
        <v>2</v>
      </c>
      <c r="T132" s="2" t="s">
        <v>970</v>
      </c>
    </row>
    <row r="133" spans="1:20">
      <c r="A133" s="2" t="s">
        <v>1298</v>
      </c>
      <c r="B133" s="2" t="s">
        <v>1287</v>
      </c>
      <c r="C133" s="2" t="s">
        <v>963</v>
      </c>
      <c r="D133" s="2" t="s">
        <v>964</v>
      </c>
      <c r="E133" s="2" t="s">
        <v>1288</v>
      </c>
      <c r="F133" s="2">
        <v>2</v>
      </c>
      <c r="G133" s="2" t="s">
        <v>561</v>
      </c>
      <c r="H133" s="2" t="s">
        <v>560</v>
      </c>
      <c r="I133" s="2">
        <v>1</v>
      </c>
      <c r="J133" s="2" t="s">
        <v>11</v>
      </c>
      <c r="K133" s="2" t="s">
        <v>1555</v>
      </c>
      <c r="L133" s="2" t="s">
        <v>990</v>
      </c>
      <c r="M133" s="2" t="s">
        <v>966</v>
      </c>
      <c r="N133" s="2" t="s">
        <v>967</v>
      </c>
      <c r="O133" s="2" t="s">
        <v>968</v>
      </c>
      <c r="P133" s="2" t="s">
        <v>969</v>
      </c>
      <c r="Q133" s="2">
        <v>1</v>
      </c>
      <c r="R133" s="2" t="s">
        <v>14</v>
      </c>
      <c r="S133" s="2">
        <v>2</v>
      </c>
      <c r="T133" s="2" t="s">
        <v>970</v>
      </c>
    </row>
    <row r="134" spans="1:20">
      <c r="A134" s="2" t="s">
        <v>1299</v>
      </c>
      <c r="B134" s="2" t="s">
        <v>1287</v>
      </c>
      <c r="C134" s="2" t="s">
        <v>963</v>
      </c>
      <c r="D134" s="2" t="s">
        <v>964</v>
      </c>
      <c r="E134" s="2" t="s">
        <v>1288</v>
      </c>
      <c r="F134" s="2">
        <v>2</v>
      </c>
      <c r="G134" s="2" t="s">
        <v>561</v>
      </c>
      <c r="H134" s="2" t="s">
        <v>560</v>
      </c>
      <c r="I134" s="2">
        <v>1</v>
      </c>
      <c r="J134" s="2" t="s">
        <v>11</v>
      </c>
      <c r="K134" s="2" t="s">
        <v>1556</v>
      </c>
      <c r="L134" s="2" t="s">
        <v>992</v>
      </c>
      <c r="M134" s="2" t="s">
        <v>966</v>
      </c>
      <c r="N134" s="2" t="s">
        <v>967</v>
      </c>
      <c r="O134" s="2" t="s">
        <v>968</v>
      </c>
      <c r="P134" s="2" t="s">
        <v>969</v>
      </c>
      <c r="Q134" s="2">
        <v>1</v>
      </c>
      <c r="R134" s="2" t="s">
        <v>14</v>
      </c>
      <c r="S134" s="2">
        <v>2</v>
      </c>
      <c r="T134" s="2" t="s">
        <v>970</v>
      </c>
    </row>
    <row r="135" spans="1:20">
      <c r="A135" s="2" t="s">
        <v>1300</v>
      </c>
      <c r="B135" s="2" t="s">
        <v>1287</v>
      </c>
      <c r="C135" s="2" t="s">
        <v>963</v>
      </c>
      <c r="D135" s="2" t="s">
        <v>964</v>
      </c>
      <c r="E135" s="2" t="s">
        <v>1288</v>
      </c>
      <c r="F135" s="2">
        <v>2</v>
      </c>
      <c r="G135" s="2" t="s">
        <v>561</v>
      </c>
      <c r="H135" s="2" t="s">
        <v>560</v>
      </c>
      <c r="I135" s="2">
        <v>1</v>
      </c>
      <c r="J135" s="2" t="s">
        <v>11</v>
      </c>
      <c r="K135" s="2" t="s">
        <v>1557</v>
      </c>
      <c r="L135" s="2" t="s">
        <v>994</v>
      </c>
      <c r="M135" s="2" t="s">
        <v>995</v>
      </c>
      <c r="N135" s="2" t="s">
        <v>996</v>
      </c>
      <c r="O135" s="2" t="s">
        <v>997</v>
      </c>
      <c r="P135" s="2" t="s">
        <v>998</v>
      </c>
      <c r="Q135" s="2">
        <v>3</v>
      </c>
      <c r="R135" s="2" t="s">
        <v>67</v>
      </c>
      <c r="S135" s="2">
        <v>2</v>
      </c>
      <c r="T135" s="2" t="s">
        <v>970</v>
      </c>
    </row>
    <row r="136" spans="1:20">
      <c r="A136" s="2" t="s">
        <v>1301</v>
      </c>
      <c r="B136" s="2" t="s">
        <v>1287</v>
      </c>
      <c r="C136" s="2" t="s">
        <v>963</v>
      </c>
      <c r="D136" s="2" t="s">
        <v>964</v>
      </c>
      <c r="E136" s="2" t="s">
        <v>1288</v>
      </c>
      <c r="F136" s="2">
        <v>2</v>
      </c>
      <c r="G136" s="2" t="s">
        <v>561</v>
      </c>
      <c r="H136" s="2" t="s">
        <v>560</v>
      </c>
      <c r="I136" s="2">
        <v>1</v>
      </c>
      <c r="J136" s="2" t="s">
        <v>11</v>
      </c>
      <c r="K136" s="2" t="s">
        <v>1558</v>
      </c>
      <c r="L136" s="2" t="s">
        <v>1000</v>
      </c>
      <c r="M136" s="2" t="s">
        <v>995</v>
      </c>
      <c r="N136" s="2" t="s">
        <v>996</v>
      </c>
      <c r="O136" s="2" t="s">
        <v>997</v>
      </c>
      <c r="P136" s="2" t="s">
        <v>998</v>
      </c>
      <c r="Q136" s="2">
        <v>3</v>
      </c>
      <c r="R136" s="2" t="s">
        <v>67</v>
      </c>
      <c r="S136" s="2">
        <v>2</v>
      </c>
      <c r="T136" s="2" t="s">
        <v>970</v>
      </c>
    </row>
    <row r="137" spans="1:20">
      <c r="A137" s="2" t="s">
        <v>1302</v>
      </c>
      <c r="B137" s="2" t="s">
        <v>1287</v>
      </c>
      <c r="C137" s="2" t="s">
        <v>963</v>
      </c>
      <c r="D137" s="2" t="s">
        <v>964</v>
      </c>
      <c r="E137" s="2" t="s">
        <v>1288</v>
      </c>
      <c r="F137" s="2">
        <v>2</v>
      </c>
      <c r="G137" s="2" t="s">
        <v>561</v>
      </c>
      <c r="H137" s="2" t="s">
        <v>560</v>
      </c>
      <c r="I137" s="2">
        <v>1</v>
      </c>
      <c r="J137" s="2" t="s">
        <v>11</v>
      </c>
      <c r="K137" s="2" t="s">
        <v>1559</v>
      </c>
      <c r="L137" s="2" t="s">
        <v>1002</v>
      </c>
      <c r="M137" s="2" t="s">
        <v>995</v>
      </c>
      <c r="N137" s="2" t="s">
        <v>996</v>
      </c>
      <c r="O137" s="2" t="s">
        <v>997</v>
      </c>
      <c r="P137" s="2" t="s">
        <v>998</v>
      </c>
      <c r="Q137" s="2">
        <v>3</v>
      </c>
      <c r="R137" s="2" t="s">
        <v>67</v>
      </c>
      <c r="S137" s="2">
        <v>2</v>
      </c>
      <c r="T137" s="2" t="s">
        <v>970</v>
      </c>
    </row>
    <row r="138" spans="1:20">
      <c r="A138" s="2" t="s">
        <v>1303</v>
      </c>
      <c r="B138" s="2" t="s">
        <v>1287</v>
      </c>
      <c r="C138" s="2" t="s">
        <v>963</v>
      </c>
      <c r="D138" s="2" t="s">
        <v>964</v>
      </c>
      <c r="E138" s="2" t="s">
        <v>1288</v>
      </c>
      <c r="F138" s="2">
        <v>2</v>
      </c>
      <c r="G138" s="2" t="s">
        <v>561</v>
      </c>
      <c r="H138" s="2" t="s">
        <v>560</v>
      </c>
      <c r="I138" s="2">
        <v>1</v>
      </c>
      <c r="J138" s="2" t="s">
        <v>11</v>
      </c>
      <c r="K138" s="2" t="s">
        <v>1560</v>
      </c>
      <c r="L138" s="2" t="s">
        <v>1004</v>
      </c>
      <c r="M138" s="2" t="s">
        <v>995</v>
      </c>
      <c r="N138" s="2" t="s">
        <v>996</v>
      </c>
      <c r="O138" s="2" t="s">
        <v>997</v>
      </c>
      <c r="P138" s="2" t="s">
        <v>998</v>
      </c>
      <c r="Q138" s="2">
        <v>3</v>
      </c>
      <c r="R138" s="2" t="s">
        <v>67</v>
      </c>
      <c r="S138" s="2">
        <v>2</v>
      </c>
      <c r="T138" s="2" t="s">
        <v>970</v>
      </c>
    </row>
    <row r="139" spans="1:20">
      <c r="A139" s="2" t="s">
        <v>1304</v>
      </c>
      <c r="B139" s="2" t="s">
        <v>1287</v>
      </c>
      <c r="C139" s="2" t="s">
        <v>963</v>
      </c>
      <c r="D139" s="2" t="s">
        <v>964</v>
      </c>
      <c r="E139" s="2" t="s">
        <v>1288</v>
      </c>
      <c r="F139" s="2">
        <v>2</v>
      </c>
      <c r="G139" s="2" t="s">
        <v>561</v>
      </c>
      <c r="H139" s="2" t="s">
        <v>560</v>
      </c>
      <c r="I139" s="2">
        <v>1</v>
      </c>
      <c r="J139" s="2" t="s">
        <v>11</v>
      </c>
      <c r="K139" s="2" t="s">
        <v>1561</v>
      </c>
      <c r="L139" s="2" t="s">
        <v>1006</v>
      </c>
      <c r="M139" s="2" t="s">
        <v>995</v>
      </c>
      <c r="N139" s="2" t="s">
        <v>996</v>
      </c>
      <c r="O139" s="2" t="s">
        <v>997</v>
      </c>
      <c r="P139" s="2" t="s">
        <v>998</v>
      </c>
      <c r="Q139" s="2">
        <v>3</v>
      </c>
      <c r="R139" s="2" t="s">
        <v>67</v>
      </c>
      <c r="S139" s="2">
        <v>2</v>
      </c>
      <c r="T139" s="2" t="s">
        <v>970</v>
      </c>
    </row>
    <row r="140" spans="1:20">
      <c r="A140" s="2" t="s">
        <v>1305</v>
      </c>
      <c r="B140" s="2" t="s">
        <v>1287</v>
      </c>
      <c r="C140" s="2" t="s">
        <v>963</v>
      </c>
      <c r="D140" s="2" t="s">
        <v>964</v>
      </c>
      <c r="E140" s="2" t="s">
        <v>1288</v>
      </c>
      <c r="F140" s="2">
        <v>2</v>
      </c>
      <c r="G140" s="2" t="s">
        <v>561</v>
      </c>
      <c r="H140" s="2" t="s">
        <v>560</v>
      </c>
      <c r="I140" s="2">
        <v>1</v>
      </c>
      <c r="J140" s="2" t="s">
        <v>11</v>
      </c>
      <c r="K140" s="2" t="s">
        <v>1562</v>
      </c>
      <c r="L140" s="2" t="s">
        <v>1008</v>
      </c>
      <c r="M140" s="2" t="s">
        <v>995</v>
      </c>
      <c r="N140" s="2" t="s">
        <v>996</v>
      </c>
      <c r="O140" s="2" t="s">
        <v>997</v>
      </c>
      <c r="P140" s="2" t="s">
        <v>998</v>
      </c>
      <c r="Q140" s="2">
        <v>3</v>
      </c>
      <c r="R140" s="2" t="s">
        <v>67</v>
      </c>
      <c r="S140" s="2">
        <v>2</v>
      </c>
      <c r="T140" s="2" t="s">
        <v>970</v>
      </c>
    </row>
    <row r="141" spans="1:20">
      <c r="A141" s="2" t="s">
        <v>1306</v>
      </c>
      <c r="B141" s="2" t="s">
        <v>1287</v>
      </c>
      <c r="C141" s="2" t="s">
        <v>963</v>
      </c>
      <c r="D141" s="2" t="s">
        <v>964</v>
      </c>
      <c r="E141" s="2" t="s">
        <v>1288</v>
      </c>
      <c r="F141" s="2">
        <v>2</v>
      </c>
      <c r="G141" s="2" t="s">
        <v>561</v>
      </c>
      <c r="H141" s="2" t="s">
        <v>560</v>
      </c>
      <c r="I141" s="2">
        <v>1</v>
      </c>
      <c r="J141" s="2" t="s">
        <v>11</v>
      </c>
      <c r="K141" s="2" t="s">
        <v>1563</v>
      </c>
      <c r="L141" s="2" t="s">
        <v>1010</v>
      </c>
      <c r="M141" s="2" t="s">
        <v>1011</v>
      </c>
      <c r="N141" s="2" t="s">
        <v>1012</v>
      </c>
      <c r="O141" s="2" t="s">
        <v>1013</v>
      </c>
      <c r="P141" s="2" t="s">
        <v>1014</v>
      </c>
      <c r="Q141" s="2">
        <v>1</v>
      </c>
      <c r="R141" s="2" t="s">
        <v>14</v>
      </c>
      <c r="S141" s="2">
        <v>2</v>
      </c>
      <c r="T141" s="2" t="s">
        <v>970</v>
      </c>
    </row>
    <row r="142" spans="1:20">
      <c r="A142" s="2" t="s">
        <v>1307</v>
      </c>
      <c r="B142" s="2" t="s">
        <v>1287</v>
      </c>
      <c r="C142" s="2" t="s">
        <v>963</v>
      </c>
      <c r="D142" s="2" t="s">
        <v>964</v>
      </c>
      <c r="E142" s="2" t="s">
        <v>1288</v>
      </c>
      <c r="F142" s="2">
        <v>2</v>
      </c>
      <c r="G142" s="2" t="s">
        <v>561</v>
      </c>
      <c r="H142" s="2" t="s">
        <v>560</v>
      </c>
      <c r="I142" s="2">
        <v>1</v>
      </c>
      <c r="J142" s="2" t="s">
        <v>11</v>
      </c>
      <c r="K142" s="2" t="s">
        <v>1564</v>
      </c>
      <c r="L142" s="2" t="s">
        <v>1016</v>
      </c>
      <c r="M142" s="2" t="s">
        <v>1011</v>
      </c>
      <c r="N142" s="2" t="s">
        <v>1012</v>
      </c>
      <c r="O142" s="2" t="s">
        <v>1013</v>
      </c>
      <c r="P142" s="2" t="s">
        <v>1014</v>
      </c>
      <c r="Q142" s="2">
        <v>1</v>
      </c>
      <c r="R142" s="2" t="s">
        <v>14</v>
      </c>
      <c r="S142" s="2">
        <v>2</v>
      </c>
      <c r="T142" s="2" t="s">
        <v>970</v>
      </c>
    </row>
    <row r="143" spans="1:20">
      <c r="A143" s="2" t="s">
        <v>1308</v>
      </c>
      <c r="B143" s="2" t="s">
        <v>1287</v>
      </c>
      <c r="C143" s="2" t="s">
        <v>963</v>
      </c>
      <c r="D143" s="2" t="s">
        <v>964</v>
      </c>
      <c r="E143" s="2" t="s">
        <v>1288</v>
      </c>
      <c r="F143" s="2">
        <v>2</v>
      </c>
      <c r="G143" s="2" t="s">
        <v>561</v>
      </c>
      <c r="H143" s="2" t="s">
        <v>560</v>
      </c>
      <c r="I143" s="2">
        <v>1</v>
      </c>
      <c r="J143" s="2" t="s">
        <v>11</v>
      </c>
      <c r="K143" s="2" t="s">
        <v>1565</v>
      </c>
      <c r="L143" s="2" t="s">
        <v>1018</v>
      </c>
      <c r="M143" s="2" t="s">
        <v>1011</v>
      </c>
      <c r="N143" s="2" t="s">
        <v>1012</v>
      </c>
      <c r="O143" s="2" t="s">
        <v>1013</v>
      </c>
      <c r="P143" s="2" t="s">
        <v>1014</v>
      </c>
      <c r="Q143" s="2">
        <v>1</v>
      </c>
      <c r="R143" s="2" t="s">
        <v>14</v>
      </c>
      <c r="S143" s="2">
        <v>2</v>
      </c>
      <c r="T143" s="2" t="s">
        <v>970</v>
      </c>
    </row>
    <row r="144" spans="1:20">
      <c r="A144" s="2" t="s">
        <v>1309</v>
      </c>
      <c r="B144" s="2" t="s">
        <v>1287</v>
      </c>
      <c r="C144" s="2" t="s">
        <v>963</v>
      </c>
      <c r="D144" s="2" t="s">
        <v>964</v>
      </c>
      <c r="E144" s="2" t="s">
        <v>1288</v>
      </c>
      <c r="F144" s="2">
        <v>2</v>
      </c>
      <c r="G144" s="2" t="s">
        <v>561</v>
      </c>
      <c r="H144" s="2" t="s">
        <v>560</v>
      </c>
      <c r="I144" s="2">
        <v>1</v>
      </c>
      <c r="J144" s="2" t="s">
        <v>11</v>
      </c>
      <c r="K144" s="2" t="s">
        <v>1566</v>
      </c>
      <c r="L144" s="2" t="s">
        <v>1020</v>
      </c>
      <c r="M144" s="2" t="s">
        <v>1011</v>
      </c>
      <c r="N144" s="2" t="s">
        <v>1012</v>
      </c>
      <c r="O144" s="2" t="s">
        <v>1013</v>
      </c>
      <c r="P144" s="2" t="s">
        <v>1014</v>
      </c>
      <c r="Q144" s="2">
        <v>1</v>
      </c>
      <c r="R144" s="2" t="s">
        <v>14</v>
      </c>
      <c r="S144" s="2">
        <v>2</v>
      </c>
      <c r="T144" s="2" t="s">
        <v>970</v>
      </c>
    </row>
    <row r="145" spans="1:20">
      <c r="A145" s="2" t="s">
        <v>1310</v>
      </c>
      <c r="B145" s="2" t="s">
        <v>1287</v>
      </c>
      <c r="C145" s="2" t="s">
        <v>963</v>
      </c>
      <c r="D145" s="2" t="s">
        <v>964</v>
      </c>
      <c r="E145" s="2" t="s">
        <v>1288</v>
      </c>
      <c r="F145" s="2">
        <v>2</v>
      </c>
      <c r="G145" s="2" t="s">
        <v>561</v>
      </c>
      <c r="H145" s="2" t="s">
        <v>560</v>
      </c>
      <c r="I145" s="2">
        <v>1</v>
      </c>
      <c r="J145" s="2" t="s">
        <v>11</v>
      </c>
      <c r="K145" s="2" t="s">
        <v>1567</v>
      </c>
      <c r="L145" s="2" t="s">
        <v>1022</v>
      </c>
      <c r="M145" s="2" t="s">
        <v>1011</v>
      </c>
      <c r="N145" s="2" t="s">
        <v>1012</v>
      </c>
      <c r="O145" s="2" t="s">
        <v>1013</v>
      </c>
      <c r="P145" s="2" t="s">
        <v>1014</v>
      </c>
      <c r="Q145" s="2">
        <v>1</v>
      </c>
      <c r="R145" s="2" t="s">
        <v>14</v>
      </c>
      <c r="S145" s="2">
        <v>2</v>
      </c>
      <c r="T145" s="2" t="s">
        <v>970</v>
      </c>
    </row>
    <row r="146" spans="1:20">
      <c r="A146" s="2" t="s">
        <v>1311</v>
      </c>
      <c r="B146" s="2" t="s">
        <v>1287</v>
      </c>
      <c r="C146" s="2" t="s">
        <v>963</v>
      </c>
      <c r="D146" s="2" t="s">
        <v>964</v>
      </c>
      <c r="E146" s="2" t="s">
        <v>1288</v>
      </c>
      <c r="F146" s="2">
        <v>2</v>
      </c>
      <c r="G146" s="2" t="s">
        <v>561</v>
      </c>
      <c r="H146" s="2" t="s">
        <v>560</v>
      </c>
      <c r="I146" s="2">
        <v>1</v>
      </c>
      <c r="J146" s="2" t="s">
        <v>11</v>
      </c>
      <c r="K146" s="2" t="s">
        <v>1568</v>
      </c>
      <c r="L146" s="2" t="s">
        <v>1024</v>
      </c>
      <c r="M146" s="2" t="s">
        <v>1011</v>
      </c>
      <c r="N146" s="2" t="s">
        <v>1012</v>
      </c>
      <c r="O146" s="2" t="s">
        <v>1013</v>
      </c>
      <c r="P146" s="2" t="s">
        <v>1014</v>
      </c>
      <c r="Q146" s="2">
        <v>1</v>
      </c>
      <c r="R146" s="2" t="s">
        <v>14</v>
      </c>
      <c r="S146" s="2">
        <v>2</v>
      </c>
      <c r="T146" s="2" t="s">
        <v>970</v>
      </c>
    </row>
    <row r="147" spans="1:20">
      <c r="A147" s="2" t="s">
        <v>1312</v>
      </c>
      <c r="B147" s="2" t="s">
        <v>1287</v>
      </c>
      <c r="C147" s="2" t="s">
        <v>963</v>
      </c>
      <c r="D147" s="2" t="s">
        <v>964</v>
      </c>
      <c r="E147" s="2" t="s">
        <v>1288</v>
      </c>
      <c r="F147" s="2">
        <v>2</v>
      </c>
      <c r="G147" s="2" t="s">
        <v>561</v>
      </c>
      <c r="H147" s="2" t="s">
        <v>560</v>
      </c>
      <c r="I147" s="2">
        <v>1</v>
      </c>
      <c r="J147" s="2" t="s">
        <v>11</v>
      </c>
      <c r="K147" s="2" t="s">
        <v>1569</v>
      </c>
      <c r="L147" s="2" t="s">
        <v>1026</v>
      </c>
      <c r="M147" s="2" t="s">
        <v>1011</v>
      </c>
      <c r="N147" s="2" t="s">
        <v>1012</v>
      </c>
      <c r="O147" s="2" t="s">
        <v>1013</v>
      </c>
      <c r="P147" s="2" t="s">
        <v>1014</v>
      </c>
      <c r="Q147" s="2">
        <v>1</v>
      </c>
      <c r="R147" s="2" t="s">
        <v>14</v>
      </c>
      <c r="S147" s="2">
        <v>2</v>
      </c>
      <c r="T147" s="2" t="s">
        <v>970</v>
      </c>
    </row>
    <row r="148" spans="1:20">
      <c r="A148" s="2" t="s">
        <v>1313</v>
      </c>
      <c r="B148" s="2" t="s">
        <v>1287</v>
      </c>
      <c r="C148" s="2" t="s">
        <v>963</v>
      </c>
      <c r="D148" s="2" t="s">
        <v>964</v>
      </c>
      <c r="E148" s="2" t="s">
        <v>1288</v>
      </c>
      <c r="F148" s="2">
        <v>2</v>
      </c>
      <c r="G148" s="2" t="s">
        <v>561</v>
      </c>
      <c r="H148" s="2" t="s">
        <v>560</v>
      </c>
      <c r="I148" s="2">
        <v>1</v>
      </c>
      <c r="J148" s="2" t="s">
        <v>11</v>
      </c>
      <c r="K148" s="2" t="s">
        <v>1570</v>
      </c>
      <c r="L148" s="2" t="s">
        <v>1028</v>
      </c>
      <c r="M148" s="2" t="s">
        <v>1011</v>
      </c>
      <c r="N148" s="2" t="s">
        <v>1012</v>
      </c>
      <c r="O148" s="2" t="s">
        <v>1013</v>
      </c>
      <c r="P148" s="2" t="s">
        <v>1014</v>
      </c>
      <c r="Q148" s="2">
        <v>1</v>
      </c>
      <c r="R148" s="2" t="s">
        <v>14</v>
      </c>
      <c r="S148" s="2">
        <v>2</v>
      </c>
      <c r="T148" s="2" t="s">
        <v>970</v>
      </c>
    </row>
    <row r="149" spans="1:20">
      <c r="A149" s="2" t="s">
        <v>1314</v>
      </c>
      <c r="B149" s="2" t="s">
        <v>1287</v>
      </c>
      <c r="C149" s="2" t="s">
        <v>963</v>
      </c>
      <c r="D149" s="2" t="s">
        <v>964</v>
      </c>
      <c r="E149" s="2" t="s">
        <v>1288</v>
      </c>
      <c r="F149" s="2">
        <v>2</v>
      </c>
      <c r="G149" s="2" t="s">
        <v>561</v>
      </c>
      <c r="H149" s="2" t="s">
        <v>560</v>
      </c>
      <c r="I149" s="2">
        <v>1</v>
      </c>
      <c r="J149" s="2" t="s">
        <v>11</v>
      </c>
      <c r="K149" s="2" t="s">
        <v>1571</v>
      </c>
      <c r="L149" s="2" t="s">
        <v>1030</v>
      </c>
      <c r="M149" s="2" t="s">
        <v>1011</v>
      </c>
      <c r="N149" s="2" t="s">
        <v>1012</v>
      </c>
      <c r="O149" s="2" t="s">
        <v>1013</v>
      </c>
      <c r="P149" s="2" t="s">
        <v>1014</v>
      </c>
      <c r="Q149" s="2">
        <v>1</v>
      </c>
      <c r="R149" s="2" t="s">
        <v>14</v>
      </c>
      <c r="S149" s="2">
        <v>2</v>
      </c>
      <c r="T149" s="2" t="s">
        <v>970</v>
      </c>
    </row>
    <row r="150" spans="1:20">
      <c r="A150" s="2" t="s">
        <v>1315</v>
      </c>
      <c r="B150" s="2" t="s">
        <v>1287</v>
      </c>
      <c r="C150" s="2" t="s">
        <v>963</v>
      </c>
      <c r="D150" s="2" t="s">
        <v>964</v>
      </c>
      <c r="E150" s="2" t="s">
        <v>1288</v>
      </c>
      <c r="F150" s="2">
        <v>2</v>
      </c>
      <c r="G150" s="2" t="s">
        <v>561</v>
      </c>
      <c r="H150" s="2" t="s">
        <v>560</v>
      </c>
      <c r="I150" s="2">
        <v>1</v>
      </c>
      <c r="J150" s="2" t="s">
        <v>11</v>
      </c>
      <c r="K150" s="2" t="s">
        <v>1572</v>
      </c>
      <c r="L150" s="2" t="s">
        <v>1032</v>
      </c>
      <c r="M150" s="2" t="s">
        <v>1011</v>
      </c>
      <c r="N150" s="2" t="s">
        <v>1012</v>
      </c>
      <c r="O150" s="2" t="s">
        <v>1013</v>
      </c>
      <c r="P150" s="2" t="s">
        <v>1014</v>
      </c>
      <c r="Q150" s="2">
        <v>1</v>
      </c>
      <c r="R150" s="2" t="s">
        <v>14</v>
      </c>
      <c r="S150" s="2">
        <v>2</v>
      </c>
      <c r="T150" s="2" t="s">
        <v>970</v>
      </c>
    </row>
    <row r="151" spans="1:20">
      <c r="A151" s="2" t="s">
        <v>1316</v>
      </c>
      <c r="B151" s="2" t="s">
        <v>1287</v>
      </c>
      <c r="C151" s="2" t="s">
        <v>963</v>
      </c>
      <c r="D151" s="2" t="s">
        <v>964</v>
      </c>
      <c r="E151" s="2" t="s">
        <v>1288</v>
      </c>
      <c r="F151" s="2">
        <v>2</v>
      </c>
      <c r="G151" s="2" t="s">
        <v>561</v>
      </c>
      <c r="H151" s="2" t="s">
        <v>560</v>
      </c>
      <c r="I151" s="2">
        <v>1</v>
      </c>
      <c r="J151" s="2" t="s">
        <v>11</v>
      </c>
      <c r="K151" s="2" t="s">
        <v>1573</v>
      </c>
      <c r="L151" s="2" t="s">
        <v>1034</v>
      </c>
      <c r="M151" s="2" t="s">
        <v>1011</v>
      </c>
      <c r="N151" s="2" t="s">
        <v>1012</v>
      </c>
      <c r="O151" s="2" t="s">
        <v>1013</v>
      </c>
      <c r="P151" s="2" t="s">
        <v>1014</v>
      </c>
      <c r="Q151" s="2">
        <v>1</v>
      </c>
      <c r="R151" s="2" t="s">
        <v>14</v>
      </c>
      <c r="S151" s="2">
        <v>2</v>
      </c>
      <c r="T151" s="2" t="s">
        <v>970</v>
      </c>
    </row>
    <row r="152" spans="1:20">
      <c r="A152" s="2" t="s">
        <v>1317</v>
      </c>
      <c r="B152" s="2" t="s">
        <v>1287</v>
      </c>
      <c r="C152" s="2" t="s">
        <v>963</v>
      </c>
      <c r="D152" s="2" t="s">
        <v>964</v>
      </c>
      <c r="E152" s="2" t="s">
        <v>1288</v>
      </c>
      <c r="F152" s="2">
        <v>2</v>
      </c>
      <c r="G152" s="2" t="s">
        <v>561</v>
      </c>
      <c r="H152" s="2" t="s">
        <v>560</v>
      </c>
      <c r="I152" s="2">
        <v>1</v>
      </c>
      <c r="J152" s="2" t="s">
        <v>11</v>
      </c>
      <c r="K152" s="2" t="s">
        <v>1574</v>
      </c>
      <c r="L152" s="2" t="s">
        <v>1036</v>
      </c>
      <c r="M152" s="2" t="s">
        <v>1011</v>
      </c>
      <c r="N152" s="2" t="s">
        <v>1012</v>
      </c>
      <c r="O152" s="2" t="s">
        <v>1013</v>
      </c>
      <c r="P152" s="2" t="s">
        <v>1014</v>
      </c>
      <c r="Q152" s="2">
        <v>1</v>
      </c>
      <c r="R152" s="2" t="s">
        <v>14</v>
      </c>
      <c r="S152" s="2">
        <v>2</v>
      </c>
      <c r="T152" s="2" t="s">
        <v>970</v>
      </c>
    </row>
    <row r="153" spans="1:20">
      <c r="A153" s="2" t="s">
        <v>1318</v>
      </c>
      <c r="B153" s="2" t="s">
        <v>1287</v>
      </c>
      <c r="C153" s="2" t="s">
        <v>963</v>
      </c>
      <c r="D153" s="2" t="s">
        <v>964</v>
      </c>
      <c r="E153" s="2" t="s">
        <v>1288</v>
      </c>
      <c r="F153" s="2">
        <v>2</v>
      </c>
      <c r="G153" s="2" t="s">
        <v>561</v>
      </c>
      <c r="H153" s="2" t="s">
        <v>560</v>
      </c>
      <c r="I153" s="2">
        <v>1</v>
      </c>
      <c r="J153" s="2" t="s">
        <v>11</v>
      </c>
      <c r="K153" s="2" t="s">
        <v>1575</v>
      </c>
      <c r="L153" s="2" t="s">
        <v>1038</v>
      </c>
      <c r="M153" s="2" t="s">
        <v>1011</v>
      </c>
      <c r="N153" s="2" t="s">
        <v>1012</v>
      </c>
      <c r="O153" s="2" t="s">
        <v>1013</v>
      </c>
      <c r="P153" s="2" t="s">
        <v>1014</v>
      </c>
      <c r="Q153" s="2">
        <v>1</v>
      </c>
      <c r="R153" s="2" t="s">
        <v>14</v>
      </c>
      <c r="S153" s="2">
        <v>2</v>
      </c>
      <c r="T153" s="2" t="s">
        <v>970</v>
      </c>
    </row>
    <row r="154" spans="1:20">
      <c r="A154" s="2" t="s">
        <v>1319</v>
      </c>
      <c r="B154" s="2" t="s">
        <v>1287</v>
      </c>
      <c r="C154" s="2" t="s">
        <v>963</v>
      </c>
      <c r="D154" s="2" t="s">
        <v>964</v>
      </c>
      <c r="E154" s="2" t="s">
        <v>1288</v>
      </c>
      <c r="F154" s="2">
        <v>2</v>
      </c>
      <c r="G154" s="2" t="s">
        <v>561</v>
      </c>
      <c r="H154" s="2" t="s">
        <v>560</v>
      </c>
      <c r="I154" s="2">
        <v>1</v>
      </c>
      <c r="J154" s="2" t="s">
        <v>11</v>
      </c>
      <c r="K154" s="2" t="s">
        <v>1576</v>
      </c>
      <c r="L154" s="2" t="s">
        <v>1040</v>
      </c>
      <c r="M154" s="2" t="s">
        <v>1011</v>
      </c>
      <c r="N154" s="2" t="s">
        <v>1012</v>
      </c>
      <c r="O154" s="2" t="s">
        <v>1013</v>
      </c>
      <c r="P154" s="2" t="s">
        <v>1014</v>
      </c>
      <c r="Q154" s="2">
        <v>1</v>
      </c>
      <c r="R154" s="2" t="s">
        <v>14</v>
      </c>
      <c r="S154" s="2">
        <v>2</v>
      </c>
      <c r="T154" s="2" t="s">
        <v>970</v>
      </c>
    </row>
    <row r="155" spans="1:20">
      <c r="A155" s="2" t="s">
        <v>1320</v>
      </c>
      <c r="B155" s="2" t="s">
        <v>1287</v>
      </c>
      <c r="C155" s="2" t="s">
        <v>963</v>
      </c>
      <c r="D155" s="2" t="s">
        <v>964</v>
      </c>
      <c r="E155" s="2" t="s">
        <v>1288</v>
      </c>
      <c r="F155" s="2">
        <v>2</v>
      </c>
      <c r="G155" s="2" t="s">
        <v>561</v>
      </c>
      <c r="H155" s="2" t="s">
        <v>560</v>
      </c>
      <c r="I155" s="2">
        <v>1</v>
      </c>
      <c r="J155" s="2" t="s">
        <v>11</v>
      </c>
      <c r="K155" s="2" t="s">
        <v>1577</v>
      </c>
      <c r="L155" s="2" t="s">
        <v>1042</v>
      </c>
      <c r="M155" s="2" t="s">
        <v>1011</v>
      </c>
      <c r="N155" s="2" t="s">
        <v>1012</v>
      </c>
      <c r="O155" s="2" t="s">
        <v>1013</v>
      </c>
      <c r="P155" s="2" t="s">
        <v>1014</v>
      </c>
      <c r="Q155" s="2">
        <v>1</v>
      </c>
      <c r="R155" s="2" t="s">
        <v>14</v>
      </c>
      <c r="S155" s="2">
        <v>2</v>
      </c>
      <c r="T155" s="2" t="s">
        <v>970</v>
      </c>
    </row>
    <row r="156" spans="1:20">
      <c r="A156" s="2" t="s">
        <v>1321</v>
      </c>
      <c r="B156" s="2" t="s">
        <v>1287</v>
      </c>
      <c r="C156" s="2" t="s">
        <v>963</v>
      </c>
      <c r="D156" s="2" t="s">
        <v>964</v>
      </c>
      <c r="E156" s="2" t="s">
        <v>1288</v>
      </c>
      <c r="F156" s="2">
        <v>2</v>
      </c>
      <c r="G156" s="2" t="s">
        <v>561</v>
      </c>
      <c r="H156" s="2" t="s">
        <v>560</v>
      </c>
      <c r="I156" s="2">
        <v>1</v>
      </c>
      <c r="J156" s="2" t="s">
        <v>11</v>
      </c>
      <c r="K156" s="2" t="s">
        <v>1578</v>
      </c>
      <c r="L156" s="2" t="s">
        <v>1044</v>
      </c>
      <c r="M156" s="2" t="s">
        <v>1011</v>
      </c>
      <c r="N156" s="2" t="s">
        <v>1012</v>
      </c>
      <c r="O156" s="2" t="s">
        <v>1013</v>
      </c>
      <c r="P156" s="2" t="s">
        <v>1014</v>
      </c>
      <c r="Q156" s="2">
        <v>1</v>
      </c>
      <c r="R156" s="2" t="s">
        <v>14</v>
      </c>
      <c r="S156" s="2">
        <v>2</v>
      </c>
      <c r="T156" s="2" t="s">
        <v>970</v>
      </c>
    </row>
    <row r="157" spans="1:20">
      <c r="A157" s="2" t="s">
        <v>1322</v>
      </c>
      <c r="B157" s="2" t="s">
        <v>1287</v>
      </c>
      <c r="C157" s="2" t="s">
        <v>963</v>
      </c>
      <c r="D157" s="2" t="s">
        <v>964</v>
      </c>
      <c r="E157" s="2" t="s">
        <v>1288</v>
      </c>
      <c r="F157" s="2">
        <v>2</v>
      </c>
      <c r="G157" s="2" t="s">
        <v>561</v>
      </c>
      <c r="H157" s="2" t="s">
        <v>560</v>
      </c>
      <c r="I157" s="2">
        <v>1</v>
      </c>
      <c r="J157" s="2" t="s">
        <v>11</v>
      </c>
      <c r="K157" s="2" t="s">
        <v>1579</v>
      </c>
      <c r="L157" s="2" t="s">
        <v>1046</v>
      </c>
      <c r="M157" s="2" t="s">
        <v>1011</v>
      </c>
      <c r="N157" s="2" t="s">
        <v>1012</v>
      </c>
      <c r="O157" s="2" t="s">
        <v>1013</v>
      </c>
      <c r="P157" s="2" t="s">
        <v>1014</v>
      </c>
      <c r="Q157" s="2">
        <v>2</v>
      </c>
      <c r="R157" s="2" t="s">
        <v>142</v>
      </c>
      <c r="S157" s="2">
        <v>2</v>
      </c>
      <c r="T157" s="2" t="s">
        <v>970</v>
      </c>
    </row>
    <row r="158" spans="1:20">
      <c r="A158" s="2" t="s">
        <v>1323</v>
      </c>
      <c r="B158" s="2" t="s">
        <v>1287</v>
      </c>
      <c r="C158" s="2" t="s">
        <v>963</v>
      </c>
      <c r="D158" s="2" t="s">
        <v>964</v>
      </c>
      <c r="E158" s="2" t="s">
        <v>1288</v>
      </c>
      <c r="F158" s="2">
        <v>2</v>
      </c>
      <c r="G158" s="2" t="s">
        <v>561</v>
      </c>
      <c r="H158" s="2" t="s">
        <v>560</v>
      </c>
      <c r="I158" s="2">
        <v>1</v>
      </c>
      <c r="J158" s="2" t="s">
        <v>11</v>
      </c>
      <c r="K158" s="2" t="s">
        <v>1580</v>
      </c>
      <c r="L158" s="2" t="s">
        <v>1048</v>
      </c>
      <c r="M158" s="2" t="s">
        <v>1011</v>
      </c>
      <c r="N158" s="2" t="s">
        <v>1012</v>
      </c>
      <c r="O158" s="2" t="s">
        <v>1013</v>
      </c>
      <c r="P158" s="2" t="s">
        <v>1014</v>
      </c>
      <c r="Q158" s="2">
        <v>2</v>
      </c>
      <c r="R158" s="2" t="s">
        <v>142</v>
      </c>
      <c r="S158" s="2">
        <v>2</v>
      </c>
      <c r="T158" s="2" t="s">
        <v>970</v>
      </c>
    </row>
    <row r="159" spans="1:20">
      <c r="A159" s="2" t="s">
        <v>1324</v>
      </c>
      <c r="B159" s="2" t="s">
        <v>1287</v>
      </c>
      <c r="C159" s="2" t="s">
        <v>963</v>
      </c>
      <c r="D159" s="2" t="s">
        <v>964</v>
      </c>
      <c r="E159" s="2" t="s">
        <v>1288</v>
      </c>
      <c r="F159" s="2">
        <v>2</v>
      </c>
      <c r="G159" s="2" t="s">
        <v>561</v>
      </c>
      <c r="H159" s="2" t="s">
        <v>560</v>
      </c>
      <c r="I159" s="2">
        <v>1</v>
      </c>
      <c r="J159" s="2" t="s">
        <v>11</v>
      </c>
      <c r="K159" s="2" t="s">
        <v>1581</v>
      </c>
      <c r="L159" s="2" t="s">
        <v>1050</v>
      </c>
      <c r="M159" s="2" t="s">
        <v>1011</v>
      </c>
      <c r="N159" s="2" t="s">
        <v>1012</v>
      </c>
      <c r="O159" s="2" t="s">
        <v>1013</v>
      </c>
      <c r="P159" s="2" t="s">
        <v>1014</v>
      </c>
      <c r="Q159" s="2">
        <v>1</v>
      </c>
      <c r="R159" s="2" t="s">
        <v>14</v>
      </c>
      <c r="S159" s="2">
        <v>2</v>
      </c>
      <c r="T159" s="2" t="s">
        <v>970</v>
      </c>
    </row>
    <row r="160" spans="1:20">
      <c r="A160" s="2" t="s">
        <v>1325</v>
      </c>
      <c r="B160" s="2" t="s">
        <v>1287</v>
      </c>
      <c r="C160" s="2" t="s">
        <v>963</v>
      </c>
      <c r="D160" s="2" t="s">
        <v>964</v>
      </c>
      <c r="E160" s="2" t="s">
        <v>1288</v>
      </c>
      <c r="F160" s="2">
        <v>2</v>
      </c>
      <c r="G160" s="2" t="s">
        <v>561</v>
      </c>
      <c r="H160" s="2" t="s">
        <v>560</v>
      </c>
      <c r="I160" s="2">
        <v>1</v>
      </c>
      <c r="J160" s="2" t="s">
        <v>11</v>
      </c>
      <c r="K160" s="2" t="s">
        <v>1582</v>
      </c>
      <c r="L160" s="2" t="s">
        <v>1052</v>
      </c>
      <c r="M160" s="2" t="s">
        <v>1011</v>
      </c>
      <c r="N160" s="2" t="s">
        <v>1012</v>
      </c>
      <c r="O160" s="2" t="s">
        <v>1013</v>
      </c>
      <c r="P160" s="2" t="s">
        <v>1014</v>
      </c>
      <c r="Q160" s="2">
        <v>2</v>
      </c>
      <c r="R160" s="2" t="s">
        <v>142</v>
      </c>
      <c r="S160" s="2">
        <v>2</v>
      </c>
      <c r="T160" s="2" t="s">
        <v>970</v>
      </c>
    </row>
    <row r="161" spans="1:20">
      <c r="A161" s="2" t="s">
        <v>1326</v>
      </c>
      <c r="B161" s="2" t="s">
        <v>1287</v>
      </c>
      <c r="C161" s="2" t="s">
        <v>963</v>
      </c>
      <c r="D161" s="2" t="s">
        <v>964</v>
      </c>
      <c r="E161" s="2" t="s">
        <v>1288</v>
      </c>
      <c r="F161" s="2">
        <v>2</v>
      </c>
      <c r="G161" s="2" t="s">
        <v>561</v>
      </c>
      <c r="H161" s="2" t="s">
        <v>560</v>
      </c>
      <c r="I161" s="2">
        <v>1</v>
      </c>
      <c r="J161" s="2" t="s">
        <v>11</v>
      </c>
      <c r="K161" s="2" t="s">
        <v>1583</v>
      </c>
      <c r="L161" s="2" t="s">
        <v>1054</v>
      </c>
      <c r="M161" s="2" t="s">
        <v>1011</v>
      </c>
      <c r="N161" s="2" t="s">
        <v>1012</v>
      </c>
      <c r="O161" s="2" t="s">
        <v>1013</v>
      </c>
      <c r="P161" s="2" t="s">
        <v>1014</v>
      </c>
      <c r="Q161" s="2">
        <v>1</v>
      </c>
      <c r="R161" s="2" t="s">
        <v>14</v>
      </c>
      <c r="S161" s="2">
        <v>2</v>
      </c>
      <c r="T161" s="2" t="s">
        <v>970</v>
      </c>
    </row>
    <row r="162" spans="1:20">
      <c r="A162" s="2" t="s">
        <v>1327</v>
      </c>
      <c r="B162" s="2" t="s">
        <v>1287</v>
      </c>
      <c r="C162" s="2" t="s">
        <v>963</v>
      </c>
      <c r="D162" s="2" t="s">
        <v>964</v>
      </c>
      <c r="E162" s="2" t="s">
        <v>1288</v>
      </c>
      <c r="F162" s="2">
        <v>2</v>
      </c>
      <c r="G162" s="2" t="s">
        <v>561</v>
      </c>
      <c r="H162" s="2" t="s">
        <v>560</v>
      </c>
      <c r="I162" s="2">
        <v>1</v>
      </c>
      <c r="J162" s="2" t="s">
        <v>11</v>
      </c>
      <c r="K162" s="2" t="s">
        <v>1584</v>
      </c>
      <c r="L162" s="2" t="s">
        <v>1056</v>
      </c>
      <c r="M162" s="2" t="s">
        <v>1011</v>
      </c>
      <c r="N162" s="2" t="s">
        <v>1012</v>
      </c>
      <c r="O162" s="2" t="s">
        <v>1013</v>
      </c>
      <c r="P162" s="2" t="s">
        <v>1014</v>
      </c>
      <c r="Q162" s="2">
        <v>1</v>
      </c>
      <c r="R162" s="2" t="s">
        <v>14</v>
      </c>
      <c r="S162" s="2">
        <v>2</v>
      </c>
      <c r="T162" s="2" t="s">
        <v>970</v>
      </c>
    </row>
    <row r="163" spans="1:20">
      <c r="A163" s="2" t="s">
        <v>1328</v>
      </c>
      <c r="B163" s="2" t="s">
        <v>1287</v>
      </c>
      <c r="C163" s="2" t="s">
        <v>963</v>
      </c>
      <c r="D163" s="2" t="s">
        <v>964</v>
      </c>
      <c r="E163" s="2" t="s">
        <v>1288</v>
      </c>
      <c r="F163" s="2">
        <v>2</v>
      </c>
      <c r="G163" s="2" t="s">
        <v>561</v>
      </c>
      <c r="H163" s="2" t="s">
        <v>560</v>
      </c>
      <c r="I163" s="2">
        <v>1</v>
      </c>
      <c r="J163" s="2" t="s">
        <v>11</v>
      </c>
      <c r="K163" s="2" t="s">
        <v>1585</v>
      </c>
      <c r="L163" s="2" t="s">
        <v>1058</v>
      </c>
      <c r="M163" s="2" t="s">
        <v>1011</v>
      </c>
      <c r="N163" s="2" t="s">
        <v>1012</v>
      </c>
      <c r="O163" s="2" t="s">
        <v>1013</v>
      </c>
      <c r="P163" s="2" t="s">
        <v>1014</v>
      </c>
      <c r="Q163" s="2">
        <v>1</v>
      </c>
      <c r="R163" s="2" t="s">
        <v>14</v>
      </c>
      <c r="S163" s="2">
        <v>2</v>
      </c>
      <c r="T163" s="2" t="s">
        <v>970</v>
      </c>
    </row>
    <row r="164" spans="1:20">
      <c r="A164" s="2" t="s">
        <v>1329</v>
      </c>
      <c r="B164" s="2" t="s">
        <v>1287</v>
      </c>
      <c r="C164" s="2" t="s">
        <v>963</v>
      </c>
      <c r="D164" s="2" t="s">
        <v>964</v>
      </c>
      <c r="E164" s="2" t="s">
        <v>1288</v>
      </c>
      <c r="F164" s="2">
        <v>2</v>
      </c>
      <c r="G164" s="2" t="s">
        <v>561</v>
      </c>
      <c r="H164" s="2" t="s">
        <v>560</v>
      </c>
      <c r="I164" s="2">
        <v>1</v>
      </c>
      <c r="J164" s="2" t="s">
        <v>11</v>
      </c>
      <c r="K164" s="2" t="s">
        <v>1586</v>
      </c>
      <c r="L164" s="2" t="s">
        <v>1060</v>
      </c>
      <c r="M164" s="2" t="s">
        <v>1011</v>
      </c>
      <c r="N164" s="2" t="s">
        <v>1012</v>
      </c>
      <c r="O164" s="2" t="s">
        <v>1013</v>
      </c>
      <c r="P164" s="2" t="s">
        <v>1014</v>
      </c>
      <c r="Q164" s="2">
        <v>1</v>
      </c>
      <c r="R164" s="2" t="s">
        <v>14</v>
      </c>
      <c r="S164" s="2">
        <v>2</v>
      </c>
      <c r="T164" s="2" t="s">
        <v>970</v>
      </c>
    </row>
    <row r="165" spans="1:20">
      <c r="A165" s="2" t="s">
        <v>1330</v>
      </c>
      <c r="B165" s="2" t="s">
        <v>1287</v>
      </c>
      <c r="C165" s="2" t="s">
        <v>963</v>
      </c>
      <c r="D165" s="2" t="s">
        <v>964</v>
      </c>
      <c r="E165" s="2" t="s">
        <v>1288</v>
      </c>
      <c r="F165" s="2">
        <v>2</v>
      </c>
      <c r="G165" s="2" t="s">
        <v>561</v>
      </c>
      <c r="H165" s="2" t="s">
        <v>560</v>
      </c>
      <c r="I165" s="2">
        <v>1</v>
      </c>
      <c r="J165" s="2" t="s">
        <v>11</v>
      </c>
      <c r="K165" s="2" t="s">
        <v>1587</v>
      </c>
      <c r="L165" s="2" t="s">
        <v>1062</v>
      </c>
      <c r="M165" s="2" t="s">
        <v>1011</v>
      </c>
      <c r="N165" s="2" t="s">
        <v>1012</v>
      </c>
      <c r="O165" s="2" t="s">
        <v>1013</v>
      </c>
      <c r="P165" s="2" t="s">
        <v>1014</v>
      </c>
      <c r="Q165" s="2">
        <v>2</v>
      </c>
      <c r="R165" s="2" t="s">
        <v>142</v>
      </c>
      <c r="S165" s="2">
        <v>2</v>
      </c>
      <c r="T165" s="2" t="s">
        <v>970</v>
      </c>
    </row>
    <row r="166" spans="1:20">
      <c r="A166" s="2" t="s">
        <v>1331</v>
      </c>
      <c r="B166" s="2" t="s">
        <v>1287</v>
      </c>
      <c r="C166" s="2" t="s">
        <v>963</v>
      </c>
      <c r="D166" s="2" t="s">
        <v>964</v>
      </c>
      <c r="E166" s="2" t="s">
        <v>1288</v>
      </c>
      <c r="F166" s="2">
        <v>2</v>
      </c>
      <c r="G166" s="2" t="s">
        <v>561</v>
      </c>
      <c r="H166" s="2" t="s">
        <v>560</v>
      </c>
      <c r="I166" s="2">
        <v>1</v>
      </c>
      <c r="J166" s="2" t="s">
        <v>11</v>
      </c>
      <c r="K166" s="2" t="s">
        <v>1588</v>
      </c>
      <c r="L166" s="2" t="s">
        <v>1064</v>
      </c>
      <c r="M166" s="2" t="s">
        <v>1011</v>
      </c>
      <c r="N166" s="2" t="s">
        <v>1012</v>
      </c>
      <c r="O166" s="2" t="s">
        <v>1013</v>
      </c>
      <c r="P166" s="2" t="s">
        <v>1014</v>
      </c>
      <c r="Q166" s="2">
        <v>3</v>
      </c>
      <c r="R166" s="2" t="s">
        <v>67</v>
      </c>
      <c r="S166" s="2">
        <v>2</v>
      </c>
      <c r="T166" s="2" t="s">
        <v>1065</v>
      </c>
    </row>
    <row r="167" spans="1:20">
      <c r="A167" s="2" t="s">
        <v>1332</v>
      </c>
      <c r="B167" s="2" t="s">
        <v>1287</v>
      </c>
      <c r="C167" s="2" t="s">
        <v>963</v>
      </c>
      <c r="D167" s="2" t="s">
        <v>964</v>
      </c>
      <c r="E167" s="2" t="s">
        <v>1288</v>
      </c>
      <c r="F167" s="2">
        <v>2</v>
      </c>
      <c r="G167" s="2" t="s">
        <v>561</v>
      </c>
      <c r="H167" s="2" t="s">
        <v>560</v>
      </c>
      <c r="I167" s="2">
        <v>1</v>
      </c>
      <c r="J167" s="2" t="s">
        <v>11</v>
      </c>
      <c r="K167" s="2" t="s">
        <v>1589</v>
      </c>
      <c r="L167" s="2" t="s">
        <v>1067</v>
      </c>
      <c r="M167" s="2" t="s">
        <v>1011</v>
      </c>
      <c r="N167" s="2" t="s">
        <v>1012</v>
      </c>
      <c r="O167" s="2" t="s">
        <v>1013</v>
      </c>
      <c r="P167" s="2" t="s">
        <v>1014</v>
      </c>
      <c r="Q167" s="2">
        <v>3</v>
      </c>
      <c r="R167" s="2" t="s">
        <v>67</v>
      </c>
      <c r="S167" s="2">
        <v>2</v>
      </c>
      <c r="T167" s="2" t="s">
        <v>970</v>
      </c>
    </row>
    <row r="168" spans="1:20">
      <c r="A168" s="2" t="s">
        <v>1333</v>
      </c>
      <c r="B168" s="2" t="s">
        <v>1287</v>
      </c>
      <c r="C168" s="2" t="s">
        <v>963</v>
      </c>
      <c r="D168" s="2" t="s">
        <v>964</v>
      </c>
      <c r="E168" s="2" t="s">
        <v>1288</v>
      </c>
      <c r="F168" s="2">
        <v>2</v>
      </c>
      <c r="G168" s="2" t="s">
        <v>561</v>
      </c>
      <c r="H168" s="2" t="s">
        <v>560</v>
      </c>
      <c r="I168" s="2">
        <v>1</v>
      </c>
      <c r="J168" s="2" t="s">
        <v>11</v>
      </c>
      <c r="K168" s="2" t="s">
        <v>1590</v>
      </c>
      <c r="L168" s="2" t="s">
        <v>1069</v>
      </c>
      <c r="M168" s="2" t="s">
        <v>1011</v>
      </c>
      <c r="N168" s="2" t="s">
        <v>1012</v>
      </c>
      <c r="O168" s="2" t="s">
        <v>1013</v>
      </c>
      <c r="P168" s="2" t="s">
        <v>1014</v>
      </c>
      <c r="Q168" s="2">
        <v>2</v>
      </c>
      <c r="R168" s="2" t="s">
        <v>142</v>
      </c>
      <c r="S168" s="2">
        <v>2</v>
      </c>
      <c r="T168" s="2" t="s">
        <v>970</v>
      </c>
    </row>
    <row r="169" spans="1:20">
      <c r="A169" s="2" t="s">
        <v>1334</v>
      </c>
      <c r="B169" s="2" t="s">
        <v>1287</v>
      </c>
      <c r="C169" s="2" t="s">
        <v>963</v>
      </c>
      <c r="D169" s="2" t="s">
        <v>964</v>
      </c>
      <c r="E169" s="2" t="s">
        <v>1288</v>
      </c>
      <c r="F169" s="2">
        <v>2</v>
      </c>
      <c r="G169" s="2" t="s">
        <v>561</v>
      </c>
      <c r="H169" s="2" t="s">
        <v>560</v>
      </c>
      <c r="I169" s="2">
        <v>1</v>
      </c>
      <c r="J169" s="2" t="s">
        <v>11</v>
      </c>
      <c r="K169" s="2" t="s">
        <v>1591</v>
      </c>
      <c r="L169" s="2" t="s">
        <v>1071</v>
      </c>
      <c r="M169" s="2" t="s">
        <v>1011</v>
      </c>
      <c r="N169" s="2" t="s">
        <v>1012</v>
      </c>
      <c r="O169" s="2" t="s">
        <v>1013</v>
      </c>
      <c r="P169" s="2" t="s">
        <v>1014</v>
      </c>
      <c r="Q169" s="2">
        <v>3</v>
      </c>
      <c r="R169" s="2" t="s">
        <v>67</v>
      </c>
      <c r="S169" s="2">
        <v>2</v>
      </c>
      <c r="T169" s="2" t="s">
        <v>970</v>
      </c>
    </row>
    <row r="170" spans="1:20">
      <c r="A170" s="2" t="s">
        <v>1335</v>
      </c>
      <c r="B170" s="2" t="s">
        <v>1287</v>
      </c>
      <c r="C170" s="2" t="s">
        <v>963</v>
      </c>
      <c r="D170" s="2" t="s">
        <v>964</v>
      </c>
      <c r="E170" s="2" t="s">
        <v>1288</v>
      </c>
      <c r="F170" s="2">
        <v>2</v>
      </c>
      <c r="G170" s="2" t="s">
        <v>561</v>
      </c>
      <c r="H170" s="2" t="s">
        <v>560</v>
      </c>
      <c r="I170" s="2">
        <v>1</v>
      </c>
      <c r="J170" s="2" t="s">
        <v>11</v>
      </c>
      <c r="K170" s="2" t="s">
        <v>1592</v>
      </c>
      <c r="L170" s="2" t="s">
        <v>1073</v>
      </c>
      <c r="M170" s="2" t="s">
        <v>1011</v>
      </c>
      <c r="N170" s="2" t="s">
        <v>1012</v>
      </c>
      <c r="O170" s="2" t="s">
        <v>1013</v>
      </c>
      <c r="P170" s="2" t="s">
        <v>1014</v>
      </c>
      <c r="Q170" s="2">
        <v>2</v>
      </c>
      <c r="R170" s="2" t="s">
        <v>142</v>
      </c>
      <c r="S170" s="2">
        <v>2</v>
      </c>
      <c r="T170" s="2" t="s">
        <v>970</v>
      </c>
    </row>
    <row r="171" spans="1:20">
      <c r="A171" s="2" t="s">
        <v>1336</v>
      </c>
      <c r="B171" s="2" t="s">
        <v>1287</v>
      </c>
      <c r="C171" s="2" t="s">
        <v>963</v>
      </c>
      <c r="D171" s="2" t="s">
        <v>964</v>
      </c>
      <c r="E171" s="2" t="s">
        <v>1288</v>
      </c>
      <c r="F171" s="2">
        <v>2</v>
      </c>
      <c r="G171" s="2" t="s">
        <v>561</v>
      </c>
      <c r="H171" s="2" t="s">
        <v>560</v>
      </c>
      <c r="I171" s="2">
        <v>1</v>
      </c>
      <c r="J171" s="2" t="s">
        <v>11</v>
      </c>
      <c r="K171" s="2" t="s">
        <v>1593</v>
      </c>
      <c r="L171" s="2" t="s">
        <v>1075</v>
      </c>
      <c r="M171" s="2" t="s">
        <v>1011</v>
      </c>
      <c r="N171" s="2" t="s">
        <v>1012</v>
      </c>
      <c r="O171" s="2" t="s">
        <v>1013</v>
      </c>
      <c r="P171" s="2" t="s">
        <v>1014</v>
      </c>
      <c r="Q171" s="2">
        <v>2</v>
      </c>
      <c r="R171" s="2" t="s">
        <v>142</v>
      </c>
      <c r="S171" s="2">
        <v>2</v>
      </c>
      <c r="T171" s="2" t="s">
        <v>970</v>
      </c>
    </row>
    <row r="172" spans="1:20">
      <c r="A172" s="2" t="s">
        <v>1337</v>
      </c>
      <c r="B172" s="2" t="s">
        <v>1287</v>
      </c>
      <c r="C172" s="2" t="s">
        <v>963</v>
      </c>
      <c r="D172" s="2" t="s">
        <v>964</v>
      </c>
      <c r="E172" s="2" t="s">
        <v>1288</v>
      </c>
      <c r="F172" s="2">
        <v>2</v>
      </c>
      <c r="G172" s="2" t="s">
        <v>561</v>
      </c>
      <c r="H172" s="2" t="s">
        <v>560</v>
      </c>
      <c r="I172" s="2">
        <v>1</v>
      </c>
      <c r="J172" s="2" t="s">
        <v>11</v>
      </c>
      <c r="K172" s="2" t="s">
        <v>1594</v>
      </c>
      <c r="L172" s="2" t="s">
        <v>1077</v>
      </c>
      <c r="M172" s="2" t="s">
        <v>1011</v>
      </c>
      <c r="N172" s="2" t="s">
        <v>1012</v>
      </c>
      <c r="O172" s="2" t="s">
        <v>1013</v>
      </c>
      <c r="P172" s="2" t="s">
        <v>1014</v>
      </c>
      <c r="Q172" s="2">
        <v>3</v>
      </c>
      <c r="R172" s="2" t="s">
        <v>67</v>
      </c>
      <c r="S172" s="2">
        <v>2</v>
      </c>
      <c r="T172" s="2" t="s">
        <v>970</v>
      </c>
    </row>
    <row r="173" spans="1:20">
      <c r="A173" s="2" t="s">
        <v>1338</v>
      </c>
      <c r="B173" s="2" t="s">
        <v>1287</v>
      </c>
      <c r="C173" s="2" t="s">
        <v>963</v>
      </c>
      <c r="D173" s="2" t="s">
        <v>964</v>
      </c>
      <c r="E173" s="2" t="s">
        <v>1288</v>
      </c>
      <c r="F173" s="2">
        <v>2</v>
      </c>
      <c r="G173" s="2" t="s">
        <v>561</v>
      </c>
      <c r="H173" s="2" t="s">
        <v>560</v>
      </c>
      <c r="I173" s="2">
        <v>1</v>
      </c>
      <c r="J173" s="2" t="s">
        <v>11</v>
      </c>
      <c r="K173" s="2" t="s">
        <v>1595</v>
      </c>
      <c r="L173" s="2" t="s">
        <v>1079</v>
      </c>
      <c r="M173" s="2" t="s">
        <v>1011</v>
      </c>
      <c r="N173" s="2" t="s">
        <v>1012</v>
      </c>
      <c r="O173" s="2" t="s">
        <v>1013</v>
      </c>
      <c r="P173" s="2" t="s">
        <v>1014</v>
      </c>
      <c r="Q173" s="2">
        <v>3</v>
      </c>
      <c r="R173" s="2" t="s">
        <v>67</v>
      </c>
      <c r="S173" s="2">
        <v>2</v>
      </c>
      <c r="T173" s="2" t="s">
        <v>970</v>
      </c>
    </row>
    <row r="174" spans="1:20">
      <c r="A174" s="2" t="s">
        <v>1339</v>
      </c>
      <c r="B174" s="2" t="s">
        <v>1287</v>
      </c>
      <c r="C174" s="2" t="s">
        <v>963</v>
      </c>
      <c r="D174" s="2" t="s">
        <v>964</v>
      </c>
      <c r="E174" s="2" t="s">
        <v>1288</v>
      </c>
      <c r="F174" s="2">
        <v>2</v>
      </c>
      <c r="G174" s="2" t="s">
        <v>561</v>
      </c>
      <c r="H174" s="2" t="s">
        <v>560</v>
      </c>
      <c r="I174" s="2">
        <v>1</v>
      </c>
      <c r="J174" s="2" t="s">
        <v>11</v>
      </c>
      <c r="K174" s="2" t="s">
        <v>1596</v>
      </c>
      <c r="L174" s="2" t="s">
        <v>1081</v>
      </c>
      <c r="M174" s="2" t="s">
        <v>1011</v>
      </c>
      <c r="N174" s="2" t="s">
        <v>1012</v>
      </c>
      <c r="O174" s="2" t="s">
        <v>1013</v>
      </c>
      <c r="P174" s="2" t="s">
        <v>1014</v>
      </c>
      <c r="Q174" s="2">
        <v>3</v>
      </c>
      <c r="R174" s="2" t="s">
        <v>67</v>
      </c>
      <c r="S174" s="2">
        <v>2</v>
      </c>
      <c r="T174" s="2" t="s">
        <v>970</v>
      </c>
    </row>
    <row r="175" spans="1:20">
      <c r="A175" s="2" t="s">
        <v>1340</v>
      </c>
      <c r="B175" s="2" t="s">
        <v>1287</v>
      </c>
      <c r="C175" s="2" t="s">
        <v>963</v>
      </c>
      <c r="D175" s="2" t="s">
        <v>964</v>
      </c>
      <c r="E175" s="2" t="s">
        <v>1288</v>
      </c>
      <c r="F175" s="2">
        <v>2</v>
      </c>
      <c r="G175" s="2" t="s">
        <v>561</v>
      </c>
      <c r="H175" s="2" t="s">
        <v>560</v>
      </c>
      <c r="I175" s="2">
        <v>1</v>
      </c>
      <c r="J175" s="2" t="s">
        <v>11</v>
      </c>
      <c r="K175" s="2" t="s">
        <v>1597</v>
      </c>
      <c r="L175" s="2" t="s">
        <v>1083</v>
      </c>
      <c r="M175" s="2" t="s">
        <v>1011</v>
      </c>
      <c r="N175" s="2" t="s">
        <v>1012</v>
      </c>
      <c r="O175" s="2" t="s">
        <v>1013</v>
      </c>
      <c r="P175" s="2" t="s">
        <v>1014</v>
      </c>
      <c r="Q175" s="2">
        <v>3</v>
      </c>
      <c r="R175" s="2" t="s">
        <v>67</v>
      </c>
      <c r="S175" s="2">
        <v>2</v>
      </c>
      <c r="T175" s="2" t="s">
        <v>970</v>
      </c>
    </row>
    <row r="176" spans="1:20">
      <c r="A176" s="2" t="s">
        <v>1341</v>
      </c>
      <c r="B176" s="2" t="s">
        <v>1287</v>
      </c>
      <c r="C176" s="2" t="s">
        <v>963</v>
      </c>
      <c r="D176" s="2" t="s">
        <v>964</v>
      </c>
      <c r="E176" s="2" t="s">
        <v>1288</v>
      </c>
      <c r="F176" s="2">
        <v>2</v>
      </c>
      <c r="G176" s="2" t="s">
        <v>561</v>
      </c>
      <c r="H176" s="2" t="s">
        <v>560</v>
      </c>
      <c r="I176" s="2">
        <v>1</v>
      </c>
      <c r="J176" s="2" t="s">
        <v>11</v>
      </c>
      <c r="K176" s="2" t="s">
        <v>1598</v>
      </c>
      <c r="L176" s="2" t="s">
        <v>1085</v>
      </c>
      <c r="M176" s="2" t="s">
        <v>1011</v>
      </c>
      <c r="N176" s="2" t="s">
        <v>1012</v>
      </c>
      <c r="O176" s="2" t="s">
        <v>1013</v>
      </c>
      <c r="P176" s="2" t="s">
        <v>1014</v>
      </c>
      <c r="Q176" s="2">
        <v>3</v>
      </c>
      <c r="R176" s="2" t="s">
        <v>67</v>
      </c>
      <c r="S176" s="2">
        <v>2</v>
      </c>
      <c r="T176" s="2" t="s">
        <v>970</v>
      </c>
    </row>
    <row r="177" spans="1:20">
      <c r="A177" s="2" t="s">
        <v>1342</v>
      </c>
      <c r="B177" s="2" t="s">
        <v>1287</v>
      </c>
      <c r="C177" s="2" t="s">
        <v>963</v>
      </c>
      <c r="D177" s="2" t="s">
        <v>964</v>
      </c>
      <c r="E177" s="2" t="s">
        <v>1288</v>
      </c>
      <c r="F177" s="2">
        <v>2</v>
      </c>
      <c r="G177" s="2" t="s">
        <v>561</v>
      </c>
      <c r="H177" s="2" t="s">
        <v>560</v>
      </c>
      <c r="I177" s="2">
        <v>1</v>
      </c>
      <c r="J177" s="2" t="s">
        <v>11</v>
      </c>
      <c r="K177" s="2" t="s">
        <v>1599</v>
      </c>
      <c r="L177" s="2" t="s">
        <v>1087</v>
      </c>
      <c r="M177" s="2" t="s">
        <v>1011</v>
      </c>
      <c r="N177" s="2" t="s">
        <v>1012</v>
      </c>
      <c r="O177" s="2" t="s">
        <v>1013</v>
      </c>
      <c r="P177" s="2" t="s">
        <v>1014</v>
      </c>
      <c r="Q177" s="2">
        <v>3</v>
      </c>
      <c r="R177" s="2" t="s">
        <v>67</v>
      </c>
      <c r="S177" s="2">
        <v>2</v>
      </c>
      <c r="T177" s="2" t="s">
        <v>970</v>
      </c>
    </row>
    <row r="178" spans="1:20">
      <c r="A178" s="2" t="s">
        <v>1343</v>
      </c>
      <c r="B178" s="2" t="s">
        <v>1287</v>
      </c>
      <c r="C178" s="2" t="s">
        <v>963</v>
      </c>
      <c r="D178" s="2" t="s">
        <v>964</v>
      </c>
      <c r="E178" s="2" t="s">
        <v>1288</v>
      </c>
      <c r="F178" s="2">
        <v>2</v>
      </c>
      <c r="G178" s="2" t="s">
        <v>561</v>
      </c>
      <c r="H178" s="2" t="s">
        <v>560</v>
      </c>
      <c r="I178" s="2">
        <v>1</v>
      </c>
      <c r="J178" s="2" t="s">
        <v>11</v>
      </c>
      <c r="K178" s="2" t="s">
        <v>1600</v>
      </c>
      <c r="L178" s="2" t="s">
        <v>1089</v>
      </c>
      <c r="M178" s="2" t="s">
        <v>1011</v>
      </c>
      <c r="N178" s="2" t="s">
        <v>1012</v>
      </c>
      <c r="O178" s="2" t="s">
        <v>1013</v>
      </c>
      <c r="P178" s="2" t="s">
        <v>1014</v>
      </c>
      <c r="Q178" s="2">
        <v>3</v>
      </c>
      <c r="R178" s="2" t="s">
        <v>67</v>
      </c>
      <c r="S178" s="2">
        <v>2</v>
      </c>
      <c r="T178" s="2" t="s">
        <v>970</v>
      </c>
    </row>
    <row r="179" spans="1:20">
      <c r="A179" s="2" t="s">
        <v>1344</v>
      </c>
      <c r="B179" s="2" t="s">
        <v>1287</v>
      </c>
      <c r="C179" s="2" t="s">
        <v>963</v>
      </c>
      <c r="D179" s="2" t="s">
        <v>964</v>
      </c>
      <c r="E179" s="2" t="s">
        <v>1288</v>
      </c>
      <c r="F179" s="2">
        <v>2</v>
      </c>
      <c r="G179" s="2" t="s">
        <v>561</v>
      </c>
      <c r="H179" s="2" t="s">
        <v>560</v>
      </c>
      <c r="I179" s="2">
        <v>1</v>
      </c>
      <c r="J179" s="2" t="s">
        <v>11</v>
      </c>
      <c r="K179" s="2" t="s">
        <v>1601</v>
      </c>
      <c r="L179" s="2" t="s">
        <v>1091</v>
      </c>
      <c r="M179" s="2" t="s">
        <v>1011</v>
      </c>
      <c r="N179" s="2" t="s">
        <v>1012</v>
      </c>
      <c r="O179" s="2" t="s">
        <v>1013</v>
      </c>
      <c r="P179" s="2" t="s">
        <v>1014</v>
      </c>
      <c r="Q179" s="2">
        <v>3</v>
      </c>
      <c r="R179" s="2" t="s">
        <v>67</v>
      </c>
      <c r="S179" s="2">
        <v>2</v>
      </c>
      <c r="T179" s="2" t="s">
        <v>970</v>
      </c>
    </row>
    <row r="180" spans="1:20">
      <c r="A180" s="2" t="s">
        <v>1345</v>
      </c>
      <c r="B180" s="2" t="s">
        <v>1287</v>
      </c>
      <c r="C180" s="2" t="s">
        <v>963</v>
      </c>
      <c r="D180" s="2" t="s">
        <v>964</v>
      </c>
      <c r="E180" s="2" t="s">
        <v>1288</v>
      </c>
      <c r="F180" s="2">
        <v>2</v>
      </c>
      <c r="G180" s="2" t="s">
        <v>561</v>
      </c>
      <c r="H180" s="2" t="s">
        <v>560</v>
      </c>
      <c r="I180" s="2">
        <v>1</v>
      </c>
      <c r="J180" s="2" t="s">
        <v>11</v>
      </c>
      <c r="K180" s="2" t="s">
        <v>1602</v>
      </c>
      <c r="L180" s="2" t="s">
        <v>1093</v>
      </c>
      <c r="M180" s="2" t="s">
        <v>1011</v>
      </c>
      <c r="N180" s="2" t="s">
        <v>1012</v>
      </c>
      <c r="O180" s="2" t="s">
        <v>1013</v>
      </c>
      <c r="P180" s="2" t="s">
        <v>1014</v>
      </c>
      <c r="Q180" s="2">
        <v>3</v>
      </c>
      <c r="R180" s="2" t="s">
        <v>67</v>
      </c>
      <c r="S180" s="2">
        <v>2</v>
      </c>
      <c r="T180" s="2" t="s">
        <v>970</v>
      </c>
    </row>
    <row r="181" spans="1:20">
      <c r="A181" s="2" t="s">
        <v>1346</v>
      </c>
      <c r="B181" s="2" t="s">
        <v>1287</v>
      </c>
      <c r="C181" s="2" t="s">
        <v>963</v>
      </c>
      <c r="D181" s="2" t="s">
        <v>964</v>
      </c>
      <c r="E181" s="2" t="s">
        <v>1288</v>
      </c>
      <c r="F181" s="2">
        <v>2</v>
      </c>
      <c r="G181" s="2" t="s">
        <v>561</v>
      </c>
      <c r="H181" s="2" t="s">
        <v>560</v>
      </c>
      <c r="I181" s="2">
        <v>1</v>
      </c>
      <c r="J181" s="2" t="s">
        <v>11</v>
      </c>
      <c r="K181" s="2" t="s">
        <v>1603</v>
      </c>
      <c r="L181" s="2" t="s">
        <v>1095</v>
      </c>
      <c r="M181" s="2" t="s">
        <v>1011</v>
      </c>
      <c r="N181" s="2" t="s">
        <v>1012</v>
      </c>
      <c r="O181" s="2" t="s">
        <v>1013</v>
      </c>
      <c r="P181" s="2" t="s">
        <v>1014</v>
      </c>
      <c r="Q181" s="2">
        <v>3</v>
      </c>
      <c r="R181" s="2" t="s">
        <v>67</v>
      </c>
      <c r="S181" s="2">
        <v>2</v>
      </c>
      <c r="T181" s="2" t="s">
        <v>970</v>
      </c>
    </row>
    <row r="182" spans="1:20">
      <c r="A182" s="2" t="s">
        <v>1347</v>
      </c>
      <c r="B182" s="2" t="s">
        <v>1287</v>
      </c>
      <c r="C182" s="2" t="s">
        <v>963</v>
      </c>
      <c r="D182" s="2" t="s">
        <v>964</v>
      </c>
      <c r="E182" s="2" t="s">
        <v>1288</v>
      </c>
      <c r="F182" s="2">
        <v>2</v>
      </c>
      <c r="G182" s="2" t="s">
        <v>561</v>
      </c>
      <c r="H182" s="2" t="s">
        <v>560</v>
      </c>
      <c r="I182" s="2">
        <v>1</v>
      </c>
      <c r="J182" s="2" t="s">
        <v>11</v>
      </c>
      <c r="K182" s="2" t="s">
        <v>1604</v>
      </c>
      <c r="L182" s="2" t="s">
        <v>1097</v>
      </c>
      <c r="M182" s="2" t="s">
        <v>1011</v>
      </c>
      <c r="N182" s="2" t="s">
        <v>1012</v>
      </c>
      <c r="O182" s="2" t="s">
        <v>1013</v>
      </c>
      <c r="P182" s="2" t="s">
        <v>1014</v>
      </c>
      <c r="Q182" s="2">
        <v>3</v>
      </c>
      <c r="R182" s="2" t="s">
        <v>67</v>
      </c>
      <c r="S182" s="2">
        <v>2</v>
      </c>
      <c r="T182" s="2" t="s">
        <v>1065</v>
      </c>
    </row>
    <row r="183" spans="1:20">
      <c r="A183" s="2" t="s">
        <v>1348</v>
      </c>
      <c r="B183" s="2" t="s">
        <v>1287</v>
      </c>
      <c r="C183" s="2" t="s">
        <v>963</v>
      </c>
      <c r="D183" s="2" t="s">
        <v>964</v>
      </c>
      <c r="E183" s="2" t="s">
        <v>1288</v>
      </c>
      <c r="F183" s="2">
        <v>2</v>
      </c>
      <c r="G183" s="2" t="s">
        <v>561</v>
      </c>
      <c r="H183" s="2" t="s">
        <v>560</v>
      </c>
      <c r="I183" s="2">
        <v>1</v>
      </c>
      <c r="J183" s="2" t="s">
        <v>11</v>
      </c>
      <c r="K183" s="2" t="s">
        <v>1605</v>
      </c>
      <c r="L183" s="2" t="s">
        <v>1099</v>
      </c>
      <c r="M183" s="2" t="s">
        <v>1011</v>
      </c>
      <c r="N183" s="2" t="s">
        <v>1012</v>
      </c>
      <c r="O183" s="2" t="s">
        <v>1013</v>
      </c>
      <c r="P183" s="2" t="s">
        <v>1014</v>
      </c>
      <c r="Q183" s="2">
        <v>3</v>
      </c>
      <c r="R183" s="2" t="s">
        <v>67</v>
      </c>
      <c r="S183" s="2">
        <v>2</v>
      </c>
      <c r="T183" s="2" t="s">
        <v>970</v>
      </c>
    </row>
    <row r="184" spans="1:20">
      <c r="A184" s="2" t="s">
        <v>1349</v>
      </c>
      <c r="B184" s="2" t="s">
        <v>1287</v>
      </c>
      <c r="C184" s="2" t="s">
        <v>963</v>
      </c>
      <c r="D184" s="2" t="s">
        <v>964</v>
      </c>
      <c r="E184" s="2" t="s">
        <v>1288</v>
      </c>
      <c r="F184" s="2">
        <v>2</v>
      </c>
      <c r="G184" s="2" t="s">
        <v>561</v>
      </c>
      <c r="H184" s="2" t="s">
        <v>560</v>
      </c>
      <c r="I184" s="2">
        <v>1</v>
      </c>
      <c r="J184" s="2" t="s">
        <v>11</v>
      </c>
      <c r="K184" s="2" t="s">
        <v>1606</v>
      </c>
      <c r="L184" s="2" t="s">
        <v>1101</v>
      </c>
      <c r="M184" s="2" t="s">
        <v>1011</v>
      </c>
      <c r="N184" s="2" t="s">
        <v>1012</v>
      </c>
      <c r="O184" s="2" t="s">
        <v>1013</v>
      </c>
      <c r="P184" s="2" t="s">
        <v>1014</v>
      </c>
      <c r="Q184" s="2">
        <v>3</v>
      </c>
      <c r="R184" s="2" t="s">
        <v>67</v>
      </c>
      <c r="S184" s="2">
        <v>2</v>
      </c>
      <c r="T184" s="2" t="s">
        <v>970</v>
      </c>
    </row>
    <row r="185" spans="1:20">
      <c r="A185" s="2" t="s">
        <v>1350</v>
      </c>
      <c r="B185" s="2" t="s">
        <v>1287</v>
      </c>
      <c r="C185" s="2" t="s">
        <v>963</v>
      </c>
      <c r="D185" s="2" t="s">
        <v>964</v>
      </c>
      <c r="E185" s="2" t="s">
        <v>1288</v>
      </c>
      <c r="F185" s="2">
        <v>2</v>
      </c>
      <c r="G185" s="2" t="s">
        <v>561</v>
      </c>
      <c r="H185" s="2" t="s">
        <v>560</v>
      </c>
      <c r="I185" s="2">
        <v>1</v>
      </c>
      <c r="J185" s="2" t="s">
        <v>11</v>
      </c>
      <c r="K185" s="2" t="s">
        <v>1607</v>
      </c>
      <c r="L185" s="2" t="s">
        <v>1103</v>
      </c>
      <c r="M185" s="2" t="s">
        <v>1011</v>
      </c>
      <c r="N185" s="2" t="s">
        <v>1012</v>
      </c>
      <c r="O185" s="2" t="s">
        <v>1013</v>
      </c>
      <c r="P185" s="2" t="s">
        <v>1014</v>
      </c>
      <c r="Q185" s="2">
        <v>3</v>
      </c>
      <c r="R185" s="2" t="s">
        <v>67</v>
      </c>
      <c r="S185" s="2">
        <v>2</v>
      </c>
      <c r="T185" s="2" t="s">
        <v>1065</v>
      </c>
    </row>
    <row r="186" spans="1:20">
      <c r="A186" s="2" t="s">
        <v>1351</v>
      </c>
      <c r="B186" s="2" t="s">
        <v>1287</v>
      </c>
      <c r="C186" s="2" t="s">
        <v>963</v>
      </c>
      <c r="D186" s="2" t="s">
        <v>964</v>
      </c>
      <c r="E186" s="2" t="s">
        <v>1288</v>
      </c>
      <c r="F186" s="2">
        <v>2</v>
      </c>
      <c r="G186" s="2" t="s">
        <v>561</v>
      </c>
      <c r="H186" s="2" t="s">
        <v>560</v>
      </c>
      <c r="I186" s="2">
        <v>1</v>
      </c>
      <c r="J186" s="2" t="s">
        <v>11</v>
      </c>
      <c r="K186" s="2" t="s">
        <v>1608</v>
      </c>
      <c r="L186" s="2" t="s">
        <v>1105</v>
      </c>
      <c r="M186" s="2" t="s">
        <v>1106</v>
      </c>
      <c r="N186" s="2" t="s">
        <v>1107</v>
      </c>
      <c r="O186" s="2" t="s">
        <v>1108</v>
      </c>
      <c r="P186" s="2" t="s">
        <v>1109</v>
      </c>
      <c r="Q186" s="2">
        <v>3</v>
      </c>
      <c r="R186" s="2" t="s">
        <v>67</v>
      </c>
      <c r="S186" s="2">
        <v>2</v>
      </c>
      <c r="T186" s="2" t="s">
        <v>970</v>
      </c>
    </row>
    <row r="187" spans="1:20">
      <c r="A187" s="2" t="s">
        <v>1352</v>
      </c>
      <c r="B187" s="2" t="s">
        <v>1287</v>
      </c>
      <c r="C187" s="2" t="s">
        <v>963</v>
      </c>
      <c r="D187" s="2" t="s">
        <v>964</v>
      </c>
      <c r="E187" s="2" t="s">
        <v>1288</v>
      </c>
      <c r="F187" s="2">
        <v>2</v>
      </c>
      <c r="G187" s="2" t="s">
        <v>561</v>
      </c>
      <c r="H187" s="2" t="s">
        <v>560</v>
      </c>
      <c r="I187" s="2">
        <v>1</v>
      </c>
      <c r="J187" s="2" t="s">
        <v>11</v>
      </c>
      <c r="K187" s="2" t="s">
        <v>1609</v>
      </c>
      <c r="L187" s="2" t="s">
        <v>1111</v>
      </c>
      <c r="M187" s="2" t="s">
        <v>1106</v>
      </c>
      <c r="N187" s="2" t="s">
        <v>1107</v>
      </c>
      <c r="O187" s="2" t="s">
        <v>1108</v>
      </c>
      <c r="P187" s="2" t="s">
        <v>1109</v>
      </c>
      <c r="Q187" s="2">
        <v>3</v>
      </c>
      <c r="R187" s="2" t="s">
        <v>67</v>
      </c>
      <c r="S187" s="2">
        <v>2</v>
      </c>
      <c r="T187" s="2" t="s">
        <v>970</v>
      </c>
    </row>
    <row r="188" spans="1:20">
      <c r="A188" s="2" t="s">
        <v>1353</v>
      </c>
      <c r="B188" s="2" t="s">
        <v>1287</v>
      </c>
      <c r="C188" s="2" t="s">
        <v>963</v>
      </c>
      <c r="D188" s="2" t="s">
        <v>964</v>
      </c>
      <c r="E188" s="2" t="s">
        <v>1288</v>
      </c>
      <c r="F188" s="2">
        <v>2</v>
      </c>
      <c r="G188" s="2" t="s">
        <v>561</v>
      </c>
      <c r="H188" s="2" t="s">
        <v>560</v>
      </c>
      <c r="I188" s="2">
        <v>1</v>
      </c>
      <c r="J188" s="2" t="s">
        <v>11</v>
      </c>
      <c r="K188" s="2" t="s">
        <v>1610</v>
      </c>
      <c r="L188" s="2" t="s">
        <v>1113</v>
      </c>
      <c r="M188" s="2" t="s">
        <v>1106</v>
      </c>
      <c r="N188" s="2" t="s">
        <v>1107</v>
      </c>
      <c r="O188" s="2" t="s">
        <v>1108</v>
      </c>
      <c r="P188" s="2" t="s">
        <v>1109</v>
      </c>
      <c r="Q188" s="2">
        <v>3</v>
      </c>
      <c r="R188" s="2" t="s">
        <v>67</v>
      </c>
      <c r="S188" s="2">
        <v>2</v>
      </c>
      <c r="T188" s="2" t="s">
        <v>970</v>
      </c>
    </row>
    <row r="189" spans="1:20">
      <c r="A189" s="2" t="s">
        <v>1354</v>
      </c>
      <c r="B189" s="2" t="s">
        <v>1287</v>
      </c>
      <c r="C189" s="2" t="s">
        <v>963</v>
      </c>
      <c r="D189" s="2" t="s">
        <v>964</v>
      </c>
      <c r="E189" s="2" t="s">
        <v>1288</v>
      </c>
      <c r="F189" s="2">
        <v>2</v>
      </c>
      <c r="G189" s="2" t="s">
        <v>561</v>
      </c>
      <c r="H189" s="2" t="s">
        <v>560</v>
      </c>
      <c r="I189" s="2">
        <v>1</v>
      </c>
      <c r="J189" s="2" t="s">
        <v>11</v>
      </c>
      <c r="K189" s="2" t="s">
        <v>1611</v>
      </c>
      <c r="L189" s="2" t="s">
        <v>1115</v>
      </c>
      <c r="M189" s="2" t="s">
        <v>1106</v>
      </c>
      <c r="N189" s="2" t="s">
        <v>1107</v>
      </c>
      <c r="O189" s="2" t="s">
        <v>1108</v>
      </c>
      <c r="P189" s="2" t="s">
        <v>1109</v>
      </c>
      <c r="Q189" s="2">
        <v>3</v>
      </c>
      <c r="R189" s="2" t="s">
        <v>67</v>
      </c>
      <c r="S189" s="2">
        <v>2</v>
      </c>
      <c r="T189" s="2" t="s">
        <v>970</v>
      </c>
    </row>
    <row r="190" spans="1:20">
      <c r="A190" s="2" t="s">
        <v>1355</v>
      </c>
      <c r="B190" s="2" t="s">
        <v>1287</v>
      </c>
      <c r="C190" s="2" t="s">
        <v>963</v>
      </c>
      <c r="D190" s="2" t="s">
        <v>964</v>
      </c>
      <c r="E190" s="2" t="s">
        <v>1288</v>
      </c>
      <c r="F190" s="2">
        <v>2</v>
      </c>
      <c r="G190" s="2" t="s">
        <v>561</v>
      </c>
      <c r="H190" s="2" t="s">
        <v>560</v>
      </c>
      <c r="I190" s="2">
        <v>1</v>
      </c>
      <c r="J190" s="2" t="s">
        <v>11</v>
      </c>
      <c r="K190" s="2" t="s">
        <v>1612</v>
      </c>
      <c r="L190" s="2" t="s">
        <v>1117</v>
      </c>
      <c r="M190" s="2" t="s">
        <v>1118</v>
      </c>
      <c r="N190" s="2" t="s">
        <v>1119</v>
      </c>
      <c r="O190" s="2" t="s">
        <v>1117</v>
      </c>
      <c r="P190" s="2" t="s">
        <v>1120</v>
      </c>
      <c r="Q190" s="2">
        <v>2</v>
      </c>
      <c r="R190" s="2" t="s">
        <v>142</v>
      </c>
      <c r="S190" s="2">
        <v>2</v>
      </c>
      <c r="T190" s="2" t="s">
        <v>970</v>
      </c>
    </row>
    <row r="191" spans="1:20">
      <c r="A191" s="2" t="s">
        <v>1356</v>
      </c>
      <c r="B191" s="2" t="s">
        <v>1287</v>
      </c>
      <c r="C191" s="2" t="s">
        <v>963</v>
      </c>
      <c r="D191" s="2" t="s">
        <v>964</v>
      </c>
      <c r="E191" s="2" t="s">
        <v>1288</v>
      </c>
      <c r="F191" s="2">
        <v>2</v>
      </c>
      <c r="G191" s="2" t="s">
        <v>561</v>
      </c>
      <c r="H191" s="2" t="s">
        <v>560</v>
      </c>
      <c r="I191" s="2">
        <v>1</v>
      </c>
      <c r="J191" s="2" t="s">
        <v>11</v>
      </c>
      <c r="K191" s="2" t="s">
        <v>1613</v>
      </c>
      <c r="L191" s="2" t="s">
        <v>1122</v>
      </c>
      <c r="M191" s="2" t="s">
        <v>1118</v>
      </c>
      <c r="N191" s="2" t="s">
        <v>1119</v>
      </c>
      <c r="O191" s="2" t="s">
        <v>1117</v>
      </c>
      <c r="P191" s="2" t="s">
        <v>1120</v>
      </c>
      <c r="Q191" s="2">
        <v>2</v>
      </c>
      <c r="R191" s="2" t="s">
        <v>142</v>
      </c>
      <c r="S191" s="2">
        <v>2</v>
      </c>
      <c r="T191" s="2" t="s">
        <v>970</v>
      </c>
    </row>
    <row r="192" spans="1:20">
      <c r="A192" s="2" t="s">
        <v>1357</v>
      </c>
      <c r="B192" s="2" t="s">
        <v>1287</v>
      </c>
      <c r="C192" s="2" t="s">
        <v>963</v>
      </c>
      <c r="D192" s="2" t="s">
        <v>964</v>
      </c>
      <c r="E192" s="2" t="s">
        <v>1288</v>
      </c>
      <c r="F192" s="2">
        <v>2</v>
      </c>
      <c r="G192" s="2" t="s">
        <v>561</v>
      </c>
      <c r="H192" s="2" t="s">
        <v>560</v>
      </c>
      <c r="I192" s="2">
        <v>1</v>
      </c>
      <c r="J192" s="2" t="s">
        <v>11</v>
      </c>
      <c r="K192" s="2" t="s">
        <v>1614</v>
      </c>
      <c r="L192" s="2" t="s">
        <v>1124</v>
      </c>
      <c r="M192" s="2" t="s">
        <v>1125</v>
      </c>
      <c r="N192" s="2" t="s">
        <v>1126</v>
      </c>
      <c r="O192" s="2" t="s">
        <v>1126</v>
      </c>
      <c r="P192" s="2" t="s">
        <v>1127</v>
      </c>
      <c r="Q192" s="2">
        <v>3</v>
      </c>
      <c r="R192" s="2" t="s">
        <v>67</v>
      </c>
      <c r="S192" s="2">
        <v>2</v>
      </c>
      <c r="T192" s="2" t="s">
        <v>970</v>
      </c>
    </row>
    <row r="193" spans="1:20">
      <c r="A193" s="2" t="s">
        <v>1358</v>
      </c>
      <c r="B193" s="2" t="s">
        <v>1287</v>
      </c>
      <c r="C193" s="2" t="s">
        <v>963</v>
      </c>
      <c r="D193" s="2" t="s">
        <v>964</v>
      </c>
      <c r="E193" s="2" t="s">
        <v>1288</v>
      </c>
      <c r="F193" s="2">
        <v>2</v>
      </c>
      <c r="G193" s="2" t="s">
        <v>561</v>
      </c>
      <c r="H193" s="2" t="s">
        <v>560</v>
      </c>
      <c r="I193" s="2">
        <v>1</v>
      </c>
      <c r="J193" s="2" t="s">
        <v>11</v>
      </c>
      <c r="K193" s="2" t="s">
        <v>1615</v>
      </c>
      <c r="L193" s="2" t="s">
        <v>1129</v>
      </c>
      <c r="M193" s="2" t="s">
        <v>1125</v>
      </c>
      <c r="N193" s="2" t="s">
        <v>1126</v>
      </c>
      <c r="O193" s="2" t="s">
        <v>1126</v>
      </c>
      <c r="P193" s="2" t="s">
        <v>1127</v>
      </c>
      <c r="Q193" s="2">
        <v>3</v>
      </c>
      <c r="R193" s="2" t="s">
        <v>67</v>
      </c>
      <c r="S193" s="2">
        <v>2</v>
      </c>
      <c r="T193" s="2" t="s">
        <v>970</v>
      </c>
    </row>
    <row r="194" spans="1:20">
      <c r="A194" s="2" t="s">
        <v>1359</v>
      </c>
      <c r="B194" s="2" t="s">
        <v>1287</v>
      </c>
      <c r="C194" s="2" t="s">
        <v>963</v>
      </c>
      <c r="D194" s="2" t="s">
        <v>964</v>
      </c>
      <c r="E194" s="2" t="s">
        <v>1288</v>
      </c>
      <c r="F194" s="2">
        <v>2</v>
      </c>
      <c r="G194" s="2" t="s">
        <v>561</v>
      </c>
      <c r="H194" s="2" t="s">
        <v>560</v>
      </c>
      <c r="I194" s="2">
        <v>1</v>
      </c>
      <c r="J194" s="2" t="s">
        <v>11</v>
      </c>
      <c r="K194" s="2" t="s">
        <v>1616</v>
      </c>
      <c r="L194" s="2" t="s">
        <v>1131</v>
      </c>
      <c r="M194" s="2" t="s">
        <v>1125</v>
      </c>
      <c r="N194" s="2" t="s">
        <v>1126</v>
      </c>
      <c r="O194" s="2" t="s">
        <v>1126</v>
      </c>
      <c r="P194" s="2" t="s">
        <v>1127</v>
      </c>
      <c r="Q194" s="2">
        <v>3</v>
      </c>
      <c r="R194" s="2" t="s">
        <v>67</v>
      </c>
      <c r="S194" s="2">
        <v>2</v>
      </c>
      <c r="T194" s="2" t="s">
        <v>970</v>
      </c>
    </row>
    <row r="195" spans="1:20">
      <c r="A195" s="2" t="s">
        <v>1360</v>
      </c>
      <c r="B195" s="2" t="s">
        <v>1287</v>
      </c>
      <c r="C195" s="2" t="s">
        <v>963</v>
      </c>
      <c r="D195" s="2" t="s">
        <v>964</v>
      </c>
      <c r="E195" s="2" t="s">
        <v>1288</v>
      </c>
      <c r="F195" s="2">
        <v>2</v>
      </c>
      <c r="G195" s="2" t="s">
        <v>561</v>
      </c>
      <c r="H195" s="2" t="s">
        <v>560</v>
      </c>
      <c r="I195" s="2">
        <v>1</v>
      </c>
      <c r="J195" s="2" t="s">
        <v>11</v>
      </c>
      <c r="K195" s="2" t="s">
        <v>1617</v>
      </c>
      <c r="L195" s="2" t="s">
        <v>1133</v>
      </c>
      <c r="M195" s="2" t="s">
        <v>1125</v>
      </c>
      <c r="N195" s="2" t="s">
        <v>1126</v>
      </c>
      <c r="O195" s="2" t="s">
        <v>1126</v>
      </c>
      <c r="P195" s="2" t="s">
        <v>1127</v>
      </c>
      <c r="Q195" s="2">
        <v>3</v>
      </c>
      <c r="R195" s="2" t="s">
        <v>67</v>
      </c>
      <c r="S195" s="2">
        <v>2</v>
      </c>
      <c r="T195" s="2" t="s">
        <v>970</v>
      </c>
    </row>
    <row r="196" spans="1:20">
      <c r="A196" s="2" t="s">
        <v>1361</v>
      </c>
      <c r="B196" s="2" t="s">
        <v>1287</v>
      </c>
      <c r="C196" s="2" t="s">
        <v>963</v>
      </c>
      <c r="D196" s="2" t="s">
        <v>964</v>
      </c>
      <c r="E196" s="2" t="s">
        <v>1288</v>
      </c>
      <c r="F196" s="2">
        <v>2</v>
      </c>
      <c r="G196" s="2" t="s">
        <v>561</v>
      </c>
      <c r="H196" s="2" t="s">
        <v>560</v>
      </c>
      <c r="I196" s="2">
        <v>1</v>
      </c>
      <c r="J196" s="2" t="s">
        <v>11</v>
      </c>
      <c r="K196" s="2" t="s">
        <v>1618</v>
      </c>
      <c r="L196" s="2" t="s">
        <v>1135</v>
      </c>
      <c r="M196" s="2" t="s">
        <v>1136</v>
      </c>
      <c r="N196" s="2" t="s">
        <v>1137</v>
      </c>
      <c r="O196" s="2" t="s">
        <v>1138</v>
      </c>
      <c r="P196" s="2" t="s">
        <v>1139</v>
      </c>
      <c r="Q196" s="2">
        <v>3</v>
      </c>
      <c r="R196" s="2" t="s">
        <v>67</v>
      </c>
      <c r="S196" s="2">
        <v>2</v>
      </c>
      <c r="T196" s="2" t="s">
        <v>970</v>
      </c>
    </row>
    <row r="197" spans="1:20">
      <c r="A197" s="2" t="s">
        <v>1362</v>
      </c>
      <c r="B197" s="2" t="s">
        <v>1287</v>
      </c>
      <c r="C197" s="2" t="s">
        <v>963</v>
      </c>
      <c r="D197" s="2" t="s">
        <v>964</v>
      </c>
      <c r="E197" s="2" t="s">
        <v>1288</v>
      </c>
      <c r="F197" s="2">
        <v>2</v>
      </c>
      <c r="G197" s="2" t="s">
        <v>561</v>
      </c>
      <c r="H197" s="2" t="s">
        <v>560</v>
      </c>
      <c r="I197" s="2">
        <v>1</v>
      </c>
      <c r="J197" s="2" t="s">
        <v>11</v>
      </c>
      <c r="K197" s="2" t="s">
        <v>1619</v>
      </c>
      <c r="L197" s="2" t="s">
        <v>1141</v>
      </c>
      <c r="M197" s="2" t="s">
        <v>1136</v>
      </c>
      <c r="N197" s="2" t="s">
        <v>1137</v>
      </c>
      <c r="O197" s="2" t="s">
        <v>1138</v>
      </c>
      <c r="P197" s="2" t="s">
        <v>1139</v>
      </c>
      <c r="Q197" s="2">
        <v>3</v>
      </c>
      <c r="R197" s="2" t="s">
        <v>67</v>
      </c>
      <c r="S197" s="2">
        <v>2</v>
      </c>
      <c r="T197" s="2" t="s">
        <v>970</v>
      </c>
    </row>
    <row r="198" spans="1:20">
      <c r="A198" s="2" t="s">
        <v>1363</v>
      </c>
      <c r="B198" s="2" t="s">
        <v>1287</v>
      </c>
      <c r="C198" s="2" t="s">
        <v>963</v>
      </c>
      <c r="D198" s="2" t="s">
        <v>964</v>
      </c>
      <c r="E198" s="2" t="s">
        <v>1288</v>
      </c>
      <c r="F198" s="2">
        <v>2</v>
      </c>
      <c r="G198" s="2" t="s">
        <v>561</v>
      </c>
      <c r="H198" s="2" t="s">
        <v>560</v>
      </c>
      <c r="I198" s="2">
        <v>1</v>
      </c>
      <c r="J198" s="2" t="s">
        <v>11</v>
      </c>
      <c r="K198" s="2" t="s">
        <v>1620</v>
      </c>
      <c r="L198" s="2" t="s">
        <v>1143</v>
      </c>
      <c r="M198" s="2" t="s">
        <v>1136</v>
      </c>
      <c r="N198" s="2" t="s">
        <v>1137</v>
      </c>
      <c r="O198" s="2" t="s">
        <v>1138</v>
      </c>
      <c r="P198" s="2" t="s">
        <v>1139</v>
      </c>
      <c r="Q198" s="2">
        <v>3</v>
      </c>
      <c r="R198" s="2" t="s">
        <v>67</v>
      </c>
      <c r="S198" s="2">
        <v>2</v>
      </c>
      <c r="T198" s="2" t="s">
        <v>1065</v>
      </c>
    </row>
    <row r="199" spans="1:20">
      <c r="A199" s="2" t="s">
        <v>1364</v>
      </c>
      <c r="B199" s="2" t="s">
        <v>1287</v>
      </c>
      <c r="C199" s="2" t="s">
        <v>963</v>
      </c>
      <c r="D199" s="2" t="s">
        <v>964</v>
      </c>
      <c r="E199" s="2" t="s">
        <v>1288</v>
      </c>
      <c r="F199" s="2">
        <v>2</v>
      </c>
      <c r="G199" s="2" t="s">
        <v>561</v>
      </c>
      <c r="H199" s="2" t="s">
        <v>560</v>
      </c>
      <c r="I199" s="2">
        <v>1</v>
      </c>
      <c r="J199" s="2" t="s">
        <v>11</v>
      </c>
      <c r="K199" s="2" t="s">
        <v>1621</v>
      </c>
      <c r="L199" s="2" t="s">
        <v>1145</v>
      </c>
      <c r="M199" s="2" t="s">
        <v>1146</v>
      </c>
      <c r="N199" s="2" t="s">
        <v>1147</v>
      </c>
      <c r="O199" s="2" t="s">
        <v>1148</v>
      </c>
      <c r="P199" s="2" t="s">
        <v>1149</v>
      </c>
      <c r="Q199" s="2">
        <v>3</v>
      </c>
      <c r="R199" s="2" t="s">
        <v>67</v>
      </c>
      <c r="S199" s="2">
        <v>2</v>
      </c>
      <c r="T199" s="2" t="s">
        <v>970</v>
      </c>
    </row>
    <row r="200" spans="1:20">
      <c r="A200" s="2" t="s">
        <v>1365</v>
      </c>
      <c r="B200" s="2" t="s">
        <v>1287</v>
      </c>
      <c r="C200" s="2" t="s">
        <v>963</v>
      </c>
      <c r="D200" s="2" t="s">
        <v>964</v>
      </c>
      <c r="E200" s="2" t="s">
        <v>1288</v>
      </c>
      <c r="F200" s="2">
        <v>2</v>
      </c>
      <c r="G200" s="2" t="s">
        <v>561</v>
      </c>
      <c r="H200" s="2" t="s">
        <v>560</v>
      </c>
      <c r="I200" s="2">
        <v>1</v>
      </c>
      <c r="J200" s="2" t="s">
        <v>11</v>
      </c>
      <c r="K200" s="2" t="s">
        <v>1622</v>
      </c>
      <c r="L200" s="2" t="s">
        <v>1151</v>
      </c>
      <c r="M200" s="2" t="s">
        <v>1146</v>
      </c>
      <c r="N200" s="2" t="s">
        <v>1147</v>
      </c>
      <c r="O200" s="2" t="s">
        <v>1148</v>
      </c>
      <c r="P200" s="2" t="s">
        <v>1149</v>
      </c>
      <c r="Q200" s="2">
        <v>2</v>
      </c>
      <c r="R200" s="2" t="s">
        <v>142</v>
      </c>
      <c r="S200" s="2">
        <v>2</v>
      </c>
      <c r="T200" s="2" t="s">
        <v>970</v>
      </c>
    </row>
    <row r="201" spans="1:20">
      <c r="A201" s="2" t="s">
        <v>1366</v>
      </c>
      <c r="B201" s="2" t="s">
        <v>1287</v>
      </c>
      <c r="C201" s="2" t="s">
        <v>963</v>
      </c>
      <c r="D201" s="2" t="s">
        <v>964</v>
      </c>
      <c r="E201" s="2" t="s">
        <v>1288</v>
      </c>
      <c r="F201" s="2">
        <v>2</v>
      </c>
      <c r="G201" s="2" t="s">
        <v>561</v>
      </c>
      <c r="H201" s="2" t="s">
        <v>560</v>
      </c>
      <c r="I201" s="2">
        <v>1</v>
      </c>
      <c r="J201" s="2" t="s">
        <v>11</v>
      </c>
      <c r="K201" s="2" t="s">
        <v>1623</v>
      </c>
      <c r="L201" s="2" t="s">
        <v>1153</v>
      </c>
      <c r="M201" s="2" t="s">
        <v>1154</v>
      </c>
      <c r="N201" s="2" t="s">
        <v>1155</v>
      </c>
      <c r="O201" s="2" t="s">
        <v>1155</v>
      </c>
      <c r="P201" s="2" t="s">
        <v>1156</v>
      </c>
      <c r="Q201" s="2">
        <v>3</v>
      </c>
      <c r="R201" s="2" t="s">
        <v>67</v>
      </c>
      <c r="S201" s="2">
        <v>2</v>
      </c>
      <c r="T201" s="2" t="s">
        <v>970</v>
      </c>
    </row>
    <row r="202" spans="1:20">
      <c r="A202" s="2" t="s">
        <v>1367</v>
      </c>
      <c r="B202" s="2" t="s">
        <v>1287</v>
      </c>
      <c r="C202" s="2" t="s">
        <v>963</v>
      </c>
      <c r="D202" s="2" t="s">
        <v>964</v>
      </c>
      <c r="E202" s="2" t="s">
        <v>1288</v>
      </c>
      <c r="F202" s="2">
        <v>2</v>
      </c>
      <c r="G202" s="2" t="s">
        <v>561</v>
      </c>
      <c r="H202" s="2" t="s">
        <v>560</v>
      </c>
      <c r="I202" s="2">
        <v>1</v>
      </c>
      <c r="J202" s="2" t="s">
        <v>11</v>
      </c>
      <c r="K202" s="2" t="s">
        <v>1624</v>
      </c>
      <c r="L202" s="2" t="s">
        <v>1158</v>
      </c>
      <c r="M202" s="2" t="s">
        <v>1154</v>
      </c>
      <c r="N202" s="2" t="s">
        <v>1155</v>
      </c>
      <c r="O202" s="2" t="s">
        <v>1155</v>
      </c>
      <c r="P202" s="2" t="s">
        <v>1156</v>
      </c>
      <c r="Q202" s="2">
        <v>3</v>
      </c>
      <c r="R202" s="2" t="s">
        <v>67</v>
      </c>
      <c r="S202" s="2">
        <v>2</v>
      </c>
      <c r="T202" s="2" t="s">
        <v>970</v>
      </c>
    </row>
    <row r="203" spans="1:20">
      <c r="A203" s="2" t="s">
        <v>1368</v>
      </c>
      <c r="B203" s="2" t="s">
        <v>1287</v>
      </c>
      <c r="C203" s="2" t="s">
        <v>963</v>
      </c>
      <c r="D203" s="2" t="s">
        <v>964</v>
      </c>
      <c r="E203" s="2" t="s">
        <v>1288</v>
      </c>
      <c r="F203" s="2">
        <v>2</v>
      </c>
      <c r="G203" s="2" t="s">
        <v>561</v>
      </c>
      <c r="H203" s="2" t="s">
        <v>560</v>
      </c>
      <c r="I203" s="2">
        <v>1</v>
      </c>
      <c r="J203" s="2" t="s">
        <v>11</v>
      </c>
      <c r="K203" s="2" t="s">
        <v>1625</v>
      </c>
      <c r="L203" s="2" t="s">
        <v>1160</v>
      </c>
      <c r="M203" s="2" t="s">
        <v>1154</v>
      </c>
      <c r="N203" s="2" t="s">
        <v>1155</v>
      </c>
      <c r="O203" s="2" t="s">
        <v>1155</v>
      </c>
      <c r="P203" s="2" t="s">
        <v>1156</v>
      </c>
      <c r="Q203" s="2">
        <v>3</v>
      </c>
      <c r="R203" s="2" t="s">
        <v>67</v>
      </c>
      <c r="S203" s="2">
        <v>2</v>
      </c>
      <c r="T203" s="2" t="s">
        <v>970</v>
      </c>
    </row>
    <row r="204" spans="1:20">
      <c r="A204" s="2" t="s">
        <v>1369</v>
      </c>
      <c r="B204" s="2" t="s">
        <v>1287</v>
      </c>
      <c r="C204" s="2" t="s">
        <v>963</v>
      </c>
      <c r="D204" s="2" t="s">
        <v>964</v>
      </c>
      <c r="E204" s="2" t="s">
        <v>1288</v>
      </c>
      <c r="F204" s="2">
        <v>2</v>
      </c>
      <c r="G204" s="2" t="s">
        <v>561</v>
      </c>
      <c r="H204" s="2" t="s">
        <v>560</v>
      </c>
      <c r="I204" s="2">
        <v>1</v>
      </c>
      <c r="J204" s="2" t="s">
        <v>11</v>
      </c>
      <c r="K204" s="2" t="s">
        <v>1626</v>
      </c>
      <c r="L204" s="2" t="s">
        <v>298</v>
      </c>
      <c r="M204" s="2" t="s">
        <v>1154</v>
      </c>
      <c r="N204" s="2" t="s">
        <v>1155</v>
      </c>
      <c r="O204" s="2" t="s">
        <v>1155</v>
      </c>
      <c r="P204" s="2" t="s">
        <v>1156</v>
      </c>
      <c r="Q204" s="2">
        <v>3</v>
      </c>
      <c r="R204" s="2" t="s">
        <v>67</v>
      </c>
      <c r="S204" s="2">
        <v>2</v>
      </c>
      <c r="T204" s="2" t="s">
        <v>970</v>
      </c>
    </row>
    <row r="205" spans="1:20">
      <c r="A205" s="2" t="s">
        <v>1370</v>
      </c>
      <c r="B205" s="2" t="s">
        <v>1287</v>
      </c>
      <c r="C205" s="2" t="s">
        <v>963</v>
      </c>
      <c r="D205" s="2" t="s">
        <v>964</v>
      </c>
      <c r="E205" s="2" t="s">
        <v>1288</v>
      </c>
      <c r="F205" s="2">
        <v>2</v>
      </c>
      <c r="G205" s="2" t="s">
        <v>561</v>
      </c>
      <c r="H205" s="2" t="s">
        <v>560</v>
      </c>
      <c r="I205" s="2">
        <v>1</v>
      </c>
      <c r="J205" s="2" t="s">
        <v>11</v>
      </c>
      <c r="K205" s="2" t="s">
        <v>1627</v>
      </c>
      <c r="L205" s="2" t="s">
        <v>1163</v>
      </c>
      <c r="M205" s="2" t="s">
        <v>1154</v>
      </c>
      <c r="N205" s="2" t="s">
        <v>1155</v>
      </c>
      <c r="O205" s="2" t="s">
        <v>1155</v>
      </c>
      <c r="P205" s="2" t="s">
        <v>1156</v>
      </c>
      <c r="Q205" s="2">
        <v>3</v>
      </c>
      <c r="R205" s="2" t="s">
        <v>67</v>
      </c>
      <c r="S205" s="2">
        <v>2</v>
      </c>
      <c r="T205" s="2" t="s">
        <v>970</v>
      </c>
    </row>
    <row r="206" spans="1:20">
      <c r="A206" s="2" t="s">
        <v>1371</v>
      </c>
      <c r="B206" s="2" t="s">
        <v>1287</v>
      </c>
      <c r="C206" s="2" t="s">
        <v>963</v>
      </c>
      <c r="D206" s="2" t="s">
        <v>964</v>
      </c>
      <c r="E206" s="2" t="s">
        <v>1288</v>
      </c>
      <c r="F206" s="2">
        <v>2</v>
      </c>
      <c r="G206" s="2" t="s">
        <v>561</v>
      </c>
      <c r="H206" s="2" t="s">
        <v>560</v>
      </c>
      <c r="I206" s="2">
        <v>1</v>
      </c>
      <c r="J206" s="2" t="s">
        <v>11</v>
      </c>
      <c r="K206" s="2" t="s">
        <v>1628</v>
      </c>
      <c r="L206" s="2" t="s">
        <v>1165</v>
      </c>
      <c r="M206" s="2" t="s">
        <v>1154</v>
      </c>
      <c r="N206" s="2" t="s">
        <v>1155</v>
      </c>
      <c r="O206" s="2" t="s">
        <v>1155</v>
      </c>
      <c r="P206" s="2" t="s">
        <v>1156</v>
      </c>
      <c r="Q206" s="2">
        <v>3</v>
      </c>
      <c r="R206" s="2" t="s">
        <v>67</v>
      </c>
      <c r="S206" s="2">
        <v>2</v>
      </c>
      <c r="T206" s="2" t="s">
        <v>970</v>
      </c>
    </row>
    <row r="207" spans="1:20">
      <c r="A207" s="2" t="s">
        <v>1372</v>
      </c>
      <c r="B207" s="2" t="s">
        <v>1287</v>
      </c>
      <c r="C207" s="2" t="s">
        <v>963</v>
      </c>
      <c r="D207" s="2" t="s">
        <v>964</v>
      </c>
      <c r="E207" s="2" t="s">
        <v>1288</v>
      </c>
      <c r="F207" s="2">
        <v>2</v>
      </c>
      <c r="G207" s="2" t="s">
        <v>561</v>
      </c>
      <c r="H207" s="2" t="s">
        <v>560</v>
      </c>
      <c r="I207" s="2">
        <v>1</v>
      </c>
      <c r="J207" s="2" t="s">
        <v>11</v>
      </c>
      <c r="K207" s="2" t="s">
        <v>1629</v>
      </c>
      <c r="L207" s="2" t="s">
        <v>1167</v>
      </c>
      <c r="M207" s="2" t="s">
        <v>1154</v>
      </c>
      <c r="N207" s="2" t="s">
        <v>1155</v>
      </c>
      <c r="O207" s="2" t="s">
        <v>1155</v>
      </c>
      <c r="P207" s="2" t="s">
        <v>1156</v>
      </c>
      <c r="Q207" s="2">
        <v>3</v>
      </c>
      <c r="R207" s="2" t="s">
        <v>67</v>
      </c>
      <c r="S207" s="2">
        <v>2</v>
      </c>
      <c r="T207" s="2" t="s">
        <v>970</v>
      </c>
    </row>
    <row r="208" spans="1:20">
      <c r="A208" s="2" t="s">
        <v>1373</v>
      </c>
      <c r="B208" s="2" t="s">
        <v>1287</v>
      </c>
      <c r="C208" s="2" t="s">
        <v>963</v>
      </c>
      <c r="D208" s="2" t="s">
        <v>964</v>
      </c>
      <c r="E208" s="2" t="s">
        <v>1288</v>
      </c>
      <c r="F208" s="2">
        <v>2</v>
      </c>
      <c r="G208" s="2" t="s">
        <v>561</v>
      </c>
      <c r="H208" s="2" t="s">
        <v>560</v>
      </c>
      <c r="I208" s="2">
        <v>1</v>
      </c>
      <c r="J208" s="2" t="s">
        <v>11</v>
      </c>
      <c r="K208" s="2" t="s">
        <v>1630</v>
      </c>
      <c r="L208" s="2" t="s">
        <v>1169</v>
      </c>
      <c r="M208" s="2" t="s">
        <v>1154</v>
      </c>
      <c r="N208" s="2" t="s">
        <v>1155</v>
      </c>
      <c r="O208" s="2" t="s">
        <v>1155</v>
      </c>
      <c r="P208" s="2" t="s">
        <v>1156</v>
      </c>
      <c r="Q208" s="2">
        <v>3</v>
      </c>
      <c r="R208" s="2" t="s">
        <v>67</v>
      </c>
      <c r="S208" s="2">
        <v>2</v>
      </c>
      <c r="T208" s="2" t="s">
        <v>970</v>
      </c>
    </row>
    <row r="209" spans="1:20">
      <c r="A209" s="2" t="s">
        <v>1374</v>
      </c>
      <c r="B209" s="2" t="s">
        <v>1287</v>
      </c>
      <c r="C209" s="2" t="s">
        <v>963</v>
      </c>
      <c r="D209" s="2" t="s">
        <v>964</v>
      </c>
      <c r="E209" s="2" t="s">
        <v>1288</v>
      </c>
      <c r="F209" s="2">
        <v>2</v>
      </c>
      <c r="G209" s="2" t="s">
        <v>561</v>
      </c>
      <c r="H209" s="2" t="s">
        <v>560</v>
      </c>
      <c r="I209" s="2">
        <v>1</v>
      </c>
      <c r="J209" s="2" t="s">
        <v>11</v>
      </c>
      <c r="K209" s="2" t="s">
        <v>1631</v>
      </c>
      <c r="L209" s="2" t="s">
        <v>1171</v>
      </c>
      <c r="M209" s="2" t="s">
        <v>1154</v>
      </c>
      <c r="N209" s="2" t="s">
        <v>1155</v>
      </c>
      <c r="O209" s="2" t="s">
        <v>1155</v>
      </c>
      <c r="P209" s="2" t="s">
        <v>1156</v>
      </c>
      <c r="Q209" s="2">
        <v>3</v>
      </c>
      <c r="R209" s="2" t="s">
        <v>67</v>
      </c>
      <c r="S209" s="2">
        <v>2</v>
      </c>
      <c r="T209" s="2" t="s">
        <v>970</v>
      </c>
    </row>
    <row r="210" spans="1:20">
      <c r="A210" s="2" t="s">
        <v>1375</v>
      </c>
      <c r="B210" s="2" t="s">
        <v>1287</v>
      </c>
      <c r="C210" s="2" t="s">
        <v>963</v>
      </c>
      <c r="D210" s="2" t="s">
        <v>964</v>
      </c>
      <c r="E210" s="2" t="s">
        <v>1288</v>
      </c>
      <c r="F210" s="2">
        <v>2</v>
      </c>
      <c r="G210" s="2" t="s">
        <v>561</v>
      </c>
      <c r="H210" s="2" t="s">
        <v>560</v>
      </c>
      <c r="I210" s="2">
        <v>1</v>
      </c>
      <c r="J210" s="2" t="s">
        <v>11</v>
      </c>
      <c r="K210" s="2" t="s">
        <v>1632</v>
      </c>
      <c r="L210" s="2" t="s">
        <v>1173</v>
      </c>
      <c r="M210" s="2" t="s">
        <v>1174</v>
      </c>
      <c r="N210" s="2" t="s">
        <v>1175</v>
      </c>
      <c r="O210" s="2" t="s">
        <v>1175</v>
      </c>
      <c r="P210" s="2" t="s">
        <v>1176</v>
      </c>
      <c r="Q210" s="2">
        <v>3</v>
      </c>
      <c r="R210" s="2" t="s">
        <v>67</v>
      </c>
      <c r="S210" s="2">
        <v>2</v>
      </c>
      <c r="T210" s="2" t="s">
        <v>970</v>
      </c>
    </row>
    <row r="211" spans="1:20">
      <c r="A211" s="2" t="s">
        <v>1376</v>
      </c>
      <c r="B211" s="2" t="s">
        <v>1287</v>
      </c>
      <c r="C211" s="2" t="s">
        <v>963</v>
      </c>
      <c r="D211" s="2" t="s">
        <v>964</v>
      </c>
      <c r="E211" s="2" t="s">
        <v>1288</v>
      </c>
      <c r="F211" s="2">
        <v>2</v>
      </c>
      <c r="G211" s="2" t="s">
        <v>561</v>
      </c>
      <c r="H211" s="2" t="s">
        <v>560</v>
      </c>
      <c r="I211" s="2">
        <v>1</v>
      </c>
      <c r="J211" s="2" t="s">
        <v>11</v>
      </c>
      <c r="K211" s="2" t="s">
        <v>1633</v>
      </c>
      <c r="L211" s="2" t="s">
        <v>1178</v>
      </c>
      <c r="M211" s="2" t="s">
        <v>1174</v>
      </c>
      <c r="N211" s="2" t="s">
        <v>1175</v>
      </c>
      <c r="O211" s="2" t="s">
        <v>1175</v>
      </c>
      <c r="P211" s="2" t="s">
        <v>1176</v>
      </c>
      <c r="Q211" s="2">
        <v>3</v>
      </c>
      <c r="R211" s="2" t="s">
        <v>67</v>
      </c>
      <c r="S211" s="2">
        <v>2</v>
      </c>
      <c r="T211" s="2" t="s">
        <v>970</v>
      </c>
    </row>
    <row r="212" spans="1:20">
      <c r="A212" s="2" t="s">
        <v>1377</v>
      </c>
      <c r="B212" s="2" t="s">
        <v>1287</v>
      </c>
      <c r="C212" s="2" t="s">
        <v>963</v>
      </c>
      <c r="D212" s="2" t="s">
        <v>964</v>
      </c>
      <c r="E212" s="2" t="s">
        <v>1288</v>
      </c>
      <c r="F212" s="2">
        <v>2</v>
      </c>
      <c r="G212" s="2" t="s">
        <v>561</v>
      </c>
      <c r="H212" s="2" t="s">
        <v>560</v>
      </c>
      <c r="I212" s="2">
        <v>1</v>
      </c>
      <c r="J212" s="2" t="s">
        <v>11</v>
      </c>
      <c r="K212" s="2" t="s">
        <v>1634</v>
      </c>
      <c r="L212" s="2" t="s">
        <v>1180</v>
      </c>
      <c r="M212" s="2" t="s">
        <v>1174</v>
      </c>
      <c r="N212" s="2" t="s">
        <v>1175</v>
      </c>
      <c r="O212" s="2" t="s">
        <v>1175</v>
      </c>
      <c r="P212" s="2" t="s">
        <v>1176</v>
      </c>
      <c r="Q212" s="2">
        <v>3</v>
      </c>
      <c r="R212" s="2" t="s">
        <v>67</v>
      </c>
      <c r="S212" s="2">
        <v>2</v>
      </c>
      <c r="T212" s="2" t="s">
        <v>970</v>
      </c>
    </row>
    <row r="213" spans="1:20">
      <c r="A213" s="2" t="s">
        <v>1378</v>
      </c>
      <c r="B213" s="2" t="s">
        <v>1287</v>
      </c>
      <c r="C213" s="2" t="s">
        <v>963</v>
      </c>
      <c r="D213" s="2" t="s">
        <v>964</v>
      </c>
      <c r="E213" s="2" t="s">
        <v>1288</v>
      </c>
      <c r="F213" s="2">
        <v>2</v>
      </c>
      <c r="G213" s="2" t="s">
        <v>561</v>
      </c>
      <c r="H213" s="2" t="s">
        <v>560</v>
      </c>
      <c r="I213" s="2">
        <v>1</v>
      </c>
      <c r="J213" s="2" t="s">
        <v>11</v>
      </c>
      <c r="K213" s="2" t="s">
        <v>1635</v>
      </c>
      <c r="L213" s="2" t="s">
        <v>1182</v>
      </c>
      <c r="M213" s="2" t="s">
        <v>1174</v>
      </c>
      <c r="N213" s="2" t="s">
        <v>1175</v>
      </c>
      <c r="O213" s="2" t="s">
        <v>1175</v>
      </c>
      <c r="P213" s="2" t="s">
        <v>1176</v>
      </c>
      <c r="Q213" s="2">
        <v>3</v>
      </c>
      <c r="R213" s="2" t="s">
        <v>67</v>
      </c>
      <c r="S213" s="2">
        <v>1</v>
      </c>
      <c r="T213" s="2" t="s">
        <v>1065</v>
      </c>
    </row>
    <row r="214" spans="1:20">
      <c r="A214" s="2" t="s">
        <v>1379</v>
      </c>
      <c r="B214" s="2" t="s">
        <v>1287</v>
      </c>
      <c r="C214" s="2" t="s">
        <v>963</v>
      </c>
      <c r="D214" s="2" t="s">
        <v>964</v>
      </c>
      <c r="E214" s="2" t="s">
        <v>1288</v>
      </c>
      <c r="F214" s="2">
        <v>2</v>
      </c>
      <c r="G214" s="2" t="s">
        <v>561</v>
      </c>
      <c r="H214" s="2" t="s">
        <v>560</v>
      </c>
      <c r="I214" s="2">
        <v>1</v>
      </c>
      <c r="J214" s="2" t="s">
        <v>11</v>
      </c>
      <c r="K214" s="2" t="s">
        <v>1636</v>
      </c>
      <c r="L214" s="2" t="s">
        <v>1184</v>
      </c>
      <c r="M214" s="2" t="s">
        <v>1174</v>
      </c>
      <c r="N214" s="2" t="s">
        <v>1175</v>
      </c>
      <c r="O214" s="2" t="s">
        <v>1175</v>
      </c>
      <c r="P214" s="2" t="s">
        <v>1176</v>
      </c>
      <c r="Q214" s="2">
        <v>3</v>
      </c>
      <c r="R214" s="2" t="s">
        <v>67</v>
      </c>
      <c r="S214" s="2">
        <v>2</v>
      </c>
      <c r="T214" s="2" t="s">
        <v>970</v>
      </c>
    </row>
    <row r="215" spans="1:20">
      <c r="A215" s="2" t="s">
        <v>1380</v>
      </c>
      <c r="B215" s="2" t="s">
        <v>1287</v>
      </c>
      <c r="C215" s="2" t="s">
        <v>963</v>
      </c>
      <c r="D215" s="2" t="s">
        <v>964</v>
      </c>
      <c r="E215" s="2" t="s">
        <v>1288</v>
      </c>
      <c r="F215" s="2">
        <v>2</v>
      </c>
      <c r="G215" s="2" t="s">
        <v>561</v>
      </c>
      <c r="H215" s="2" t="s">
        <v>560</v>
      </c>
      <c r="I215" s="2">
        <v>1</v>
      </c>
      <c r="J215" s="2" t="s">
        <v>11</v>
      </c>
      <c r="K215" s="2" t="s">
        <v>1637</v>
      </c>
      <c r="L215" s="2" t="s">
        <v>1186</v>
      </c>
      <c r="M215" s="2" t="s">
        <v>1174</v>
      </c>
      <c r="N215" s="2" t="s">
        <v>1175</v>
      </c>
      <c r="O215" s="2" t="s">
        <v>1175</v>
      </c>
      <c r="P215" s="2" t="s">
        <v>1176</v>
      </c>
      <c r="Q215" s="2">
        <v>3</v>
      </c>
      <c r="R215" s="2" t="s">
        <v>67</v>
      </c>
      <c r="S215" s="2">
        <v>1</v>
      </c>
      <c r="T215" s="2" t="s">
        <v>1065</v>
      </c>
    </row>
    <row r="216" spans="1:20">
      <c r="A216" s="2" t="s">
        <v>1381</v>
      </c>
      <c r="B216" s="2" t="s">
        <v>1287</v>
      </c>
      <c r="C216" s="2" t="s">
        <v>963</v>
      </c>
      <c r="D216" s="2" t="s">
        <v>964</v>
      </c>
      <c r="E216" s="2" t="s">
        <v>1288</v>
      </c>
      <c r="F216" s="2">
        <v>2</v>
      </c>
      <c r="G216" s="2" t="s">
        <v>561</v>
      </c>
      <c r="H216" s="2" t="s">
        <v>560</v>
      </c>
      <c r="I216" s="2">
        <v>1</v>
      </c>
      <c r="J216" s="2" t="s">
        <v>11</v>
      </c>
      <c r="K216" s="2" t="s">
        <v>1638</v>
      </c>
      <c r="L216" s="2" t="s">
        <v>1188</v>
      </c>
      <c r="M216" s="2" t="s">
        <v>1189</v>
      </c>
      <c r="N216" s="2" t="s">
        <v>1190</v>
      </c>
      <c r="O216" s="2" t="s">
        <v>1191</v>
      </c>
      <c r="P216" s="2" t="s">
        <v>1192</v>
      </c>
      <c r="Q216" s="2">
        <v>3</v>
      </c>
      <c r="R216" s="2" t="s">
        <v>67</v>
      </c>
      <c r="S216" s="2">
        <v>2</v>
      </c>
      <c r="T216" s="2" t="s">
        <v>970</v>
      </c>
    </row>
    <row r="217" spans="1:20">
      <c r="A217" s="2" t="s">
        <v>1382</v>
      </c>
      <c r="B217" s="2" t="s">
        <v>1287</v>
      </c>
      <c r="C217" s="2" t="s">
        <v>963</v>
      </c>
      <c r="D217" s="2" t="s">
        <v>964</v>
      </c>
      <c r="E217" s="2" t="s">
        <v>1288</v>
      </c>
      <c r="F217" s="2">
        <v>2</v>
      </c>
      <c r="G217" s="2" t="s">
        <v>561</v>
      </c>
      <c r="H217" s="2" t="s">
        <v>560</v>
      </c>
      <c r="I217" s="2">
        <v>1</v>
      </c>
      <c r="J217" s="2" t="s">
        <v>11</v>
      </c>
      <c r="K217" s="2" t="s">
        <v>1639</v>
      </c>
      <c r="L217" s="2" t="s">
        <v>1194</v>
      </c>
      <c r="M217" s="2" t="s">
        <v>1189</v>
      </c>
      <c r="N217" s="2" t="s">
        <v>1190</v>
      </c>
      <c r="O217" s="2" t="s">
        <v>1191</v>
      </c>
      <c r="P217" s="2" t="s">
        <v>1192</v>
      </c>
      <c r="Q217" s="2">
        <v>3</v>
      </c>
      <c r="R217" s="2" t="s">
        <v>67</v>
      </c>
      <c r="S217" s="2">
        <v>2</v>
      </c>
      <c r="T217" s="2" t="s">
        <v>970</v>
      </c>
    </row>
    <row r="218" spans="1:20">
      <c r="A218" s="2" t="s">
        <v>1383</v>
      </c>
      <c r="B218" s="2" t="s">
        <v>1287</v>
      </c>
      <c r="C218" s="2" t="s">
        <v>963</v>
      </c>
      <c r="D218" s="2" t="s">
        <v>964</v>
      </c>
      <c r="E218" s="2" t="s">
        <v>1288</v>
      </c>
      <c r="F218" s="2">
        <v>2</v>
      </c>
      <c r="G218" s="2" t="s">
        <v>561</v>
      </c>
      <c r="H218" s="2" t="s">
        <v>560</v>
      </c>
      <c r="I218" s="2">
        <v>1</v>
      </c>
      <c r="J218" s="2" t="s">
        <v>11</v>
      </c>
      <c r="K218" s="2" t="s">
        <v>1640</v>
      </c>
      <c r="L218" s="2" t="s">
        <v>1196</v>
      </c>
      <c r="M218" s="2" t="s">
        <v>1189</v>
      </c>
      <c r="N218" s="2" t="s">
        <v>1190</v>
      </c>
      <c r="O218" s="2" t="s">
        <v>1191</v>
      </c>
      <c r="P218" s="2" t="s">
        <v>1192</v>
      </c>
      <c r="Q218" s="2">
        <v>3</v>
      </c>
      <c r="R218" s="2" t="s">
        <v>67</v>
      </c>
      <c r="S218" s="2">
        <v>2</v>
      </c>
      <c r="T218" s="2" t="s">
        <v>970</v>
      </c>
    </row>
    <row r="219" spans="1:20">
      <c r="A219" s="2" t="s">
        <v>1384</v>
      </c>
      <c r="B219" s="2" t="s">
        <v>1287</v>
      </c>
      <c r="C219" s="2" t="s">
        <v>963</v>
      </c>
      <c r="D219" s="2" t="s">
        <v>964</v>
      </c>
      <c r="E219" s="2" t="s">
        <v>1288</v>
      </c>
      <c r="F219" s="2">
        <v>2</v>
      </c>
      <c r="G219" s="2" t="s">
        <v>561</v>
      </c>
      <c r="H219" s="2" t="s">
        <v>560</v>
      </c>
      <c r="I219" s="2">
        <v>1</v>
      </c>
      <c r="J219" s="2" t="s">
        <v>11</v>
      </c>
      <c r="K219" s="2" t="s">
        <v>1641</v>
      </c>
      <c r="L219" s="2" t="s">
        <v>1198</v>
      </c>
      <c r="M219" s="2" t="s">
        <v>1199</v>
      </c>
      <c r="N219" s="2" t="s">
        <v>1198</v>
      </c>
      <c r="O219" s="2" t="s">
        <v>1200</v>
      </c>
      <c r="P219" s="2" t="s">
        <v>1201</v>
      </c>
      <c r="Q219" s="2">
        <v>3</v>
      </c>
      <c r="R219" s="2" t="s">
        <v>67</v>
      </c>
      <c r="S219" s="2">
        <v>2</v>
      </c>
      <c r="T219" s="2" t="s">
        <v>970</v>
      </c>
    </row>
    <row r="220" spans="1:20">
      <c r="A220" s="2" t="s">
        <v>1385</v>
      </c>
      <c r="B220" s="2" t="s">
        <v>1287</v>
      </c>
      <c r="C220" s="2" t="s">
        <v>963</v>
      </c>
      <c r="D220" s="2" t="s">
        <v>964</v>
      </c>
      <c r="E220" s="2" t="s">
        <v>1288</v>
      </c>
      <c r="F220" s="2">
        <v>2</v>
      </c>
      <c r="G220" s="2" t="s">
        <v>561</v>
      </c>
      <c r="H220" s="2" t="s">
        <v>560</v>
      </c>
      <c r="I220" s="2">
        <v>1</v>
      </c>
      <c r="J220" s="2" t="s">
        <v>11</v>
      </c>
      <c r="K220" s="2" t="s">
        <v>1642</v>
      </c>
      <c r="L220" s="2" t="s">
        <v>340</v>
      </c>
      <c r="M220" s="2" t="s">
        <v>1199</v>
      </c>
      <c r="N220" s="2" t="s">
        <v>1198</v>
      </c>
      <c r="O220" s="2" t="s">
        <v>1200</v>
      </c>
      <c r="P220" s="2" t="s">
        <v>1201</v>
      </c>
      <c r="Q220" s="2">
        <v>3</v>
      </c>
      <c r="R220" s="2" t="s">
        <v>67</v>
      </c>
      <c r="S220" s="2">
        <v>2</v>
      </c>
      <c r="T220" s="2" t="s">
        <v>970</v>
      </c>
    </row>
    <row r="221" spans="1:20">
      <c r="A221" s="2" t="s">
        <v>1386</v>
      </c>
      <c r="B221" s="2" t="s">
        <v>1287</v>
      </c>
      <c r="C221" s="2" t="s">
        <v>963</v>
      </c>
      <c r="D221" s="2" t="s">
        <v>964</v>
      </c>
      <c r="E221" s="2" t="s">
        <v>1288</v>
      </c>
      <c r="F221" s="2">
        <v>2</v>
      </c>
      <c r="G221" s="2" t="s">
        <v>561</v>
      </c>
      <c r="H221" s="2" t="s">
        <v>560</v>
      </c>
      <c r="I221" s="2">
        <v>1</v>
      </c>
      <c r="J221" s="2" t="s">
        <v>11</v>
      </c>
      <c r="K221" s="2" t="s">
        <v>1643</v>
      </c>
      <c r="L221" s="2" t="s">
        <v>1204</v>
      </c>
      <c r="M221" s="2" t="s">
        <v>1205</v>
      </c>
      <c r="N221" s="2" t="s">
        <v>1206</v>
      </c>
      <c r="O221" s="2" t="s">
        <v>1207</v>
      </c>
      <c r="P221" s="2" t="s">
        <v>1208</v>
      </c>
      <c r="Q221" s="2">
        <v>3</v>
      </c>
      <c r="R221" s="2" t="s">
        <v>67</v>
      </c>
      <c r="S221" s="2">
        <v>2</v>
      </c>
      <c r="T221" s="2" t="s">
        <v>970</v>
      </c>
    </row>
    <row r="222" spans="1:20">
      <c r="A222" s="2" t="s">
        <v>1387</v>
      </c>
      <c r="B222" s="2" t="s">
        <v>1287</v>
      </c>
      <c r="C222" s="2" t="s">
        <v>963</v>
      </c>
      <c r="D222" s="2" t="s">
        <v>964</v>
      </c>
      <c r="E222" s="2" t="s">
        <v>1288</v>
      </c>
      <c r="F222" s="2">
        <v>2</v>
      </c>
      <c r="G222" s="2" t="s">
        <v>561</v>
      </c>
      <c r="H222" s="2" t="s">
        <v>560</v>
      </c>
      <c r="I222" s="2">
        <v>1</v>
      </c>
      <c r="J222" s="2" t="s">
        <v>11</v>
      </c>
      <c r="K222" s="2" t="s">
        <v>1644</v>
      </c>
      <c r="L222" s="2" t="s">
        <v>1210</v>
      </c>
      <c r="M222" s="2" t="s">
        <v>1205</v>
      </c>
      <c r="N222" s="2" t="s">
        <v>1206</v>
      </c>
      <c r="O222" s="2" t="s">
        <v>1207</v>
      </c>
      <c r="P222" s="2" t="s">
        <v>1208</v>
      </c>
      <c r="Q222" s="2">
        <v>3</v>
      </c>
      <c r="R222" s="2" t="s">
        <v>67</v>
      </c>
      <c r="S222" s="2">
        <v>1</v>
      </c>
      <c r="T222" s="2" t="s">
        <v>1065</v>
      </c>
    </row>
    <row r="223" spans="1:20">
      <c r="A223" s="2" t="s">
        <v>1388</v>
      </c>
      <c r="B223" s="2" t="s">
        <v>1287</v>
      </c>
      <c r="C223" s="2" t="s">
        <v>963</v>
      </c>
      <c r="D223" s="2" t="s">
        <v>964</v>
      </c>
      <c r="E223" s="2" t="s">
        <v>1288</v>
      </c>
      <c r="F223" s="2">
        <v>2</v>
      </c>
      <c r="G223" s="2" t="s">
        <v>561</v>
      </c>
      <c r="H223" s="2" t="s">
        <v>560</v>
      </c>
      <c r="I223" s="2">
        <v>1</v>
      </c>
      <c r="J223" s="2" t="s">
        <v>11</v>
      </c>
      <c r="K223" s="2" t="s">
        <v>1645</v>
      </c>
      <c r="L223" s="2" t="s">
        <v>1212</v>
      </c>
      <c r="M223" s="2" t="s">
        <v>1205</v>
      </c>
      <c r="N223" s="2" t="s">
        <v>1206</v>
      </c>
      <c r="O223" s="2" t="s">
        <v>1207</v>
      </c>
      <c r="P223" s="2" t="s">
        <v>1208</v>
      </c>
      <c r="Q223" s="2">
        <v>2</v>
      </c>
      <c r="R223" s="2" t="s">
        <v>142</v>
      </c>
      <c r="S223" s="2">
        <v>1</v>
      </c>
      <c r="T223" s="2" t="s">
        <v>1065</v>
      </c>
    </row>
    <row r="224" spans="1:20">
      <c r="A224" s="2" t="s">
        <v>1389</v>
      </c>
      <c r="B224" s="2" t="s">
        <v>1287</v>
      </c>
      <c r="C224" s="2" t="s">
        <v>963</v>
      </c>
      <c r="D224" s="2" t="s">
        <v>964</v>
      </c>
      <c r="E224" s="2" t="s">
        <v>1288</v>
      </c>
      <c r="F224" s="2">
        <v>2</v>
      </c>
      <c r="G224" s="2" t="s">
        <v>561</v>
      </c>
      <c r="H224" s="2" t="s">
        <v>560</v>
      </c>
      <c r="I224" s="2">
        <v>1</v>
      </c>
      <c r="J224" s="2" t="s">
        <v>11</v>
      </c>
      <c r="K224" s="2" t="s">
        <v>1646</v>
      </c>
      <c r="L224" s="2" t="s">
        <v>1214</v>
      </c>
      <c r="M224" s="2" t="s">
        <v>1215</v>
      </c>
      <c r="N224" s="2" t="s">
        <v>1216</v>
      </c>
      <c r="O224" s="2" t="s">
        <v>1217</v>
      </c>
      <c r="P224" s="2" t="s">
        <v>1218</v>
      </c>
      <c r="Q224" s="2">
        <v>3</v>
      </c>
      <c r="R224" s="2" t="s">
        <v>67</v>
      </c>
      <c r="S224" s="2">
        <v>2</v>
      </c>
      <c r="T224" s="2" t="s">
        <v>970</v>
      </c>
    </row>
    <row r="225" spans="1:20">
      <c r="A225" s="2" t="s">
        <v>1390</v>
      </c>
      <c r="B225" s="2" t="s">
        <v>1287</v>
      </c>
      <c r="C225" s="2" t="s">
        <v>963</v>
      </c>
      <c r="D225" s="2" t="s">
        <v>964</v>
      </c>
      <c r="E225" s="2" t="s">
        <v>1288</v>
      </c>
      <c r="F225" s="2">
        <v>2</v>
      </c>
      <c r="G225" s="2" t="s">
        <v>561</v>
      </c>
      <c r="H225" s="2" t="s">
        <v>560</v>
      </c>
      <c r="I225" s="2">
        <v>1</v>
      </c>
      <c r="J225" s="2" t="s">
        <v>11</v>
      </c>
      <c r="K225" s="2" t="s">
        <v>1647</v>
      </c>
      <c r="L225" s="2" t="s">
        <v>1220</v>
      </c>
      <c r="M225" s="2" t="s">
        <v>1215</v>
      </c>
      <c r="N225" s="2" t="s">
        <v>1216</v>
      </c>
      <c r="O225" s="2" t="s">
        <v>1217</v>
      </c>
      <c r="P225" s="2" t="s">
        <v>1218</v>
      </c>
      <c r="Q225" s="2">
        <v>3</v>
      </c>
      <c r="R225" s="2" t="s">
        <v>67</v>
      </c>
      <c r="S225" s="2">
        <v>2</v>
      </c>
      <c r="T225" s="2" t="s">
        <v>970</v>
      </c>
    </row>
    <row r="226" spans="1:20">
      <c r="A226" s="2" t="s">
        <v>1391</v>
      </c>
      <c r="B226" s="2" t="s">
        <v>1287</v>
      </c>
      <c r="C226" s="2" t="s">
        <v>963</v>
      </c>
      <c r="D226" s="2" t="s">
        <v>964</v>
      </c>
      <c r="E226" s="2" t="s">
        <v>1288</v>
      </c>
      <c r="F226" s="2">
        <v>2</v>
      </c>
      <c r="G226" s="2" t="s">
        <v>561</v>
      </c>
      <c r="H226" s="2" t="s">
        <v>560</v>
      </c>
      <c r="I226" s="2">
        <v>1</v>
      </c>
      <c r="J226" s="2" t="s">
        <v>11</v>
      </c>
      <c r="K226" s="2" t="s">
        <v>1648</v>
      </c>
      <c r="L226" s="2" t="s">
        <v>1222</v>
      </c>
      <c r="M226" s="2" t="s">
        <v>1223</v>
      </c>
      <c r="N226" s="2" t="s">
        <v>1224</v>
      </c>
      <c r="O226" s="2" t="s">
        <v>1222</v>
      </c>
      <c r="P226" s="2" t="s">
        <v>1225</v>
      </c>
      <c r="Q226" s="2">
        <v>3</v>
      </c>
      <c r="R226" s="2" t="s">
        <v>67</v>
      </c>
      <c r="S226" s="2">
        <v>2</v>
      </c>
      <c r="T226" s="2" t="s">
        <v>970</v>
      </c>
    </row>
    <row r="227" spans="1:20">
      <c r="A227" s="2" t="s">
        <v>1392</v>
      </c>
      <c r="B227" s="2" t="s">
        <v>1287</v>
      </c>
      <c r="C227" s="2" t="s">
        <v>963</v>
      </c>
      <c r="D227" s="2" t="s">
        <v>964</v>
      </c>
      <c r="E227" s="2" t="s">
        <v>1288</v>
      </c>
      <c r="F227" s="2">
        <v>2</v>
      </c>
      <c r="G227" s="2" t="s">
        <v>561</v>
      </c>
      <c r="H227" s="2" t="s">
        <v>560</v>
      </c>
      <c r="I227" s="2">
        <v>1</v>
      </c>
      <c r="J227" s="2" t="s">
        <v>11</v>
      </c>
      <c r="K227" s="2" t="s">
        <v>1649</v>
      </c>
      <c r="L227" s="2" t="s">
        <v>1227</v>
      </c>
      <c r="M227" s="2" t="s">
        <v>1228</v>
      </c>
      <c r="N227" s="2" t="s">
        <v>1229</v>
      </c>
      <c r="O227" s="2" t="s">
        <v>1229</v>
      </c>
      <c r="P227" s="2" t="s">
        <v>1230</v>
      </c>
      <c r="Q227" s="2">
        <v>3</v>
      </c>
      <c r="R227" s="2" t="s">
        <v>67</v>
      </c>
      <c r="S227" s="2">
        <v>2</v>
      </c>
      <c r="T227" s="2" t="s">
        <v>970</v>
      </c>
    </row>
    <row r="228" spans="1:20">
      <c r="A228" s="2" t="s">
        <v>1393</v>
      </c>
      <c r="B228" s="2" t="s">
        <v>1287</v>
      </c>
      <c r="C228" s="2" t="s">
        <v>963</v>
      </c>
      <c r="D228" s="2" t="s">
        <v>964</v>
      </c>
      <c r="E228" s="2" t="s">
        <v>1288</v>
      </c>
      <c r="F228" s="2">
        <v>2</v>
      </c>
      <c r="G228" s="2" t="s">
        <v>561</v>
      </c>
      <c r="H228" s="2" t="s">
        <v>560</v>
      </c>
      <c r="I228" s="2">
        <v>1</v>
      </c>
      <c r="J228" s="2" t="s">
        <v>11</v>
      </c>
      <c r="K228" s="2" t="s">
        <v>1650</v>
      </c>
      <c r="L228" s="2" t="s">
        <v>1232</v>
      </c>
      <c r="M228" s="2" t="s">
        <v>1228</v>
      </c>
      <c r="N228" s="2" t="s">
        <v>1229</v>
      </c>
      <c r="O228" s="2" t="s">
        <v>1229</v>
      </c>
      <c r="P228" s="2" t="s">
        <v>1230</v>
      </c>
      <c r="Q228" s="2">
        <v>3</v>
      </c>
      <c r="R228" s="2" t="s">
        <v>67</v>
      </c>
      <c r="S228" s="2">
        <v>1</v>
      </c>
      <c r="T228" s="2" t="s">
        <v>1065</v>
      </c>
    </row>
    <row r="229" spans="1:20">
      <c r="A229" s="2" t="s">
        <v>1394</v>
      </c>
      <c r="B229" s="2" t="s">
        <v>1287</v>
      </c>
      <c r="C229" s="2" t="s">
        <v>963</v>
      </c>
      <c r="D229" s="2" t="s">
        <v>964</v>
      </c>
      <c r="E229" s="2" t="s">
        <v>1288</v>
      </c>
      <c r="F229" s="2">
        <v>2</v>
      </c>
      <c r="G229" s="2" t="s">
        <v>561</v>
      </c>
      <c r="H229" s="2" t="s">
        <v>560</v>
      </c>
      <c r="I229" s="2">
        <v>1</v>
      </c>
      <c r="J229" s="2" t="s">
        <v>11</v>
      </c>
      <c r="K229" s="2" t="s">
        <v>1651</v>
      </c>
      <c r="L229" s="2" t="s">
        <v>1234</v>
      </c>
      <c r="M229" s="2" t="s">
        <v>1235</v>
      </c>
      <c r="N229" s="2" t="s">
        <v>1236</v>
      </c>
      <c r="O229" s="2" t="s">
        <v>1237</v>
      </c>
      <c r="P229" s="2" t="s">
        <v>1238</v>
      </c>
      <c r="Q229" s="2">
        <v>3</v>
      </c>
      <c r="R229" s="2" t="s">
        <v>67</v>
      </c>
      <c r="S229" s="2">
        <v>2</v>
      </c>
      <c r="T229" s="2" t="s">
        <v>970</v>
      </c>
    </row>
    <row r="230" spans="1:20">
      <c r="A230" s="2" t="s">
        <v>1395</v>
      </c>
      <c r="B230" s="2" t="s">
        <v>1287</v>
      </c>
      <c r="C230" s="2" t="s">
        <v>963</v>
      </c>
      <c r="D230" s="2" t="s">
        <v>964</v>
      </c>
      <c r="E230" s="2" t="s">
        <v>1288</v>
      </c>
      <c r="F230" s="2">
        <v>2</v>
      </c>
      <c r="G230" s="2" t="s">
        <v>561</v>
      </c>
      <c r="H230" s="2" t="s">
        <v>560</v>
      </c>
      <c r="I230" s="2">
        <v>1</v>
      </c>
      <c r="J230" s="2" t="s">
        <v>11</v>
      </c>
      <c r="K230" s="2" t="s">
        <v>1652</v>
      </c>
      <c r="L230" s="2" t="s">
        <v>1240</v>
      </c>
      <c r="M230" s="2" t="s">
        <v>1235</v>
      </c>
      <c r="N230" s="2" t="s">
        <v>1236</v>
      </c>
      <c r="O230" s="2" t="s">
        <v>1237</v>
      </c>
      <c r="P230" s="2" t="s">
        <v>1238</v>
      </c>
      <c r="Q230" s="2">
        <v>3</v>
      </c>
      <c r="R230" s="2" t="s">
        <v>67</v>
      </c>
      <c r="S230" s="2">
        <v>2</v>
      </c>
      <c r="T230" s="2" t="s">
        <v>970</v>
      </c>
    </row>
    <row r="231" spans="1:20">
      <c r="A231" s="2" t="s">
        <v>1396</v>
      </c>
      <c r="B231" s="2" t="s">
        <v>1287</v>
      </c>
      <c r="C231" s="2" t="s">
        <v>963</v>
      </c>
      <c r="D231" s="2" t="s">
        <v>964</v>
      </c>
      <c r="E231" s="2" t="s">
        <v>1288</v>
      </c>
      <c r="F231" s="2">
        <v>2</v>
      </c>
      <c r="G231" s="2" t="s">
        <v>561</v>
      </c>
      <c r="H231" s="2" t="s">
        <v>560</v>
      </c>
      <c r="I231" s="2">
        <v>1</v>
      </c>
      <c r="J231" s="2" t="s">
        <v>11</v>
      </c>
      <c r="K231" s="2" t="s">
        <v>1653</v>
      </c>
      <c r="L231" s="2" t="s">
        <v>1242</v>
      </c>
      <c r="M231" s="2" t="s">
        <v>1243</v>
      </c>
      <c r="N231" s="2" t="s">
        <v>1244</v>
      </c>
      <c r="O231" s="2" t="s">
        <v>1245</v>
      </c>
      <c r="P231" s="2" t="s">
        <v>1246</v>
      </c>
      <c r="Q231" s="2">
        <v>3</v>
      </c>
      <c r="R231" s="2" t="s">
        <v>67</v>
      </c>
      <c r="S231" s="2">
        <v>1</v>
      </c>
      <c r="T231" s="2" t="s">
        <v>1065</v>
      </c>
    </row>
    <row r="232" spans="1:20">
      <c r="A232" s="2" t="s">
        <v>1397</v>
      </c>
      <c r="B232" s="2" t="s">
        <v>1287</v>
      </c>
      <c r="C232" s="2" t="s">
        <v>963</v>
      </c>
      <c r="D232" s="2" t="s">
        <v>964</v>
      </c>
      <c r="E232" s="2" t="s">
        <v>1288</v>
      </c>
      <c r="F232" s="2">
        <v>2</v>
      </c>
      <c r="G232" s="2" t="s">
        <v>561</v>
      </c>
      <c r="H232" s="2" t="s">
        <v>560</v>
      </c>
      <c r="I232" s="2">
        <v>1</v>
      </c>
      <c r="J232" s="2" t="s">
        <v>11</v>
      </c>
      <c r="K232" s="2" t="s">
        <v>1654</v>
      </c>
      <c r="L232" s="2" t="s">
        <v>1248</v>
      </c>
      <c r="M232" s="2" t="s">
        <v>1243</v>
      </c>
      <c r="N232" s="2" t="s">
        <v>1244</v>
      </c>
      <c r="O232" s="2" t="s">
        <v>1245</v>
      </c>
      <c r="P232" s="2" t="s">
        <v>1246</v>
      </c>
      <c r="Q232" s="2">
        <v>3</v>
      </c>
      <c r="R232" s="2" t="s">
        <v>67</v>
      </c>
      <c r="S232" s="2">
        <v>1</v>
      </c>
      <c r="T232" s="2" t="s">
        <v>1065</v>
      </c>
    </row>
    <row r="233" spans="1:20">
      <c r="A233" s="2" t="s">
        <v>1398</v>
      </c>
      <c r="B233" s="2" t="s">
        <v>1287</v>
      </c>
      <c r="C233" s="2" t="s">
        <v>963</v>
      </c>
      <c r="D233" s="2" t="s">
        <v>964</v>
      </c>
      <c r="E233" s="2" t="s">
        <v>1288</v>
      </c>
      <c r="F233" s="2">
        <v>2</v>
      </c>
      <c r="G233" s="2" t="s">
        <v>561</v>
      </c>
      <c r="H233" s="2" t="s">
        <v>560</v>
      </c>
      <c r="I233" s="2">
        <v>1</v>
      </c>
      <c r="J233" s="2" t="s">
        <v>11</v>
      </c>
      <c r="K233" s="2" t="s">
        <v>1655</v>
      </c>
      <c r="L233" s="2" t="s">
        <v>1250</v>
      </c>
      <c r="M233" s="2" t="s">
        <v>1251</v>
      </c>
      <c r="N233" s="2" t="s">
        <v>1252</v>
      </c>
      <c r="O233" s="2" t="s">
        <v>1253</v>
      </c>
      <c r="P233" s="2" t="s">
        <v>1254</v>
      </c>
      <c r="Q233" s="2">
        <v>3</v>
      </c>
      <c r="R233" s="2" t="s">
        <v>67</v>
      </c>
      <c r="S233" s="2">
        <v>2</v>
      </c>
      <c r="T233" s="2" t="s">
        <v>970</v>
      </c>
    </row>
    <row r="234" spans="1:20">
      <c r="A234" s="2" t="s">
        <v>1399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1:20">
      <c r="A235" s="4" t="s">
        <v>1400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spans="1:20">
      <c r="A236" s="4" t="s">
        <v>1401</v>
      </c>
      <c r="B236" s="4" t="s">
        <v>1402</v>
      </c>
      <c r="C236" s="4" t="s">
        <v>1403</v>
      </c>
      <c r="D236" s="4" t="s">
        <v>1404</v>
      </c>
      <c r="E236" s="4" t="s">
        <v>1405</v>
      </c>
      <c r="F236" s="4">
        <v>3</v>
      </c>
      <c r="G236" s="4" t="s">
        <v>1406</v>
      </c>
      <c r="H236" s="4" t="s">
        <v>1404</v>
      </c>
      <c r="I236" s="4">
        <v>7</v>
      </c>
      <c r="J236" s="4" t="s">
        <v>1661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spans="1:20">
      <c r="A237" s="4" t="s">
        <v>1407</v>
      </c>
      <c r="B237" s="4" t="s">
        <v>1408</v>
      </c>
      <c r="C237" s="4" t="s">
        <v>1403</v>
      </c>
      <c r="D237" s="4" t="s">
        <v>1409</v>
      </c>
      <c r="E237" s="4" t="s">
        <v>1410</v>
      </c>
      <c r="F237" s="4">
        <v>3</v>
      </c>
      <c r="G237" s="4" t="s">
        <v>1406</v>
      </c>
      <c r="H237" s="4" t="s">
        <v>1404</v>
      </c>
      <c r="I237" s="4">
        <v>8</v>
      </c>
      <c r="J237" s="4" t="s">
        <v>1662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spans="1:20">
      <c r="A238" s="4" t="s">
        <v>1411</v>
      </c>
      <c r="B238" s="4" t="s">
        <v>1412</v>
      </c>
      <c r="C238" s="4" t="s">
        <v>1403</v>
      </c>
      <c r="D238" s="4" t="s">
        <v>1409</v>
      </c>
      <c r="E238" s="4" t="s">
        <v>1413</v>
      </c>
      <c r="F238" s="4">
        <v>3</v>
      </c>
      <c r="G238" s="4" t="s">
        <v>1406</v>
      </c>
      <c r="H238" s="4" t="s">
        <v>1404</v>
      </c>
      <c r="I238" s="4">
        <v>9</v>
      </c>
      <c r="J238" s="4" t="s">
        <v>1663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spans="1:20">
      <c r="A239" s="4" t="s">
        <v>1414</v>
      </c>
      <c r="B239" s="4" t="s">
        <v>1415</v>
      </c>
      <c r="C239" s="4" t="s">
        <v>1416</v>
      </c>
      <c r="D239" s="4" t="s">
        <v>1409</v>
      </c>
      <c r="E239" s="4" t="s">
        <v>1417</v>
      </c>
      <c r="F239" s="4">
        <v>5</v>
      </c>
      <c r="G239" s="4" t="s">
        <v>1418</v>
      </c>
      <c r="H239" s="4" t="s">
        <v>1419</v>
      </c>
      <c r="I239" s="4">
        <v>10</v>
      </c>
      <c r="J239" s="4" t="s">
        <v>1417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spans="1:20">
      <c r="A240" s="4" t="s">
        <v>1420</v>
      </c>
      <c r="B240" s="4" t="s">
        <v>1421</v>
      </c>
      <c r="C240" s="4" t="s">
        <v>1416</v>
      </c>
      <c r="D240" s="4" t="s">
        <v>1409</v>
      </c>
      <c r="E240" s="4" t="s">
        <v>1422</v>
      </c>
      <c r="F240" s="4">
        <v>5</v>
      </c>
      <c r="G240" s="4" t="s">
        <v>1418</v>
      </c>
      <c r="H240" s="4" t="s">
        <v>1419</v>
      </c>
      <c r="I240" s="4">
        <v>11</v>
      </c>
      <c r="J240" s="4" t="s">
        <v>1422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spans="1:20">
      <c r="A241" s="4" t="s">
        <v>1423</v>
      </c>
      <c r="B241" s="4" t="s">
        <v>1424</v>
      </c>
      <c r="C241" s="4" t="s">
        <v>1259</v>
      </c>
      <c r="D241" s="4" t="s">
        <v>1260</v>
      </c>
      <c r="E241" s="4" t="s">
        <v>1425</v>
      </c>
      <c r="F241" s="4">
        <v>6</v>
      </c>
      <c r="G241" s="4" t="s">
        <v>1426</v>
      </c>
      <c r="H241" s="4" t="s">
        <v>1425</v>
      </c>
      <c r="I241" s="4">
        <v>12</v>
      </c>
      <c r="J241" s="4" t="s">
        <v>1664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spans="1:20">
      <c r="A242" s="4" t="s">
        <v>1427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spans="1:20">
      <c r="A243" s="4" t="s">
        <v>1428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spans="1:20">
      <c r="A244" s="2" t="s">
        <v>1429</v>
      </c>
      <c r="B244" s="2" t="s">
        <v>962</v>
      </c>
      <c r="C244" s="2" t="s">
        <v>963</v>
      </c>
      <c r="D244" s="2" t="s">
        <v>964</v>
      </c>
      <c r="E244" s="2" t="s">
        <v>11</v>
      </c>
      <c r="F244" s="2">
        <v>1</v>
      </c>
      <c r="G244" s="2" t="s">
        <v>12</v>
      </c>
      <c r="H244" s="2" t="s">
        <v>11</v>
      </c>
      <c r="I244" s="2">
        <v>1</v>
      </c>
      <c r="J244" s="2" t="s">
        <v>11</v>
      </c>
      <c r="K244" s="2" t="s">
        <v>1545</v>
      </c>
      <c r="L244" s="2" t="s">
        <v>965</v>
      </c>
      <c r="M244" s="2" t="s">
        <v>966</v>
      </c>
      <c r="N244" s="2" t="s">
        <v>967</v>
      </c>
      <c r="O244" s="2" t="s">
        <v>968</v>
      </c>
      <c r="P244" s="2" t="s">
        <v>969</v>
      </c>
      <c r="Q244" s="2">
        <v>1</v>
      </c>
      <c r="R244" s="2" t="s">
        <v>14</v>
      </c>
      <c r="S244" s="2">
        <v>2</v>
      </c>
      <c r="T244" s="2" t="s">
        <v>970</v>
      </c>
    </row>
    <row r="245" spans="1:20">
      <c r="A245" s="2" t="s">
        <v>1430</v>
      </c>
      <c r="B245" s="2" t="s">
        <v>962</v>
      </c>
      <c r="C245" s="2" t="s">
        <v>963</v>
      </c>
      <c r="D245" s="2" t="s">
        <v>964</v>
      </c>
      <c r="E245" s="2" t="s">
        <v>11</v>
      </c>
      <c r="F245" s="2">
        <v>1</v>
      </c>
      <c r="G245" s="2" t="s">
        <v>12</v>
      </c>
      <c r="H245" s="2" t="s">
        <v>11</v>
      </c>
      <c r="I245" s="2">
        <v>1</v>
      </c>
      <c r="J245" s="2" t="s">
        <v>11</v>
      </c>
      <c r="K245" s="2" t="s">
        <v>1546</v>
      </c>
      <c r="L245" s="2" t="s">
        <v>972</v>
      </c>
      <c r="M245" s="2" t="s">
        <v>966</v>
      </c>
      <c r="N245" s="2" t="s">
        <v>967</v>
      </c>
      <c r="O245" s="2" t="s">
        <v>968</v>
      </c>
      <c r="P245" s="2" t="s">
        <v>969</v>
      </c>
      <c r="Q245" s="2">
        <v>1</v>
      </c>
      <c r="R245" s="2" t="s">
        <v>14</v>
      </c>
      <c r="S245" s="2">
        <v>2</v>
      </c>
      <c r="T245" s="2" t="s">
        <v>970</v>
      </c>
    </row>
    <row r="246" spans="1:20">
      <c r="A246" s="2" t="s">
        <v>1431</v>
      </c>
      <c r="B246" s="2" t="s">
        <v>962</v>
      </c>
      <c r="C246" s="2" t="s">
        <v>963</v>
      </c>
      <c r="D246" s="2" t="s">
        <v>964</v>
      </c>
      <c r="E246" s="2" t="s">
        <v>11</v>
      </c>
      <c r="F246" s="2">
        <v>1</v>
      </c>
      <c r="G246" s="2" t="s">
        <v>12</v>
      </c>
      <c r="H246" s="2" t="s">
        <v>11</v>
      </c>
      <c r="I246" s="2">
        <v>1</v>
      </c>
      <c r="J246" s="2" t="s">
        <v>11</v>
      </c>
      <c r="K246" s="2" t="s">
        <v>1547</v>
      </c>
      <c r="L246" s="2" t="s">
        <v>974</v>
      </c>
      <c r="M246" s="2" t="s">
        <v>966</v>
      </c>
      <c r="N246" s="2" t="s">
        <v>967</v>
      </c>
      <c r="O246" s="2" t="s">
        <v>968</v>
      </c>
      <c r="P246" s="2" t="s">
        <v>969</v>
      </c>
      <c r="Q246" s="2">
        <v>1</v>
      </c>
      <c r="R246" s="2" t="s">
        <v>14</v>
      </c>
      <c r="S246" s="2">
        <v>2</v>
      </c>
      <c r="T246" s="2" t="s">
        <v>970</v>
      </c>
    </row>
    <row r="247" spans="1:20">
      <c r="A247" s="2" t="s">
        <v>1432</v>
      </c>
      <c r="B247" s="2" t="s">
        <v>962</v>
      </c>
      <c r="C247" s="2" t="s">
        <v>963</v>
      </c>
      <c r="D247" s="2" t="s">
        <v>964</v>
      </c>
      <c r="E247" s="2" t="s">
        <v>11</v>
      </c>
      <c r="F247" s="2">
        <v>1</v>
      </c>
      <c r="G247" s="2" t="s">
        <v>12</v>
      </c>
      <c r="H247" s="2" t="s">
        <v>11</v>
      </c>
      <c r="I247" s="2">
        <v>1</v>
      </c>
      <c r="J247" s="2" t="s">
        <v>11</v>
      </c>
      <c r="K247" s="2" t="s">
        <v>1548</v>
      </c>
      <c r="L247" s="2" t="s">
        <v>976</v>
      </c>
      <c r="M247" s="2" t="s">
        <v>966</v>
      </c>
      <c r="N247" s="2" t="s">
        <v>967</v>
      </c>
      <c r="O247" s="2" t="s">
        <v>968</v>
      </c>
      <c r="P247" s="2" t="s">
        <v>969</v>
      </c>
      <c r="Q247" s="2">
        <v>1</v>
      </c>
      <c r="R247" s="2" t="s">
        <v>14</v>
      </c>
      <c r="S247" s="2">
        <v>2</v>
      </c>
      <c r="T247" s="2" t="s">
        <v>970</v>
      </c>
    </row>
    <row r="248" spans="1:20">
      <c r="A248" s="2" t="s">
        <v>1433</v>
      </c>
      <c r="B248" s="2" t="s">
        <v>962</v>
      </c>
      <c r="C248" s="2" t="s">
        <v>963</v>
      </c>
      <c r="D248" s="2" t="s">
        <v>964</v>
      </c>
      <c r="E248" s="2" t="s">
        <v>11</v>
      </c>
      <c r="F248" s="2">
        <v>1</v>
      </c>
      <c r="G248" s="2" t="s">
        <v>12</v>
      </c>
      <c r="H248" s="2" t="s">
        <v>11</v>
      </c>
      <c r="I248" s="2">
        <v>1</v>
      </c>
      <c r="J248" s="2" t="s">
        <v>11</v>
      </c>
      <c r="K248" s="2" t="s">
        <v>1549</v>
      </c>
      <c r="L248" s="2" t="s">
        <v>978</v>
      </c>
      <c r="M248" s="2" t="s">
        <v>966</v>
      </c>
      <c r="N248" s="2" t="s">
        <v>967</v>
      </c>
      <c r="O248" s="2" t="s">
        <v>968</v>
      </c>
      <c r="P248" s="2" t="s">
        <v>969</v>
      </c>
      <c r="Q248" s="2">
        <v>1</v>
      </c>
      <c r="R248" s="2" t="s">
        <v>14</v>
      </c>
      <c r="S248" s="2">
        <v>2</v>
      </c>
      <c r="T248" s="2" t="s">
        <v>970</v>
      </c>
    </row>
    <row r="249" spans="1:20">
      <c r="A249" s="2" t="s">
        <v>1434</v>
      </c>
      <c r="B249" s="2" t="s">
        <v>962</v>
      </c>
      <c r="C249" s="2" t="s">
        <v>963</v>
      </c>
      <c r="D249" s="2" t="s">
        <v>964</v>
      </c>
      <c r="E249" s="2" t="s">
        <v>11</v>
      </c>
      <c r="F249" s="2">
        <v>1</v>
      </c>
      <c r="G249" s="2" t="s">
        <v>12</v>
      </c>
      <c r="H249" s="2" t="s">
        <v>11</v>
      </c>
      <c r="I249" s="2">
        <v>1</v>
      </c>
      <c r="J249" s="2" t="s">
        <v>11</v>
      </c>
      <c r="K249" s="2" t="s">
        <v>1550</v>
      </c>
      <c r="L249" s="2" t="s">
        <v>980</v>
      </c>
      <c r="M249" s="2" t="s">
        <v>966</v>
      </c>
      <c r="N249" s="2" t="s">
        <v>967</v>
      </c>
      <c r="O249" s="2" t="s">
        <v>968</v>
      </c>
      <c r="P249" s="2" t="s">
        <v>969</v>
      </c>
      <c r="Q249" s="2">
        <v>1</v>
      </c>
      <c r="R249" s="2" t="s">
        <v>14</v>
      </c>
      <c r="S249" s="2">
        <v>2</v>
      </c>
      <c r="T249" s="2" t="s">
        <v>970</v>
      </c>
    </row>
    <row r="250" spans="1:20">
      <c r="A250" s="2" t="s">
        <v>1435</v>
      </c>
      <c r="B250" s="2" t="s">
        <v>962</v>
      </c>
      <c r="C250" s="2" t="s">
        <v>963</v>
      </c>
      <c r="D250" s="2" t="s">
        <v>964</v>
      </c>
      <c r="E250" s="2" t="s">
        <v>11</v>
      </c>
      <c r="F250" s="2">
        <v>1</v>
      </c>
      <c r="G250" s="2" t="s">
        <v>12</v>
      </c>
      <c r="H250" s="2" t="s">
        <v>11</v>
      </c>
      <c r="I250" s="2">
        <v>1</v>
      </c>
      <c r="J250" s="2" t="s">
        <v>11</v>
      </c>
      <c r="K250" s="2" t="s">
        <v>1551</v>
      </c>
      <c r="L250" s="2" t="s">
        <v>982</v>
      </c>
      <c r="M250" s="2" t="s">
        <v>966</v>
      </c>
      <c r="N250" s="2" t="s">
        <v>967</v>
      </c>
      <c r="O250" s="2" t="s">
        <v>968</v>
      </c>
      <c r="P250" s="2" t="s">
        <v>969</v>
      </c>
      <c r="Q250" s="2">
        <v>1</v>
      </c>
      <c r="R250" s="2" t="s">
        <v>14</v>
      </c>
      <c r="S250" s="2">
        <v>2</v>
      </c>
      <c r="T250" s="2" t="s">
        <v>970</v>
      </c>
    </row>
    <row r="251" spans="1:20">
      <c r="A251" s="2" t="s">
        <v>1436</v>
      </c>
      <c r="B251" s="2" t="s">
        <v>962</v>
      </c>
      <c r="C251" s="2" t="s">
        <v>963</v>
      </c>
      <c r="D251" s="2" t="s">
        <v>964</v>
      </c>
      <c r="E251" s="2" t="s">
        <v>11</v>
      </c>
      <c r="F251" s="2">
        <v>1</v>
      </c>
      <c r="G251" s="2" t="s">
        <v>12</v>
      </c>
      <c r="H251" s="2" t="s">
        <v>11</v>
      </c>
      <c r="I251" s="2">
        <v>1</v>
      </c>
      <c r="J251" s="2" t="s">
        <v>11</v>
      </c>
      <c r="K251" s="2" t="s">
        <v>1552</v>
      </c>
      <c r="L251" s="2" t="s">
        <v>984</v>
      </c>
      <c r="M251" s="2" t="s">
        <v>966</v>
      </c>
      <c r="N251" s="2" t="s">
        <v>967</v>
      </c>
      <c r="O251" s="2" t="s">
        <v>968</v>
      </c>
      <c r="P251" s="2" t="s">
        <v>969</v>
      </c>
      <c r="Q251" s="2">
        <v>1</v>
      </c>
      <c r="R251" s="2" t="s">
        <v>14</v>
      </c>
      <c r="S251" s="2">
        <v>2</v>
      </c>
      <c r="T251" s="2" t="s">
        <v>970</v>
      </c>
    </row>
    <row r="252" spans="1:20">
      <c r="A252" s="2" t="s">
        <v>1437</v>
      </c>
      <c r="B252" s="2" t="s">
        <v>962</v>
      </c>
      <c r="C252" s="2" t="s">
        <v>963</v>
      </c>
      <c r="D252" s="2" t="s">
        <v>964</v>
      </c>
      <c r="E252" s="2" t="s">
        <v>11</v>
      </c>
      <c r="F252" s="2">
        <v>1</v>
      </c>
      <c r="G252" s="2" t="s">
        <v>12</v>
      </c>
      <c r="H252" s="2" t="s">
        <v>11</v>
      </c>
      <c r="I252" s="2">
        <v>1</v>
      </c>
      <c r="J252" s="2" t="s">
        <v>11</v>
      </c>
      <c r="K252" s="2" t="s">
        <v>1553</v>
      </c>
      <c r="L252" s="2" t="s">
        <v>986</v>
      </c>
      <c r="M252" s="2" t="s">
        <v>966</v>
      </c>
      <c r="N252" s="2" t="s">
        <v>967</v>
      </c>
      <c r="O252" s="2" t="s">
        <v>968</v>
      </c>
      <c r="P252" s="2" t="s">
        <v>969</v>
      </c>
      <c r="Q252" s="2">
        <v>1</v>
      </c>
      <c r="R252" s="2" t="s">
        <v>14</v>
      </c>
      <c r="S252" s="2">
        <v>2</v>
      </c>
      <c r="T252" s="2" t="s">
        <v>970</v>
      </c>
    </row>
    <row r="253" spans="1:20">
      <c r="A253" s="2" t="s">
        <v>1438</v>
      </c>
      <c r="B253" s="2" t="s">
        <v>962</v>
      </c>
      <c r="C253" s="2" t="s">
        <v>963</v>
      </c>
      <c r="D253" s="2" t="s">
        <v>964</v>
      </c>
      <c r="E253" s="2" t="s">
        <v>11</v>
      </c>
      <c r="F253" s="2">
        <v>1</v>
      </c>
      <c r="G253" s="2" t="s">
        <v>12</v>
      </c>
      <c r="H253" s="2" t="s">
        <v>11</v>
      </c>
      <c r="I253" s="2">
        <v>1</v>
      </c>
      <c r="J253" s="2" t="s">
        <v>11</v>
      </c>
      <c r="K253" s="2" t="s">
        <v>1554</v>
      </c>
      <c r="L253" s="2" t="s">
        <v>988</v>
      </c>
      <c r="M253" s="2" t="s">
        <v>966</v>
      </c>
      <c r="N253" s="2" t="s">
        <v>967</v>
      </c>
      <c r="O253" s="2" t="s">
        <v>968</v>
      </c>
      <c r="P253" s="2" t="s">
        <v>969</v>
      </c>
      <c r="Q253" s="2">
        <v>1</v>
      </c>
      <c r="R253" s="2" t="s">
        <v>14</v>
      </c>
      <c r="S253" s="2">
        <v>2</v>
      </c>
      <c r="T253" s="2" t="s">
        <v>970</v>
      </c>
    </row>
    <row r="254" spans="1:20">
      <c r="A254" s="2" t="s">
        <v>1439</v>
      </c>
      <c r="B254" s="2" t="s">
        <v>962</v>
      </c>
      <c r="C254" s="2" t="s">
        <v>963</v>
      </c>
      <c r="D254" s="2" t="s">
        <v>964</v>
      </c>
      <c r="E254" s="2" t="s">
        <v>11</v>
      </c>
      <c r="F254" s="2">
        <v>1</v>
      </c>
      <c r="G254" s="2" t="s">
        <v>12</v>
      </c>
      <c r="H254" s="2" t="s">
        <v>11</v>
      </c>
      <c r="I254" s="2">
        <v>1</v>
      </c>
      <c r="J254" s="2" t="s">
        <v>11</v>
      </c>
      <c r="K254" s="2" t="s">
        <v>1555</v>
      </c>
      <c r="L254" s="2" t="s">
        <v>990</v>
      </c>
      <c r="M254" s="2" t="s">
        <v>966</v>
      </c>
      <c r="N254" s="2" t="s">
        <v>967</v>
      </c>
      <c r="O254" s="2" t="s">
        <v>968</v>
      </c>
      <c r="P254" s="2" t="s">
        <v>969</v>
      </c>
      <c r="Q254" s="2">
        <v>1</v>
      </c>
      <c r="R254" s="2" t="s">
        <v>14</v>
      </c>
      <c r="S254" s="2">
        <v>2</v>
      </c>
      <c r="T254" s="2" t="s">
        <v>970</v>
      </c>
    </row>
    <row r="255" spans="1:20">
      <c r="A255" s="2" t="s">
        <v>1440</v>
      </c>
      <c r="B255" s="2" t="s">
        <v>962</v>
      </c>
      <c r="C255" s="2" t="s">
        <v>963</v>
      </c>
      <c r="D255" s="2" t="s">
        <v>964</v>
      </c>
      <c r="E255" s="2" t="s">
        <v>11</v>
      </c>
      <c r="F255" s="2">
        <v>1</v>
      </c>
      <c r="G255" s="2" t="s">
        <v>12</v>
      </c>
      <c r="H255" s="2" t="s">
        <v>11</v>
      </c>
      <c r="I255" s="2">
        <v>1</v>
      </c>
      <c r="J255" s="2" t="s">
        <v>11</v>
      </c>
      <c r="K255" s="2" t="s">
        <v>1556</v>
      </c>
      <c r="L255" s="2" t="s">
        <v>992</v>
      </c>
      <c r="M255" s="2" t="s">
        <v>966</v>
      </c>
      <c r="N255" s="2" t="s">
        <v>967</v>
      </c>
      <c r="O255" s="2" t="s">
        <v>968</v>
      </c>
      <c r="P255" s="2" t="s">
        <v>969</v>
      </c>
      <c r="Q255" s="2">
        <v>1</v>
      </c>
      <c r="R255" s="2" t="s">
        <v>14</v>
      </c>
      <c r="S255" s="2">
        <v>2</v>
      </c>
      <c r="T255" s="2" t="s">
        <v>970</v>
      </c>
    </row>
    <row r="256" spans="1:20">
      <c r="A256" s="2" t="s">
        <v>1441</v>
      </c>
      <c r="B256" s="2" t="s">
        <v>962</v>
      </c>
      <c r="C256" s="2" t="s">
        <v>963</v>
      </c>
      <c r="D256" s="2" t="s">
        <v>964</v>
      </c>
      <c r="E256" s="2" t="s">
        <v>11</v>
      </c>
      <c r="F256" s="2">
        <v>1</v>
      </c>
      <c r="G256" s="2" t="s">
        <v>12</v>
      </c>
      <c r="H256" s="2" t="s">
        <v>11</v>
      </c>
      <c r="I256" s="2">
        <v>1</v>
      </c>
      <c r="J256" s="2" t="s">
        <v>11</v>
      </c>
      <c r="K256" s="2" t="s">
        <v>1557</v>
      </c>
      <c r="L256" s="2" t="s">
        <v>994</v>
      </c>
      <c r="M256" s="2" t="s">
        <v>995</v>
      </c>
      <c r="N256" s="2" t="s">
        <v>996</v>
      </c>
      <c r="O256" s="2" t="s">
        <v>997</v>
      </c>
      <c r="P256" s="2" t="s">
        <v>998</v>
      </c>
      <c r="Q256" s="2">
        <v>3</v>
      </c>
      <c r="R256" s="2" t="s">
        <v>67</v>
      </c>
      <c r="S256" s="2">
        <v>2</v>
      </c>
      <c r="T256" s="2" t="s">
        <v>970</v>
      </c>
    </row>
    <row r="257" spans="1:20">
      <c r="A257" s="2" t="s">
        <v>1442</v>
      </c>
      <c r="B257" s="2" t="s">
        <v>962</v>
      </c>
      <c r="C257" s="2" t="s">
        <v>963</v>
      </c>
      <c r="D257" s="2" t="s">
        <v>964</v>
      </c>
      <c r="E257" s="2" t="s">
        <v>11</v>
      </c>
      <c r="F257" s="2">
        <v>1</v>
      </c>
      <c r="G257" s="2" t="s">
        <v>12</v>
      </c>
      <c r="H257" s="2" t="s">
        <v>11</v>
      </c>
      <c r="I257" s="2">
        <v>1</v>
      </c>
      <c r="J257" s="2" t="s">
        <v>11</v>
      </c>
      <c r="K257" s="2" t="s">
        <v>1558</v>
      </c>
      <c r="L257" s="2" t="s">
        <v>1000</v>
      </c>
      <c r="M257" s="2" t="s">
        <v>995</v>
      </c>
      <c r="N257" s="2" t="s">
        <v>996</v>
      </c>
      <c r="O257" s="2" t="s">
        <v>997</v>
      </c>
      <c r="P257" s="2" t="s">
        <v>998</v>
      </c>
      <c r="Q257" s="2">
        <v>3</v>
      </c>
      <c r="R257" s="2" t="s">
        <v>67</v>
      </c>
      <c r="S257" s="2">
        <v>2</v>
      </c>
      <c r="T257" s="2" t="s">
        <v>970</v>
      </c>
    </row>
    <row r="258" spans="1:20">
      <c r="A258" s="2" t="s">
        <v>1443</v>
      </c>
      <c r="B258" s="2" t="s">
        <v>962</v>
      </c>
      <c r="C258" s="2" t="s">
        <v>963</v>
      </c>
      <c r="D258" s="2" t="s">
        <v>964</v>
      </c>
      <c r="E258" s="2" t="s">
        <v>11</v>
      </c>
      <c r="F258" s="2">
        <v>1</v>
      </c>
      <c r="G258" s="2" t="s">
        <v>12</v>
      </c>
      <c r="H258" s="2" t="s">
        <v>11</v>
      </c>
      <c r="I258" s="2">
        <v>1</v>
      </c>
      <c r="J258" s="2" t="s">
        <v>11</v>
      </c>
      <c r="K258" s="2" t="s">
        <v>1559</v>
      </c>
      <c r="L258" s="2" t="s">
        <v>1002</v>
      </c>
      <c r="M258" s="2" t="s">
        <v>995</v>
      </c>
      <c r="N258" s="2" t="s">
        <v>996</v>
      </c>
      <c r="O258" s="2" t="s">
        <v>997</v>
      </c>
      <c r="P258" s="2" t="s">
        <v>998</v>
      </c>
      <c r="Q258" s="2">
        <v>3</v>
      </c>
      <c r="R258" s="2" t="s">
        <v>67</v>
      </c>
      <c r="S258" s="2">
        <v>2</v>
      </c>
      <c r="T258" s="2" t="s">
        <v>970</v>
      </c>
    </row>
    <row r="259" spans="1:20">
      <c r="A259" s="2" t="s">
        <v>1444</v>
      </c>
      <c r="B259" s="2" t="s">
        <v>962</v>
      </c>
      <c r="C259" s="2" t="s">
        <v>963</v>
      </c>
      <c r="D259" s="2" t="s">
        <v>964</v>
      </c>
      <c r="E259" s="2" t="s">
        <v>11</v>
      </c>
      <c r="F259" s="2">
        <v>1</v>
      </c>
      <c r="G259" s="2" t="s">
        <v>12</v>
      </c>
      <c r="H259" s="2" t="s">
        <v>11</v>
      </c>
      <c r="I259" s="2">
        <v>1</v>
      </c>
      <c r="J259" s="2" t="s">
        <v>11</v>
      </c>
      <c r="K259" s="2" t="s">
        <v>1560</v>
      </c>
      <c r="L259" s="2" t="s">
        <v>1004</v>
      </c>
      <c r="M259" s="2" t="s">
        <v>995</v>
      </c>
      <c r="N259" s="2" t="s">
        <v>996</v>
      </c>
      <c r="O259" s="2" t="s">
        <v>997</v>
      </c>
      <c r="P259" s="2" t="s">
        <v>998</v>
      </c>
      <c r="Q259" s="2">
        <v>3</v>
      </c>
      <c r="R259" s="2" t="s">
        <v>67</v>
      </c>
      <c r="S259" s="2">
        <v>2</v>
      </c>
      <c r="T259" s="2" t="s">
        <v>970</v>
      </c>
    </row>
    <row r="260" spans="1:20">
      <c r="A260" s="2" t="s">
        <v>1445</v>
      </c>
      <c r="B260" s="2" t="s">
        <v>962</v>
      </c>
      <c r="C260" s="2" t="s">
        <v>963</v>
      </c>
      <c r="D260" s="2" t="s">
        <v>964</v>
      </c>
      <c r="E260" s="2" t="s">
        <v>11</v>
      </c>
      <c r="F260" s="2">
        <v>1</v>
      </c>
      <c r="G260" s="2" t="s">
        <v>12</v>
      </c>
      <c r="H260" s="2" t="s">
        <v>11</v>
      </c>
      <c r="I260" s="2">
        <v>1</v>
      </c>
      <c r="J260" s="2" t="s">
        <v>11</v>
      </c>
      <c r="K260" s="2" t="s">
        <v>1561</v>
      </c>
      <c r="L260" s="2" t="s">
        <v>1006</v>
      </c>
      <c r="M260" s="2" t="s">
        <v>995</v>
      </c>
      <c r="N260" s="2" t="s">
        <v>996</v>
      </c>
      <c r="O260" s="2" t="s">
        <v>997</v>
      </c>
      <c r="P260" s="2" t="s">
        <v>998</v>
      </c>
      <c r="Q260" s="2">
        <v>3</v>
      </c>
      <c r="R260" s="2" t="s">
        <v>67</v>
      </c>
      <c r="S260" s="2">
        <v>2</v>
      </c>
      <c r="T260" s="2" t="s">
        <v>970</v>
      </c>
    </row>
    <row r="261" spans="1:20">
      <c r="A261" s="2" t="s">
        <v>1446</v>
      </c>
      <c r="B261" s="2" t="s">
        <v>962</v>
      </c>
      <c r="C261" s="2" t="s">
        <v>963</v>
      </c>
      <c r="D261" s="2" t="s">
        <v>964</v>
      </c>
      <c r="E261" s="2" t="s">
        <v>11</v>
      </c>
      <c r="F261" s="2">
        <v>1</v>
      </c>
      <c r="G261" s="2" t="s">
        <v>12</v>
      </c>
      <c r="H261" s="2" t="s">
        <v>11</v>
      </c>
      <c r="I261" s="2">
        <v>1</v>
      </c>
      <c r="J261" s="2" t="s">
        <v>11</v>
      </c>
      <c r="K261" s="2" t="s">
        <v>1562</v>
      </c>
      <c r="L261" s="2" t="s">
        <v>1008</v>
      </c>
      <c r="M261" s="2" t="s">
        <v>995</v>
      </c>
      <c r="N261" s="2" t="s">
        <v>996</v>
      </c>
      <c r="O261" s="2" t="s">
        <v>997</v>
      </c>
      <c r="P261" s="2" t="s">
        <v>998</v>
      </c>
      <c r="Q261" s="2">
        <v>3</v>
      </c>
      <c r="R261" s="2" t="s">
        <v>67</v>
      </c>
      <c r="S261" s="2">
        <v>2</v>
      </c>
      <c r="T261" s="2" t="s">
        <v>970</v>
      </c>
    </row>
    <row r="262" spans="1:20">
      <c r="A262" s="2" t="s">
        <v>1447</v>
      </c>
      <c r="B262" s="2" t="s">
        <v>962</v>
      </c>
      <c r="C262" s="2" t="s">
        <v>963</v>
      </c>
      <c r="D262" s="2" t="s">
        <v>964</v>
      </c>
      <c r="E262" s="2" t="s">
        <v>11</v>
      </c>
      <c r="F262" s="2">
        <v>1</v>
      </c>
      <c r="G262" s="2" t="s">
        <v>12</v>
      </c>
      <c r="H262" s="2" t="s">
        <v>11</v>
      </c>
      <c r="I262" s="2">
        <v>1</v>
      </c>
      <c r="J262" s="2" t="s">
        <v>11</v>
      </c>
      <c r="K262" s="2" t="s">
        <v>1563</v>
      </c>
      <c r="L262" s="2" t="s">
        <v>1010</v>
      </c>
      <c r="M262" s="2" t="s">
        <v>1011</v>
      </c>
      <c r="N262" s="2" t="s">
        <v>1012</v>
      </c>
      <c r="O262" s="2" t="s">
        <v>1013</v>
      </c>
      <c r="P262" s="2" t="s">
        <v>1014</v>
      </c>
      <c r="Q262" s="2">
        <v>1</v>
      </c>
      <c r="R262" s="2" t="s">
        <v>14</v>
      </c>
      <c r="S262" s="2">
        <v>2</v>
      </c>
      <c r="T262" s="2" t="s">
        <v>970</v>
      </c>
    </row>
    <row r="263" spans="1:20">
      <c r="A263" s="2" t="s">
        <v>1448</v>
      </c>
      <c r="B263" s="2" t="s">
        <v>962</v>
      </c>
      <c r="C263" s="2" t="s">
        <v>963</v>
      </c>
      <c r="D263" s="2" t="s">
        <v>964</v>
      </c>
      <c r="E263" s="2" t="s">
        <v>11</v>
      </c>
      <c r="F263" s="2">
        <v>1</v>
      </c>
      <c r="G263" s="2" t="s">
        <v>12</v>
      </c>
      <c r="H263" s="2" t="s">
        <v>11</v>
      </c>
      <c r="I263" s="2">
        <v>1</v>
      </c>
      <c r="J263" s="2" t="s">
        <v>11</v>
      </c>
      <c r="K263" s="2" t="s">
        <v>1564</v>
      </c>
      <c r="L263" s="2" t="s">
        <v>1016</v>
      </c>
      <c r="M263" s="2" t="s">
        <v>1011</v>
      </c>
      <c r="N263" s="2" t="s">
        <v>1012</v>
      </c>
      <c r="O263" s="2" t="s">
        <v>1013</v>
      </c>
      <c r="P263" s="2" t="s">
        <v>1014</v>
      </c>
      <c r="Q263" s="2">
        <v>1</v>
      </c>
      <c r="R263" s="2" t="s">
        <v>14</v>
      </c>
      <c r="S263" s="2">
        <v>2</v>
      </c>
      <c r="T263" s="2" t="s">
        <v>970</v>
      </c>
    </row>
    <row r="264" spans="1:20">
      <c r="A264" s="2" t="s">
        <v>1449</v>
      </c>
      <c r="B264" s="2" t="s">
        <v>962</v>
      </c>
      <c r="C264" s="2" t="s">
        <v>963</v>
      </c>
      <c r="D264" s="2" t="s">
        <v>964</v>
      </c>
      <c r="E264" s="2" t="s">
        <v>11</v>
      </c>
      <c r="F264" s="2">
        <v>1</v>
      </c>
      <c r="G264" s="2" t="s">
        <v>12</v>
      </c>
      <c r="H264" s="2" t="s">
        <v>11</v>
      </c>
      <c r="I264" s="2">
        <v>1</v>
      </c>
      <c r="J264" s="2" t="s">
        <v>11</v>
      </c>
      <c r="K264" s="2" t="s">
        <v>1565</v>
      </c>
      <c r="L264" s="2" t="s">
        <v>1018</v>
      </c>
      <c r="M264" s="2" t="s">
        <v>1011</v>
      </c>
      <c r="N264" s="2" t="s">
        <v>1012</v>
      </c>
      <c r="O264" s="2" t="s">
        <v>1013</v>
      </c>
      <c r="P264" s="2" t="s">
        <v>1014</v>
      </c>
      <c r="Q264" s="2">
        <v>1</v>
      </c>
      <c r="R264" s="2" t="s">
        <v>14</v>
      </c>
      <c r="S264" s="2">
        <v>2</v>
      </c>
      <c r="T264" s="2" t="s">
        <v>970</v>
      </c>
    </row>
    <row r="265" spans="1:20">
      <c r="A265" s="2" t="s">
        <v>1450</v>
      </c>
      <c r="B265" s="2" t="s">
        <v>962</v>
      </c>
      <c r="C265" s="2" t="s">
        <v>963</v>
      </c>
      <c r="D265" s="2" t="s">
        <v>964</v>
      </c>
      <c r="E265" s="2" t="s">
        <v>11</v>
      </c>
      <c r="F265" s="2">
        <v>1</v>
      </c>
      <c r="G265" s="2" t="s">
        <v>12</v>
      </c>
      <c r="H265" s="2" t="s">
        <v>11</v>
      </c>
      <c r="I265" s="2">
        <v>1</v>
      </c>
      <c r="J265" s="2" t="s">
        <v>11</v>
      </c>
      <c r="K265" s="2" t="s">
        <v>1566</v>
      </c>
      <c r="L265" s="2" t="s">
        <v>1020</v>
      </c>
      <c r="M265" s="2" t="s">
        <v>1011</v>
      </c>
      <c r="N265" s="2" t="s">
        <v>1012</v>
      </c>
      <c r="O265" s="2" t="s">
        <v>1013</v>
      </c>
      <c r="P265" s="2" t="s">
        <v>1014</v>
      </c>
      <c r="Q265" s="2">
        <v>1</v>
      </c>
      <c r="R265" s="2" t="s">
        <v>14</v>
      </c>
      <c r="S265" s="2">
        <v>2</v>
      </c>
      <c r="T265" s="2" t="s">
        <v>970</v>
      </c>
    </row>
    <row r="266" spans="1:20">
      <c r="A266" s="2" t="s">
        <v>1451</v>
      </c>
      <c r="B266" s="2" t="s">
        <v>962</v>
      </c>
      <c r="C266" s="2" t="s">
        <v>963</v>
      </c>
      <c r="D266" s="2" t="s">
        <v>964</v>
      </c>
      <c r="E266" s="2" t="s">
        <v>11</v>
      </c>
      <c r="F266" s="2">
        <v>1</v>
      </c>
      <c r="G266" s="2" t="s">
        <v>12</v>
      </c>
      <c r="H266" s="2" t="s">
        <v>11</v>
      </c>
      <c r="I266" s="2">
        <v>1</v>
      </c>
      <c r="J266" s="2" t="s">
        <v>11</v>
      </c>
      <c r="K266" s="2" t="s">
        <v>1567</v>
      </c>
      <c r="L266" s="2" t="s">
        <v>1022</v>
      </c>
      <c r="M266" s="2" t="s">
        <v>1011</v>
      </c>
      <c r="N266" s="2" t="s">
        <v>1012</v>
      </c>
      <c r="O266" s="2" t="s">
        <v>1013</v>
      </c>
      <c r="P266" s="2" t="s">
        <v>1014</v>
      </c>
      <c r="Q266" s="2">
        <v>1</v>
      </c>
      <c r="R266" s="2" t="s">
        <v>14</v>
      </c>
      <c r="S266" s="2">
        <v>2</v>
      </c>
      <c r="T266" s="2" t="s">
        <v>970</v>
      </c>
    </row>
    <row r="267" spans="1:20">
      <c r="A267" s="2" t="s">
        <v>1452</v>
      </c>
      <c r="B267" s="2" t="s">
        <v>962</v>
      </c>
      <c r="C267" s="2" t="s">
        <v>963</v>
      </c>
      <c r="D267" s="2" t="s">
        <v>964</v>
      </c>
      <c r="E267" s="2" t="s">
        <v>11</v>
      </c>
      <c r="F267" s="2">
        <v>1</v>
      </c>
      <c r="G267" s="2" t="s">
        <v>12</v>
      </c>
      <c r="H267" s="2" t="s">
        <v>11</v>
      </c>
      <c r="I267" s="2">
        <v>1</v>
      </c>
      <c r="J267" s="2" t="s">
        <v>11</v>
      </c>
      <c r="K267" s="2" t="s">
        <v>1568</v>
      </c>
      <c r="L267" s="2" t="s">
        <v>1024</v>
      </c>
      <c r="M267" s="2" t="s">
        <v>1011</v>
      </c>
      <c r="N267" s="2" t="s">
        <v>1012</v>
      </c>
      <c r="O267" s="2" t="s">
        <v>1013</v>
      </c>
      <c r="P267" s="2" t="s">
        <v>1014</v>
      </c>
      <c r="Q267" s="2">
        <v>1</v>
      </c>
      <c r="R267" s="2" t="s">
        <v>14</v>
      </c>
      <c r="S267" s="2">
        <v>2</v>
      </c>
      <c r="T267" s="2" t="s">
        <v>970</v>
      </c>
    </row>
    <row r="268" spans="1:20">
      <c r="A268" s="2" t="s">
        <v>1453</v>
      </c>
      <c r="B268" s="2" t="s">
        <v>962</v>
      </c>
      <c r="C268" s="2" t="s">
        <v>963</v>
      </c>
      <c r="D268" s="2" t="s">
        <v>964</v>
      </c>
      <c r="E268" s="2" t="s">
        <v>11</v>
      </c>
      <c r="F268" s="2">
        <v>1</v>
      </c>
      <c r="G268" s="2" t="s">
        <v>12</v>
      </c>
      <c r="H268" s="2" t="s">
        <v>11</v>
      </c>
      <c r="I268" s="2">
        <v>1</v>
      </c>
      <c r="J268" s="2" t="s">
        <v>11</v>
      </c>
      <c r="K268" s="2" t="s">
        <v>1569</v>
      </c>
      <c r="L268" s="2" t="s">
        <v>1026</v>
      </c>
      <c r="M268" s="2" t="s">
        <v>1011</v>
      </c>
      <c r="N268" s="2" t="s">
        <v>1012</v>
      </c>
      <c r="O268" s="2" t="s">
        <v>1013</v>
      </c>
      <c r="P268" s="2" t="s">
        <v>1014</v>
      </c>
      <c r="Q268" s="2">
        <v>1</v>
      </c>
      <c r="R268" s="2" t="s">
        <v>14</v>
      </c>
      <c r="S268" s="2">
        <v>2</v>
      </c>
      <c r="T268" s="2" t="s">
        <v>970</v>
      </c>
    </row>
    <row r="269" spans="1:20">
      <c r="A269" s="2" t="s">
        <v>1454</v>
      </c>
      <c r="B269" s="2" t="s">
        <v>962</v>
      </c>
      <c r="C269" s="2" t="s">
        <v>963</v>
      </c>
      <c r="D269" s="2" t="s">
        <v>964</v>
      </c>
      <c r="E269" s="2" t="s">
        <v>11</v>
      </c>
      <c r="F269" s="2">
        <v>1</v>
      </c>
      <c r="G269" s="2" t="s">
        <v>12</v>
      </c>
      <c r="H269" s="2" t="s">
        <v>11</v>
      </c>
      <c r="I269" s="2">
        <v>1</v>
      </c>
      <c r="J269" s="2" t="s">
        <v>11</v>
      </c>
      <c r="K269" s="2" t="s">
        <v>1570</v>
      </c>
      <c r="L269" s="2" t="s">
        <v>1028</v>
      </c>
      <c r="M269" s="2" t="s">
        <v>1011</v>
      </c>
      <c r="N269" s="2" t="s">
        <v>1012</v>
      </c>
      <c r="O269" s="2" t="s">
        <v>1013</v>
      </c>
      <c r="P269" s="2" t="s">
        <v>1014</v>
      </c>
      <c r="Q269" s="2">
        <v>1</v>
      </c>
      <c r="R269" s="2" t="s">
        <v>14</v>
      </c>
      <c r="S269" s="2">
        <v>2</v>
      </c>
      <c r="T269" s="2" t="s">
        <v>970</v>
      </c>
    </row>
    <row r="270" spans="1:20">
      <c r="A270" s="2" t="s">
        <v>1455</v>
      </c>
      <c r="B270" s="2" t="s">
        <v>962</v>
      </c>
      <c r="C270" s="2" t="s">
        <v>963</v>
      </c>
      <c r="D270" s="2" t="s">
        <v>964</v>
      </c>
      <c r="E270" s="2" t="s">
        <v>11</v>
      </c>
      <c r="F270" s="2">
        <v>1</v>
      </c>
      <c r="G270" s="2" t="s">
        <v>12</v>
      </c>
      <c r="H270" s="2" t="s">
        <v>11</v>
      </c>
      <c r="I270" s="2">
        <v>1</v>
      </c>
      <c r="J270" s="2" t="s">
        <v>11</v>
      </c>
      <c r="K270" s="2" t="s">
        <v>1571</v>
      </c>
      <c r="L270" s="2" t="s">
        <v>1030</v>
      </c>
      <c r="M270" s="2" t="s">
        <v>1011</v>
      </c>
      <c r="N270" s="2" t="s">
        <v>1012</v>
      </c>
      <c r="O270" s="2" t="s">
        <v>1013</v>
      </c>
      <c r="P270" s="2" t="s">
        <v>1014</v>
      </c>
      <c r="Q270" s="2">
        <v>1</v>
      </c>
      <c r="R270" s="2" t="s">
        <v>14</v>
      </c>
      <c r="S270" s="2">
        <v>2</v>
      </c>
      <c r="T270" s="2" t="s">
        <v>970</v>
      </c>
    </row>
    <row r="271" spans="1:20">
      <c r="A271" s="2" t="s">
        <v>1456</v>
      </c>
      <c r="B271" s="2" t="s">
        <v>962</v>
      </c>
      <c r="C271" s="2" t="s">
        <v>963</v>
      </c>
      <c r="D271" s="2" t="s">
        <v>964</v>
      </c>
      <c r="E271" s="2" t="s">
        <v>11</v>
      </c>
      <c r="F271" s="2">
        <v>1</v>
      </c>
      <c r="G271" s="2" t="s">
        <v>12</v>
      </c>
      <c r="H271" s="2" t="s">
        <v>11</v>
      </c>
      <c r="I271" s="2">
        <v>1</v>
      </c>
      <c r="J271" s="2" t="s">
        <v>11</v>
      </c>
      <c r="K271" s="2" t="s">
        <v>1572</v>
      </c>
      <c r="L271" s="2" t="s">
        <v>1032</v>
      </c>
      <c r="M271" s="2" t="s">
        <v>1011</v>
      </c>
      <c r="N271" s="2" t="s">
        <v>1012</v>
      </c>
      <c r="O271" s="2" t="s">
        <v>1013</v>
      </c>
      <c r="P271" s="2" t="s">
        <v>1014</v>
      </c>
      <c r="Q271" s="2">
        <v>1</v>
      </c>
      <c r="R271" s="2" t="s">
        <v>14</v>
      </c>
      <c r="S271" s="2">
        <v>2</v>
      </c>
      <c r="T271" s="2" t="s">
        <v>970</v>
      </c>
    </row>
    <row r="272" spans="1:20">
      <c r="A272" s="2" t="s">
        <v>1457</v>
      </c>
      <c r="B272" s="2" t="s">
        <v>962</v>
      </c>
      <c r="C272" s="2" t="s">
        <v>963</v>
      </c>
      <c r="D272" s="2" t="s">
        <v>964</v>
      </c>
      <c r="E272" s="2" t="s">
        <v>11</v>
      </c>
      <c r="F272" s="2">
        <v>1</v>
      </c>
      <c r="G272" s="2" t="s">
        <v>12</v>
      </c>
      <c r="H272" s="2" t="s">
        <v>11</v>
      </c>
      <c r="I272" s="2">
        <v>1</v>
      </c>
      <c r="J272" s="2" t="s">
        <v>11</v>
      </c>
      <c r="K272" s="2" t="s">
        <v>1573</v>
      </c>
      <c r="L272" s="2" t="s">
        <v>1034</v>
      </c>
      <c r="M272" s="2" t="s">
        <v>1011</v>
      </c>
      <c r="N272" s="2" t="s">
        <v>1012</v>
      </c>
      <c r="O272" s="2" t="s">
        <v>1013</v>
      </c>
      <c r="P272" s="2" t="s">
        <v>1014</v>
      </c>
      <c r="Q272" s="2">
        <v>1</v>
      </c>
      <c r="R272" s="2" t="s">
        <v>14</v>
      </c>
      <c r="S272" s="2">
        <v>2</v>
      </c>
      <c r="T272" s="2" t="s">
        <v>970</v>
      </c>
    </row>
    <row r="273" spans="1:20">
      <c r="A273" s="2" t="s">
        <v>1458</v>
      </c>
      <c r="B273" s="2" t="s">
        <v>962</v>
      </c>
      <c r="C273" s="2" t="s">
        <v>963</v>
      </c>
      <c r="D273" s="2" t="s">
        <v>964</v>
      </c>
      <c r="E273" s="2" t="s">
        <v>11</v>
      </c>
      <c r="F273" s="2">
        <v>1</v>
      </c>
      <c r="G273" s="2" t="s">
        <v>12</v>
      </c>
      <c r="H273" s="2" t="s">
        <v>11</v>
      </c>
      <c r="I273" s="2">
        <v>1</v>
      </c>
      <c r="J273" s="2" t="s">
        <v>11</v>
      </c>
      <c r="K273" s="2" t="s">
        <v>1574</v>
      </c>
      <c r="L273" s="2" t="s">
        <v>1036</v>
      </c>
      <c r="M273" s="2" t="s">
        <v>1011</v>
      </c>
      <c r="N273" s="2" t="s">
        <v>1012</v>
      </c>
      <c r="O273" s="2" t="s">
        <v>1013</v>
      </c>
      <c r="P273" s="2" t="s">
        <v>1014</v>
      </c>
      <c r="Q273" s="2">
        <v>1</v>
      </c>
      <c r="R273" s="2" t="s">
        <v>14</v>
      </c>
      <c r="S273" s="2">
        <v>2</v>
      </c>
      <c r="T273" s="2" t="s">
        <v>970</v>
      </c>
    </row>
    <row r="274" spans="1:20">
      <c r="A274" s="2" t="s">
        <v>1459</v>
      </c>
      <c r="B274" s="2" t="s">
        <v>962</v>
      </c>
      <c r="C274" s="2" t="s">
        <v>963</v>
      </c>
      <c r="D274" s="2" t="s">
        <v>964</v>
      </c>
      <c r="E274" s="2" t="s">
        <v>11</v>
      </c>
      <c r="F274" s="2">
        <v>1</v>
      </c>
      <c r="G274" s="2" t="s">
        <v>12</v>
      </c>
      <c r="H274" s="2" t="s">
        <v>11</v>
      </c>
      <c r="I274" s="2">
        <v>1</v>
      </c>
      <c r="J274" s="2" t="s">
        <v>11</v>
      </c>
      <c r="K274" s="2" t="s">
        <v>1575</v>
      </c>
      <c r="L274" s="2" t="s">
        <v>1038</v>
      </c>
      <c r="M274" s="2" t="s">
        <v>1011</v>
      </c>
      <c r="N274" s="2" t="s">
        <v>1012</v>
      </c>
      <c r="O274" s="2" t="s">
        <v>1013</v>
      </c>
      <c r="P274" s="2" t="s">
        <v>1014</v>
      </c>
      <c r="Q274" s="2">
        <v>1</v>
      </c>
      <c r="R274" s="2" t="s">
        <v>14</v>
      </c>
      <c r="S274" s="2">
        <v>2</v>
      </c>
      <c r="T274" s="2" t="s">
        <v>970</v>
      </c>
    </row>
    <row r="275" spans="1:20">
      <c r="A275" s="2" t="s">
        <v>1460</v>
      </c>
      <c r="B275" s="2" t="s">
        <v>962</v>
      </c>
      <c r="C275" s="2" t="s">
        <v>963</v>
      </c>
      <c r="D275" s="2" t="s">
        <v>964</v>
      </c>
      <c r="E275" s="2" t="s">
        <v>11</v>
      </c>
      <c r="F275" s="2">
        <v>1</v>
      </c>
      <c r="G275" s="2" t="s">
        <v>12</v>
      </c>
      <c r="H275" s="2" t="s">
        <v>11</v>
      </c>
      <c r="I275" s="2">
        <v>1</v>
      </c>
      <c r="J275" s="2" t="s">
        <v>11</v>
      </c>
      <c r="K275" s="2" t="s">
        <v>1576</v>
      </c>
      <c r="L275" s="2" t="s">
        <v>1040</v>
      </c>
      <c r="M275" s="2" t="s">
        <v>1011</v>
      </c>
      <c r="N275" s="2" t="s">
        <v>1012</v>
      </c>
      <c r="O275" s="2" t="s">
        <v>1013</v>
      </c>
      <c r="P275" s="2" t="s">
        <v>1014</v>
      </c>
      <c r="Q275" s="2">
        <v>1</v>
      </c>
      <c r="R275" s="2" t="s">
        <v>14</v>
      </c>
      <c r="S275" s="2">
        <v>2</v>
      </c>
      <c r="T275" s="2" t="s">
        <v>970</v>
      </c>
    </row>
    <row r="276" spans="1:20">
      <c r="A276" s="2" t="s">
        <v>1461</v>
      </c>
      <c r="B276" s="2" t="s">
        <v>962</v>
      </c>
      <c r="C276" s="2" t="s">
        <v>963</v>
      </c>
      <c r="D276" s="2" t="s">
        <v>964</v>
      </c>
      <c r="E276" s="2" t="s">
        <v>11</v>
      </c>
      <c r="F276" s="2">
        <v>1</v>
      </c>
      <c r="G276" s="2" t="s">
        <v>12</v>
      </c>
      <c r="H276" s="2" t="s">
        <v>11</v>
      </c>
      <c r="I276" s="2">
        <v>1</v>
      </c>
      <c r="J276" s="2" t="s">
        <v>11</v>
      </c>
      <c r="K276" s="2" t="s">
        <v>1577</v>
      </c>
      <c r="L276" s="2" t="s">
        <v>1042</v>
      </c>
      <c r="M276" s="2" t="s">
        <v>1011</v>
      </c>
      <c r="N276" s="2" t="s">
        <v>1012</v>
      </c>
      <c r="O276" s="2" t="s">
        <v>1013</v>
      </c>
      <c r="P276" s="2" t="s">
        <v>1014</v>
      </c>
      <c r="Q276" s="2">
        <v>1</v>
      </c>
      <c r="R276" s="2" t="s">
        <v>14</v>
      </c>
      <c r="S276" s="2">
        <v>2</v>
      </c>
      <c r="T276" s="2" t="s">
        <v>970</v>
      </c>
    </row>
    <row r="277" spans="1:20">
      <c r="A277" s="2" t="s">
        <v>1462</v>
      </c>
      <c r="B277" s="2" t="s">
        <v>962</v>
      </c>
      <c r="C277" s="2" t="s">
        <v>963</v>
      </c>
      <c r="D277" s="2" t="s">
        <v>964</v>
      </c>
      <c r="E277" s="2" t="s">
        <v>11</v>
      </c>
      <c r="F277" s="2">
        <v>1</v>
      </c>
      <c r="G277" s="2" t="s">
        <v>12</v>
      </c>
      <c r="H277" s="2" t="s">
        <v>11</v>
      </c>
      <c r="I277" s="2">
        <v>1</v>
      </c>
      <c r="J277" s="2" t="s">
        <v>11</v>
      </c>
      <c r="K277" s="2" t="s">
        <v>1578</v>
      </c>
      <c r="L277" s="2" t="s">
        <v>1044</v>
      </c>
      <c r="M277" s="2" t="s">
        <v>1011</v>
      </c>
      <c r="N277" s="2" t="s">
        <v>1012</v>
      </c>
      <c r="O277" s="2" t="s">
        <v>1013</v>
      </c>
      <c r="P277" s="2" t="s">
        <v>1014</v>
      </c>
      <c r="Q277" s="2">
        <v>1</v>
      </c>
      <c r="R277" s="2" t="s">
        <v>14</v>
      </c>
      <c r="S277" s="2">
        <v>2</v>
      </c>
      <c r="T277" s="2" t="s">
        <v>970</v>
      </c>
    </row>
    <row r="278" spans="1:20">
      <c r="A278" s="2" t="s">
        <v>1463</v>
      </c>
      <c r="B278" s="2" t="s">
        <v>962</v>
      </c>
      <c r="C278" s="2" t="s">
        <v>963</v>
      </c>
      <c r="D278" s="2" t="s">
        <v>964</v>
      </c>
      <c r="E278" s="2" t="s">
        <v>11</v>
      </c>
      <c r="F278" s="2">
        <v>1</v>
      </c>
      <c r="G278" s="2" t="s">
        <v>12</v>
      </c>
      <c r="H278" s="2" t="s">
        <v>11</v>
      </c>
      <c r="I278" s="2">
        <v>1</v>
      </c>
      <c r="J278" s="2" t="s">
        <v>11</v>
      </c>
      <c r="K278" s="2" t="s">
        <v>1579</v>
      </c>
      <c r="L278" s="2" t="s">
        <v>1046</v>
      </c>
      <c r="M278" s="2" t="s">
        <v>1011</v>
      </c>
      <c r="N278" s="2" t="s">
        <v>1012</v>
      </c>
      <c r="O278" s="2" t="s">
        <v>1013</v>
      </c>
      <c r="P278" s="2" t="s">
        <v>1014</v>
      </c>
      <c r="Q278" s="2">
        <v>2</v>
      </c>
      <c r="R278" s="2" t="s">
        <v>142</v>
      </c>
      <c r="S278" s="2">
        <v>2</v>
      </c>
      <c r="T278" s="2" t="s">
        <v>970</v>
      </c>
    </row>
    <row r="279" spans="1:20">
      <c r="A279" s="2" t="s">
        <v>1464</v>
      </c>
      <c r="B279" s="2" t="s">
        <v>962</v>
      </c>
      <c r="C279" s="2" t="s">
        <v>963</v>
      </c>
      <c r="D279" s="2" t="s">
        <v>964</v>
      </c>
      <c r="E279" s="2" t="s">
        <v>11</v>
      </c>
      <c r="F279" s="2">
        <v>1</v>
      </c>
      <c r="G279" s="2" t="s">
        <v>12</v>
      </c>
      <c r="H279" s="2" t="s">
        <v>11</v>
      </c>
      <c r="I279" s="2">
        <v>1</v>
      </c>
      <c r="J279" s="2" t="s">
        <v>11</v>
      </c>
      <c r="K279" s="2" t="s">
        <v>1580</v>
      </c>
      <c r="L279" s="2" t="s">
        <v>1048</v>
      </c>
      <c r="M279" s="2" t="s">
        <v>1011</v>
      </c>
      <c r="N279" s="2" t="s">
        <v>1012</v>
      </c>
      <c r="O279" s="2" t="s">
        <v>1013</v>
      </c>
      <c r="P279" s="2" t="s">
        <v>1014</v>
      </c>
      <c r="Q279" s="2">
        <v>2</v>
      </c>
      <c r="R279" s="2" t="s">
        <v>142</v>
      </c>
      <c r="S279" s="2">
        <v>2</v>
      </c>
      <c r="T279" s="2" t="s">
        <v>970</v>
      </c>
    </row>
    <row r="280" spans="1:20">
      <c r="A280" s="2" t="s">
        <v>1465</v>
      </c>
      <c r="B280" s="2" t="s">
        <v>962</v>
      </c>
      <c r="C280" s="2" t="s">
        <v>963</v>
      </c>
      <c r="D280" s="2" t="s">
        <v>964</v>
      </c>
      <c r="E280" s="2" t="s">
        <v>11</v>
      </c>
      <c r="F280" s="2">
        <v>1</v>
      </c>
      <c r="G280" s="2" t="s">
        <v>12</v>
      </c>
      <c r="H280" s="2" t="s">
        <v>11</v>
      </c>
      <c r="I280" s="2">
        <v>1</v>
      </c>
      <c r="J280" s="2" t="s">
        <v>11</v>
      </c>
      <c r="K280" s="2" t="s">
        <v>1581</v>
      </c>
      <c r="L280" s="2" t="s">
        <v>1050</v>
      </c>
      <c r="M280" s="2" t="s">
        <v>1011</v>
      </c>
      <c r="N280" s="2" t="s">
        <v>1012</v>
      </c>
      <c r="O280" s="2" t="s">
        <v>1013</v>
      </c>
      <c r="P280" s="2" t="s">
        <v>1014</v>
      </c>
      <c r="Q280" s="2">
        <v>1</v>
      </c>
      <c r="R280" s="2" t="s">
        <v>14</v>
      </c>
      <c r="S280" s="2">
        <v>2</v>
      </c>
      <c r="T280" s="2" t="s">
        <v>970</v>
      </c>
    </row>
    <row r="281" spans="1:20">
      <c r="A281" s="2" t="s">
        <v>1466</v>
      </c>
      <c r="B281" s="2" t="s">
        <v>962</v>
      </c>
      <c r="C281" s="2" t="s">
        <v>963</v>
      </c>
      <c r="D281" s="2" t="s">
        <v>964</v>
      </c>
      <c r="E281" s="2" t="s">
        <v>11</v>
      </c>
      <c r="F281" s="2">
        <v>1</v>
      </c>
      <c r="G281" s="2" t="s">
        <v>12</v>
      </c>
      <c r="H281" s="2" t="s">
        <v>11</v>
      </c>
      <c r="I281" s="2">
        <v>1</v>
      </c>
      <c r="J281" s="2" t="s">
        <v>11</v>
      </c>
      <c r="K281" s="2" t="s">
        <v>1582</v>
      </c>
      <c r="L281" s="2" t="s">
        <v>1052</v>
      </c>
      <c r="M281" s="2" t="s">
        <v>1011</v>
      </c>
      <c r="N281" s="2" t="s">
        <v>1012</v>
      </c>
      <c r="O281" s="2" t="s">
        <v>1013</v>
      </c>
      <c r="P281" s="2" t="s">
        <v>1014</v>
      </c>
      <c r="Q281" s="2">
        <v>2</v>
      </c>
      <c r="R281" s="2" t="s">
        <v>142</v>
      </c>
      <c r="S281" s="2">
        <v>2</v>
      </c>
      <c r="T281" s="2" t="s">
        <v>970</v>
      </c>
    </row>
    <row r="282" spans="1:20">
      <c r="A282" s="2" t="s">
        <v>1467</v>
      </c>
      <c r="B282" s="2" t="s">
        <v>962</v>
      </c>
      <c r="C282" s="2" t="s">
        <v>963</v>
      </c>
      <c r="D282" s="2" t="s">
        <v>964</v>
      </c>
      <c r="E282" s="2" t="s">
        <v>11</v>
      </c>
      <c r="F282" s="2">
        <v>1</v>
      </c>
      <c r="G282" s="2" t="s">
        <v>12</v>
      </c>
      <c r="H282" s="2" t="s">
        <v>11</v>
      </c>
      <c r="I282" s="2">
        <v>1</v>
      </c>
      <c r="J282" s="2" t="s">
        <v>11</v>
      </c>
      <c r="K282" s="2" t="s">
        <v>1583</v>
      </c>
      <c r="L282" s="2" t="s">
        <v>1054</v>
      </c>
      <c r="M282" s="2" t="s">
        <v>1011</v>
      </c>
      <c r="N282" s="2" t="s">
        <v>1012</v>
      </c>
      <c r="O282" s="2" t="s">
        <v>1013</v>
      </c>
      <c r="P282" s="2" t="s">
        <v>1014</v>
      </c>
      <c r="Q282" s="2">
        <v>1</v>
      </c>
      <c r="R282" s="2" t="s">
        <v>14</v>
      </c>
      <c r="S282" s="2">
        <v>2</v>
      </c>
      <c r="T282" s="2" t="s">
        <v>970</v>
      </c>
    </row>
    <row r="283" spans="1:20">
      <c r="A283" s="2" t="s">
        <v>1468</v>
      </c>
      <c r="B283" s="2" t="s">
        <v>962</v>
      </c>
      <c r="C283" s="2" t="s">
        <v>963</v>
      </c>
      <c r="D283" s="2" t="s">
        <v>964</v>
      </c>
      <c r="E283" s="2" t="s">
        <v>11</v>
      </c>
      <c r="F283" s="2">
        <v>1</v>
      </c>
      <c r="G283" s="2" t="s">
        <v>12</v>
      </c>
      <c r="H283" s="2" t="s">
        <v>11</v>
      </c>
      <c r="I283" s="2">
        <v>1</v>
      </c>
      <c r="J283" s="2" t="s">
        <v>11</v>
      </c>
      <c r="K283" s="2" t="s">
        <v>1584</v>
      </c>
      <c r="L283" s="2" t="s">
        <v>1056</v>
      </c>
      <c r="M283" s="2" t="s">
        <v>1011</v>
      </c>
      <c r="N283" s="2" t="s">
        <v>1012</v>
      </c>
      <c r="O283" s="2" t="s">
        <v>1013</v>
      </c>
      <c r="P283" s="2" t="s">
        <v>1014</v>
      </c>
      <c r="Q283" s="2">
        <v>1</v>
      </c>
      <c r="R283" s="2" t="s">
        <v>14</v>
      </c>
      <c r="S283" s="2">
        <v>2</v>
      </c>
      <c r="T283" s="2" t="s">
        <v>970</v>
      </c>
    </row>
    <row r="284" spans="1:20">
      <c r="A284" s="2" t="s">
        <v>1469</v>
      </c>
      <c r="B284" s="2" t="s">
        <v>962</v>
      </c>
      <c r="C284" s="2" t="s">
        <v>963</v>
      </c>
      <c r="D284" s="2" t="s">
        <v>964</v>
      </c>
      <c r="E284" s="2" t="s">
        <v>11</v>
      </c>
      <c r="F284" s="2">
        <v>1</v>
      </c>
      <c r="G284" s="2" t="s">
        <v>12</v>
      </c>
      <c r="H284" s="2" t="s">
        <v>11</v>
      </c>
      <c r="I284" s="2">
        <v>1</v>
      </c>
      <c r="J284" s="2" t="s">
        <v>11</v>
      </c>
      <c r="K284" s="2" t="s">
        <v>1585</v>
      </c>
      <c r="L284" s="2" t="s">
        <v>1058</v>
      </c>
      <c r="M284" s="2" t="s">
        <v>1011</v>
      </c>
      <c r="N284" s="2" t="s">
        <v>1012</v>
      </c>
      <c r="O284" s="2" t="s">
        <v>1013</v>
      </c>
      <c r="P284" s="2" t="s">
        <v>1014</v>
      </c>
      <c r="Q284" s="2">
        <v>1</v>
      </c>
      <c r="R284" s="2" t="s">
        <v>14</v>
      </c>
      <c r="S284" s="2">
        <v>2</v>
      </c>
      <c r="T284" s="2" t="s">
        <v>970</v>
      </c>
    </row>
    <row r="285" spans="1:20">
      <c r="A285" s="2" t="s">
        <v>1470</v>
      </c>
      <c r="B285" s="2" t="s">
        <v>962</v>
      </c>
      <c r="C285" s="2" t="s">
        <v>963</v>
      </c>
      <c r="D285" s="2" t="s">
        <v>964</v>
      </c>
      <c r="E285" s="2" t="s">
        <v>11</v>
      </c>
      <c r="F285" s="2">
        <v>1</v>
      </c>
      <c r="G285" s="2" t="s">
        <v>12</v>
      </c>
      <c r="H285" s="2" t="s">
        <v>11</v>
      </c>
      <c r="I285" s="2">
        <v>1</v>
      </c>
      <c r="J285" s="2" t="s">
        <v>11</v>
      </c>
      <c r="K285" s="2" t="s">
        <v>1586</v>
      </c>
      <c r="L285" s="2" t="s">
        <v>1060</v>
      </c>
      <c r="M285" s="2" t="s">
        <v>1011</v>
      </c>
      <c r="N285" s="2" t="s">
        <v>1012</v>
      </c>
      <c r="O285" s="2" t="s">
        <v>1013</v>
      </c>
      <c r="P285" s="2" t="s">
        <v>1014</v>
      </c>
      <c r="Q285" s="2">
        <v>1</v>
      </c>
      <c r="R285" s="2" t="s">
        <v>14</v>
      </c>
      <c r="S285" s="2">
        <v>2</v>
      </c>
      <c r="T285" s="2" t="s">
        <v>970</v>
      </c>
    </row>
    <row r="286" spans="1:20">
      <c r="A286" s="2" t="s">
        <v>1471</v>
      </c>
      <c r="B286" s="2" t="s">
        <v>962</v>
      </c>
      <c r="C286" s="2" t="s">
        <v>963</v>
      </c>
      <c r="D286" s="2" t="s">
        <v>964</v>
      </c>
      <c r="E286" s="2" t="s">
        <v>11</v>
      </c>
      <c r="F286" s="2">
        <v>1</v>
      </c>
      <c r="G286" s="2" t="s">
        <v>12</v>
      </c>
      <c r="H286" s="2" t="s">
        <v>11</v>
      </c>
      <c r="I286" s="2">
        <v>1</v>
      </c>
      <c r="J286" s="2" t="s">
        <v>11</v>
      </c>
      <c r="K286" s="2" t="s">
        <v>1587</v>
      </c>
      <c r="L286" s="2" t="s">
        <v>1062</v>
      </c>
      <c r="M286" s="2" t="s">
        <v>1011</v>
      </c>
      <c r="N286" s="2" t="s">
        <v>1012</v>
      </c>
      <c r="O286" s="2" t="s">
        <v>1013</v>
      </c>
      <c r="P286" s="2" t="s">
        <v>1014</v>
      </c>
      <c r="Q286" s="2">
        <v>2</v>
      </c>
      <c r="R286" s="2" t="s">
        <v>142</v>
      </c>
      <c r="S286" s="2">
        <v>2</v>
      </c>
      <c r="T286" s="2" t="s">
        <v>970</v>
      </c>
    </row>
    <row r="287" spans="1:20">
      <c r="A287" s="2" t="s">
        <v>1472</v>
      </c>
      <c r="B287" s="2" t="s">
        <v>962</v>
      </c>
      <c r="C287" s="2" t="s">
        <v>963</v>
      </c>
      <c r="D287" s="2" t="s">
        <v>964</v>
      </c>
      <c r="E287" s="2" t="s">
        <v>11</v>
      </c>
      <c r="F287" s="2">
        <v>1</v>
      </c>
      <c r="G287" s="2" t="s">
        <v>12</v>
      </c>
      <c r="H287" s="2" t="s">
        <v>11</v>
      </c>
      <c r="I287" s="2">
        <v>1</v>
      </c>
      <c r="J287" s="2" t="s">
        <v>11</v>
      </c>
      <c r="K287" s="2" t="s">
        <v>1588</v>
      </c>
      <c r="L287" s="2" t="s">
        <v>1064</v>
      </c>
      <c r="M287" s="2" t="s">
        <v>1011</v>
      </c>
      <c r="N287" s="2" t="s">
        <v>1012</v>
      </c>
      <c r="O287" s="2" t="s">
        <v>1013</v>
      </c>
      <c r="P287" s="2" t="s">
        <v>1014</v>
      </c>
      <c r="Q287" s="2">
        <v>3</v>
      </c>
      <c r="R287" s="2" t="s">
        <v>67</v>
      </c>
      <c r="S287" s="2">
        <v>2</v>
      </c>
      <c r="T287" s="2" t="s">
        <v>1065</v>
      </c>
    </row>
    <row r="288" spans="1:20">
      <c r="A288" s="2" t="s">
        <v>1473</v>
      </c>
      <c r="B288" s="2" t="s">
        <v>962</v>
      </c>
      <c r="C288" s="2" t="s">
        <v>963</v>
      </c>
      <c r="D288" s="2" t="s">
        <v>964</v>
      </c>
      <c r="E288" s="2" t="s">
        <v>11</v>
      </c>
      <c r="F288" s="2">
        <v>1</v>
      </c>
      <c r="G288" s="2" t="s">
        <v>12</v>
      </c>
      <c r="H288" s="2" t="s">
        <v>11</v>
      </c>
      <c r="I288" s="2">
        <v>1</v>
      </c>
      <c r="J288" s="2" t="s">
        <v>11</v>
      </c>
      <c r="K288" s="2" t="s">
        <v>1589</v>
      </c>
      <c r="L288" s="2" t="s">
        <v>1067</v>
      </c>
      <c r="M288" s="2" t="s">
        <v>1011</v>
      </c>
      <c r="N288" s="2" t="s">
        <v>1012</v>
      </c>
      <c r="O288" s="2" t="s">
        <v>1013</v>
      </c>
      <c r="P288" s="2" t="s">
        <v>1014</v>
      </c>
      <c r="Q288" s="2">
        <v>3</v>
      </c>
      <c r="R288" s="2" t="s">
        <v>67</v>
      </c>
      <c r="S288" s="2">
        <v>2</v>
      </c>
      <c r="T288" s="2" t="s">
        <v>970</v>
      </c>
    </row>
    <row r="289" spans="1:20">
      <c r="A289" s="2" t="s">
        <v>1474</v>
      </c>
      <c r="B289" s="2" t="s">
        <v>962</v>
      </c>
      <c r="C289" s="2" t="s">
        <v>963</v>
      </c>
      <c r="D289" s="2" t="s">
        <v>964</v>
      </c>
      <c r="E289" s="2" t="s">
        <v>11</v>
      </c>
      <c r="F289" s="2">
        <v>1</v>
      </c>
      <c r="G289" s="2" t="s">
        <v>12</v>
      </c>
      <c r="H289" s="2" t="s">
        <v>11</v>
      </c>
      <c r="I289" s="2">
        <v>1</v>
      </c>
      <c r="J289" s="2" t="s">
        <v>11</v>
      </c>
      <c r="K289" s="2" t="s">
        <v>1590</v>
      </c>
      <c r="L289" s="2" t="s">
        <v>1069</v>
      </c>
      <c r="M289" s="2" t="s">
        <v>1011</v>
      </c>
      <c r="N289" s="2" t="s">
        <v>1012</v>
      </c>
      <c r="O289" s="2" t="s">
        <v>1013</v>
      </c>
      <c r="P289" s="2" t="s">
        <v>1014</v>
      </c>
      <c r="Q289" s="2">
        <v>2</v>
      </c>
      <c r="R289" s="2" t="s">
        <v>142</v>
      </c>
      <c r="S289" s="2">
        <v>2</v>
      </c>
      <c r="T289" s="2" t="s">
        <v>970</v>
      </c>
    </row>
    <row r="290" spans="1:20">
      <c r="A290" s="2" t="s">
        <v>1475</v>
      </c>
      <c r="B290" s="2" t="s">
        <v>962</v>
      </c>
      <c r="C290" s="2" t="s">
        <v>963</v>
      </c>
      <c r="D290" s="2" t="s">
        <v>964</v>
      </c>
      <c r="E290" s="2" t="s">
        <v>11</v>
      </c>
      <c r="F290" s="2">
        <v>1</v>
      </c>
      <c r="G290" s="2" t="s">
        <v>12</v>
      </c>
      <c r="H290" s="2" t="s">
        <v>11</v>
      </c>
      <c r="I290" s="2">
        <v>1</v>
      </c>
      <c r="J290" s="2" t="s">
        <v>11</v>
      </c>
      <c r="K290" s="2" t="s">
        <v>1591</v>
      </c>
      <c r="L290" s="2" t="s">
        <v>1071</v>
      </c>
      <c r="M290" s="2" t="s">
        <v>1011</v>
      </c>
      <c r="N290" s="2" t="s">
        <v>1012</v>
      </c>
      <c r="O290" s="2" t="s">
        <v>1013</v>
      </c>
      <c r="P290" s="2" t="s">
        <v>1014</v>
      </c>
      <c r="Q290" s="2">
        <v>3</v>
      </c>
      <c r="R290" s="2" t="s">
        <v>67</v>
      </c>
      <c r="S290" s="2">
        <v>2</v>
      </c>
      <c r="T290" s="2" t="s">
        <v>970</v>
      </c>
    </row>
    <row r="291" spans="1:20">
      <c r="A291" s="2" t="s">
        <v>1476</v>
      </c>
      <c r="B291" s="2" t="s">
        <v>962</v>
      </c>
      <c r="C291" s="2" t="s">
        <v>963</v>
      </c>
      <c r="D291" s="2" t="s">
        <v>964</v>
      </c>
      <c r="E291" s="2" t="s">
        <v>11</v>
      </c>
      <c r="F291" s="2">
        <v>1</v>
      </c>
      <c r="G291" s="2" t="s">
        <v>12</v>
      </c>
      <c r="H291" s="2" t="s">
        <v>11</v>
      </c>
      <c r="I291" s="2">
        <v>1</v>
      </c>
      <c r="J291" s="2" t="s">
        <v>11</v>
      </c>
      <c r="K291" s="2" t="s">
        <v>1592</v>
      </c>
      <c r="L291" s="2" t="s">
        <v>1073</v>
      </c>
      <c r="M291" s="2" t="s">
        <v>1011</v>
      </c>
      <c r="N291" s="2" t="s">
        <v>1012</v>
      </c>
      <c r="O291" s="2" t="s">
        <v>1013</v>
      </c>
      <c r="P291" s="2" t="s">
        <v>1014</v>
      </c>
      <c r="Q291" s="2">
        <v>2</v>
      </c>
      <c r="R291" s="2" t="s">
        <v>142</v>
      </c>
      <c r="S291" s="2">
        <v>2</v>
      </c>
      <c r="T291" s="2" t="s">
        <v>970</v>
      </c>
    </row>
    <row r="292" spans="1:20">
      <c r="A292" s="2" t="s">
        <v>1477</v>
      </c>
      <c r="B292" s="2" t="s">
        <v>962</v>
      </c>
      <c r="C292" s="2" t="s">
        <v>963</v>
      </c>
      <c r="D292" s="2" t="s">
        <v>964</v>
      </c>
      <c r="E292" s="2" t="s">
        <v>11</v>
      </c>
      <c r="F292" s="2">
        <v>1</v>
      </c>
      <c r="G292" s="2" t="s">
        <v>12</v>
      </c>
      <c r="H292" s="2" t="s">
        <v>11</v>
      </c>
      <c r="I292" s="2">
        <v>1</v>
      </c>
      <c r="J292" s="2" t="s">
        <v>11</v>
      </c>
      <c r="K292" s="2" t="s">
        <v>1593</v>
      </c>
      <c r="L292" s="2" t="s">
        <v>1075</v>
      </c>
      <c r="M292" s="2" t="s">
        <v>1011</v>
      </c>
      <c r="N292" s="2" t="s">
        <v>1012</v>
      </c>
      <c r="O292" s="2" t="s">
        <v>1013</v>
      </c>
      <c r="P292" s="2" t="s">
        <v>1014</v>
      </c>
      <c r="Q292" s="2">
        <v>2</v>
      </c>
      <c r="R292" s="2" t="s">
        <v>142</v>
      </c>
      <c r="S292" s="2">
        <v>2</v>
      </c>
      <c r="T292" s="2" t="s">
        <v>970</v>
      </c>
    </row>
    <row r="293" spans="1:20">
      <c r="A293" s="2" t="s">
        <v>1478</v>
      </c>
      <c r="B293" s="2" t="s">
        <v>962</v>
      </c>
      <c r="C293" s="2" t="s">
        <v>963</v>
      </c>
      <c r="D293" s="2" t="s">
        <v>964</v>
      </c>
      <c r="E293" s="2" t="s">
        <v>11</v>
      </c>
      <c r="F293" s="2">
        <v>1</v>
      </c>
      <c r="G293" s="2" t="s">
        <v>12</v>
      </c>
      <c r="H293" s="2" t="s">
        <v>11</v>
      </c>
      <c r="I293" s="2">
        <v>1</v>
      </c>
      <c r="J293" s="2" t="s">
        <v>11</v>
      </c>
      <c r="K293" s="2" t="s">
        <v>1594</v>
      </c>
      <c r="L293" s="2" t="s">
        <v>1077</v>
      </c>
      <c r="M293" s="2" t="s">
        <v>1011</v>
      </c>
      <c r="N293" s="2" t="s">
        <v>1012</v>
      </c>
      <c r="O293" s="2" t="s">
        <v>1013</v>
      </c>
      <c r="P293" s="2" t="s">
        <v>1014</v>
      </c>
      <c r="Q293" s="2">
        <v>3</v>
      </c>
      <c r="R293" s="2" t="s">
        <v>67</v>
      </c>
      <c r="S293" s="2">
        <v>2</v>
      </c>
      <c r="T293" s="2" t="s">
        <v>970</v>
      </c>
    </row>
    <row r="294" spans="1:20">
      <c r="A294" s="2" t="s">
        <v>1479</v>
      </c>
      <c r="B294" s="2" t="s">
        <v>962</v>
      </c>
      <c r="C294" s="2" t="s">
        <v>963</v>
      </c>
      <c r="D294" s="2" t="s">
        <v>964</v>
      </c>
      <c r="E294" s="2" t="s">
        <v>11</v>
      </c>
      <c r="F294" s="2">
        <v>1</v>
      </c>
      <c r="G294" s="2" t="s">
        <v>12</v>
      </c>
      <c r="H294" s="2" t="s">
        <v>11</v>
      </c>
      <c r="I294" s="2">
        <v>1</v>
      </c>
      <c r="J294" s="2" t="s">
        <v>11</v>
      </c>
      <c r="K294" s="2" t="s">
        <v>1595</v>
      </c>
      <c r="L294" s="2" t="s">
        <v>1079</v>
      </c>
      <c r="M294" s="2" t="s">
        <v>1011</v>
      </c>
      <c r="N294" s="2" t="s">
        <v>1012</v>
      </c>
      <c r="O294" s="2" t="s">
        <v>1013</v>
      </c>
      <c r="P294" s="2" t="s">
        <v>1014</v>
      </c>
      <c r="Q294" s="2">
        <v>3</v>
      </c>
      <c r="R294" s="2" t="s">
        <v>67</v>
      </c>
      <c r="S294" s="2">
        <v>2</v>
      </c>
      <c r="T294" s="2" t="s">
        <v>970</v>
      </c>
    </row>
    <row r="295" spans="1:20">
      <c r="A295" s="2" t="s">
        <v>1480</v>
      </c>
      <c r="B295" s="2" t="s">
        <v>962</v>
      </c>
      <c r="C295" s="2" t="s">
        <v>963</v>
      </c>
      <c r="D295" s="2" t="s">
        <v>964</v>
      </c>
      <c r="E295" s="2" t="s">
        <v>11</v>
      </c>
      <c r="F295" s="2">
        <v>1</v>
      </c>
      <c r="G295" s="2" t="s">
        <v>12</v>
      </c>
      <c r="H295" s="2" t="s">
        <v>11</v>
      </c>
      <c r="I295" s="2">
        <v>1</v>
      </c>
      <c r="J295" s="2" t="s">
        <v>11</v>
      </c>
      <c r="K295" s="2" t="s">
        <v>1596</v>
      </c>
      <c r="L295" s="2" t="s">
        <v>1081</v>
      </c>
      <c r="M295" s="2" t="s">
        <v>1011</v>
      </c>
      <c r="N295" s="2" t="s">
        <v>1012</v>
      </c>
      <c r="O295" s="2" t="s">
        <v>1013</v>
      </c>
      <c r="P295" s="2" t="s">
        <v>1014</v>
      </c>
      <c r="Q295" s="2">
        <v>3</v>
      </c>
      <c r="R295" s="2" t="s">
        <v>67</v>
      </c>
      <c r="S295" s="2">
        <v>2</v>
      </c>
      <c r="T295" s="2" t="s">
        <v>970</v>
      </c>
    </row>
    <row r="296" spans="1:20">
      <c r="A296" s="2" t="s">
        <v>1481</v>
      </c>
      <c r="B296" s="2" t="s">
        <v>962</v>
      </c>
      <c r="C296" s="2" t="s">
        <v>963</v>
      </c>
      <c r="D296" s="2" t="s">
        <v>964</v>
      </c>
      <c r="E296" s="2" t="s">
        <v>11</v>
      </c>
      <c r="F296" s="2">
        <v>1</v>
      </c>
      <c r="G296" s="2" t="s">
        <v>12</v>
      </c>
      <c r="H296" s="2" t="s">
        <v>11</v>
      </c>
      <c r="I296" s="2">
        <v>1</v>
      </c>
      <c r="J296" s="2" t="s">
        <v>11</v>
      </c>
      <c r="K296" s="2" t="s">
        <v>1597</v>
      </c>
      <c r="L296" s="2" t="s">
        <v>1083</v>
      </c>
      <c r="M296" s="2" t="s">
        <v>1011</v>
      </c>
      <c r="N296" s="2" t="s">
        <v>1012</v>
      </c>
      <c r="O296" s="2" t="s">
        <v>1013</v>
      </c>
      <c r="P296" s="2" t="s">
        <v>1014</v>
      </c>
      <c r="Q296" s="2">
        <v>3</v>
      </c>
      <c r="R296" s="2" t="s">
        <v>67</v>
      </c>
      <c r="S296" s="2">
        <v>2</v>
      </c>
      <c r="T296" s="2" t="s">
        <v>970</v>
      </c>
    </row>
    <row r="297" spans="1:20">
      <c r="A297" s="2" t="s">
        <v>1482</v>
      </c>
      <c r="B297" s="2" t="s">
        <v>962</v>
      </c>
      <c r="C297" s="2" t="s">
        <v>963</v>
      </c>
      <c r="D297" s="2" t="s">
        <v>964</v>
      </c>
      <c r="E297" s="2" t="s">
        <v>11</v>
      </c>
      <c r="F297" s="2">
        <v>1</v>
      </c>
      <c r="G297" s="2" t="s">
        <v>12</v>
      </c>
      <c r="H297" s="2" t="s">
        <v>11</v>
      </c>
      <c r="I297" s="2">
        <v>1</v>
      </c>
      <c r="J297" s="2" t="s">
        <v>11</v>
      </c>
      <c r="K297" s="2" t="s">
        <v>1598</v>
      </c>
      <c r="L297" s="2" t="s">
        <v>1085</v>
      </c>
      <c r="M297" s="2" t="s">
        <v>1011</v>
      </c>
      <c r="N297" s="2" t="s">
        <v>1012</v>
      </c>
      <c r="O297" s="2" t="s">
        <v>1013</v>
      </c>
      <c r="P297" s="2" t="s">
        <v>1014</v>
      </c>
      <c r="Q297" s="2">
        <v>3</v>
      </c>
      <c r="R297" s="2" t="s">
        <v>67</v>
      </c>
      <c r="S297" s="2">
        <v>2</v>
      </c>
      <c r="T297" s="2" t="s">
        <v>970</v>
      </c>
    </row>
    <row r="298" spans="1:20">
      <c r="A298" s="2" t="s">
        <v>1483</v>
      </c>
      <c r="B298" s="2" t="s">
        <v>962</v>
      </c>
      <c r="C298" s="2" t="s">
        <v>963</v>
      </c>
      <c r="D298" s="2" t="s">
        <v>964</v>
      </c>
      <c r="E298" s="2" t="s">
        <v>11</v>
      </c>
      <c r="F298" s="2">
        <v>1</v>
      </c>
      <c r="G298" s="2" t="s">
        <v>12</v>
      </c>
      <c r="H298" s="2" t="s">
        <v>11</v>
      </c>
      <c r="I298" s="2">
        <v>1</v>
      </c>
      <c r="J298" s="2" t="s">
        <v>11</v>
      </c>
      <c r="K298" s="2" t="s">
        <v>1599</v>
      </c>
      <c r="L298" s="2" t="s">
        <v>1087</v>
      </c>
      <c r="M298" s="2" t="s">
        <v>1011</v>
      </c>
      <c r="N298" s="2" t="s">
        <v>1012</v>
      </c>
      <c r="O298" s="2" t="s">
        <v>1013</v>
      </c>
      <c r="P298" s="2" t="s">
        <v>1014</v>
      </c>
      <c r="Q298" s="2">
        <v>3</v>
      </c>
      <c r="R298" s="2" t="s">
        <v>67</v>
      </c>
      <c r="S298" s="2">
        <v>2</v>
      </c>
      <c r="T298" s="2" t="s">
        <v>970</v>
      </c>
    </row>
    <row r="299" spans="1:20">
      <c r="A299" s="2" t="s">
        <v>1484</v>
      </c>
      <c r="B299" s="2" t="s">
        <v>962</v>
      </c>
      <c r="C299" s="2" t="s">
        <v>963</v>
      </c>
      <c r="D299" s="2" t="s">
        <v>964</v>
      </c>
      <c r="E299" s="2" t="s">
        <v>11</v>
      </c>
      <c r="F299" s="2">
        <v>1</v>
      </c>
      <c r="G299" s="2" t="s">
        <v>12</v>
      </c>
      <c r="H299" s="2" t="s">
        <v>11</v>
      </c>
      <c r="I299" s="2">
        <v>1</v>
      </c>
      <c r="J299" s="2" t="s">
        <v>11</v>
      </c>
      <c r="K299" s="2" t="s">
        <v>1600</v>
      </c>
      <c r="L299" s="2" t="s">
        <v>1089</v>
      </c>
      <c r="M299" s="2" t="s">
        <v>1011</v>
      </c>
      <c r="N299" s="2" t="s">
        <v>1012</v>
      </c>
      <c r="O299" s="2" t="s">
        <v>1013</v>
      </c>
      <c r="P299" s="2" t="s">
        <v>1014</v>
      </c>
      <c r="Q299" s="2">
        <v>3</v>
      </c>
      <c r="R299" s="2" t="s">
        <v>67</v>
      </c>
      <c r="S299" s="2">
        <v>2</v>
      </c>
      <c r="T299" s="2" t="s">
        <v>970</v>
      </c>
    </row>
    <row r="300" spans="1:20">
      <c r="A300" s="2" t="s">
        <v>1485</v>
      </c>
      <c r="B300" s="2" t="s">
        <v>962</v>
      </c>
      <c r="C300" s="2" t="s">
        <v>963</v>
      </c>
      <c r="D300" s="2" t="s">
        <v>964</v>
      </c>
      <c r="E300" s="2" t="s">
        <v>11</v>
      </c>
      <c r="F300" s="2">
        <v>1</v>
      </c>
      <c r="G300" s="2" t="s">
        <v>12</v>
      </c>
      <c r="H300" s="2" t="s">
        <v>11</v>
      </c>
      <c r="I300" s="2">
        <v>1</v>
      </c>
      <c r="J300" s="2" t="s">
        <v>11</v>
      </c>
      <c r="K300" s="2" t="s">
        <v>1601</v>
      </c>
      <c r="L300" s="2" t="s">
        <v>1091</v>
      </c>
      <c r="M300" s="2" t="s">
        <v>1011</v>
      </c>
      <c r="N300" s="2" t="s">
        <v>1012</v>
      </c>
      <c r="O300" s="2" t="s">
        <v>1013</v>
      </c>
      <c r="P300" s="2" t="s">
        <v>1014</v>
      </c>
      <c r="Q300" s="2">
        <v>3</v>
      </c>
      <c r="R300" s="2" t="s">
        <v>67</v>
      </c>
      <c r="S300" s="2">
        <v>2</v>
      </c>
      <c r="T300" s="2" t="s">
        <v>970</v>
      </c>
    </row>
    <row r="301" spans="1:20">
      <c r="A301" s="2" t="s">
        <v>1486</v>
      </c>
      <c r="B301" s="2" t="s">
        <v>962</v>
      </c>
      <c r="C301" s="2" t="s">
        <v>963</v>
      </c>
      <c r="D301" s="2" t="s">
        <v>964</v>
      </c>
      <c r="E301" s="2" t="s">
        <v>11</v>
      </c>
      <c r="F301" s="2">
        <v>1</v>
      </c>
      <c r="G301" s="2" t="s">
        <v>12</v>
      </c>
      <c r="H301" s="2" t="s">
        <v>11</v>
      </c>
      <c r="I301" s="2">
        <v>1</v>
      </c>
      <c r="J301" s="2" t="s">
        <v>11</v>
      </c>
      <c r="K301" s="2" t="s">
        <v>1602</v>
      </c>
      <c r="L301" s="2" t="s">
        <v>1093</v>
      </c>
      <c r="M301" s="2" t="s">
        <v>1011</v>
      </c>
      <c r="N301" s="2" t="s">
        <v>1012</v>
      </c>
      <c r="O301" s="2" t="s">
        <v>1013</v>
      </c>
      <c r="P301" s="2" t="s">
        <v>1014</v>
      </c>
      <c r="Q301" s="2">
        <v>3</v>
      </c>
      <c r="R301" s="2" t="s">
        <v>67</v>
      </c>
      <c r="S301" s="2">
        <v>2</v>
      </c>
      <c r="T301" s="2" t="s">
        <v>970</v>
      </c>
    </row>
    <row r="302" spans="1:20">
      <c r="A302" s="2" t="s">
        <v>1487</v>
      </c>
      <c r="B302" s="2" t="s">
        <v>962</v>
      </c>
      <c r="C302" s="2" t="s">
        <v>963</v>
      </c>
      <c r="D302" s="2" t="s">
        <v>964</v>
      </c>
      <c r="E302" s="2" t="s">
        <v>11</v>
      </c>
      <c r="F302" s="2">
        <v>1</v>
      </c>
      <c r="G302" s="2" t="s">
        <v>12</v>
      </c>
      <c r="H302" s="2" t="s">
        <v>11</v>
      </c>
      <c r="I302" s="2">
        <v>1</v>
      </c>
      <c r="J302" s="2" t="s">
        <v>11</v>
      </c>
      <c r="K302" s="2" t="s">
        <v>1603</v>
      </c>
      <c r="L302" s="2" t="s">
        <v>1095</v>
      </c>
      <c r="M302" s="2" t="s">
        <v>1011</v>
      </c>
      <c r="N302" s="2" t="s">
        <v>1012</v>
      </c>
      <c r="O302" s="2" t="s">
        <v>1013</v>
      </c>
      <c r="P302" s="2" t="s">
        <v>1014</v>
      </c>
      <c r="Q302" s="2">
        <v>3</v>
      </c>
      <c r="R302" s="2" t="s">
        <v>67</v>
      </c>
      <c r="S302" s="2">
        <v>2</v>
      </c>
      <c r="T302" s="2" t="s">
        <v>970</v>
      </c>
    </row>
    <row r="303" spans="1:20">
      <c r="A303" s="2" t="s">
        <v>1488</v>
      </c>
      <c r="B303" s="2" t="s">
        <v>962</v>
      </c>
      <c r="C303" s="2" t="s">
        <v>963</v>
      </c>
      <c r="D303" s="2" t="s">
        <v>964</v>
      </c>
      <c r="E303" s="2" t="s">
        <v>11</v>
      </c>
      <c r="F303" s="2">
        <v>1</v>
      </c>
      <c r="G303" s="2" t="s">
        <v>12</v>
      </c>
      <c r="H303" s="2" t="s">
        <v>11</v>
      </c>
      <c r="I303" s="2">
        <v>1</v>
      </c>
      <c r="J303" s="2" t="s">
        <v>11</v>
      </c>
      <c r="K303" s="2" t="s">
        <v>1604</v>
      </c>
      <c r="L303" s="2" t="s">
        <v>1097</v>
      </c>
      <c r="M303" s="2" t="s">
        <v>1011</v>
      </c>
      <c r="N303" s="2" t="s">
        <v>1012</v>
      </c>
      <c r="O303" s="2" t="s">
        <v>1013</v>
      </c>
      <c r="P303" s="2" t="s">
        <v>1014</v>
      </c>
      <c r="Q303" s="2">
        <v>3</v>
      </c>
      <c r="R303" s="2" t="s">
        <v>67</v>
      </c>
      <c r="S303" s="2">
        <v>2</v>
      </c>
      <c r="T303" s="2" t="s">
        <v>1065</v>
      </c>
    </row>
    <row r="304" spans="1:20">
      <c r="A304" s="2" t="s">
        <v>1489</v>
      </c>
      <c r="B304" s="2" t="s">
        <v>962</v>
      </c>
      <c r="C304" s="2" t="s">
        <v>963</v>
      </c>
      <c r="D304" s="2" t="s">
        <v>964</v>
      </c>
      <c r="E304" s="2" t="s">
        <v>11</v>
      </c>
      <c r="F304" s="2">
        <v>1</v>
      </c>
      <c r="G304" s="2" t="s">
        <v>12</v>
      </c>
      <c r="H304" s="2" t="s">
        <v>11</v>
      </c>
      <c r="I304" s="2">
        <v>1</v>
      </c>
      <c r="J304" s="2" t="s">
        <v>11</v>
      </c>
      <c r="K304" s="2" t="s">
        <v>1605</v>
      </c>
      <c r="L304" s="2" t="s">
        <v>1099</v>
      </c>
      <c r="M304" s="2" t="s">
        <v>1011</v>
      </c>
      <c r="N304" s="2" t="s">
        <v>1012</v>
      </c>
      <c r="O304" s="2" t="s">
        <v>1013</v>
      </c>
      <c r="P304" s="2" t="s">
        <v>1014</v>
      </c>
      <c r="Q304" s="2">
        <v>3</v>
      </c>
      <c r="R304" s="2" t="s">
        <v>67</v>
      </c>
      <c r="S304" s="2">
        <v>2</v>
      </c>
      <c r="T304" s="2" t="s">
        <v>970</v>
      </c>
    </row>
    <row r="305" spans="1:20">
      <c r="A305" s="2" t="s">
        <v>1490</v>
      </c>
      <c r="B305" s="2" t="s">
        <v>962</v>
      </c>
      <c r="C305" s="2" t="s">
        <v>963</v>
      </c>
      <c r="D305" s="2" t="s">
        <v>964</v>
      </c>
      <c r="E305" s="2" t="s">
        <v>11</v>
      </c>
      <c r="F305" s="2">
        <v>1</v>
      </c>
      <c r="G305" s="2" t="s">
        <v>12</v>
      </c>
      <c r="H305" s="2" t="s">
        <v>11</v>
      </c>
      <c r="I305" s="2">
        <v>1</v>
      </c>
      <c r="J305" s="2" t="s">
        <v>11</v>
      </c>
      <c r="K305" s="2" t="s">
        <v>1606</v>
      </c>
      <c r="L305" s="2" t="s">
        <v>1101</v>
      </c>
      <c r="M305" s="2" t="s">
        <v>1011</v>
      </c>
      <c r="N305" s="2" t="s">
        <v>1012</v>
      </c>
      <c r="O305" s="2" t="s">
        <v>1013</v>
      </c>
      <c r="P305" s="2" t="s">
        <v>1014</v>
      </c>
      <c r="Q305" s="2">
        <v>3</v>
      </c>
      <c r="R305" s="2" t="s">
        <v>67</v>
      </c>
      <c r="S305" s="2">
        <v>2</v>
      </c>
      <c r="T305" s="2" t="s">
        <v>970</v>
      </c>
    </row>
    <row r="306" spans="1:20">
      <c r="A306" s="2" t="s">
        <v>1491</v>
      </c>
      <c r="B306" s="2" t="s">
        <v>962</v>
      </c>
      <c r="C306" s="2" t="s">
        <v>963</v>
      </c>
      <c r="D306" s="2" t="s">
        <v>964</v>
      </c>
      <c r="E306" s="2" t="s">
        <v>11</v>
      </c>
      <c r="F306" s="2">
        <v>1</v>
      </c>
      <c r="G306" s="2" t="s">
        <v>12</v>
      </c>
      <c r="H306" s="2" t="s">
        <v>11</v>
      </c>
      <c r="I306" s="2">
        <v>1</v>
      </c>
      <c r="J306" s="2" t="s">
        <v>11</v>
      </c>
      <c r="K306" s="2" t="s">
        <v>1607</v>
      </c>
      <c r="L306" s="2" t="s">
        <v>1103</v>
      </c>
      <c r="M306" s="2" t="s">
        <v>1011</v>
      </c>
      <c r="N306" s="2" t="s">
        <v>1012</v>
      </c>
      <c r="O306" s="2" t="s">
        <v>1013</v>
      </c>
      <c r="P306" s="2" t="s">
        <v>1014</v>
      </c>
      <c r="Q306" s="2">
        <v>3</v>
      </c>
      <c r="R306" s="2" t="s">
        <v>67</v>
      </c>
      <c r="S306" s="2">
        <v>2</v>
      </c>
      <c r="T306" s="2" t="s">
        <v>1065</v>
      </c>
    </row>
    <row r="307" spans="1:20">
      <c r="A307" s="2" t="s">
        <v>1492</v>
      </c>
      <c r="B307" s="2" t="s">
        <v>962</v>
      </c>
      <c r="C307" s="2" t="s">
        <v>963</v>
      </c>
      <c r="D307" s="2" t="s">
        <v>964</v>
      </c>
      <c r="E307" s="2" t="s">
        <v>11</v>
      </c>
      <c r="F307" s="2">
        <v>1</v>
      </c>
      <c r="G307" s="2" t="s">
        <v>12</v>
      </c>
      <c r="H307" s="2" t="s">
        <v>11</v>
      </c>
      <c r="I307" s="2">
        <v>1</v>
      </c>
      <c r="J307" s="2" t="s">
        <v>11</v>
      </c>
      <c r="K307" s="2" t="s">
        <v>1608</v>
      </c>
      <c r="L307" s="2" t="s">
        <v>1105</v>
      </c>
      <c r="M307" s="2" t="s">
        <v>1106</v>
      </c>
      <c r="N307" s="2" t="s">
        <v>1107</v>
      </c>
      <c r="O307" s="2" t="s">
        <v>1108</v>
      </c>
      <c r="P307" s="2" t="s">
        <v>1109</v>
      </c>
      <c r="Q307" s="2">
        <v>3</v>
      </c>
      <c r="R307" s="2" t="s">
        <v>67</v>
      </c>
      <c r="S307" s="2">
        <v>2</v>
      </c>
      <c r="T307" s="2" t="s">
        <v>970</v>
      </c>
    </row>
    <row r="308" spans="1:20">
      <c r="A308" s="2" t="s">
        <v>1493</v>
      </c>
      <c r="B308" s="2" t="s">
        <v>962</v>
      </c>
      <c r="C308" s="2" t="s">
        <v>963</v>
      </c>
      <c r="D308" s="2" t="s">
        <v>964</v>
      </c>
      <c r="E308" s="2" t="s">
        <v>11</v>
      </c>
      <c r="F308" s="2">
        <v>1</v>
      </c>
      <c r="G308" s="2" t="s">
        <v>12</v>
      </c>
      <c r="H308" s="2" t="s">
        <v>11</v>
      </c>
      <c r="I308" s="2">
        <v>1</v>
      </c>
      <c r="J308" s="2" t="s">
        <v>11</v>
      </c>
      <c r="K308" s="2" t="s">
        <v>1609</v>
      </c>
      <c r="L308" s="2" t="s">
        <v>1111</v>
      </c>
      <c r="M308" s="2" t="s">
        <v>1106</v>
      </c>
      <c r="N308" s="2" t="s">
        <v>1107</v>
      </c>
      <c r="O308" s="2" t="s">
        <v>1108</v>
      </c>
      <c r="P308" s="2" t="s">
        <v>1109</v>
      </c>
      <c r="Q308" s="2">
        <v>3</v>
      </c>
      <c r="R308" s="2" t="s">
        <v>67</v>
      </c>
      <c r="S308" s="2">
        <v>2</v>
      </c>
      <c r="T308" s="2" t="s">
        <v>970</v>
      </c>
    </row>
    <row r="309" spans="1:20">
      <c r="A309" s="2" t="s">
        <v>1494</v>
      </c>
      <c r="B309" s="2" t="s">
        <v>962</v>
      </c>
      <c r="C309" s="2" t="s">
        <v>963</v>
      </c>
      <c r="D309" s="2" t="s">
        <v>964</v>
      </c>
      <c r="E309" s="2" t="s">
        <v>11</v>
      </c>
      <c r="F309" s="2">
        <v>1</v>
      </c>
      <c r="G309" s="2" t="s">
        <v>12</v>
      </c>
      <c r="H309" s="2" t="s">
        <v>11</v>
      </c>
      <c r="I309" s="2">
        <v>1</v>
      </c>
      <c r="J309" s="2" t="s">
        <v>11</v>
      </c>
      <c r="K309" s="2" t="s">
        <v>1610</v>
      </c>
      <c r="L309" s="2" t="s">
        <v>1113</v>
      </c>
      <c r="M309" s="2" t="s">
        <v>1106</v>
      </c>
      <c r="N309" s="2" t="s">
        <v>1107</v>
      </c>
      <c r="O309" s="2" t="s">
        <v>1108</v>
      </c>
      <c r="P309" s="2" t="s">
        <v>1109</v>
      </c>
      <c r="Q309" s="2">
        <v>3</v>
      </c>
      <c r="R309" s="2" t="s">
        <v>67</v>
      </c>
      <c r="S309" s="2">
        <v>2</v>
      </c>
      <c r="T309" s="2" t="s">
        <v>970</v>
      </c>
    </row>
    <row r="310" spans="1:20">
      <c r="A310" s="2" t="s">
        <v>1495</v>
      </c>
      <c r="B310" s="2" t="s">
        <v>962</v>
      </c>
      <c r="C310" s="2" t="s">
        <v>963</v>
      </c>
      <c r="D310" s="2" t="s">
        <v>964</v>
      </c>
      <c r="E310" s="2" t="s">
        <v>11</v>
      </c>
      <c r="F310" s="2">
        <v>1</v>
      </c>
      <c r="G310" s="2" t="s">
        <v>12</v>
      </c>
      <c r="H310" s="2" t="s">
        <v>11</v>
      </c>
      <c r="I310" s="2">
        <v>1</v>
      </c>
      <c r="J310" s="2" t="s">
        <v>11</v>
      </c>
      <c r="K310" s="2" t="s">
        <v>1611</v>
      </c>
      <c r="L310" s="2" t="s">
        <v>1115</v>
      </c>
      <c r="M310" s="2" t="s">
        <v>1106</v>
      </c>
      <c r="N310" s="2" t="s">
        <v>1107</v>
      </c>
      <c r="O310" s="2" t="s">
        <v>1108</v>
      </c>
      <c r="P310" s="2" t="s">
        <v>1109</v>
      </c>
      <c r="Q310" s="2">
        <v>3</v>
      </c>
      <c r="R310" s="2" t="s">
        <v>67</v>
      </c>
      <c r="S310" s="2">
        <v>2</v>
      </c>
      <c r="T310" s="2" t="s">
        <v>970</v>
      </c>
    </row>
    <row r="311" spans="1:20">
      <c r="A311" s="2" t="s">
        <v>1496</v>
      </c>
      <c r="B311" s="2" t="s">
        <v>962</v>
      </c>
      <c r="C311" s="2" t="s">
        <v>963</v>
      </c>
      <c r="D311" s="2" t="s">
        <v>964</v>
      </c>
      <c r="E311" s="2" t="s">
        <v>11</v>
      </c>
      <c r="F311" s="2">
        <v>1</v>
      </c>
      <c r="G311" s="2" t="s">
        <v>12</v>
      </c>
      <c r="H311" s="2" t="s">
        <v>11</v>
      </c>
      <c r="I311" s="2">
        <v>1</v>
      </c>
      <c r="J311" s="2" t="s">
        <v>11</v>
      </c>
      <c r="K311" s="2" t="s">
        <v>1612</v>
      </c>
      <c r="L311" s="2" t="s">
        <v>1117</v>
      </c>
      <c r="M311" s="2" t="s">
        <v>1118</v>
      </c>
      <c r="N311" s="2" t="s">
        <v>1119</v>
      </c>
      <c r="O311" s="2" t="s">
        <v>1117</v>
      </c>
      <c r="P311" s="2" t="s">
        <v>1120</v>
      </c>
      <c r="Q311" s="2">
        <v>2</v>
      </c>
      <c r="R311" s="2" t="s">
        <v>142</v>
      </c>
      <c r="S311" s="2">
        <v>2</v>
      </c>
      <c r="T311" s="2" t="s">
        <v>970</v>
      </c>
    </row>
    <row r="312" spans="1:20">
      <c r="A312" s="2" t="s">
        <v>1497</v>
      </c>
      <c r="B312" s="2" t="s">
        <v>962</v>
      </c>
      <c r="C312" s="2" t="s">
        <v>963</v>
      </c>
      <c r="D312" s="2" t="s">
        <v>964</v>
      </c>
      <c r="E312" s="2" t="s">
        <v>11</v>
      </c>
      <c r="F312" s="2">
        <v>1</v>
      </c>
      <c r="G312" s="2" t="s">
        <v>12</v>
      </c>
      <c r="H312" s="2" t="s">
        <v>11</v>
      </c>
      <c r="I312" s="2">
        <v>1</v>
      </c>
      <c r="J312" s="2" t="s">
        <v>11</v>
      </c>
      <c r="K312" s="2" t="s">
        <v>1613</v>
      </c>
      <c r="L312" s="2" t="s">
        <v>1122</v>
      </c>
      <c r="M312" s="2" t="s">
        <v>1118</v>
      </c>
      <c r="N312" s="2" t="s">
        <v>1119</v>
      </c>
      <c r="O312" s="2" t="s">
        <v>1117</v>
      </c>
      <c r="P312" s="2" t="s">
        <v>1120</v>
      </c>
      <c r="Q312" s="2">
        <v>2</v>
      </c>
      <c r="R312" s="2" t="s">
        <v>142</v>
      </c>
      <c r="S312" s="2">
        <v>2</v>
      </c>
      <c r="T312" s="2" t="s">
        <v>970</v>
      </c>
    </row>
    <row r="313" spans="1:20">
      <c r="A313" s="2" t="s">
        <v>1498</v>
      </c>
      <c r="B313" s="2" t="s">
        <v>962</v>
      </c>
      <c r="C313" s="2" t="s">
        <v>963</v>
      </c>
      <c r="D313" s="2" t="s">
        <v>964</v>
      </c>
      <c r="E313" s="2" t="s">
        <v>11</v>
      </c>
      <c r="F313" s="2">
        <v>1</v>
      </c>
      <c r="G313" s="2" t="s">
        <v>12</v>
      </c>
      <c r="H313" s="2" t="s">
        <v>11</v>
      </c>
      <c r="I313" s="2">
        <v>1</v>
      </c>
      <c r="J313" s="2" t="s">
        <v>11</v>
      </c>
      <c r="K313" s="2" t="s">
        <v>1614</v>
      </c>
      <c r="L313" s="2" t="s">
        <v>1124</v>
      </c>
      <c r="M313" s="2" t="s">
        <v>1125</v>
      </c>
      <c r="N313" s="2" t="s">
        <v>1126</v>
      </c>
      <c r="O313" s="2" t="s">
        <v>1126</v>
      </c>
      <c r="P313" s="2" t="s">
        <v>1127</v>
      </c>
      <c r="Q313" s="2">
        <v>3</v>
      </c>
      <c r="R313" s="2" t="s">
        <v>67</v>
      </c>
      <c r="S313" s="2">
        <v>2</v>
      </c>
      <c r="T313" s="2" t="s">
        <v>970</v>
      </c>
    </row>
    <row r="314" spans="1:20">
      <c r="A314" s="2" t="s">
        <v>1499</v>
      </c>
      <c r="B314" s="2" t="s">
        <v>962</v>
      </c>
      <c r="C314" s="2" t="s">
        <v>963</v>
      </c>
      <c r="D314" s="2" t="s">
        <v>964</v>
      </c>
      <c r="E314" s="2" t="s">
        <v>11</v>
      </c>
      <c r="F314" s="2">
        <v>1</v>
      </c>
      <c r="G314" s="2" t="s">
        <v>12</v>
      </c>
      <c r="H314" s="2" t="s">
        <v>11</v>
      </c>
      <c r="I314" s="2">
        <v>1</v>
      </c>
      <c r="J314" s="2" t="s">
        <v>11</v>
      </c>
      <c r="K314" s="2" t="s">
        <v>1615</v>
      </c>
      <c r="L314" s="2" t="s">
        <v>1129</v>
      </c>
      <c r="M314" s="2" t="s">
        <v>1125</v>
      </c>
      <c r="N314" s="2" t="s">
        <v>1126</v>
      </c>
      <c r="O314" s="2" t="s">
        <v>1126</v>
      </c>
      <c r="P314" s="2" t="s">
        <v>1127</v>
      </c>
      <c r="Q314" s="2">
        <v>3</v>
      </c>
      <c r="R314" s="2" t="s">
        <v>67</v>
      </c>
      <c r="S314" s="2">
        <v>2</v>
      </c>
      <c r="T314" s="2" t="s">
        <v>970</v>
      </c>
    </row>
    <row r="315" spans="1:20">
      <c r="A315" s="2" t="s">
        <v>1500</v>
      </c>
      <c r="B315" s="2" t="s">
        <v>962</v>
      </c>
      <c r="C315" s="2" t="s">
        <v>963</v>
      </c>
      <c r="D315" s="2" t="s">
        <v>964</v>
      </c>
      <c r="E315" s="2" t="s">
        <v>11</v>
      </c>
      <c r="F315" s="2">
        <v>1</v>
      </c>
      <c r="G315" s="2" t="s">
        <v>12</v>
      </c>
      <c r="H315" s="2" t="s">
        <v>11</v>
      </c>
      <c r="I315" s="2">
        <v>1</v>
      </c>
      <c r="J315" s="2" t="s">
        <v>11</v>
      </c>
      <c r="K315" s="2" t="s">
        <v>1616</v>
      </c>
      <c r="L315" s="2" t="s">
        <v>1131</v>
      </c>
      <c r="M315" s="2" t="s">
        <v>1125</v>
      </c>
      <c r="N315" s="2" t="s">
        <v>1126</v>
      </c>
      <c r="O315" s="2" t="s">
        <v>1126</v>
      </c>
      <c r="P315" s="2" t="s">
        <v>1127</v>
      </c>
      <c r="Q315" s="2">
        <v>3</v>
      </c>
      <c r="R315" s="2" t="s">
        <v>67</v>
      </c>
      <c r="S315" s="2">
        <v>2</v>
      </c>
      <c r="T315" s="2" t="s">
        <v>970</v>
      </c>
    </row>
    <row r="316" spans="1:20">
      <c r="A316" s="2" t="s">
        <v>1501</v>
      </c>
      <c r="B316" s="2" t="s">
        <v>962</v>
      </c>
      <c r="C316" s="2" t="s">
        <v>963</v>
      </c>
      <c r="D316" s="2" t="s">
        <v>964</v>
      </c>
      <c r="E316" s="2" t="s">
        <v>11</v>
      </c>
      <c r="F316" s="2">
        <v>1</v>
      </c>
      <c r="G316" s="2" t="s">
        <v>12</v>
      </c>
      <c r="H316" s="2" t="s">
        <v>11</v>
      </c>
      <c r="I316" s="2">
        <v>1</v>
      </c>
      <c r="J316" s="2" t="s">
        <v>11</v>
      </c>
      <c r="K316" s="2" t="s">
        <v>1617</v>
      </c>
      <c r="L316" s="2" t="s">
        <v>1133</v>
      </c>
      <c r="M316" s="2" t="s">
        <v>1125</v>
      </c>
      <c r="N316" s="2" t="s">
        <v>1126</v>
      </c>
      <c r="O316" s="2" t="s">
        <v>1126</v>
      </c>
      <c r="P316" s="2" t="s">
        <v>1127</v>
      </c>
      <c r="Q316" s="2">
        <v>3</v>
      </c>
      <c r="R316" s="2" t="s">
        <v>67</v>
      </c>
      <c r="S316" s="2">
        <v>2</v>
      </c>
      <c r="T316" s="2" t="s">
        <v>970</v>
      </c>
    </row>
    <row r="317" spans="1:20">
      <c r="A317" s="2" t="s">
        <v>1502</v>
      </c>
      <c r="B317" s="2" t="s">
        <v>962</v>
      </c>
      <c r="C317" s="2" t="s">
        <v>963</v>
      </c>
      <c r="D317" s="2" t="s">
        <v>964</v>
      </c>
      <c r="E317" s="2" t="s">
        <v>11</v>
      </c>
      <c r="F317" s="2">
        <v>1</v>
      </c>
      <c r="G317" s="2" t="s">
        <v>12</v>
      </c>
      <c r="H317" s="2" t="s">
        <v>11</v>
      </c>
      <c r="I317" s="2">
        <v>1</v>
      </c>
      <c r="J317" s="2" t="s">
        <v>11</v>
      </c>
      <c r="K317" s="2" t="s">
        <v>1618</v>
      </c>
      <c r="L317" s="2" t="s">
        <v>1135</v>
      </c>
      <c r="M317" s="2" t="s">
        <v>1136</v>
      </c>
      <c r="N317" s="2" t="s">
        <v>1137</v>
      </c>
      <c r="O317" s="2" t="s">
        <v>1138</v>
      </c>
      <c r="P317" s="2" t="s">
        <v>1139</v>
      </c>
      <c r="Q317" s="2">
        <v>3</v>
      </c>
      <c r="R317" s="2" t="s">
        <v>67</v>
      </c>
      <c r="S317" s="2">
        <v>2</v>
      </c>
      <c r="T317" s="2" t="s">
        <v>970</v>
      </c>
    </row>
    <row r="318" spans="1:20">
      <c r="A318" s="2" t="s">
        <v>1503</v>
      </c>
      <c r="B318" s="2" t="s">
        <v>962</v>
      </c>
      <c r="C318" s="2" t="s">
        <v>963</v>
      </c>
      <c r="D318" s="2" t="s">
        <v>964</v>
      </c>
      <c r="E318" s="2" t="s">
        <v>11</v>
      </c>
      <c r="F318" s="2">
        <v>1</v>
      </c>
      <c r="G318" s="2" t="s">
        <v>12</v>
      </c>
      <c r="H318" s="2" t="s">
        <v>11</v>
      </c>
      <c r="I318" s="2">
        <v>1</v>
      </c>
      <c r="J318" s="2" t="s">
        <v>11</v>
      </c>
      <c r="K318" s="2" t="s">
        <v>1619</v>
      </c>
      <c r="L318" s="2" t="s">
        <v>1141</v>
      </c>
      <c r="M318" s="2" t="s">
        <v>1136</v>
      </c>
      <c r="N318" s="2" t="s">
        <v>1137</v>
      </c>
      <c r="O318" s="2" t="s">
        <v>1138</v>
      </c>
      <c r="P318" s="2" t="s">
        <v>1139</v>
      </c>
      <c r="Q318" s="2">
        <v>3</v>
      </c>
      <c r="R318" s="2" t="s">
        <v>67</v>
      </c>
      <c r="S318" s="2">
        <v>2</v>
      </c>
      <c r="T318" s="2" t="s">
        <v>970</v>
      </c>
    </row>
    <row r="319" spans="1:20">
      <c r="A319" s="2" t="s">
        <v>1504</v>
      </c>
      <c r="B319" s="2" t="s">
        <v>962</v>
      </c>
      <c r="C319" s="2" t="s">
        <v>963</v>
      </c>
      <c r="D319" s="2" t="s">
        <v>964</v>
      </c>
      <c r="E319" s="2" t="s">
        <v>11</v>
      </c>
      <c r="F319" s="2">
        <v>1</v>
      </c>
      <c r="G319" s="2" t="s">
        <v>12</v>
      </c>
      <c r="H319" s="2" t="s">
        <v>11</v>
      </c>
      <c r="I319" s="2">
        <v>1</v>
      </c>
      <c r="J319" s="2" t="s">
        <v>11</v>
      </c>
      <c r="K319" s="2" t="s">
        <v>1620</v>
      </c>
      <c r="L319" s="2" t="s">
        <v>1143</v>
      </c>
      <c r="M319" s="2" t="s">
        <v>1136</v>
      </c>
      <c r="N319" s="2" t="s">
        <v>1137</v>
      </c>
      <c r="O319" s="2" t="s">
        <v>1138</v>
      </c>
      <c r="P319" s="2" t="s">
        <v>1139</v>
      </c>
      <c r="Q319" s="2">
        <v>3</v>
      </c>
      <c r="R319" s="2" t="s">
        <v>67</v>
      </c>
      <c r="S319" s="2">
        <v>2</v>
      </c>
      <c r="T319" s="2" t="s">
        <v>1065</v>
      </c>
    </row>
    <row r="320" spans="1:20">
      <c r="A320" s="2" t="s">
        <v>1505</v>
      </c>
      <c r="B320" s="2" t="s">
        <v>962</v>
      </c>
      <c r="C320" s="2" t="s">
        <v>963</v>
      </c>
      <c r="D320" s="2" t="s">
        <v>964</v>
      </c>
      <c r="E320" s="2" t="s">
        <v>11</v>
      </c>
      <c r="F320" s="2">
        <v>1</v>
      </c>
      <c r="G320" s="2" t="s">
        <v>12</v>
      </c>
      <c r="H320" s="2" t="s">
        <v>11</v>
      </c>
      <c r="I320" s="2">
        <v>1</v>
      </c>
      <c r="J320" s="2" t="s">
        <v>11</v>
      </c>
      <c r="K320" s="2" t="s">
        <v>1621</v>
      </c>
      <c r="L320" s="2" t="s">
        <v>1145</v>
      </c>
      <c r="M320" s="2" t="s">
        <v>1146</v>
      </c>
      <c r="N320" s="2" t="s">
        <v>1147</v>
      </c>
      <c r="O320" s="2" t="s">
        <v>1148</v>
      </c>
      <c r="P320" s="2" t="s">
        <v>1149</v>
      </c>
      <c r="Q320" s="2">
        <v>3</v>
      </c>
      <c r="R320" s="2" t="s">
        <v>67</v>
      </c>
      <c r="S320" s="2">
        <v>2</v>
      </c>
      <c r="T320" s="2" t="s">
        <v>970</v>
      </c>
    </row>
    <row r="321" spans="1:20">
      <c r="A321" s="2" t="s">
        <v>1506</v>
      </c>
      <c r="B321" s="2" t="s">
        <v>962</v>
      </c>
      <c r="C321" s="2" t="s">
        <v>963</v>
      </c>
      <c r="D321" s="2" t="s">
        <v>964</v>
      </c>
      <c r="E321" s="2" t="s">
        <v>11</v>
      </c>
      <c r="F321" s="2">
        <v>1</v>
      </c>
      <c r="G321" s="2" t="s">
        <v>12</v>
      </c>
      <c r="H321" s="2" t="s">
        <v>11</v>
      </c>
      <c r="I321" s="2">
        <v>1</v>
      </c>
      <c r="J321" s="2" t="s">
        <v>11</v>
      </c>
      <c r="K321" s="2" t="s">
        <v>1622</v>
      </c>
      <c r="L321" s="2" t="s">
        <v>1151</v>
      </c>
      <c r="M321" s="2" t="s">
        <v>1146</v>
      </c>
      <c r="N321" s="2" t="s">
        <v>1147</v>
      </c>
      <c r="O321" s="2" t="s">
        <v>1148</v>
      </c>
      <c r="P321" s="2" t="s">
        <v>1149</v>
      </c>
      <c r="Q321" s="2">
        <v>2</v>
      </c>
      <c r="R321" s="2" t="s">
        <v>142</v>
      </c>
      <c r="S321" s="2">
        <v>2</v>
      </c>
      <c r="T321" s="2" t="s">
        <v>970</v>
      </c>
    </row>
    <row r="322" spans="1:20">
      <c r="A322" s="2" t="s">
        <v>1507</v>
      </c>
      <c r="B322" s="2" t="s">
        <v>962</v>
      </c>
      <c r="C322" s="2" t="s">
        <v>963</v>
      </c>
      <c r="D322" s="2" t="s">
        <v>964</v>
      </c>
      <c r="E322" s="2" t="s">
        <v>11</v>
      </c>
      <c r="F322" s="2">
        <v>1</v>
      </c>
      <c r="G322" s="2" t="s">
        <v>12</v>
      </c>
      <c r="H322" s="2" t="s">
        <v>11</v>
      </c>
      <c r="I322" s="2">
        <v>1</v>
      </c>
      <c r="J322" s="2" t="s">
        <v>11</v>
      </c>
      <c r="K322" s="2" t="s">
        <v>1623</v>
      </c>
      <c r="L322" s="2" t="s">
        <v>1153</v>
      </c>
      <c r="M322" s="2" t="s">
        <v>1154</v>
      </c>
      <c r="N322" s="2" t="s">
        <v>1155</v>
      </c>
      <c r="O322" s="2" t="s">
        <v>1155</v>
      </c>
      <c r="P322" s="2" t="s">
        <v>1156</v>
      </c>
      <c r="Q322" s="2">
        <v>3</v>
      </c>
      <c r="R322" s="2" t="s">
        <v>67</v>
      </c>
      <c r="S322" s="2">
        <v>2</v>
      </c>
      <c r="T322" s="2" t="s">
        <v>970</v>
      </c>
    </row>
    <row r="323" spans="1:20">
      <c r="A323" s="2" t="s">
        <v>1508</v>
      </c>
      <c r="B323" s="2" t="s">
        <v>962</v>
      </c>
      <c r="C323" s="2" t="s">
        <v>963</v>
      </c>
      <c r="D323" s="2" t="s">
        <v>964</v>
      </c>
      <c r="E323" s="2" t="s">
        <v>11</v>
      </c>
      <c r="F323" s="2">
        <v>1</v>
      </c>
      <c r="G323" s="2" t="s">
        <v>12</v>
      </c>
      <c r="H323" s="2" t="s">
        <v>11</v>
      </c>
      <c r="I323" s="2">
        <v>1</v>
      </c>
      <c r="J323" s="2" t="s">
        <v>11</v>
      </c>
      <c r="K323" s="2" t="s">
        <v>1624</v>
      </c>
      <c r="L323" s="2" t="s">
        <v>1158</v>
      </c>
      <c r="M323" s="2" t="s">
        <v>1154</v>
      </c>
      <c r="N323" s="2" t="s">
        <v>1155</v>
      </c>
      <c r="O323" s="2" t="s">
        <v>1155</v>
      </c>
      <c r="P323" s="2" t="s">
        <v>1156</v>
      </c>
      <c r="Q323" s="2">
        <v>3</v>
      </c>
      <c r="R323" s="2" t="s">
        <v>67</v>
      </c>
      <c r="S323" s="2">
        <v>2</v>
      </c>
      <c r="T323" s="2" t="s">
        <v>970</v>
      </c>
    </row>
    <row r="324" spans="1:20">
      <c r="A324" s="2" t="s">
        <v>1509</v>
      </c>
      <c r="B324" s="2" t="s">
        <v>962</v>
      </c>
      <c r="C324" s="2" t="s">
        <v>963</v>
      </c>
      <c r="D324" s="2" t="s">
        <v>964</v>
      </c>
      <c r="E324" s="2" t="s">
        <v>11</v>
      </c>
      <c r="F324" s="2">
        <v>1</v>
      </c>
      <c r="G324" s="2" t="s">
        <v>12</v>
      </c>
      <c r="H324" s="2" t="s">
        <v>11</v>
      </c>
      <c r="I324" s="2">
        <v>1</v>
      </c>
      <c r="J324" s="2" t="s">
        <v>11</v>
      </c>
      <c r="K324" s="2" t="s">
        <v>1625</v>
      </c>
      <c r="L324" s="2" t="s">
        <v>1160</v>
      </c>
      <c r="M324" s="2" t="s">
        <v>1154</v>
      </c>
      <c r="N324" s="2" t="s">
        <v>1155</v>
      </c>
      <c r="O324" s="2" t="s">
        <v>1155</v>
      </c>
      <c r="P324" s="2" t="s">
        <v>1156</v>
      </c>
      <c r="Q324" s="2">
        <v>3</v>
      </c>
      <c r="R324" s="2" t="s">
        <v>67</v>
      </c>
      <c r="S324" s="2">
        <v>2</v>
      </c>
      <c r="T324" s="2" t="s">
        <v>970</v>
      </c>
    </row>
    <row r="325" spans="1:20">
      <c r="A325" s="2" t="s">
        <v>1510</v>
      </c>
      <c r="B325" s="2" t="s">
        <v>962</v>
      </c>
      <c r="C325" s="2" t="s">
        <v>963</v>
      </c>
      <c r="D325" s="2" t="s">
        <v>964</v>
      </c>
      <c r="E325" s="2" t="s">
        <v>11</v>
      </c>
      <c r="F325" s="2">
        <v>1</v>
      </c>
      <c r="G325" s="2" t="s">
        <v>12</v>
      </c>
      <c r="H325" s="2" t="s">
        <v>11</v>
      </c>
      <c r="I325" s="2">
        <v>1</v>
      </c>
      <c r="J325" s="2" t="s">
        <v>11</v>
      </c>
      <c r="K325" s="2" t="s">
        <v>1626</v>
      </c>
      <c r="L325" s="2" t="s">
        <v>298</v>
      </c>
      <c r="M325" s="2" t="s">
        <v>1154</v>
      </c>
      <c r="N325" s="2" t="s">
        <v>1155</v>
      </c>
      <c r="O325" s="2" t="s">
        <v>1155</v>
      </c>
      <c r="P325" s="2" t="s">
        <v>1156</v>
      </c>
      <c r="Q325" s="2">
        <v>3</v>
      </c>
      <c r="R325" s="2" t="s">
        <v>67</v>
      </c>
      <c r="S325" s="2">
        <v>2</v>
      </c>
      <c r="T325" s="2" t="s">
        <v>970</v>
      </c>
    </row>
    <row r="326" spans="1:20">
      <c r="A326" s="2" t="s">
        <v>1511</v>
      </c>
      <c r="B326" s="2" t="s">
        <v>962</v>
      </c>
      <c r="C326" s="2" t="s">
        <v>963</v>
      </c>
      <c r="D326" s="2" t="s">
        <v>964</v>
      </c>
      <c r="E326" s="2" t="s">
        <v>11</v>
      </c>
      <c r="F326" s="2">
        <v>1</v>
      </c>
      <c r="G326" s="2" t="s">
        <v>12</v>
      </c>
      <c r="H326" s="2" t="s">
        <v>11</v>
      </c>
      <c r="I326" s="2">
        <v>1</v>
      </c>
      <c r="J326" s="2" t="s">
        <v>11</v>
      </c>
      <c r="K326" s="2" t="s">
        <v>1627</v>
      </c>
      <c r="L326" s="2" t="s">
        <v>1163</v>
      </c>
      <c r="M326" s="2" t="s">
        <v>1154</v>
      </c>
      <c r="N326" s="2" t="s">
        <v>1155</v>
      </c>
      <c r="O326" s="2" t="s">
        <v>1155</v>
      </c>
      <c r="P326" s="2" t="s">
        <v>1156</v>
      </c>
      <c r="Q326" s="2">
        <v>3</v>
      </c>
      <c r="R326" s="2" t="s">
        <v>67</v>
      </c>
      <c r="S326" s="2">
        <v>2</v>
      </c>
      <c r="T326" s="2" t="s">
        <v>970</v>
      </c>
    </row>
    <row r="327" spans="1:20">
      <c r="A327" s="2" t="s">
        <v>1512</v>
      </c>
      <c r="B327" s="2" t="s">
        <v>962</v>
      </c>
      <c r="C327" s="2" t="s">
        <v>963</v>
      </c>
      <c r="D327" s="2" t="s">
        <v>964</v>
      </c>
      <c r="E327" s="2" t="s">
        <v>11</v>
      </c>
      <c r="F327" s="2">
        <v>1</v>
      </c>
      <c r="G327" s="2" t="s">
        <v>12</v>
      </c>
      <c r="H327" s="2" t="s">
        <v>11</v>
      </c>
      <c r="I327" s="2">
        <v>1</v>
      </c>
      <c r="J327" s="2" t="s">
        <v>11</v>
      </c>
      <c r="K327" s="2" t="s">
        <v>1628</v>
      </c>
      <c r="L327" s="2" t="s">
        <v>1165</v>
      </c>
      <c r="M327" s="2" t="s">
        <v>1154</v>
      </c>
      <c r="N327" s="2" t="s">
        <v>1155</v>
      </c>
      <c r="O327" s="2" t="s">
        <v>1155</v>
      </c>
      <c r="P327" s="2" t="s">
        <v>1156</v>
      </c>
      <c r="Q327" s="2">
        <v>3</v>
      </c>
      <c r="R327" s="2" t="s">
        <v>67</v>
      </c>
      <c r="S327" s="2">
        <v>2</v>
      </c>
      <c r="T327" s="2" t="s">
        <v>970</v>
      </c>
    </row>
    <row r="328" spans="1:20">
      <c r="A328" s="2" t="s">
        <v>1513</v>
      </c>
      <c r="B328" s="2" t="s">
        <v>962</v>
      </c>
      <c r="C328" s="2" t="s">
        <v>963</v>
      </c>
      <c r="D328" s="2" t="s">
        <v>964</v>
      </c>
      <c r="E328" s="2" t="s">
        <v>11</v>
      </c>
      <c r="F328" s="2">
        <v>1</v>
      </c>
      <c r="G328" s="2" t="s">
        <v>12</v>
      </c>
      <c r="H328" s="2" t="s">
        <v>11</v>
      </c>
      <c r="I328" s="2">
        <v>1</v>
      </c>
      <c r="J328" s="2" t="s">
        <v>11</v>
      </c>
      <c r="K328" s="2" t="s">
        <v>1629</v>
      </c>
      <c r="L328" s="2" t="s">
        <v>1167</v>
      </c>
      <c r="M328" s="2" t="s">
        <v>1154</v>
      </c>
      <c r="N328" s="2" t="s">
        <v>1155</v>
      </c>
      <c r="O328" s="2" t="s">
        <v>1155</v>
      </c>
      <c r="P328" s="2" t="s">
        <v>1156</v>
      </c>
      <c r="Q328" s="2">
        <v>3</v>
      </c>
      <c r="R328" s="2" t="s">
        <v>67</v>
      </c>
      <c r="S328" s="2">
        <v>2</v>
      </c>
      <c r="T328" s="2" t="s">
        <v>970</v>
      </c>
    </row>
    <row r="329" spans="1:20">
      <c r="A329" s="2" t="s">
        <v>1514</v>
      </c>
      <c r="B329" s="2" t="s">
        <v>962</v>
      </c>
      <c r="C329" s="2" t="s">
        <v>963</v>
      </c>
      <c r="D329" s="2" t="s">
        <v>964</v>
      </c>
      <c r="E329" s="2" t="s">
        <v>11</v>
      </c>
      <c r="F329" s="2">
        <v>1</v>
      </c>
      <c r="G329" s="2" t="s">
        <v>12</v>
      </c>
      <c r="H329" s="2" t="s">
        <v>11</v>
      </c>
      <c r="I329" s="2">
        <v>1</v>
      </c>
      <c r="J329" s="2" t="s">
        <v>11</v>
      </c>
      <c r="K329" s="2" t="s">
        <v>1630</v>
      </c>
      <c r="L329" s="2" t="s">
        <v>1169</v>
      </c>
      <c r="M329" s="2" t="s">
        <v>1154</v>
      </c>
      <c r="N329" s="2" t="s">
        <v>1155</v>
      </c>
      <c r="O329" s="2" t="s">
        <v>1155</v>
      </c>
      <c r="P329" s="2" t="s">
        <v>1156</v>
      </c>
      <c r="Q329" s="2">
        <v>3</v>
      </c>
      <c r="R329" s="2" t="s">
        <v>67</v>
      </c>
      <c r="S329" s="2">
        <v>2</v>
      </c>
      <c r="T329" s="2" t="s">
        <v>970</v>
      </c>
    </row>
    <row r="330" spans="1:20">
      <c r="A330" s="2" t="s">
        <v>1515</v>
      </c>
      <c r="B330" s="2" t="s">
        <v>962</v>
      </c>
      <c r="C330" s="2" t="s">
        <v>963</v>
      </c>
      <c r="D330" s="2" t="s">
        <v>964</v>
      </c>
      <c r="E330" s="2" t="s">
        <v>11</v>
      </c>
      <c r="F330" s="2">
        <v>1</v>
      </c>
      <c r="G330" s="2" t="s">
        <v>12</v>
      </c>
      <c r="H330" s="2" t="s">
        <v>11</v>
      </c>
      <c r="I330" s="2">
        <v>1</v>
      </c>
      <c r="J330" s="2" t="s">
        <v>11</v>
      </c>
      <c r="K330" s="2" t="s">
        <v>1631</v>
      </c>
      <c r="L330" s="2" t="s">
        <v>1171</v>
      </c>
      <c r="M330" s="2" t="s">
        <v>1154</v>
      </c>
      <c r="N330" s="2" t="s">
        <v>1155</v>
      </c>
      <c r="O330" s="2" t="s">
        <v>1155</v>
      </c>
      <c r="P330" s="2" t="s">
        <v>1156</v>
      </c>
      <c r="Q330" s="2">
        <v>3</v>
      </c>
      <c r="R330" s="2" t="s">
        <v>67</v>
      </c>
      <c r="S330" s="2">
        <v>2</v>
      </c>
      <c r="T330" s="2" t="s">
        <v>970</v>
      </c>
    </row>
    <row r="331" spans="1:20">
      <c r="A331" s="2" t="s">
        <v>1516</v>
      </c>
      <c r="B331" s="2" t="s">
        <v>962</v>
      </c>
      <c r="C331" s="2" t="s">
        <v>963</v>
      </c>
      <c r="D331" s="2" t="s">
        <v>964</v>
      </c>
      <c r="E331" s="2" t="s">
        <v>11</v>
      </c>
      <c r="F331" s="2">
        <v>1</v>
      </c>
      <c r="G331" s="2" t="s">
        <v>12</v>
      </c>
      <c r="H331" s="2" t="s">
        <v>11</v>
      </c>
      <c r="I331" s="2">
        <v>1</v>
      </c>
      <c r="J331" s="2" t="s">
        <v>11</v>
      </c>
      <c r="K331" s="2" t="s">
        <v>1632</v>
      </c>
      <c r="L331" s="2" t="s">
        <v>1173</v>
      </c>
      <c r="M331" s="2" t="s">
        <v>1174</v>
      </c>
      <c r="N331" s="2" t="s">
        <v>1175</v>
      </c>
      <c r="O331" s="2" t="s">
        <v>1175</v>
      </c>
      <c r="P331" s="2" t="s">
        <v>1176</v>
      </c>
      <c r="Q331" s="2">
        <v>3</v>
      </c>
      <c r="R331" s="2" t="s">
        <v>67</v>
      </c>
      <c r="S331" s="2">
        <v>2</v>
      </c>
      <c r="T331" s="2" t="s">
        <v>970</v>
      </c>
    </row>
    <row r="332" spans="1:20">
      <c r="A332" s="2" t="s">
        <v>1517</v>
      </c>
      <c r="B332" s="2" t="s">
        <v>962</v>
      </c>
      <c r="C332" s="2" t="s">
        <v>963</v>
      </c>
      <c r="D332" s="2" t="s">
        <v>964</v>
      </c>
      <c r="E332" s="2" t="s">
        <v>11</v>
      </c>
      <c r="F332" s="2">
        <v>1</v>
      </c>
      <c r="G332" s="2" t="s">
        <v>12</v>
      </c>
      <c r="H332" s="2" t="s">
        <v>11</v>
      </c>
      <c r="I332" s="2">
        <v>1</v>
      </c>
      <c r="J332" s="2" t="s">
        <v>11</v>
      </c>
      <c r="K332" s="2" t="s">
        <v>1633</v>
      </c>
      <c r="L332" s="2" t="s">
        <v>1178</v>
      </c>
      <c r="M332" s="2" t="s">
        <v>1174</v>
      </c>
      <c r="N332" s="2" t="s">
        <v>1175</v>
      </c>
      <c r="O332" s="2" t="s">
        <v>1175</v>
      </c>
      <c r="P332" s="2" t="s">
        <v>1176</v>
      </c>
      <c r="Q332" s="2">
        <v>3</v>
      </c>
      <c r="R332" s="2" t="s">
        <v>67</v>
      </c>
      <c r="S332" s="2">
        <v>2</v>
      </c>
      <c r="T332" s="2" t="s">
        <v>970</v>
      </c>
    </row>
    <row r="333" spans="1:20">
      <c r="A333" s="2" t="s">
        <v>1518</v>
      </c>
      <c r="B333" s="2" t="s">
        <v>962</v>
      </c>
      <c r="C333" s="2" t="s">
        <v>963</v>
      </c>
      <c r="D333" s="2" t="s">
        <v>964</v>
      </c>
      <c r="E333" s="2" t="s">
        <v>11</v>
      </c>
      <c r="F333" s="2">
        <v>1</v>
      </c>
      <c r="G333" s="2" t="s">
        <v>12</v>
      </c>
      <c r="H333" s="2" t="s">
        <v>11</v>
      </c>
      <c r="I333" s="2">
        <v>1</v>
      </c>
      <c r="J333" s="2" t="s">
        <v>11</v>
      </c>
      <c r="K333" s="2" t="s">
        <v>1634</v>
      </c>
      <c r="L333" s="2" t="s">
        <v>1180</v>
      </c>
      <c r="M333" s="2" t="s">
        <v>1174</v>
      </c>
      <c r="N333" s="2" t="s">
        <v>1175</v>
      </c>
      <c r="O333" s="2" t="s">
        <v>1175</v>
      </c>
      <c r="P333" s="2" t="s">
        <v>1176</v>
      </c>
      <c r="Q333" s="2">
        <v>3</v>
      </c>
      <c r="R333" s="2" t="s">
        <v>67</v>
      </c>
      <c r="S333" s="2">
        <v>2</v>
      </c>
      <c r="T333" s="2" t="s">
        <v>970</v>
      </c>
    </row>
    <row r="334" spans="1:20">
      <c r="A334" s="2" t="s">
        <v>1519</v>
      </c>
      <c r="B334" s="2" t="s">
        <v>962</v>
      </c>
      <c r="C334" s="2" t="s">
        <v>963</v>
      </c>
      <c r="D334" s="2" t="s">
        <v>964</v>
      </c>
      <c r="E334" s="2" t="s">
        <v>11</v>
      </c>
      <c r="F334" s="2">
        <v>1</v>
      </c>
      <c r="G334" s="2" t="s">
        <v>12</v>
      </c>
      <c r="H334" s="2" t="s">
        <v>11</v>
      </c>
      <c r="I334" s="2">
        <v>1</v>
      </c>
      <c r="J334" s="2" t="s">
        <v>11</v>
      </c>
      <c r="K334" s="2" t="s">
        <v>1635</v>
      </c>
      <c r="L334" s="2" t="s">
        <v>1182</v>
      </c>
      <c r="M334" s="2" t="s">
        <v>1174</v>
      </c>
      <c r="N334" s="2" t="s">
        <v>1175</v>
      </c>
      <c r="O334" s="2" t="s">
        <v>1175</v>
      </c>
      <c r="P334" s="2" t="s">
        <v>1176</v>
      </c>
      <c r="Q334" s="2">
        <v>3</v>
      </c>
      <c r="R334" s="2" t="s">
        <v>67</v>
      </c>
      <c r="S334" s="2">
        <v>1</v>
      </c>
      <c r="T334" s="2" t="s">
        <v>1065</v>
      </c>
    </row>
    <row r="335" spans="1:20">
      <c r="A335" s="2" t="s">
        <v>1520</v>
      </c>
      <c r="B335" s="2" t="s">
        <v>962</v>
      </c>
      <c r="C335" s="2" t="s">
        <v>963</v>
      </c>
      <c r="D335" s="2" t="s">
        <v>964</v>
      </c>
      <c r="E335" s="2" t="s">
        <v>11</v>
      </c>
      <c r="F335" s="2">
        <v>1</v>
      </c>
      <c r="G335" s="2" t="s">
        <v>12</v>
      </c>
      <c r="H335" s="2" t="s">
        <v>11</v>
      </c>
      <c r="I335" s="2">
        <v>1</v>
      </c>
      <c r="J335" s="2" t="s">
        <v>11</v>
      </c>
      <c r="K335" s="2" t="s">
        <v>1636</v>
      </c>
      <c r="L335" s="2" t="s">
        <v>1184</v>
      </c>
      <c r="M335" s="2" t="s">
        <v>1174</v>
      </c>
      <c r="N335" s="2" t="s">
        <v>1175</v>
      </c>
      <c r="O335" s="2" t="s">
        <v>1175</v>
      </c>
      <c r="P335" s="2" t="s">
        <v>1176</v>
      </c>
      <c r="Q335" s="2">
        <v>3</v>
      </c>
      <c r="R335" s="2" t="s">
        <v>67</v>
      </c>
      <c r="S335" s="2">
        <v>2</v>
      </c>
      <c r="T335" s="2" t="s">
        <v>970</v>
      </c>
    </row>
    <row r="336" spans="1:20">
      <c r="A336" s="2" t="s">
        <v>1521</v>
      </c>
      <c r="B336" s="2" t="s">
        <v>962</v>
      </c>
      <c r="C336" s="2" t="s">
        <v>963</v>
      </c>
      <c r="D336" s="2" t="s">
        <v>964</v>
      </c>
      <c r="E336" s="2" t="s">
        <v>11</v>
      </c>
      <c r="F336" s="2">
        <v>1</v>
      </c>
      <c r="G336" s="2" t="s">
        <v>12</v>
      </c>
      <c r="H336" s="2" t="s">
        <v>11</v>
      </c>
      <c r="I336" s="2">
        <v>1</v>
      </c>
      <c r="J336" s="2" t="s">
        <v>11</v>
      </c>
      <c r="K336" s="2" t="s">
        <v>1637</v>
      </c>
      <c r="L336" s="2" t="s">
        <v>1186</v>
      </c>
      <c r="M336" s="2" t="s">
        <v>1174</v>
      </c>
      <c r="N336" s="2" t="s">
        <v>1175</v>
      </c>
      <c r="O336" s="2" t="s">
        <v>1175</v>
      </c>
      <c r="P336" s="2" t="s">
        <v>1176</v>
      </c>
      <c r="Q336" s="2">
        <v>3</v>
      </c>
      <c r="R336" s="2" t="s">
        <v>67</v>
      </c>
      <c r="S336" s="2">
        <v>1</v>
      </c>
      <c r="T336" s="2" t="s">
        <v>1065</v>
      </c>
    </row>
    <row r="337" spans="1:20">
      <c r="A337" s="2" t="s">
        <v>1522</v>
      </c>
      <c r="B337" s="2" t="s">
        <v>962</v>
      </c>
      <c r="C337" s="2" t="s">
        <v>963</v>
      </c>
      <c r="D337" s="2" t="s">
        <v>964</v>
      </c>
      <c r="E337" s="2" t="s">
        <v>11</v>
      </c>
      <c r="F337" s="2">
        <v>1</v>
      </c>
      <c r="G337" s="2" t="s">
        <v>12</v>
      </c>
      <c r="H337" s="2" t="s">
        <v>11</v>
      </c>
      <c r="I337" s="2">
        <v>1</v>
      </c>
      <c r="J337" s="2" t="s">
        <v>11</v>
      </c>
      <c r="K337" s="2" t="s">
        <v>1638</v>
      </c>
      <c r="L337" s="2" t="s">
        <v>1188</v>
      </c>
      <c r="M337" s="2" t="s">
        <v>1189</v>
      </c>
      <c r="N337" s="2" t="s">
        <v>1190</v>
      </c>
      <c r="O337" s="2" t="s">
        <v>1191</v>
      </c>
      <c r="P337" s="2" t="s">
        <v>1192</v>
      </c>
      <c r="Q337" s="2">
        <v>3</v>
      </c>
      <c r="R337" s="2" t="s">
        <v>67</v>
      </c>
      <c r="S337" s="2">
        <v>2</v>
      </c>
      <c r="T337" s="2" t="s">
        <v>970</v>
      </c>
    </row>
    <row r="338" spans="1:20">
      <c r="A338" s="2" t="s">
        <v>1523</v>
      </c>
      <c r="B338" s="2" t="s">
        <v>962</v>
      </c>
      <c r="C338" s="2" t="s">
        <v>963</v>
      </c>
      <c r="D338" s="2" t="s">
        <v>964</v>
      </c>
      <c r="E338" s="2" t="s">
        <v>11</v>
      </c>
      <c r="F338" s="2">
        <v>1</v>
      </c>
      <c r="G338" s="2" t="s">
        <v>12</v>
      </c>
      <c r="H338" s="2" t="s">
        <v>11</v>
      </c>
      <c r="I338" s="2">
        <v>1</v>
      </c>
      <c r="J338" s="2" t="s">
        <v>11</v>
      </c>
      <c r="K338" s="2" t="s">
        <v>1639</v>
      </c>
      <c r="L338" s="2" t="s">
        <v>1194</v>
      </c>
      <c r="M338" s="2" t="s">
        <v>1189</v>
      </c>
      <c r="N338" s="2" t="s">
        <v>1190</v>
      </c>
      <c r="O338" s="2" t="s">
        <v>1191</v>
      </c>
      <c r="P338" s="2" t="s">
        <v>1192</v>
      </c>
      <c r="Q338" s="2">
        <v>3</v>
      </c>
      <c r="R338" s="2" t="s">
        <v>67</v>
      </c>
      <c r="S338" s="2">
        <v>2</v>
      </c>
      <c r="T338" s="2" t="s">
        <v>970</v>
      </c>
    </row>
    <row r="339" spans="1:20">
      <c r="A339" s="2" t="s">
        <v>1524</v>
      </c>
      <c r="B339" s="2" t="s">
        <v>962</v>
      </c>
      <c r="C339" s="2" t="s">
        <v>963</v>
      </c>
      <c r="D339" s="2" t="s">
        <v>964</v>
      </c>
      <c r="E339" s="2" t="s">
        <v>11</v>
      </c>
      <c r="F339" s="2">
        <v>1</v>
      </c>
      <c r="G339" s="2" t="s">
        <v>12</v>
      </c>
      <c r="H339" s="2" t="s">
        <v>11</v>
      </c>
      <c r="I339" s="2">
        <v>1</v>
      </c>
      <c r="J339" s="2" t="s">
        <v>11</v>
      </c>
      <c r="K339" s="2" t="s">
        <v>1640</v>
      </c>
      <c r="L339" s="2" t="s">
        <v>1196</v>
      </c>
      <c r="M339" s="2" t="s">
        <v>1189</v>
      </c>
      <c r="N339" s="2" t="s">
        <v>1190</v>
      </c>
      <c r="O339" s="2" t="s">
        <v>1191</v>
      </c>
      <c r="P339" s="2" t="s">
        <v>1192</v>
      </c>
      <c r="Q339" s="2">
        <v>3</v>
      </c>
      <c r="R339" s="2" t="s">
        <v>67</v>
      </c>
      <c r="S339" s="2">
        <v>2</v>
      </c>
      <c r="T339" s="2" t="s">
        <v>970</v>
      </c>
    </row>
    <row r="340" spans="1:20">
      <c r="A340" s="2" t="s">
        <v>1525</v>
      </c>
      <c r="B340" s="2" t="s">
        <v>962</v>
      </c>
      <c r="C340" s="2" t="s">
        <v>963</v>
      </c>
      <c r="D340" s="2" t="s">
        <v>964</v>
      </c>
      <c r="E340" s="2" t="s">
        <v>11</v>
      </c>
      <c r="F340" s="2">
        <v>1</v>
      </c>
      <c r="G340" s="2" t="s">
        <v>12</v>
      </c>
      <c r="H340" s="2" t="s">
        <v>11</v>
      </c>
      <c r="I340" s="2">
        <v>1</v>
      </c>
      <c r="J340" s="2" t="s">
        <v>11</v>
      </c>
      <c r="K340" s="2" t="s">
        <v>1641</v>
      </c>
      <c r="L340" s="2" t="s">
        <v>1198</v>
      </c>
      <c r="M340" s="2" t="s">
        <v>1199</v>
      </c>
      <c r="N340" s="2" t="s">
        <v>1198</v>
      </c>
      <c r="O340" s="2" t="s">
        <v>1200</v>
      </c>
      <c r="P340" s="2" t="s">
        <v>1201</v>
      </c>
      <c r="Q340" s="2">
        <v>3</v>
      </c>
      <c r="R340" s="2" t="s">
        <v>67</v>
      </c>
      <c r="S340" s="2">
        <v>2</v>
      </c>
      <c r="T340" s="2" t="s">
        <v>970</v>
      </c>
    </row>
    <row r="341" spans="1:20">
      <c r="A341" s="2" t="s">
        <v>1526</v>
      </c>
      <c r="B341" s="2" t="s">
        <v>962</v>
      </c>
      <c r="C341" s="2" t="s">
        <v>963</v>
      </c>
      <c r="D341" s="2" t="s">
        <v>964</v>
      </c>
      <c r="E341" s="2" t="s">
        <v>11</v>
      </c>
      <c r="F341" s="2">
        <v>1</v>
      </c>
      <c r="G341" s="2" t="s">
        <v>12</v>
      </c>
      <c r="H341" s="2" t="s">
        <v>11</v>
      </c>
      <c r="I341" s="2">
        <v>1</v>
      </c>
      <c r="J341" s="2" t="s">
        <v>11</v>
      </c>
      <c r="K341" s="2" t="s">
        <v>1642</v>
      </c>
      <c r="L341" s="2" t="s">
        <v>340</v>
      </c>
      <c r="M341" s="2" t="s">
        <v>1199</v>
      </c>
      <c r="N341" s="2" t="s">
        <v>1198</v>
      </c>
      <c r="O341" s="2" t="s">
        <v>1200</v>
      </c>
      <c r="P341" s="2" t="s">
        <v>1201</v>
      </c>
      <c r="Q341" s="2">
        <v>3</v>
      </c>
      <c r="R341" s="2" t="s">
        <v>67</v>
      </c>
      <c r="S341" s="2">
        <v>2</v>
      </c>
      <c r="T341" s="2" t="s">
        <v>970</v>
      </c>
    </row>
    <row r="342" spans="1:20">
      <c r="A342" s="2" t="s">
        <v>1527</v>
      </c>
      <c r="B342" s="2" t="s">
        <v>962</v>
      </c>
      <c r="C342" s="2" t="s">
        <v>963</v>
      </c>
      <c r="D342" s="2" t="s">
        <v>964</v>
      </c>
      <c r="E342" s="2" t="s">
        <v>11</v>
      </c>
      <c r="F342" s="2">
        <v>1</v>
      </c>
      <c r="G342" s="2" t="s">
        <v>12</v>
      </c>
      <c r="H342" s="2" t="s">
        <v>11</v>
      </c>
      <c r="I342" s="2">
        <v>1</v>
      </c>
      <c r="J342" s="2" t="s">
        <v>11</v>
      </c>
      <c r="K342" s="2" t="s">
        <v>1643</v>
      </c>
      <c r="L342" s="2" t="s">
        <v>1204</v>
      </c>
      <c r="M342" s="2" t="s">
        <v>1205</v>
      </c>
      <c r="N342" s="2" t="s">
        <v>1206</v>
      </c>
      <c r="O342" s="2" t="s">
        <v>1207</v>
      </c>
      <c r="P342" s="2" t="s">
        <v>1208</v>
      </c>
      <c r="Q342" s="2">
        <v>3</v>
      </c>
      <c r="R342" s="2" t="s">
        <v>67</v>
      </c>
      <c r="S342" s="2">
        <v>2</v>
      </c>
      <c r="T342" s="2" t="s">
        <v>970</v>
      </c>
    </row>
    <row r="343" spans="1:20">
      <c r="A343" s="2" t="s">
        <v>1528</v>
      </c>
      <c r="B343" s="2" t="s">
        <v>962</v>
      </c>
      <c r="C343" s="2" t="s">
        <v>963</v>
      </c>
      <c r="D343" s="2" t="s">
        <v>964</v>
      </c>
      <c r="E343" s="2" t="s">
        <v>11</v>
      </c>
      <c r="F343" s="2">
        <v>1</v>
      </c>
      <c r="G343" s="2" t="s">
        <v>12</v>
      </c>
      <c r="H343" s="2" t="s">
        <v>11</v>
      </c>
      <c r="I343" s="2">
        <v>1</v>
      </c>
      <c r="J343" s="2" t="s">
        <v>11</v>
      </c>
      <c r="K343" s="2" t="s">
        <v>1644</v>
      </c>
      <c r="L343" s="2" t="s">
        <v>1210</v>
      </c>
      <c r="M343" s="2" t="s">
        <v>1205</v>
      </c>
      <c r="N343" s="2" t="s">
        <v>1206</v>
      </c>
      <c r="O343" s="2" t="s">
        <v>1207</v>
      </c>
      <c r="P343" s="2" t="s">
        <v>1208</v>
      </c>
      <c r="Q343" s="2">
        <v>3</v>
      </c>
      <c r="R343" s="2" t="s">
        <v>67</v>
      </c>
      <c r="S343" s="2">
        <v>1</v>
      </c>
      <c r="T343" s="2" t="s">
        <v>1065</v>
      </c>
    </row>
    <row r="344" spans="1:20">
      <c r="A344" s="2" t="s">
        <v>1529</v>
      </c>
      <c r="B344" s="2" t="s">
        <v>962</v>
      </c>
      <c r="C344" s="2" t="s">
        <v>963</v>
      </c>
      <c r="D344" s="2" t="s">
        <v>964</v>
      </c>
      <c r="E344" s="2" t="s">
        <v>11</v>
      </c>
      <c r="F344" s="2">
        <v>1</v>
      </c>
      <c r="G344" s="2" t="s">
        <v>12</v>
      </c>
      <c r="H344" s="2" t="s">
        <v>11</v>
      </c>
      <c r="I344" s="2">
        <v>1</v>
      </c>
      <c r="J344" s="2" t="s">
        <v>11</v>
      </c>
      <c r="K344" s="2" t="s">
        <v>1645</v>
      </c>
      <c r="L344" s="2" t="s">
        <v>1212</v>
      </c>
      <c r="M344" s="2" t="s">
        <v>1205</v>
      </c>
      <c r="N344" s="2" t="s">
        <v>1206</v>
      </c>
      <c r="O344" s="2" t="s">
        <v>1207</v>
      </c>
      <c r="P344" s="2" t="s">
        <v>1208</v>
      </c>
      <c r="Q344" s="2">
        <v>2</v>
      </c>
      <c r="R344" s="2" t="s">
        <v>142</v>
      </c>
      <c r="S344" s="2">
        <v>1</v>
      </c>
      <c r="T344" s="2" t="s">
        <v>1065</v>
      </c>
    </row>
    <row r="345" spans="1:20">
      <c r="A345" s="2" t="s">
        <v>1530</v>
      </c>
      <c r="B345" s="2" t="s">
        <v>962</v>
      </c>
      <c r="C345" s="2" t="s">
        <v>963</v>
      </c>
      <c r="D345" s="2" t="s">
        <v>964</v>
      </c>
      <c r="E345" s="2" t="s">
        <v>11</v>
      </c>
      <c r="F345" s="2">
        <v>1</v>
      </c>
      <c r="G345" s="2" t="s">
        <v>12</v>
      </c>
      <c r="H345" s="2" t="s">
        <v>11</v>
      </c>
      <c r="I345" s="2">
        <v>1</v>
      </c>
      <c r="J345" s="2" t="s">
        <v>11</v>
      </c>
      <c r="K345" s="2" t="s">
        <v>1646</v>
      </c>
      <c r="L345" s="2" t="s">
        <v>1214</v>
      </c>
      <c r="M345" s="2" t="s">
        <v>1215</v>
      </c>
      <c r="N345" s="2" t="s">
        <v>1216</v>
      </c>
      <c r="O345" s="2" t="s">
        <v>1217</v>
      </c>
      <c r="P345" s="2" t="s">
        <v>1218</v>
      </c>
      <c r="Q345" s="2">
        <v>3</v>
      </c>
      <c r="R345" s="2" t="s">
        <v>67</v>
      </c>
      <c r="S345" s="2">
        <v>2</v>
      </c>
      <c r="T345" s="2" t="s">
        <v>970</v>
      </c>
    </row>
    <row r="346" spans="1:20">
      <c r="A346" s="2" t="s">
        <v>1531</v>
      </c>
      <c r="B346" s="2" t="s">
        <v>962</v>
      </c>
      <c r="C346" s="2" t="s">
        <v>963</v>
      </c>
      <c r="D346" s="2" t="s">
        <v>964</v>
      </c>
      <c r="E346" s="2" t="s">
        <v>11</v>
      </c>
      <c r="F346" s="2">
        <v>1</v>
      </c>
      <c r="G346" s="2" t="s">
        <v>12</v>
      </c>
      <c r="H346" s="2" t="s">
        <v>11</v>
      </c>
      <c r="I346" s="2">
        <v>1</v>
      </c>
      <c r="J346" s="2" t="s">
        <v>11</v>
      </c>
      <c r="K346" s="2" t="s">
        <v>1647</v>
      </c>
      <c r="L346" s="2" t="s">
        <v>1220</v>
      </c>
      <c r="M346" s="2" t="s">
        <v>1215</v>
      </c>
      <c r="N346" s="2" t="s">
        <v>1216</v>
      </c>
      <c r="O346" s="2" t="s">
        <v>1217</v>
      </c>
      <c r="P346" s="2" t="s">
        <v>1218</v>
      </c>
      <c r="Q346" s="2">
        <v>3</v>
      </c>
      <c r="R346" s="2" t="s">
        <v>67</v>
      </c>
      <c r="S346" s="2">
        <v>2</v>
      </c>
      <c r="T346" s="2" t="s">
        <v>970</v>
      </c>
    </row>
    <row r="347" spans="1:20">
      <c r="A347" s="2" t="s">
        <v>1532</v>
      </c>
      <c r="B347" s="2" t="s">
        <v>962</v>
      </c>
      <c r="C347" s="2" t="s">
        <v>963</v>
      </c>
      <c r="D347" s="2" t="s">
        <v>964</v>
      </c>
      <c r="E347" s="2" t="s">
        <v>11</v>
      </c>
      <c r="F347" s="2">
        <v>1</v>
      </c>
      <c r="G347" s="2" t="s">
        <v>12</v>
      </c>
      <c r="H347" s="2" t="s">
        <v>11</v>
      </c>
      <c r="I347" s="2">
        <v>1</v>
      </c>
      <c r="J347" s="2" t="s">
        <v>11</v>
      </c>
      <c r="K347" s="2" t="s">
        <v>1648</v>
      </c>
      <c r="L347" s="2" t="s">
        <v>1222</v>
      </c>
      <c r="M347" s="2" t="s">
        <v>1223</v>
      </c>
      <c r="N347" s="2" t="s">
        <v>1224</v>
      </c>
      <c r="O347" s="2" t="s">
        <v>1222</v>
      </c>
      <c r="P347" s="2" t="s">
        <v>1225</v>
      </c>
      <c r="Q347" s="2">
        <v>3</v>
      </c>
      <c r="R347" s="2" t="s">
        <v>67</v>
      </c>
      <c r="S347" s="2">
        <v>2</v>
      </c>
      <c r="T347" s="2" t="s">
        <v>970</v>
      </c>
    </row>
    <row r="348" spans="1:20">
      <c r="A348" s="2" t="s">
        <v>1533</v>
      </c>
      <c r="B348" s="2" t="s">
        <v>962</v>
      </c>
      <c r="C348" s="2" t="s">
        <v>963</v>
      </c>
      <c r="D348" s="2" t="s">
        <v>964</v>
      </c>
      <c r="E348" s="2" t="s">
        <v>11</v>
      </c>
      <c r="F348" s="2">
        <v>1</v>
      </c>
      <c r="G348" s="2" t="s">
        <v>12</v>
      </c>
      <c r="H348" s="2" t="s">
        <v>11</v>
      </c>
      <c r="I348" s="2">
        <v>1</v>
      </c>
      <c r="J348" s="2" t="s">
        <v>11</v>
      </c>
      <c r="K348" s="2" t="s">
        <v>1649</v>
      </c>
      <c r="L348" s="2" t="s">
        <v>1227</v>
      </c>
      <c r="M348" s="2" t="s">
        <v>1228</v>
      </c>
      <c r="N348" s="2" t="s">
        <v>1229</v>
      </c>
      <c r="O348" s="2" t="s">
        <v>1229</v>
      </c>
      <c r="P348" s="2" t="s">
        <v>1230</v>
      </c>
      <c r="Q348" s="2">
        <v>3</v>
      </c>
      <c r="R348" s="2" t="s">
        <v>67</v>
      </c>
      <c r="S348" s="2">
        <v>2</v>
      </c>
      <c r="T348" s="2" t="s">
        <v>970</v>
      </c>
    </row>
    <row r="349" spans="1:20">
      <c r="A349" s="2" t="s">
        <v>1534</v>
      </c>
      <c r="B349" s="2" t="s">
        <v>962</v>
      </c>
      <c r="C349" s="2" t="s">
        <v>963</v>
      </c>
      <c r="D349" s="2" t="s">
        <v>964</v>
      </c>
      <c r="E349" s="2" t="s">
        <v>11</v>
      </c>
      <c r="F349" s="2">
        <v>1</v>
      </c>
      <c r="G349" s="2" t="s">
        <v>12</v>
      </c>
      <c r="H349" s="2" t="s">
        <v>11</v>
      </c>
      <c r="I349" s="2">
        <v>1</v>
      </c>
      <c r="J349" s="2" t="s">
        <v>11</v>
      </c>
      <c r="K349" s="2" t="s">
        <v>1650</v>
      </c>
      <c r="L349" s="2" t="s">
        <v>1232</v>
      </c>
      <c r="M349" s="2" t="s">
        <v>1228</v>
      </c>
      <c r="N349" s="2" t="s">
        <v>1229</v>
      </c>
      <c r="O349" s="2" t="s">
        <v>1229</v>
      </c>
      <c r="P349" s="2" t="s">
        <v>1230</v>
      </c>
      <c r="Q349" s="2">
        <v>3</v>
      </c>
      <c r="R349" s="2" t="s">
        <v>67</v>
      </c>
      <c r="S349" s="2">
        <v>1</v>
      </c>
      <c r="T349" s="2" t="s">
        <v>1065</v>
      </c>
    </row>
    <row r="350" spans="1:20">
      <c r="A350" s="2" t="s">
        <v>1535</v>
      </c>
      <c r="B350" s="2" t="s">
        <v>962</v>
      </c>
      <c r="C350" s="2" t="s">
        <v>963</v>
      </c>
      <c r="D350" s="2" t="s">
        <v>964</v>
      </c>
      <c r="E350" s="2" t="s">
        <v>11</v>
      </c>
      <c r="F350" s="2">
        <v>1</v>
      </c>
      <c r="G350" s="2" t="s">
        <v>12</v>
      </c>
      <c r="H350" s="2" t="s">
        <v>11</v>
      </c>
      <c r="I350" s="2">
        <v>1</v>
      </c>
      <c r="J350" s="2" t="s">
        <v>11</v>
      </c>
      <c r="K350" s="2" t="s">
        <v>1651</v>
      </c>
      <c r="L350" s="2" t="s">
        <v>1234</v>
      </c>
      <c r="M350" s="2" t="s">
        <v>1235</v>
      </c>
      <c r="N350" s="2" t="s">
        <v>1236</v>
      </c>
      <c r="O350" s="2" t="s">
        <v>1237</v>
      </c>
      <c r="P350" s="2" t="s">
        <v>1238</v>
      </c>
      <c r="Q350" s="2">
        <v>3</v>
      </c>
      <c r="R350" s="2" t="s">
        <v>67</v>
      </c>
      <c r="S350" s="2">
        <v>2</v>
      </c>
      <c r="T350" s="2" t="s">
        <v>970</v>
      </c>
    </row>
    <row r="351" spans="1:20">
      <c r="A351" s="2" t="s">
        <v>1536</v>
      </c>
      <c r="B351" s="2" t="s">
        <v>962</v>
      </c>
      <c r="C351" s="2" t="s">
        <v>963</v>
      </c>
      <c r="D351" s="2" t="s">
        <v>964</v>
      </c>
      <c r="E351" s="2" t="s">
        <v>11</v>
      </c>
      <c r="F351" s="2">
        <v>1</v>
      </c>
      <c r="G351" s="2" t="s">
        <v>12</v>
      </c>
      <c r="H351" s="2" t="s">
        <v>11</v>
      </c>
      <c r="I351" s="2">
        <v>1</v>
      </c>
      <c r="J351" s="2" t="s">
        <v>11</v>
      </c>
      <c r="K351" s="2" t="s">
        <v>1652</v>
      </c>
      <c r="L351" s="2" t="s">
        <v>1240</v>
      </c>
      <c r="M351" s="2" t="s">
        <v>1235</v>
      </c>
      <c r="N351" s="2" t="s">
        <v>1236</v>
      </c>
      <c r="O351" s="2" t="s">
        <v>1237</v>
      </c>
      <c r="P351" s="2" t="s">
        <v>1238</v>
      </c>
      <c r="Q351" s="2">
        <v>3</v>
      </c>
      <c r="R351" s="2" t="s">
        <v>67</v>
      </c>
      <c r="S351" s="2">
        <v>2</v>
      </c>
      <c r="T351" s="2" t="s">
        <v>970</v>
      </c>
    </row>
    <row r="352" spans="1:20">
      <c r="A352" s="2" t="s">
        <v>1537</v>
      </c>
      <c r="B352" s="2" t="s">
        <v>962</v>
      </c>
      <c r="C352" s="2" t="s">
        <v>963</v>
      </c>
      <c r="D352" s="2" t="s">
        <v>964</v>
      </c>
      <c r="E352" s="2" t="s">
        <v>11</v>
      </c>
      <c r="F352" s="2">
        <v>1</v>
      </c>
      <c r="G352" s="2" t="s">
        <v>12</v>
      </c>
      <c r="H352" s="2" t="s">
        <v>11</v>
      </c>
      <c r="I352" s="2">
        <v>1</v>
      </c>
      <c r="J352" s="2" t="s">
        <v>11</v>
      </c>
      <c r="K352" s="2" t="s">
        <v>1653</v>
      </c>
      <c r="L352" s="2" t="s">
        <v>1242</v>
      </c>
      <c r="M352" s="2" t="s">
        <v>1243</v>
      </c>
      <c r="N352" s="2" t="s">
        <v>1244</v>
      </c>
      <c r="O352" s="2" t="s">
        <v>1245</v>
      </c>
      <c r="P352" s="2" t="s">
        <v>1246</v>
      </c>
      <c r="Q352" s="2">
        <v>3</v>
      </c>
      <c r="R352" s="2" t="s">
        <v>67</v>
      </c>
      <c r="S352" s="2">
        <v>1</v>
      </c>
      <c r="T352" s="2" t="s">
        <v>1065</v>
      </c>
    </row>
    <row r="353" spans="1:20">
      <c r="A353" s="2" t="s">
        <v>1538</v>
      </c>
      <c r="B353" s="2" t="s">
        <v>962</v>
      </c>
      <c r="C353" s="2" t="s">
        <v>963</v>
      </c>
      <c r="D353" s="2" t="s">
        <v>964</v>
      </c>
      <c r="E353" s="2" t="s">
        <v>11</v>
      </c>
      <c r="F353" s="2">
        <v>1</v>
      </c>
      <c r="G353" s="2" t="s">
        <v>12</v>
      </c>
      <c r="H353" s="2" t="s">
        <v>11</v>
      </c>
      <c r="I353" s="2">
        <v>1</v>
      </c>
      <c r="J353" s="2" t="s">
        <v>11</v>
      </c>
      <c r="K353" s="2" t="s">
        <v>1654</v>
      </c>
      <c r="L353" s="2" t="s">
        <v>1248</v>
      </c>
      <c r="M353" s="2" t="s">
        <v>1243</v>
      </c>
      <c r="N353" s="2" t="s">
        <v>1244</v>
      </c>
      <c r="O353" s="2" t="s">
        <v>1245</v>
      </c>
      <c r="P353" s="2" t="s">
        <v>1246</v>
      </c>
      <c r="Q353" s="2">
        <v>3</v>
      </c>
      <c r="R353" s="2" t="s">
        <v>67</v>
      </c>
      <c r="S353" s="2">
        <v>1</v>
      </c>
      <c r="T353" s="2" t="s">
        <v>1065</v>
      </c>
    </row>
    <row r="354" spans="1:20">
      <c r="A354" s="2" t="s">
        <v>1539</v>
      </c>
      <c r="B354" s="2" t="s">
        <v>962</v>
      </c>
      <c r="C354" s="2" t="s">
        <v>963</v>
      </c>
      <c r="D354" s="2" t="s">
        <v>964</v>
      </c>
      <c r="E354" s="2" t="s">
        <v>11</v>
      </c>
      <c r="F354" s="2">
        <v>1</v>
      </c>
      <c r="G354" s="2" t="s">
        <v>12</v>
      </c>
      <c r="H354" s="2" t="s">
        <v>11</v>
      </c>
      <c r="I354" s="2">
        <v>1</v>
      </c>
      <c r="J354" s="2" t="s">
        <v>11</v>
      </c>
      <c r="K354" s="2" t="s">
        <v>1655</v>
      </c>
      <c r="L354" s="2" t="s">
        <v>1250</v>
      </c>
      <c r="M354" s="2" t="s">
        <v>1251</v>
      </c>
      <c r="N354" s="2" t="s">
        <v>1252</v>
      </c>
      <c r="O354" s="2" t="s">
        <v>1253</v>
      </c>
      <c r="P354" s="2" t="s">
        <v>1254</v>
      </c>
      <c r="Q354" s="2">
        <v>3</v>
      </c>
      <c r="R354" s="2" t="s">
        <v>67</v>
      </c>
      <c r="S354" s="2">
        <v>2</v>
      </c>
      <c r="T354" s="2" t="s">
        <v>970</v>
      </c>
    </row>
    <row r="355" spans="1:20">
      <c r="A355" s="2" t="s">
        <v>1540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3"/>
  <sheetViews>
    <sheetView topLeftCell="B1" zoomScale="95" zoomScaleNormal="95" workbookViewId="0">
      <selection activeCell="J1" sqref="J1"/>
    </sheetView>
  </sheetViews>
  <sheetFormatPr baseColWidth="10" defaultColWidth="12" defaultRowHeight="13.15"/>
  <cols>
    <col min="1" max="1" width="17.140625" customWidth="1"/>
    <col min="2" max="2" width="57.42578125" customWidth="1"/>
    <col min="3" max="3" width="3.28515625" customWidth="1"/>
    <col min="4" max="4" width="20.78515625" customWidth="1"/>
    <col min="5" max="5" width="27.35546875" customWidth="1"/>
    <col min="6" max="7" width="11.92578125"/>
    <col min="8" max="8" width="21.2109375" customWidth="1"/>
    <col min="9" max="9" width="11.92578125"/>
    <col min="10" max="10" width="12.140625" customWidth="1"/>
    <col min="11" max="16383" width="11.92578125"/>
  </cols>
  <sheetData>
    <row r="1" spans="1:10">
      <c r="A1" s="14" t="s">
        <v>1544</v>
      </c>
      <c r="B1" t="s">
        <v>952</v>
      </c>
      <c r="C1" t="s">
        <v>1665</v>
      </c>
      <c r="D1" t="s">
        <v>1666</v>
      </c>
      <c r="E1" t="s">
        <v>1667</v>
      </c>
      <c r="F1" t="s">
        <v>1668</v>
      </c>
      <c r="G1" t="s">
        <v>1669</v>
      </c>
      <c r="H1" t="s">
        <v>958</v>
      </c>
      <c r="I1" t="s">
        <v>959</v>
      </c>
      <c r="J1" t="s">
        <v>960</v>
      </c>
    </row>
    <row r="2" spans="1:10">
      <c r="A2" s="16">
        <v>1</v>
      </c>
      <c r="B2" s="7" t="s">
        <v>965</v>
      </c>
      <c r="C2" s="8" t="s">
        <v>966</v>
      </c>
      <c r="D2" s="8" t="s">
        <v>967</v>
      </c>
      <c r="E2" s="8" t="s">
        <v>968</v>
      </c>
      <c r="F2" s="8" t="s">
        <v>969</v>
      </c>
      <c r="G2" s="8">
        <v>1</v>
      </c>
      <c r="H2" s="8" t="s">
        <v>14</v>
      </c>
      <c r="I2" s="8">
        <v>2</v>
      </c>
      <c r="J2" t="s">
        <v>970</v>
      </c>
    </row>
    <row r="3" spans="1:10">
      <c r="A3" s="16">
        <v>2</v>
      </c>
      <c r="B3" s="7" t="s">
        <v>972</v>
      </c>
      <c r="C3" s="8" t="s">
        <v>966</v>
      </c>
      <c r="D3" s="8" t="s">
        <v>967</v>
      </c>
      <c r="E3" s="8" t="s">
        <v>968</v>
      </c>
      <c r="F3" s="8" t="s">
        <v>969</v>
      </c>
      <c r="G3" s="8">
        <v>1</v>
      </c>
      <c r="H3" s="8" t="s">
        <v>14</v>
      </c>
      <c r="I3" s="8">
        <v>2</v>
      </c>
      <c r="J3" t="s">
        <v>970</v>
      </c>
    </row>
    <row r="4" spans="1:10">
      <c r="A4" s="16">
        <v>3</v>
      </c>
      <c r="B4" s="7" t="s">
        <v>974</v>
      </c>
      <c r="C4" s="8" t="s">
        <v>966</v>
      </c>
      <c r="D4" s="8" t="s">
        <v>967</v>
      </c>
      <c r="E4" s="8" t="s">
        <v>968</v>
      </c>
      <c r="F4" s="8" t="s">
        <v>969</v>
      </c>
      <c r="G4" s="8">
        <v>1</v>
      </c>
      <c r="H4" s="8" t="s">
        <v>14</v>
      </c>
      <c r="I4" s="8">
        <v>2</v>
      </c>
      <c r="J4" t="s">
        <v>970</v>
      </c>
    </row>
    <row r="5" spans="1:10">
      <c r="A5" s="16">
        <v>4</v>
      </c>
      <c r="B5" s="7" t="s">
        <v>976</v>
      </c>
      <c r="C5" s="8" t="s">
        <v>966</v>
      </c>
      <c r="D5" s="8" t="s">
        <v>967</v>
      </c>
      <c r="E5" s="8" t="s">
        <v>968</v>
      </c>
      <c r="F5" s="8" t="s">
        <v>969</v>
      </c>
      <c r="G5" s="8">
        <v>1</v>
      </c>
      <c r="H5" s="8" t="s">
        <v>14</v>
      </c>
      <c r="I5" s="8">
        <v>2</v>
      </c>
      <c r="J5" t="s">
        <v>970</v>
      </c>
    </row>
    <row r="6" spans="1:10">
      <c r="A6" s="16">
        <v>5</v>
      </c>
      <c r="B6" s="7" t="s">
        <v>978</v>
      </c>
      <c r="C6" s="8" t="s">
        <v>966</v>
      </c>
      <c r="D6" s="8" t="s">
        <v>967</v>
      </c>
      <c r="E6" s="8" t="s">
        <v>968</v>
      </c>
      <c r="F6" s="8" t="s">
        <v>969</v>
      </c>
      <c r="G6" s="8">
        <v>1</v>
      </c>
      <c r="H6" s="8" t="s">
        <v>14</v>
      </c>
      <c r="I6" s="8">
        <v>2</v>
      </c>
      <c r="J6" t="s">
        <v>970</v>
      </c>
    </row>
    <row r="7" spans="1:10">
      <c r="A7" s="16">
        <v>6</v>
      </c>
      <c r="B7" s="7" t="s">
        <v>980</v>
      </c>
      <c r="C7" s="8" t="s">
        <v>966</v>
      </c>
      <c r="D7" s="8" t="s">
        <v>967</v>
      </c>
      <c r="E7" s="8" t="s">
        <v>968</v>
      </c>
      <c r="F7" s="8" t="s">
        <v>969</v>
      </c>
      <c r="G7" s="8">
        <v>1</v>
      </c>
      <c r="H7" s="8" t="s">
        <v>14</v>
      </c>
      <c r="I7" s="8">
        <v>2</v>
      </c>
      <c r="J7" t="s">
        <v>970</v>
      </c>
    </row>
    <row r="8" spans="1:10">
      <c r="A8" s="16">
        <v>7</v>
      </c>
      <c r="B8" s="7" t="s">
        <v>982</v>
      </c>
      <c r="C8" s="8" t="s">
        <v>966</v>
      </c>
      <c r="D8" s="8" t="s">
        <v>967</v>
      </c>
      <c r="E8" s="8" t="s">
        <v>968</v>
      </c>
      <c r="F8" s="8" t="s">
        <v>969</v>
      </c>
      <c r="G8" s="8">
        <v>1</v>
      </c>
      <c r="H8" s="8" t="s">
        <v>14</v>
      </c>
      <c r="I8" s="8">
        <v>2</v>
      </c>
      <c r="J8" t="s">
        <v>970</v>
      </c>
    </row>
    <row r="9" spans="1:10">
      <c r="A9" s="16">
        <v>8</v>
      </c>
      <c r="B9" s="7" t="s">
        <v>984</v>
      </c>
      <c r="C9" s="8" t="s">
        <v>966</v>
      </c>
      <c r="D9" s="8" t="s">
        <v>967</v>
      </c>
      <c r="E9" s="8" t="s">
        <v>968</v>
      </c>
      <c r="F9" s="8" t="s">
        <v>969</v>
      </c>
      <c r="G9" s="8">
        <v>1</v>
      </c>
      <c r="H9" s="8" t="s">
        <v>14</v>
      </c>
      <c r="I9" s="8">
        <v>2</v>
      </c>
      <c r="J9" t="s">
        <v>970</v>
      </c>
    </row>
    <row r="10" spans="1:10">
      <c r="A10" s="16">
        <v>9</v>
      </c>
      <c r="B10" s="7" t="s">
        <v>986</v>
      </c>
      <c r="C10" s="8" t="s">
        <v>966</v>
      </c>
      <c r="D10" s="8" t="s">
        <v>967</v>
      </c>
      <c r="E10" s="8" t="s">
        <v>968</v>
      </c>
      <c r="F10" s="8" t="s">
        <v>969</v>
      </c>
      <c r="G10" s="8">
        <v>1</v>
      </c>
      <c r="H10" s="8" t="s">
        <v>14</v>
      </c>
      <c r="I10" s="8">
        <v>2</v>
      </c>
      <c r="J10" t="s">
        <v>970</v>
      </c>
    </row>
    <row r="11" spans="1:10">
      <c r="A11" s="16">
        <v>10</v>
      </c>
      <c r="B11" s="6" t="s">
        <v>988</v>
      </c>
      <c r="C11" s="8" t="s">
        <v>966</v>
      </c>
      <c r="D11" s="8" t="s">
        <v>967</v>
      </c>
      <c r="E11" s="8" t="s">
        <v>968</v>
      </c>
      <c r="F11" s="8" t="s">
        <v>969</v>
      </c>
      <c r="G11" s="8">
        <v>1</v>
      </c>
      <c r="H11" s="8" t="s">
        <v>14</v>
      </c>
      <c r="I11" s="8">
        <v>2</v>
      </c>
      <c r="J11" t="s">
        <v>970</v>
      </c>
    </row>
    <row r="12" spans="1:10">
      <c r="A12" s="16">
        <v>11</v>
      </c>
      <c r="B12" s="7" t="s">
        <v>990</v>
      </c>
      <c r="C12" s="8" t="s">
        <v>966</v>
      </c>
      <c r="D12" s="8" t="s">
        <v>967</v>
      </c>
      <c r="E12" s="8" t="s">
        <v>968</v>
      </c>
      <c r="F12" s="8" t="s">
        <v>969</v>
      </c>
      <c r="G12" s="8">
        <v>1</v>
      </c>
      <c r="H12" s="8" t="s">
        <v>14</v>
      </c>
      <c r="I12" s="8">
        <v>2</v>
      </c>
      <c r="J12" t="s">
        <v>970</v>
      </c>
    </row>
    <row r="13" spans="1:10">
      <c r="A13" s="16">
        <v>12</v>
      </c>
      <c r="B13" s="7" t="s">
        <v>992</v>
      </c>
      <c r="C13" s="8" t="s">
        <v>966</v>
      </c>
      <c r="D13" s="8" t="s">
        <v>967</v>
      </c>
      <c r="E13" s="8" t="s">
        <v>968</v>
      </c>
      <c r="F13" s="8" t="s">
        <v>969</v>
      </c>
      <c r="G13" s="8">
        <v>1</v>
      </c>
      <c r="H13" s="8" t="s">
        <v>14</v>
      </c>
      <c r="I13" s="8">
        <v>2</v>
      </c>
      <c r="J13" t="s">
        <v>970</v>
      </c>
    </row>
    <row r="14" spans="1:10">
      <c r="A14" s="16">
        <v>13</v>
      </c>
      <c r="B14" s="7" t="s">
        <v>994</v>
      </c>
      <c r="C14" s="8" t="s">
        <v>995</v>
      </c>
      <c r="D14" s="8" t="s">
        <v>996</v>
      </c>
      <c r="E14" s="8" t="s">
        <v>997</v>
      </c>
      <c r="F14" s="8" t="s">
        <v>998</v>
      </c>
      <c r="G14" s="8">
        <v>3</v>
      </c>
      <c r="H14" s="8" t="s">
        <v>67</v>
      </c>
      <c r="I14" s="8">
        <v>2</v>
      </c>
      <c r="J14" t="s">
        <v>970</v>
      </c>
    </row>
    <row r="15" spans="1:10">
      <c r="A15" s="16">
        <v>14</v>
      </c>
      <c r="B15" s="7" t="s">
        <v>1000</v>
      </c>
      <c r="C15" s="8" t="s">
        <v>995</v>
      </c>
      <c r="D15" s="8" t="s">
        <v>996</v>
      </c>
      <c r="E15" s="8" t="s">
        <v>997</v>
      </c>
      <c r="F15" s="8" t="s">
        <v>998</v>
      </c>
      <c r="G15" s="8">
        <v>3</v>
      </c>
      <c r="H15" s="8" t="s">
        <v>67</v>
      </c>
      <c r="I15" s="8">
        <v>2</v>
      </c>
      <c r="J15" t="s">
        <v>970</v>
      </c>
    </row>
    <row r="16" spans="1:10">
      <c r="A16" s="16">
        <v>15</v>
      </c>
      <c r="B16" s="7" t="s">
        <v>1002</v>
      </c>
      <c r="C16" s="8" t="s">
        <v>995</v>
      </c>
      <c r="D16" s="8" t="s">
        <v>996</v>
      </c>
      <c r="E16" s="8" t="s">
        <v>997</v>
      </c>
      <c r="F16" s="8" t="s">
        <v>998</v>
      </c>
      <c r="G16" s="8">
        <v>3</v>
      </c>
      <c r="H16" s="8" t="s">
        <v>67</v>
      </c>
      <c r="I16" s="8">
        <v>2</v>
      </c>
      <c r="J16" t="s">
        <v>970</v>
      </c>
    </row>
    <row r="17" spans="1:10">
      <c r="A17" s="16">
        <v>16</v>
      </c>
      <c r="B17" s="7" t="s">
        <v>1004</v>
      </c>
      <c r="C17" s="8" t="s">
        <v>995</v>
      </c>
      <c r="D17" s="8" t="s">
        <v>996</v>
      </c>
      <c r="E17" s="8" t="s">
        <v>997</v>
      </c>
      <c r="F17" s="8" t="s">
        <v>998</v>
      </c>
      <c r="G17" s="8">
        <v>3</v>
      </c>
      <c r="H17" s="8" t="s">
        <v>67</v>
      </c>
      <c r="I17" s="8">
        <v>2</v>
      </c>
      <c r="J17" t="s">
        <v>970</v>
      </c>
    </row>
    <row r="18" spans="1:10">
      <c r="A18" s="16">
        <v>17</v>
      </c>
      <c r="B18" s="7" t="s">
        <v>1006</v>
      </c>
      <c r="C18" s="8" t="s">
        <v>995</v>
      </c>
      <c r="D18" s="8" t="s">
        <v>996</v>
      </c>
      <c r="E18" s="8" t="s">
        <v>997</v>
      </c>
      <c r="F18" s="8" t="s">
        <v>998</v>
      </c>
      <c r="G18" s="8">
        <v>3</v>
      </c>
      <c r="H18" s="8" t="s">
        <v>67</v>
      </c>
      <c r="I18" s="8">
        <v>2</v>
      </c>
      <c r="J18" t="s">
        <v>970</v>
      </c>
    </row>
    <row r="19" spans="1:10">
      <c r="A19" s="16">
        <v>18</v>
      </c>
      <c r="B19" s="7" t="s">
        <v>1008</v>
      </c>
      <c r="C19" s="8" t="s">
        <v>995</v>
      </c>
      <c r="D19" s="8" t="s">
        <v>996</v>
      </c>
      <c r="E19" s="8" t="s">
        <v>997</v>
      </c>
      <c r="F19" s="8" t="s">
        <v>998</v>
      </c>
      <c r="G19" s="8">
        <v>3</v>
      </c>
      <c r="H19" s="8" t="s">
        <v>67</v>
      </c>
      <c r="I19" s="8">
        <v>2</v>
      </c>
      <c r="J19" t="s">
        <v>970</v>
      </c>
    </row>
    <row r="20" spans="1:10">
      <c r="A20" s="16">
        <v>19</v>
      </c>
      <c r="B20" s="7" t="s">
        <v>1010</v>
      </c>
      <c r="C20" s="8" t="s">
        <v>1011</v>
      </c>
      <c r="D20" s="8" t="s">
        <v>1012</v>
      </c>
      <c r="E20" s="8" t="s">
        <v>1013</v>
      </c>
      <c r="F20" s="8" t="s">
        <v>1014</v>
      </c>
      <c r="G20" s="8">
        <v>1</v>
      </c>
      <c r="H20" s="8" t="s">
        <v>14</v>
      </c>
      <c r="I20" s="8">
        <v>2</v>
      </c>
      <c r="J20" t="s">
        <v>970</v>
      </c>
    </row>
    <row r="21" spans="1:10">
      <c r="A21" s="16">
        <v>20</v>
      </c>
      <c r="B21" s="7" t="s">
        <v>1016</v>
      </c>
      <c r="C21" s="8" t="s">
        <v>1011</v>
      </c>
      <c r="D21" s="8" t="s">
        <v>1012</v>
      </c>
      <c r="E21" s="8" t="s">
        <v>1013</v>
      </c>
      <c r="F21" s="8" t="s">
        <v>1014</v>
      </c>
      <c r="G21" s="8">
        <v>1</v>
      </c>
      <c r="H21" s="8" t="s">
        <v>14</v>
      </c>
      <c r="I21" s="8">
        <v>2</v>
      </c>
      <c r="J21" t="s">
        <v>970</v>
      </c>
    </row>
    <row r="22" spans="1:10">
      <c r="A22" s="16">
        <v>21</v>
      </c>
      <c r="B22" s="7" t="s">
        <v>1018</v>
      </c>
      <c r="C22" s="8" t="s">
        <v>1011</v>
      </c>
      <c r="D22" s="8" t="s">
        <v>1012</v>
      </c>
      <c r="E22" s="8" t="s">
        <v>1013</v>
      </c>
      <c r="F22" s="8" t="s">
        <v>1014</v>
      </c>
      <c r="G22" s="8">
        <v>1</v>
      </c>
      <c r="H22" s="8" t="s">
        <v>14</v>
      </c>
      <c r="I22" s="8">
        <v>2</v>
      </c>
      <c r="J22" t="s">
        <v>970</v>
      </c>
    </row>
    <row r="23" spans="1:10">
      <c r="A23" s="16">
        <v>22</v>
      </c>
      <c r="B23" s="7" t="s">
        <v>1020</v>
      </c>
      <c r="C23" s="8" t="s">
        <v>1011</v>
      </c>
      <c r="D23" s="8" t="s">
        <v>1012</v>
      </c>
      <c r="E23" s="8" t="s">
        <v>1013</v>
      </c>
      <c r="F23" s="8" t="s">
        <v>1014</v>
      </c>
      <c r="G23" s="8">
        <v>1</v>
      </c>
      <c r="H23" s="8" t="s">
        <v>14</v>
      </c>
      <c r="I23" s="8">
        <v>2</v>
      </c>
      <c r="J23" t="s">
        <v>970</v>
      </c>
    </row>
    <row r="24" spans="1:10">
      <c r="A24" s="16">
        <v>23</v>
      </c>
      <c r="B24" s="7" t="s">
        <v>1022</v>
      </c>
      <c r="C24" s="8" t="s">
        <v>1011</v>
      </c>
      <c r="D24" s="8" t="s">
        <v>1012</v>
      </c>
      <c r="E24" s="8" t="s">
        <v>1013</v>
      </c>
      <c r="F24" s="8" t="s">
        <v>1014</v>
      </c>
      <c r="G24" s="8">
        <v>1</v>
      </c>
      <c r="H24" s="8" t="s">
        <v>14</v>
      </c>
      <c r="I24" s="8">
        <v>2</v>
      </c>
      <c r="J24" t="s">
        <v>970</v>
      </c>
    </row>
    <row r="25" spans="1:10">
      <c r="A25" s="16">
        <v>24</v>
      </c>
      <c r="B25" s="7" t="s">
        <v>1024</v>
      </c>
      <c r="C25" s="8" t="s">
        <v>1011</v>
      </c>
      <c r="D25" s="8" t="s">
        <v>1012</v>
      </c>
      <c r="E25" s="8" t="s">
        <v>1013</v>
      </c>
      <c r="F25" s="8" t="s">
        <v>1014</v>
      </c>
      <c r="G25" s="8">
        <v>1</v>
      </c>
      <c r="H25" s="8" t="s">
        <v>14</v>
      </c>
      <c r="I25" s="8">
        <v>2</v>
      </c>
      <c r="J25" t="s">
        <v>970</v>
      </c>
    </row>
    <row r="26" spans="1:10">
      <c r="A26" s="16">
        <v>25</v>
      </c>
      <c r="B26" s="7" t="s">
        <v>1026</v>
      </c>
      <c r="C26" s="8" t="s">
        <v>1011</v>
      </c>
      <c r="D26" s="8" t="s">
        <v>1012</v>
      </c>
      <c r="E26" s="8" t="s">
        <v>1013</v>
      </c>
      <c r="F26" s="8" t="s">
        <v>1014</v>
      </c>
      <c r="G26" s="8">
        <v>1</v>
      </c>
      <c r="H26" s="8" t="s">
        <v>14</v>
      </c>
      <c r="I26" s="8">
        <v>2</v>
      </c>
      <c r="J26" t="s">
        <v>970</v>
      </c>
    </row>
    <row r="27" spans="1:10">
      <c r="A27" s="16">
        <v>26</v>
      </c>
      <c r="B27" s="7" t="s">
        <v>1028</v>
      </c>
      <c r="C27" s="8" t="s">
        <v>1011</v>
      </c>
      <c r="D27" s="8" t="s">
        <v>1012</v>
      </c>
      <c r="E27" s="8" t="s">
        <v>1013</v>
      </c>
      <c r="F27" s="8" t="s">
        <v>1014</v>
      </c>
      <c r="G27" s="8">
        <v>1</v>
      </c>
      <c r="H27" s="8" t="s">
        <v>14</v>
      </c>
      <c r="I27" s="8">
        <v>2</v>
      </c>
      <c r="J27" t="s">
        <v>970</v>
      </c>
    </row>
    <row r="28" spans="1:10">
      <c r="A28" s="16">
        <v>27</v>
      </c>
      <c r="B28" s="7" t="s">
        <v>1030</v>
      </c>
      <c r="C28" s="8" t="s">
        <v>1011</v>
      </c>
      <c r="D28" s="8" t="s">
        <v>1012</v>
      </c>
      <c r="E28" s="8" t="s">
        <v>1013</v>
      </c>
      <c r="F28" s="8" t="s">
        <v>1014</v>
      </c>
      <c r="G28" s="8">
        <v>1</v>
      </c>
      <c r="H28" s="8" t="s">
        <v>14</v>
      </c>
      <c r="I28" s="8">
        <v>2</v>
      </c>
      <c r="J28" t="s">
        <v>970</v>
      </c>
    </row>
    <row r="29" spans="1:10">
      <c r="A29" s="16">
        <v>28</v>
      </c>
      <c r="B29" s="7" t="s">
        <v>1032</v>
      </c>
      <c r="C29" s="8" t="s">
        <v>1011</v>
      </c>
      <c r="D29" s="8" t="s">
        <v>1012</v>
      </c>
      <c r="E29" s="8" t="s">
        <v>1013</v>
      </c>
      <c r="F29" s="8" t="s">
        <v>1014</v>
      </c>
      <c r="G29" s="8">
        <v>1</v>
      </c>
      <c r="H29" s="8" t="s">
        <v>14</v>
      </c>
      <c r="I29" s="8">
        <v>2</v>
      </c>
      <c r="J29" t="s">
        <v>970</v>
      </c>
    </row>
    <row r="30" spans="1:10">
      <c r="A30" s="16">
        <v>29</v>
      </c>
      <c r="B30" s="7" t="s">
        <v>1034</v>
      </c>
      <c r="C30" s="8" t="s">
        <v>1011</v>
      </c>
      <c r="D30" s="8" t="s">
        <v>1012</v>
      </c>
      <c r="E30" s="8" t="s">
        <v>1013</v>
      </c>
      <c r="F30" s="8" t="s">
        <v>1014</v>
      </c>
      <c r="G30" s="8">
        <v>1</v>
      </c>
      <c r="H30" s="8" t="s">
        <v>14</v>
      </c>
      <c r="I30" s="8">
        <v>2</v>
      </c>
      <c r="J30" t="s">
        <v>970</v>
      </c>
    </row>
    <row r="31" spans="1:10">
      <c r="A31" s="16">
        <v>30</v>
      </c>
      <c r="B31" s="7" t="s">
        <v>1036</v>
      </c>
      <c r="C31" s="8" t="s">
        <v>1011</v>
      </c>
      <c r="D31" s="8" t="s">
        <v>1012</v>
      </c>
      <c r="E31" s="8" t="s">
        <v>1013</v>
      </c>
      <c r="F31" s="8" t="s">
        <v>1014</v>
      </c>
      <c r="G31" s="8">
        <v>1</v>
      </c>
      <c r="H31" s="8" t="s">
        <v>14</v>
      </c>
      <c r="I31" s="8">
        <v>2</v>
      </c>
      <c r="J31" t="s">
        <v>970</v>
      </c>
    </row>
    <row r="32" spans="1:10">
      <c r="A32" s="16">
        <v>31</v>
      </c>
      <c r="B32" s="7" t="s">
        <v>1038</v>
      </c>
      <c r="C32" s="8" t="s">
        <v>1011</v>
      </c>
      <c r="D32" s="8" t="s">
        <v>1012</v>
      </c>
      <c r="E32" s="8" t="s">
        <v>1013</v>
      </c>
      <c r="F32" s="8" t="s">
        <v>1014</v>
      </c>
      <c r="G32" s="8">
        <v>1</v>
      </c>
      <c r="H32" s="8" t="s">
        <v>14</v>
      </c>
      <c r="I32" s="8">
        <v>2</v>
      </c>
      <c r="J32" t="s">
        <v>970</v>
      </c>
    </row>
    <row r="33" spans="1:10">
      <c r="A33" s="16">
        <v>32</v>
      </c>
      <c r="B33" s="7" t="s">
        <v>1040</v>
      </c>
      <c r="C33" s="8" t="s">
        <v>1011</v>
      </c>
      <c r="D33" s="8" t="s">
        <v>1012</v>
      </c>
      <c r="E33" s="8" t="s">
        <v>1013</v>
      </c>
      <c r="F33" s="8" t="s">
        <v>1014</v>
      </c>
      <c r="G33" s="8">
        <v>1</v>
      </c>
      <c r="H33" s="8" t="s">
        <v>14</v>
      </c>
      <c r="I33" s="8">
        <v>2</v>
      </c>
      <c r="J33" t="s">
        <v>970</v>
      </c>
    </row>
    <row r="34" spans="1:10">
      <c r="A34" s="16">
        <v>33</v>
      </c>
      <c r="B34" s="7" t="s">
        <v>1042</v>
      </c>
      <c r="C34" s="8" t="s">
        <v>1011</v>
      </c>
      <c r="D34" s="8" t="s">
        <v>1012</v>
      </c>
      <c r="E34" s="8" t="s">
        <v>1013</v>
      </c>
      <c r="F34" s="8" t="s">
        <v>1014</v>
      </c>
      <c r="G34" s="8">
        <v>1</v>
      </c>
      <c r="H34" s="8" t="s">
        <v>14</v>
      </c>
      <c r="I34" s="8">
        <v>2</v>
      </c>
      <c r="J34" t="s">
        <v>970</v>
      </c>
    </row>
    <row r="35" spans="1:10">
      <c r="A35" s="16">
        <v>34</v>
      </c>
      <c r="B35" s="7" t="s">
        <v>1044</v>
      </c>
      <c r="C35" s="8" t="s">
        <v>1011</v>
      </c>
      <c r="D35" s="8" t="s">
        <v>1012</v>
      </c>
      <c r="E35" s="8" t="s">
        <v>1013</v>
      </c>
      <c r="F35" s="8" t="s">
        <v>1014</v>
      </c>
      <c r="G35" s="8">
        <v>1</v>
      </c>
      <c r="H35" s="8" t="s">
        <v>14</v>
      </c>
      <c r="I35" s="8">
        <v>2</v>
      </c>
      <c r="J35" t="s">
        <v>970</v>
      </c>
    </row>
    <row r="36" spans="1:10">
      <c r="A36" s="16">
        <v>35</v>
      </c>
      <c r="B36" s="7" t="s">
        <v>1046</v>
      </c>
      <c r="C36" s="8" t="s">
        <v>1011</v>
      </c>
      <c r="D36" s="8" t="s">
        <v>1012</v>
      </c>
      <c r="E36" s="8" t="s">
        <v>1013</v>
      </c>
      <c r="F36" s="8" t="s">
        <v>1014</v>
      </c>
      <c r="G36" s="8">
        <v>2</v>
      </c>
      <c r="H36" s="8" t="s">
        <v>142</v>
      </c>
      <c r="I36" s="8">
        <v>2</v>
      </c>
      <c r="J36" t="s">
        <v>970</v>
      </c>
    </row>
    <row r="37" spans="1:10">
      <c r="A37" s="16">
        <v>36</v>
      </c>
      <c r="B37" s="7" t="s">
        <v>1048</v>
      </c>
      <c r="C37" s="8" t="s">
        <v>1011</v>
      </c>
      <c r="D37" s="8" t="s">
        <v>1012</v>
      </c>
      <c r="E37" s="8" t="s">
        <v>1013</v>
      </c>
      <c r="F37" s="8" t="s">
        <v>1014</v>
      </c>
      <c r="G37" s="8">
        <v>2</v>
      </c>
      <c r="H37" s="8" t="s">
        <v>142</v>
      </c>
      <c r="I37" s="8">
        <v>2</v>
      </c>
      <c r="J37" t="s">
        <v>970</v>
      </c>
    </row>
    <row r="38" spans="1:10">
      <c r="A38" s="16">
        <v>37</v>
      </c>
      <c r="B38" s="7" t="s">
        <v>1050</v>
      </c>
      <c r="C38" s="8" t="s">
        <v>1011</v>
      </c>
      <c r="D38" s="8" t="s">
        <v>1012</v>
      </c>
      <c r="E38" s="8" t="s">
        <v>1013</v>
      </c>
      <c r="F38" s="8" t="s">
        <v>1014</v>
      </c>
      <c r="G38" s="8">
        <v>1</v>
      </c>
      <c r="H38" s="8" t="s">
        <v>14</v>
      </c>
      <c r="I38" s="8">
        <v>2</v>
      </c>
      <c r="J38" t="s">
        <v>970</v>
      </c>
    </row>
    <row r="39" spans="1:10">
      <c r="A39" s="16">
        <v>38</v>
      </c>
      <c r="B39" s="7" t="s">
        <v>1052</v>
      </c>
      <c r="C39" s="8" t="s">
        <v>1011</v>
      </c>
      <c r="D39" s="8" t="s">
        <v>1012</v>
      </c>
      <c r="E39" s="8" t="s">
        <v>1013</v>
      </c>
      <c r="F39" s="8" t="s">
        <v>1014</v>
      </c>
      <c r="G39" s="8">
        <v>2</v>
      </c>
      <c r="H39" s="8" t="s">
        <v>142</v>
      </c>
      <c r="I39" s="8">
        <v>2</v>
      </c>
      <c r="J39" t="s">
        <v>970</v>
      </c>
    </row>
    <row r="40" spans="1:10">
      <c r="A40" s="16">
        <v>39</v>
      </c>
      <c r="B40" s="7" t="s">
        <v>1054</v>
      </c>
      <c r="C40" s="8" t="s">
        <v>1011</v>
      </c>
      <c r="D40" s="8" t="s">
        <v>1012</v>
      </c>
      <c r="E40" s="8" t="s">
        <v>1013</v>
      </c>
      <c r="F40" s="8" t="s">
        <v>1014</v>
      </c>
      <c r="G40" s="8">
        <v>1</v>
      </c>
      <c r="H40" s="8" t="s">
        <v>14</v>
      </c>
      <c r="I40" s="8">
        <v>2</v>
      </c>
      <c r="J40" t="s">
        <v>970</v>
      </c>
    </row>
    <row r="41" spans="1:10">
      <c r="A41" s="16">
        <v>40</v>
      </c>
      <c r="B41" s="7" t="s">
        <v>1056</v>
      </c>
      <c r="C41" s="8" t="s">
        <v>1011</v>
      </c>
      <c r="D41" s="8" t="s">
        <v>1012</v>
      </c>
      <c r="E41" s="8" t="s">
        <v>1013</v>
      </c>
      <c r="F41" s="8" t="s">
        <v>1014</v>
      </c>
      <c r="G41" s="8">
        <v>1</v>
      </c>
      <c r="H41" s="8" t="s">
        <v>14</v>
      </c>
      <c r="I41" s="8">
        <v>2</v>
      </c>
      <c r="J41" t="s">
        <v>970</v>
      </c>
    </row>
    <row r="42" spans="1:10">
      <c r="A42" s="16">
        <v>41</v>
      </c>
      <c r="B42" s="7" t="s">
        <v>1058</v>
      </c>
      <c r="C42" s="8" t="s">
        <v>1011</v>
      </c>
      <c r="D42" s="8" t="s">
        <v>1012</v>
      </c>
      <c r="E42" s="8" t="s">
        <v>1013</v>
      </c>
      <c r="F42" s="8" t="s">
        <v>1014</v>
      </c>
      <c r="G42" s="8">
        <v>1</v>
      </c>
      <c r="H42" s="8" t="s">
        <v>14</v>
      </c>
      <c r="I42" s="8">
        <v>2</v>
      </c>
      <c r="J42" t="s">
        <v>970</v>
      </c>
    </row>
    <row r="43" spans="1:10">
      <c r="A43" s="16">
        <v>42</v>
      </c>
      <c r="B43" s="7" t="s">
        <v>1060</v>
      </c>
      <c r="C43" s="8" t="s">
        <v>1011</v>
      </c>
      <c r="D43" s="8" t="s">
        <v>1012</v>
      </c>
      <c r="E43" s="8" t="s">
        <v>1013</v>
      </c>
      <c r="F43" s="8" t="s">
        <v>1014</v>
      </c>
      <c r="G43" s="8">
        <v>1</v>
      </c>
      <c r="H43" s="8" t="s">
        <v>14</v>
      </c>
      <c r="I43" s="8">
        <v>2</v>
      </c>
      <c r="J43" t="s">
        <v>970</v>
      </c>
    </row>
    <row r="44" spans="1:10">
      <c r="A44" s="16">
        <v>43</v>
      </c>
      <c r="B44" s="7" t="s">
        <v>1062</v>
      </c>
      <c r="C44" s="8" t="s">
        <v>1011</v>
      </c>
      <c r="D44" s="8" t="s">
        <v>1012</v>
      </c>
      <c r="E44" s="8" t="s">
        <v>1013</v>
      </c>
      <c r="F44" s="8" t="s">
        <v>1014</v>
      </c>
      <c r="G44" s="8">
        <v>2</v>
      </c>
      <c r="H44" s="8" t="s">
        <v>142</v>
      </c>
      <c r="I44" s="8">
        <v>2</v>
      </c>
      <c r="J44" t="s">
        <v>970</v>
      </c>
    </row>
    <row r="45" spans="1:10">
      <c r="A45" s="16">
        <v>44</v>
      </c>
      <c r="B45" s="7" t="s">
        <v>1064</v>
      </c>
      <c r="C45" s="8" t="s">
        <v>1011</v>
      </c>
      <c r="D45" s="8" t="s">
        <v>1012</v>
      </c>
      <c r="E45" s="8" t="s">
        <v>1013</v>
      </c>
      <c r="F45" s="8" t="s">
        <v>1014</v>
      </c>
      <c r="G45" s="8">
        <v>3</v>
      </c>
      <c r="H45" s="8" t="s">
        <v>67</v>
      </c>
      <c r="I45" s="8">
        <v>2</v>
      </c>
      <c r="J45" t="s">
        <v>1065</v>
      </c>
    </row>
    <row r="46" spans="1:10">
      <c r="A46" s="16">
        <v>45</v>
      </c>
      <c r="B46" s="7" t="s">
        <v>1067</v>
      </c>
      <c r="C46" s="8" t="s">
        <v>1011</v>
      </c>
      <c r="D46" s="8" t="s">
        <v>1012</v>
      </c>
      <c r="E46" s="8" t="s">
        <v>1013</v>
      </c>
      <c r="F46" s="8" t="s">
        <v>1014</v>
      </c>
      <c r="G46" s="8">
        <v>3</v>
      </c>
      <c r="H46" s="8" t="s">
        <v>67</v>
      </c>
      <c r="I46" s="8">
        <v>2</v>
      </c>
      <c r="J46" t="s">
        <v>970</v>
      </c>
    </row>
    <row r="47" spans="1:10">
      <c r="A47" s="16">
        <v>46</v>
      </c>
      <c r="B47" s="7" t="s">
        <v>1069</v>
      </c>
      <c r="C47" s="8" t="s">
        <v>1011</v>
      </c>
      <c r="D47" s="8" t="s">
        <v>1012</v>
      </c>
      <c r="E47" s="8" t="s">
        <v>1013</v>
      </c>
      <c r="F47" s="8" t="s">
        <v>1014</v>
      </c>
      <c r="G47" s="8">
        <v>2</v>
      </c>
      <c r="H47" s="8" t="s">
        <v>142</v>
      </c>
      <c r="I47" s="8">
        <v>2</v>
      </c>
      <c r="J47" t="s">
        <v>970</v>
      </c>
    </row>
    <row r="48" spans="1:10">
      <c r="A48" s="16">
        <v>47</v>
      </c>
      <c r="B48" s="7" t="s">
        <v>1071</v>
      </c>
      <c r="C48" s="8" t="s">
        <v>1011</v>
      </c>
      <c r="D48" s="8" t="s">
        <v>1012</v>
      </c>
      <c r="E48" s="8" t="s">
        <v>1013</v>
      </c>
      <c r="F48" s="8" t="s">
        <v>1014</v>
      </c>
      <c r="G48" s="8">
        <v>3</v>
      </c>
      <c r="H48" s="8" t="s">
        <v>67</v>
      </c>
      <c r="I48" s="8">
        <v>2</v>
      </c>
      <c r="J48" t="s">
        <v>970</v>
      </c>
    </row>
    <row r="49" spans="1:10">
      <c r="A49" s="16">
        <v>48</v>
      </c>
      <c r="B49" s="7" t="s">
        <v>1073</v>
      </c>
      <c r="C49" s="8" t="s">
        <v>1011</v>
      </c>
      <c r="D49" s="8" t="s">
        <v>1012</v>
      </c>
      <c r="E49" s="8" t="s">
        <v>1013</v>
      </c>
      <c r="F49" s="8" t="s">
        <v>1014</v>
      </c>
      <c r="G49" s="8">
        <v>2</v>
      </c>
      <c r="H49" s="8" t="s">
        <v>142</v>
      </c>
      <c r="I49" s="8">
        <v>2</v>
      </c>
      <c r="J49" t="s">
        <v>970</v>
      </c>
    </row>
    <row r="50" spans="1:10">
      <c r="A50" s="16">
        <v>49</v>
      </c>
      <c r="B50" s="7" t="s">
        <v>1075</v>
      </c>
      <c r="C50" s="8" t="s">
        <v>1011</v>
      </c>
      <c r="D50" s="8" t="s">
        <v>1012</v>
      </c>
      <c r="E50" s="8" t="s">
        <v>1013</v>
      </c>
      <c r="F50" s="8" t="s">
        <v>1014</v>
      </c>
      <c r="G50" s="8">
        <v>2</v>
      </c>
      <c r="H50" s="8" t="s">
        <v>142</v>
      </c>
      <c r="I50" s="8">
        <v>2</v>
      </c>
      <c r="J50" t="s">
        <v>970</v>
      </c>
    </row>
    <row r="51" spans="1:10">
      <c r="A51" s="16">
        <v>50</v>
      </c>
      <c r="B51" s="7" t="s">
        <v>1077</v>
      </c>
      <c r="C51" s="8" t="s">
        <v>1011</v>
      </c>
      <c r="D51" s="8" t="s">
        <v>1012</v>
      </c>
      <c r="E51" s="8" t="s">
        <v>1013</v>
      </c>
      <c r="F51" s="8" t="s">
        <v>1014</v>
      </c>
      <c r="G51" s="8">
        <v>3</v>
      </c>
      <c r="H51" s="8" t="s">
        <v>67</v>
      </c>
      <c r="I51" s="8">
        <v>2</v>
      </c>
      <c r="J51" t="s">
        <v>970</v>
      </c>
    </row>
    <row r="52" spans="1:10">
      <c r="A52" s="16">
        <v>51</v>
      </c>
      <c r="B52" s="7" t="s">
        <v>1079</v>
      </c>
      <c r="C52" s="8" t="s">
        <v>1011</v>
      </c>
      <c r="D52" s="8" t="s">
        <v>1012</v>
      </c>
      <c r="E52" s="8" t="s">
        <v>1013</v>
      </c>
      <c r="F52" s="8" t="s">
        <v>1014</v>
      </c>
      <c r="G52" s="8">
        <v>3</v>
      </c>
      <c r="H52" s="8" t="s">
        <v>67</v>
      </c>
      <c r="I52" s="8">
        <v>2</v>
      </c>
      <c r="J52" t="s">
        <v>970</v>
      </c>
    </row>
    <row r="53" spans="1:10">
      <c r="A53" s="16">
        <v>52</v>
      </c>
      <c r="B53" s="7" t="s">
        <v>1081</v>
      </c>
      <c r="C53" s="8" t="s">
        <v>1011</v>
      </c>
      <c r="D53" s="8" t="s">
        <v>1012</v>
      </c>
      <c r="E53" s="8" t="s">
        <v>1013</v>
      </c>
      <c r="F53" s="8" t="s">
        <v>1014</v>
      </c>
      <c r="G53" s="8">
        <v>3</v>
      </c>
      <c r="H53" s="8" t="s">
        <v>67</v>
      </c>
      <c r="I53" s="8">
        <v>2</v>
      </c>
      <c r="J53" t="s">
        <v>970</v>
      </c>
    </row>
    <row r="54" spans="1:10">
      <c r="A54" s="16">
        <v>53</v>
      </c>
      <c r="B54" s="7" t="s">
        <v>1083</v>
      </c>
      <c r="C54" s="8" t="s">
        <v>1011</v>
      </c>
      <c r="D54" s="8" t="s">
        <v>1012</v>
      </c>
      <c r="E54" s="8" t="s">
        <v>1013</v>
      </c>
      <c r="F54" s="8" t="s">
        <v>1014</v>
      </c>
      <c r="G54" s="8">
        <v>3</v>
      </c>
      <c r="H54" s="8" t="s">
        <v>67</v>
      </c>
      <c r="I54" s="8">
        <v>2</v>
      </c>
      <c r="J54" t="s">
        <v>970</v>
      </c>
    </row>
    <row r="55" spans="1:10">
      <c r="A55" s="16">
        <v>54</v>
      </c>
      <c r="B55" s="7" t="s">
        <v>1085</v>
      </c>
      <c r="C55" s="8" t="s">
        <v>1011</v>
      </c>
      <c r="D55" s="8" t="s">
        <v>1012</v>
      </c>
      <c r="E55" s="8" t="s">
        <v>1013</v>
      </c>
      <c r="F55" s="8" t="s">
        <v>1014</v>
      </c>
      <c r="G55" s="8">
        <v>3</v>
      </c>
      <c r="H55" s="8" t="s">
        <v>67</v>
      </c>
      <c r="I55" s="8">
        <v>2</v>
      </c>
      <c r="J55" t="s">
        <v>970</v>
      </c>
    </row>
    <row r="56" spans="1:10">
      <c r="A56" s="16">
        <v>55</v>
      </c>
      <c r="B56" s="7" t="s">
        <v>1087</v>
      </c>
      <c r="C56" s="8" t="s">
        <v>1011</v>
      </c>
      <c r="D56" s="8" t="s">
        <v>1012</v>
      </c>
      <c r="E56" s="8" t="s">
        <v>1013</v>
      </c>
      <c r="F56" s="8" t="s">
        <v>1014</v>
      </c>
      <c r="G56" s="8">
        <v>3</v>
      </c>
      <c r="H56" s="8" t="s">
        <v>67</v>
      </c>
      <c r="I56" s="8">
        <v>2</v>
      </c>
      <c r="J56" t="s">
        <v>970</v>
      </c>
    </row>
    <row r="57" spans="1:10">
      <c r="A57" s="16">
        <v>56</v>
      </c>
      <c r="B57" s="7" t="s">
        <v>1089</v>
      </c>
      <c r="C57" s="8" t="s">
        <v>1011</v>
      </c>
      <c r="D57" s="8" t="s">
        <v>1012</v>
      </c>
      <c r="E57" s="8" t="s">
        <v>1013</v>
      </c>
      <c r="F57" s="8" t="s">
        <v>1014</v>
      </c>
      <c r="G57" s="8">
        <v>3</v>
      </c>
      <c r="H57" s="8" t="s">
        <v>67</v>
      </c>
      <c r="I57" s="8">
        <v>2</v>
      </c>
      <c r="J57" t="s">
        <v>970</v>
      </c>
    </row>
    <row r="58" spans="1:10">
      <c r="A58" s="16">
        <v>57</v>
      </c>
      <c r="B58" s="7" t="s">
        <v>1091</v>
      </c>
      <c r="C58" s="8" t="s">
        <v>1011</v>
      </c>
      <c r="D58" s="8" t="s">
        <v>1012</v>
      </c>
      <c r="E58" s="8" t="s">
        <v>1013</v>
      </c>
      <c r="F58" s="8" t="s">
        <v>1014</v>
      </c>
      <c r="G58" s="8">
        <v>3</v>
      </c>
      <c r="H58" s="8" t="s">
        <v>67</v>
      </c>
      <c r="I58" s="8">
        <v>2</v>
      </c>
      <c r="J58" t="s">
        <v>970</v>
      </c>
    </row>
    <row r="59" spans="1:10">
      <c r="A59" s="16">
        <v>58</v>
      </c>
      <c r="B59" s="7" t="s">
        <v>1093</v>
      </c>
      <c r="C59" s="8" t="s">
        <v>1011</v>
      </c>
      <c r="D59" s="8" t="s">
        <v>1012</v>
      </c>
      <c r="E59" s="8" t="s">
        <v>1013</v>
      </c>
      <c r="F59" s="8" t="s">
        <v>1014</v>
      </c>
      <c r="G59" s="8">
        <v>3</v>
      </c>
      <c r="H59" s="8" t="s">
        <v>67</v>
      </c>
      <c r="I59" s="8">
        <v>2</v>
      </c>
      <c r="J59" t="s">
        <v>970</v>
      </c>
    </row>
    <row r="60" spans="1:10">
      <c r="A60" s="16">
        <v>59</v>
      </c>
      <c r="B60" s="7" t="s">
        <v>1095</v>
      </c>
      <c r="C60" s="8" t="s">
        <v>1011</v>
      </c>
      <c r="D60" s="8" t="s">
        <v>1012</v>
      </c>
      <c r="E60" s="8" t="s">
        <v>1013</v>
      </c>
      <c r="F60" s="8" t="s">
        <v>1014</v>
      </c>
      <c r="G60" s="8">
        <v>3</v>
      </c>
      <c r="H60" s="8" t="s">
        <v>67</v>
      </c>
      <c r="I60" s="8">
        <v>2</v>
      </c>
      <c r="J60" t="s">
        <v>970</v>
      </c>
    </row>
    <row r="61" spans="1:10">
      <c r="A61" s="16">
        <v>60</v>
      </c>
      <c r="B61" s="7" t="s">
        <v>1097</v>
      </c>
      <c r="C61" s="8" t="s">
        <v>1011</v>
      </c>
      <c r="D61" s="8" t="s">
        <v>1012</v>
      </c>
      <c r="E61" s="8" t="s">
        <v>1013</v>
      </c>
      <c r="F61" s="8" t="s">
        <v>1014</v>
      </c>
      <c r="G61" s="8">
        <v>3</v>
      </c>
      <c r="H61" s="8" t="s">
        <v>67</v>
      </c>
      <c r="I61" s="8">
        <v>2</v>
      </c>
      <c r="J61" t="s">
        <v>1065</v>
      </c>
    </row>
    <row r="62" spans="1:10">
      <c r="A62" s="16">
        <v>61</v>
      </c>
      <c r="B62" s="7" t="s">
        <v>1099</v>
      </c>
      <c r="C62" s="8" t="s">
        <v>1011</v>
      </c>
      <c r="D62" s="8" t="s">
        <v>1012</v>
      </c>
      <c r="E62" s="8" t="s">
        <v>1013</v>
      </c>
      <c r="F62" s="8" t="s">
        <v>1014</v>
      </c>
      <c r="G62" s="8">
        <v>3</v>
      </c>
      <c r="H62" s="8" t="s">
        <v>67</v>
      </c>
      <c r="I62" s="8">
        <v>2</v>
      </c>
      <c r="J62" t="s">
        <v>970</v>
      </c>
    </row>
    <row r="63" spans="1:10">
      <c r="A63" s="16">
        <v>62</v>
      </c>
      <c r="B63" s="7" t="s">
        <v>1101</v>
      </c>
      <c r="C63" s="8" t="s">
        <v>1011</v>
      </c>
      <c r="D63" s="8" t="s">
        <v>1012</v>
      </c>
      <c r="E63" s="8" t="s">
        <v>1013</v>
      </c>
      <c r="F63" s="8" t="s">
        <v>1014</v>
      </c>
      <c r="G63" s="8">
        <v>3</v>
      </c>
      <c r="H63" s="8" t="s">
        <v>67</v>
      </c>
      <c r="I63" s="8">
        <v>2</v>
      </c>
      <c r="J63" t="s">
        <v>970</v>
      </c>
    </row>
    <row r="64" spans="1:10">
      <c r="A64" s="16">
        <v>63</v>
      </c>
      <c r="B64" s="7" t="s">
        <v>1103</v>
      </c>
      <c r="C64" s="8" t="s">
        <v>1011</v>
      </c>
      <c r="D64" s="8" t="s">
        <v>1012</v>
      </c>
      <c r="E64" s="8" t="s">
        <v>1013</v>
      </c>
      <c r="F64" s="8" t="s">
        <v>1014</v>
      </c>
      <c r="G64" s="8">
        <v>3</v>
      </c>
      <c r="H64" s="8" t="s">
        <v>67</v>
      </c>
      <c r="I64" s="8">
        <v>2</v>
      </c>
      <c r="J64" t="s">
        <v>1065</v>
      </c>
    </row>
    <row r="65" spans="1:10">
      <c r="A65" s="16">
        <v>64</v>
      </c>
      <c r="B65" s="7" t="s">
        <v>1105</v>
      </c>
      <c r="C65" s="8" t="s">
        <v>1106</v>
      </c>
      <c r="D65" s="8" t="s">
        <v>1107</v>
      </c>
      <c r="E65" s="8" t="s">
        <v>1108</v>
      </c>
      <c r="F65" s="8" t="s">
        <v>1109</v>
      </c>
      <c r="G65" s="8">
        <v>3</v>
      </c>
      <c r="H65" s="8" t="s">
        <v>67</v>
      </c>
      <c r="I65" s="8">
        <v>2</v>
      </c>
      <c r="J65" t="s">
        <v>970</v>
      </c>
    </row>
    <row r="66" spans="1:10">
      <c r="A66" s="16">
        <v>65</v>
      </c>
      <c r="B66" s="7" t="s">
        <v>1111</v>
      </c>
      <c r="C66" s="8" t="s">
        <v>1106</v>
      </c>
      <c r="D66" s="8" t="s">
        <v>1107</v>
      </c>
      <c r="E66" s="8" t="s">
        <v>1108</v>
      </c>
      <c r="F66" s="8" t="s">
        <v>1109</v>
      </c>
      <c r="G66" s="8">
        <v>3</v>
      </c>
      <c r="H66" s="8" t="s">
        <v>67</v>
      </c>
      <c r="I66" s="8">
        <v>2</v>
      </c>
      <c r="J66" t="s">
        <v>970</v>
      </c>
    </row>
    <row r="67" spans="1:10">
      <c r="A67" s="16">
        <v>66</v>
      </c>
      <c r="B67" s="7" t="s">
        <v>1113</v>
      </c>
      <c r="C67" s="8" t="s">
        <v>1106</v>
      </c>
      <c r="D67" s="8" t="s">
        <v>1107</v>
      </c>
      <c r="E67" s="8" t="s">
        <v>1108</v>
      </c>
      <c r="F67" s="8" t="s">
        <v>1109</v>
      </c>
      <c r="G67" s="8">
        <v>3</v>
      </c>
      <c r="H67" s="8" t="s">
        <v>67</v>
      </c>
      <c r="I67" s="8">
        <v>2</v>
      </c>
      <c r="J67" t="s">
        <v>970</v>
      </c>
    </row>
    <row r="68" spans="1:10">
      <c r="A68" s="16">
        <v>67</v>
      </c>
      <c r="B68" s="7" t="s">
        <v>1115</v>
      </c>
      <c r="C68" s="8" t="s">
        <v>1106</v>
      </c>
      <c r="D68" s="8" t="s">
        <v>1107</v>
      </c>
      <c r="E68" s="8" t="s">
        <v>1108</v>
      </c>
      <c r="F68" s="8" t="s">
        <v>1109</v>
      </c>
      <c r="G68" s="8">
        <v>3</v>
      </c>
      <c r="H68" s="8" t="s">
        <v>67</v>
      </c>
      <c r="I68" s="8">
        <v>2</v>
      </c>
      <c r="J68" t="s">
        <v>970</v>
      </c>
    </row>
    <row r="69" spans="1:10">
      <c r="A69" s="16">
        <v>68</v>
      </c>
      <c r="B69" s="7" t="s">
        <v>1117</v>
      </c>
      <c r="C69" s="8" t="s">
        <v>1118</v>
      </c>
      <c r="D69" s="8" t="s">
        <v>1119</v>
      </c>
      <c r="E69" s="8" t="s">
        <v>1117</v>
      </c>
      <c r="F69" s="8" t="s">
        <v>1120</v>
      </c>
      <c r="G69" s="8">
        <v>2</v>
      </c>
      <c r="H69" s="8" t="s">
        <v>142</v>
      </c>
      <c r="I69" s="8">
        <v>2</v>
      </c>
      <c r="J69" t="s">
        <v>970</v>
      </c>
    </row>
    <row r="70" spans="1:10">
      <c r="A70" s="16">
        <v>69</v>
      </c>
      <c r="B70" s="7" t="s">
        <v>1122</v>
      </c>
      <c r="C70" s="8" t="s">
        <v>1118</v>
      </c>
      <c r="D70" s="8" t="s">
        <v>1119</v>
      </c>
      <c r="E70" s="8" t="s">
        <v>1117</v>
      </c>
      <c r="F70" s="8" t="s">
        <v>1120</v>
      </c>
      <c r="G70" s="8">
        <v>2</v>
      </c>
      <c r="H70" s="8" t="s">
        <v>142</v>
      </c>
      <c r="I70" s="8">
        <v>2</v>
      </c>
      <c r="J70" t="s">
        <v>970</v>
      </c>
    </row>
    <row r="71" spans="1:10">
      <c r="A71" s="16">
        <v>70</v>
      </c>
      <c r="B71" s="7" t="s">
        <v>1124</v>
      </c>
      <c r="C71" s="8" t="s">
        <v>1125</v>
      </c>
      <c r="D71" s="8" t="s">
        <v>1126</v>
      </c>
      <c r="E71" s="8" t="s">
        <v>1126</v>
      </c>
      <c r="F71" s="8" t="s">
        <v>1127</v>
      </c>
      <c r="G71" s="8">
        <v>3</v>
      </c>
      <c r="H71" s="8" t="s">
        <v>67</v>
      </c>
      <c r="I71" s="8">
        <v>2</v>
      </c>
      <c r="J71" t="s">
        <v>970</v>
      </c>
    </row>
    <row r="72" spans="1:10">
      <c r="A72" s="16">
        <v>71</v>
      </c>
      <c r="B72" s="7" t="s">
        <v>1129</v>
      </c>
      <c r="C72" s="8" t="s">
        <v>1125</v>
      </c>
      <c r="D72" s="8" t="s">
        <v>1126</v>
      </c>
      <c r="E72" s="8" t="s">
        <v>1126</v>
      </c>
      <c r="F72" s="8" t="s">
        <v>1127</v>
      </c>
      <c r="G72" s="8">
        <v>3</v>
      </c>
      <c r="H72" s="8" t="s">
        <v>67</v>
      </c>
      <c r="I72" s="8">
        <v>2</v>
      </c>
      <c r="J72" t="s">
        <v>970</v>
      </c>
    </row>
    <row r="73" spans="1:10">
      <c r="A73" s="16">
        <v>72</v>
      </c>
      <c r="B73" s="7" t="s">
        <v>1131</v>
      </c>
      <c r="C73" s="8" t="s">
        <v>1125</v>
      </c>
      <c r="D73" s="8" t="s">
        <v>1126</v>
      </c>
      <c r="E73" s="8" t="s">
        <v>1126</v>
      </c>
      <c r="F73" s="8" t="s">
        <v>1127</v>
      </c>
      <c r="G73" s="8">
        <v>3</v>
      </c>
      <c r="H73" s="8" t="s">
        <v>67</v>
      </c>
      <c r="I73" s="8">
        <v>2</v>
      </c>
      <c r="J73" t="s">
        <v>970</v>
      </c>
    </row>
    <row r="74" spans="1:10">
      <c r="A74" s="16">
        <v>73</v>
      </c>
      <c r="B74" s="7" t="s">
        <v>1133</v>
      </c>
      <c r="C74" s="8" t="s">
        <v>1125</v>
      </c>
      <c r="D74" s="8" t="s">
        <v>1126</v>
      </c>
      <c r="E74" s="8" t="s">
        <v>1126</v>
      </c>
      <c r="F74" s="8" t="s">
        <v>1127</v>
      </c>
      <c r="G74" s="8">
        <v>3</v>
      </c>
      <c r="H74" s="8" t="s">
        <v>67</v>
      </c>
      <c r="I74" s="8">
        <v>2</v>
      </c>
      <c r="J74" t="s">
        <v>970</v>
      </c>
    </row>
    <row r="75" spans="1:10">
      <c r="A75" s="16">
        <v>74</v>
      </c>
      <c r="B75" s="7" t="s">
        <v>1135</v>
      </c>
      <c r="C75" s="8" t="s">
        <v>1136</v>
      </c>
      <c r="D75" s="8" t="s">
        <v>1137</v>
      </c>
      <c r="E75" s="8" t="s">
        <v>1138</v>
      </c>
      <c r="F75" s="8" t="s">
        <v>1139</v>
      </c>
      <c r="G75" s="8">
        <v>3</v>
      </c>
      <c r="H75" s="8" t="s">
        <v>67</v>
      </c>
      <c r="I75" s="8">
        <v>2</v>
      </c>
      <c r="J75" t="s">
        <v>970</v>
      </c>
    </row>
    <row r="76" spans="1:10">
      <c r="A76" s="16">
        <v>75</v>
      </c>
      <c r="B76" s="7" t="s">
        <v>1141</v>
      </c>
      <c r="C76" s="8" t="s">
        <v>1136</v>
      </c>
      <c r="D76" s="8" t="s">
        <v>1137</v>
      </c>
      <c r="E76" s="8" t="s">
        <v>1138</v>
      </c>
      <c r="F76" s="8" t="s">
        <v>1139</v>
      </c>
      <c r="G76" s="8">
        <v>3</v>
      </c>
      <c r="H76" s="8" t="s">
        <v>67</v>
      </c>
      <c r="I76" s="8">
        <v>2</v>
      </c>
      <c r="J76" t="s">
        <v>970</v>
      </c>
    </row>
    <row r="77" spans="1:10">
      <c r="A77" s="16">
        <v>76</v>
      </c>
      <c r="B77" s="7" t="s">
        <v>1143</v>
      </c>
      <c r="C77" s="8" t="s">
        <v>1136</v>
      </c>
      <c r="D77" s="8" t="s">
        <v>1137</v>
      </c>
      <c r="E77" s="8" t="s">
        <v>1138</v>
      </c>
      <c r="F77" s="8" t="s">
        <v>1139</v>
      </c>
      <c r="G77" s="8">
        <v>3</v>
      </c>
      <c r="H77" s="8" t="s">
        <v>67</v>
      </c>
      <c r="I77" s="8">
        <v>2</v>
      </c>
      <c r="J77" t="s">
        <v>1065</v>
      </c>
    </row>
    <row r="78" spans="1:10">
      <c r="A78" s="16">
        <v>77</v>
      </c>
      <c r="B78" s="7" t="s">
        <v>1145</v>
      </c>
      <c r="C78" s="8" t="s">
        <v>1146</v>
      </c>
      <c r="D78" s="8" t="s">
        <v>1147</v>
      </c>
      <c r="E78" s="8" t="s">
        <v>1148</v>
      </c>
      <c r="F78" s="8" t="s">
        <v>1149</v>
      </c>
      <c r="G78" s="8">
        <v>3</v>
      </c>
      <c r="H78" s="8" t="s">
        <v>67</v>
      </c>
      <c r="I78" s="8">
        <v>2</v>
      </c>
      <c r="J78" t="s">
        <v>970</v>
      </c>
    </row>
    <row r="79" spans="1:10">
      <c r="A79" s="16">
        <v>78</v>
      </c>
      <c r="B79" s="7" t="s">
        <v>1151</v>
      </c>
      <c r="C79" s="8" t="s">
        <v>1146</v>
      </c>
      <c r="D79" s="8" t="s">
        <v>1147</v>
      </c>
      <c r="E79" s="8" t="s">
        <v>1148</v>
      </c>
      <c r="F79" s="8" t="s">
        <v>1149</v>
      </c>
      <c r="G79" s="8">
        <v>2</v>
      </c>
      <c r="H79" s="8" t="s">
        <v>142</v>
      </c>
      <c r="I79" s="8">
        <v>2</v>
      </c>
      <c r="J79" t="s">
        <v>970</v>
      </c>
    </row>
    <row r="80" spans="1:10">
      <c r="A80" s="16">
        <v>79</v>
      </c>
      <c r="B80" s="7" t="s">
        <v>1153</v>
      </c>
      <c r="C80" s="8" t="s">
        <v>1154</v>
      </c>
      <c r="D80" s="8" t="s">
        <v>1155</v>
      </c>
      <c r="E80" s="8" t="s">
        <v>1155</v>
      </c>
      <c r="F80" s="8" t="s">
        <v>1156</v>
      </c>
      <c r="G80" s="8">
        <v>3</v>
      </c>
      <c r="H80" s="8" t="s">
        <v>67</v>
      </c>
      <c r="I80" s="8">
        <v>2</v>
      </c>
      <c r="J80" t="s">
        <v>970</v>
      </c>
    </row>
    <row r="81" spans="1:10">
      <c r="A81" s="16">
        <v>80</v>
      </c>
      <c r="B81" s="7" t="s">
        <v>1158</v>
      </c>
      <c r="C81" s="8" t="s">
        <v>1154</v>
      </c>
      <c r="D81" s="8" t="s">
        <v>1155</v>
      </c>
      <c r="E81" s="8" t="s">
        <v>1155</v>
      </c>
      <c r="F81" s="8" t="s">
        <v>1156</v>
      </c>
      <c r="G81" s="8">
        <v>3</v>
      </c>
      <c r="H81" s="8" t="s">
        <v>67</v>
      </c>
      <c r="I81" s="8">
        <v>2</v>
      </c>
      <c r="J81" t="s">
        <v>970</v>
      </c>
    </row>
    <row r="82" spans="1:10">
      <c r="A82" s="16">
        <v>81</v>
      </c>
      <c r="B82" s="7" t="s">
        <v>1160</v>
      </c>
      <c r="C82" s="8" t="s">
        <v>1154</v>
      </c>
      <c r="D82" s="8" t="s">
        <v>1155</v>
      </c>
      <c r="E82" s="8" t="s">
        <v>1155</v>
      </c>
      <c r="F82" s="8" t="s">
        <v>1156</v>
      </c>
      <c r="G82" s="8">
        <v>3</v>
      </c>
      <c r="H82" s="8" t="s">
        <v>67</v>
      </c>
      <c r="I82" s="8">
        <v>2</v>
      </c>
      <c r="J82" t="s">
        <v>970</v>
      </c>
    </row>
    <row r="83" spans="1:10">
      <c r="A83" s="16">
        <v>82</v>
      </c>
      <c r="B83" s="7" t="s">
        <v>298</v>
      </c>
      <c r="C83" s="8" t="s">
        <v>1154</v>
      </c>
      <c r="D83" s="8" t="s">
        <v>1155</v>
      </c>
      <c r="E83" s="8" t="s">
        <v>1155</v>
      </c>
      <c r="F83" s="8" t="s">
        <v>1156</v>
      </c>
      <c r="G83" s="8">
        <v>3</v>
      </c>
      <c r="H83" s="8" t="s">
        <v>67</v>
      </c>
      <c r="I83" s="8">
        <v>2</v>
      </c>
      <c r="J83" t="s">
        <v>970</v>
      </c>
    </row>
    <row r="84" spans="1:10">
      <c r="A84" s="16">
        <v>83</v>
      </c>
      <c r="B84" s="7" t="s">
        <v>1163</v>
      </c>
      <c r="C84" s="8" t="s">
        <v>1154</v>
      </c>
      <c r="D84" s="8" t="s">
        <v>1155</v>
      </c>
      <c r="E84" s="8" t="s">
        <v>1155</v>
      </c>
      <c r="F84" s="8" t="s">
        <v>1156</v>
      </c>
      <c r="G84" s="8">
        <v>3</v>
      </c>
      <c r="H84" s="8" t="s">
        <v>67</v>
      </c>
      <c r="I84" s="8">
        <v>2</v>
      </c>
      <c r="J84" t="s">
        <v>970</v>
      </c>
    </row>
    <row r="85" spans="1:10">
      <c r="A85" s="16">
        <v>84</v>
      </c>
      <c r="B85" s="7" t="s">
        <v>1165</v>
      </c>
      <c r="C85" s="8" t="s">
        <v>1154</v>
      </c>
      <c r="D85" s="8" t="s">
        <v>1155</v>
      </c>
      <c r="E85" s="8" t="s">
        <v>1155</v>
      </c>
      <c r="F85" s="8" t="s">
        <v>1156</v>
      </c>
      <c r="G85" s="8">
        <v>3</v>
      </c>
      <c r="H85" s="8" t="s">
        <v>67</v>
      </c>
      <c r="I85" s="8">
        <v>2</v>
      </c>
      <c r="J85" t="s">
        <v>970</v>
      </c>
    </row>
    <row r="86" spans="1:10">
      <c r="A86" s="16">
        <v>85</v>
      </c>
      <c r="B86" s="7" t="s">
        <v>1167</v>
      </c>
      <c r="C86" s="8" t="s">
        <v>1154</v>
      </c>
      <c r="D86" s="8" t="s">
        <v>1155</v>
      </c>
      <c r="E86" s="8" t="s">
        <v>1155</v>
      </c>
      <c r="F86" s="8" t="s">
        <v>1156</v>
      </c>
      <c r="G86" s="8">
        <v>3</v>
      </c>
      <c r="H86" s="8" t="s">
        <v>67</v>
      </c>
      <c r="I86" s="8">
        <v>2</v>
      </c>
      <c r="J86" t="s">
        <v>970</v>
      </c>
    </row>
    <row r="87" spans="1:10">
      <c r="A87" s="16">
        <v>86</v>
      </c>
      <c r="B87" s="7" t="s">
        <v>1169</v>
      </c>
      <c r="C87" s="8" t="s">
        <v>1154</v>
      </c>
      <c r="D87" s="8" t="s">
        <v>1155</v>
      </c>
      <c r="E87" s="8" t="s">
        <v>1155</v>
      </c>
      <c r="F87" s="8" t="s">
        <v>1156</v>
      </c>
      <c r="G87" s="8">
        <v>3</v>
      </c>
      <c r="H87" s="8" t="s">
        <v>67</v>
      </c>
      <c r="I87" s="8">
        <v>2</v>
      </c>
      <c r="J87" t="s">
        <v>970</v>
      </c>
    </row>
    <row r="88" spans="1:10">
      <c r="A88" s="16">
        <v>87</v>
      </c>
      <c r="B88" s="7" t="s">
        <v>1171</v>
      </c>
      <c r="C88" s="8" t="s">
        <v>1154</v>
      </c>
      <c r="D88" s="8" t="s">
        <v>1155</v>
      </c>
      <c r="E88" s="8" t="s">
        <v>1155</v>
      </c>
      <c r="F88" s="8" t="s">
        <v>1156</v>
      </c>
      <c r="G88" s="8">
        <v>3</v>
      </c>
      <c r="H88" s="8" t="s">
        <v>67</v>
      </c>
      <c r="I88" s="8">
        <v>2</v>
      </c>
      <c r="J88" t="s">
        <v>970</v>
      </c>
    </row>
    <row r="89" spans="1:10">
      <c r="A89" s="16">
        <v>88</v>
      </c>
      <c r="B89" s="7" t="s">
        <v>1173</v>
      </c>
      <c r="C89" s="8" t="s">
        <v>1174</v>
      </c>
      <c r="D89" s="8" t="s">
        <v>1175</v>
      </c>
      <c r="E89" s="8" t="s">
        <v>1175</v>
      </c>
      <c r="F89" s="8" t="s">
        <v>1176</v>
      </c>
      <c r="G89" s="8">
        <v>3</v>
      </c>
      <c r="H89" s="8" t="s">
        <v>67</v>
      </c>
      <c r="I89" s="8">
        <v>2</v>
      </c>
      <c r="J89" t="s">
        <v>970</v>
      </c>
    </row>
    <row r="90" spans="1:10">
      <c r="A90" s="16">
        <v>89</v>
      </c>
      <c r="B90" s="7" t="s">
        <v>1178</v>
      </c>
      <c r="C90" s="8" t="s">
        <v>1174</v>
      </c>
      <c r="D90" s="8" t="s">
        <v>1175</v>
      </c>
      <c r="E90" s="8" t="s">
        <v>1175</v>
      </c>
      <c r="F90" s="8" t="s">
        <v>1176</v>
      </c>
      <c r="G90" s="8">
        <v>3</v>
      </c>
      <c r="H90" s="8" t="s">
        <v>67</v>
      </c>
      <c r="I90" s="8">
        <v>2</v>
      </c>
      <c r="J90" t="s">
        <v>970</v>
      </c>
    </row>
    <row r="91" spans="1:10">
      <c r="A91" s="16">
        <v>90</v>
      </c>
      <c r="B91" s="7" t="s">
        <v>1180</v>
      </c>
      <c r="C91" s="8" t="s">
        <v>1174</v>
      </c>
      <c r="D91" s="8" t="s">
        <v>1175</v>
      </c>
      <c r="E91" s="8" t="s">
        <v>1175</v>
      </c>
      <c r="F91" s="8" t="s">
        <v>1176</v>
      </c>
      <c r="G91" s="8">
        <v>3</v>
      </c>
      <c r="H91" s="8" t="s">
        <v>67</v>
      </c>
      <c r="I91" s="8">
        <v>2</v>
      </c>
      <c r="J91" t="s">
        <v>970</v>
      </c>
    </row>
    <row r="92" spans="1:10">
      <c r="A92" s="16">
        <v>91</v>
      </c>
      <c r="B92" s="7" t="s">
        <v>1182</v>
      </c>
      <c r="C92" s="8" t="s">
        <v>1174</v>
      </c>
      <c r="D92" s="8" t="s">
        <v>1175</v>
      </c>
      <c r="E92" s="8" t="s">
        <v>1175</v>
      </c>
      <c r="F92" s="8" t="s">
        <v>1176</v>
      </c>
      <c r="G92" s="8">
        <v>3</v>
      </c>
      <c r="H92" s="8" t="s">
        <v>67</v>
      </c>
      <c r="I92" s="8">
        <v>1</v>
      </c>
      <c r="J92" t="s">
        <v>1065</v>
      </c>
    </row>
    <row r="93" spans="1:10">
      <c r="A93" s="16">
        <v>92</v>
      </c>
      <c r="B93" s="7" t="s">
        <v>1184</v>
      </c>
      <c r="C93" s="8" t="s">
        <v>1174</v>
      </c>
      <c r="D93" s="8" t="s">
        <v>1175</v>
      </c>
      <c r="E93" s="8" t="s">
        <v>1175</v>
      </c>
      <c r="F93" s="8" t="s">
        <v>1176</v>
      </c>
      <c r="G93" s="8">
        <v>3</v>
      </c>
      <c r="H93" s="8" t="s">
        <v>67</v>
      </c>
      <c r="I93" s="8">
        <v>2</v>
      </c>
      <c r="J93" t="s">
        <v>970</v>
      </c>
    </row>
    <row r="94" spans="1:10">
      <c r="A94" s="16">
        <v>93</v>
      </c>
      <c r="B94" s="7" t="s">
        <v>1186</v>
      </c>
      <c r="C94" s="8" t="s">
        <v>1174</v>
      </c>
      <c r="D94" s="8" t="s">
        <v>1175</v>
      </c>
      <c r="E94" s="8" t="s">
        <v>1175</v>
      </c>
      <c r="F94" s="8" t="s">
        <v>1176</v>
      </c>
      <c r="G94" s="8">
        <v>3</v>
      </c>
      <c r="H94" s="8" t="s">
        <v>67</v>
      </c>
      <c r="I94" s="8">
        <v>1</v>
      </c>
      <c r="J94" t="s">
        <v>1065</v>
      </c>
    </row>
    <row r="95" spans="1:10">
      <c r="A95" s="16">
        <v>94</v>
      </c>
      <c r="B95" s="7" t="s">
        <v>1188</v>
      </c>
      <c r="C95" s="8" t="s">
        <v>1189</v>
      </c>
      <c r="D95" s="8" t="s">
        <v>1190</v>
      </c>
      <c r="E95" s="8" t="s">
        <v>1191</v>
      </c>
      <c r="F95" s="8" t="s">
        <v>1192</v>
      </c>
      <c r="G95" s="8">
        <v>3</v>
      </c>
      <c r="H95" s="8" t="s">
        <v>67</v>
      </c>
      <c r="I95" s="8">
        <v>2</v>
      </c>
      <c r="J95" t="s">
        <v>970</v>
      </c>
    </row>
    <row r="96" spans="1:10">
      <c r="A96" s="16">
        <v>95</v>
      </c>
      <c r="B96" s="7" t="s">
        <v>1194</v>
      </c>
      <c r="C96" s="8" t="s">
        <v>1189</v>
      </c>
      <c r="D96" s="8" t="s">
        <v>1190</v>
      </c>
      <c r="E96" s="8" t="s">
        <v>1191</v>
      </c>
      <c r="F96" s="8" t="s">
        <v>1192</v>
      </c>
      <c r="G96" s="8">
        <v>3</v>
      </c>
      <c r="H96" s="8" t="s">
        <v>67</v>
      </c>
      <c r="I96" s="8">
        <v>2</v>
      </c>
      <c r="J96" t="s">
        <v>970</v>
      </c>
    </row>
    <row r="97" spans="1:10">
      <c r="A97" s="16">
        <v>96</v>
      </c>
      <c r="B97" s="7" t="s">
        <v>1196</v>
      </c>
      <c r="C97" s="8" t="s">
        <v>1189</v>
      </c>
      <c r="D97" s="8" t="s">
        <v>1190</v>
      </c>
      <c r="E97" s="8" t="s">
        <v>1191</v>
      </c>
      <c r="F97" s="8" t="s">
        <v>1192</v>
      </c>
      <c r="G97" s="8">
        <v>3</v>
      </c>
      <c r="H97" s="8" t="s">
        <v>67</v>
      </c>
      <c r="I97" s="8">
        <v>2</v>
      </c>
      <c r="J97" t="s">
        <v>970</v>
      </c>
    </row>
    <row r="98" spans="1:10">
      <c r="A98" s="16">
        <v>97</v>
      </c>
      <c r="B98" s="7" t="s">
        <v>1198</v>
      </c>
      <c r="C98" s="8" t="s">
        <v>1199</v>
      </c>
      <c r="D98" s="8" t="s">
        <v>1198</v>
      </c>
      <c r="E98" s="8" t="s">
        <v>1200</v>
      </c>
      <c r="F98" s="8" t="s">
        <v>1201</v>
      </c>
      <c r="G98" s="8">
        <v>3</v>
      </c>
      <c r="H98" s="8" t="s">
        <v>67</v>
      </c>
      <c r="I98" s="8">
        <v>2</v>
      </c>
      <c r="J98" t="s">
        <v>970</v>
      </c>
    </row>
    <row r="99" spans="1:10">
      <c r="A99" s="16">
        <v>98</v>
      </c>
      <c r="B99" s="7" t="s">
        <v>340</v>
      </c>
      <c r="C99" s="8" t="s">
        <v>1199</v>
      </c>
      <c r="D99" s="8" t="s">
        <v>1198</v>
      </c>
      <c r="E99" s="8" t="s">
        <v>1200</v>
      </c>
      <c r="F99" s="8" t="s">
        <v>1201</v>
      </c>
      <c r="G99" s="8">
        <v>3</v>
      </c>
      <c r="H99" s="8" t="s">
        <v>67</v>
      </c>
      <c r="I99" s="8">
        <v>2</v>
      </c>
      <c r="J99" t="s">
        <v>970</v>
      </c>
    </row>
    <row r="100" spans="1:10">
      <c r="A100" s="16">
        <v>99</v>
      </c>
      <c r="B100" s="7" t="s">
        <v>1204</v>
      </c>
      <c r="C100" s="8" t="s">
        <v>1205</v>
      </c>
      <c r="D100" s="8" t="s">
        <v>1206</v>
      </c>
      <c r="E100" s="8" t="s">
        <v>1207</v>
      </c>
      <c r="F100" s="8" t="s">
        <v>1208</v>
      </c>
      <c r="G100" s="8">
        <v>3</v>
      </c>
      <c r="H100" s="8" t="s">
        <v>67</v>
      </c>
      <c r="I100" s="8">
        <v>2</v>
      </c>
      <c r="J100" t="s">
        <v>970</v>
      </c>
    </row>
    <row r="101" spans="1:10">
      <c r="A101" s="16">
        <v>100</v>
      </c>
      <c r="B101" s="7" t="s">
        <v>1210</v>
      </c>
      <c r="C101" s="8" t="s">
        <v>1205</v>
      </c>
      <c r="D101" s="8" t="s">
        <v>1206</v>
      </c>
      <c r="E101" s="8" t="s">
        <v>1207</v>
      </c>
      <c r="F101" s="8" t="s">
        <v>1208</v>
      </c>
      <c r="G101" s="8">
        <v>3</v>
      </c>
      <c r="H101" s="8" t="s">
        <v>67</v>
      </c>
      <c r="I101" s="8">
        <v>1</v>
      </c>
      <c r="J101" t="s">
        <v>1065</v>
      </c>
    </row>
    <row r="102" spans="1:10">
      <c r="A102" s="16">
        <v>101</v>
      </c>
      <c r="B102" s="7" t="s">
        <v>1212</v>
      </c>
      <c r="C102" s="8" t="s">
        <v>1205</v>
      </c>
      <c r="D102" s="8" t="s">
        <v>1206</v>
      </c>
      <c r="E102" s="8" t="s">
        <v>1207</v>
      </c>
      <c r="F102" s="8" t="s">
        <v>1208</v>
      </c>
      <c r="G102" s="8">
        <v>2</v>
      </c>
      <c r="H102" s="8" t="s">
        <v>142</v>
      </c>
      <c r="I102" s="8">
        <v>1</v>
      </c>
      <c r="J102" t="s">
        <v>1065</v>
      </c>
    </row>
    <row r="103" spans="1:10">
      <c r="A103" s="16">
        <v>102</v>
      </c>
      <c r="B103" s="7" t="s">
        <v>1214</v>
      </c>
      <c r="C103" s="8" t="s">
        <v>1215</v>
      </c>
      <c r="D103" s="8" t="s">
        <v>1216</v>
      </c>
      <c r="E103" s="8" t="s">
        <v>1217</v>
      </c>
      <c r="F103" s="8" t="s">
        <v>1218</v>
      </c>
      <c r="G103" s="8">
        <v>3</v>
      </c>
      <c r="H103" s="8" t="s">
        <v>67</v>
      </c>
      <c r="I103" s="8">
        <v>2</v>
      </c>
      <c r="J103" t="s">
        <v>970</v>
      </c>
    </row>
    <row r="104" spans="1:10">
      <c r="A104" s="16">
        <v>103</v>
      </c>
      <c r="B104" s="7" t="s">
        <v>1220</v>
      </c>
      <c r="C104" s="8" t="s">
        <v>1215</v>
      </c>
      <c r="D104" s="8" t="s">
        <v>1216</v>
      </c>
      <c r="E104" s="8" t="s">
        <v>1217</v>
      </c>
      <c r="F104" s="8" t="s">
        <v>1218</v>
      </c>
      <c r="G104" s="8">
        <v>3</v>
      </c>
      <c r="H104" s="8" t="s">
        <v>67</v>
      </c>
      <c r="I104" s="8">
        <v>2</v>
      </c>
      <c r="J104" t="s">
        <v>970</v>
      </c>
    </row>
    <row r="105" spans="1:10">
      <c r="A105" s="16">
        <v>104</v>
      </c>
      <c r="B105" s="7" t="s">
        <v>1222</v>
      </c>
      <c r="C105" s="8" t="s">
        <v>1223</v>
      </c>
      <c r="D105" s="8" t="s">
        <v>1224</v>
      </c>
      <c r="E105" s="8" t="s">
        <v>1222</v>
      </c>
      <c r="F105" s="8" t="s">
        <v>1225</v>
      </c>
      <c r="G105" s="8">
        <v>3</v>
      </c>
      <c r="H105" s="8" t="s">
        <v>67</v>
      </c>
      <c r="I105" s="8">
        <v>2</v>
      </c>
      <c r="J105" t="s">
        <v>970</v>
      </c>
    </row>
    <row r="106" spans="1:10">
      <c r="A106" s="16">
        <v>105</v>
      </c>
      <c r="B106" s="7" t="s">
        <v>1227</v>
      </c>
      <c r="C106" s="8" t="s">
        <v>1228</v>
      </c>
      <c r="D106" s="8" t="s">
        <v>1229</v>
      </c>
      <c r="E106" s="8" t="s">
        <v>1229</v>
      </c>
      <c r="F106" s="8" t="s">
        <v>1230</v>
      </c>
      <c r="G106" s="8">
        <v>3</v>
      </c>
      <c r="H106" s="8" t="s">
        <v>67</v>
      </c>
      <c r="I106" s="8">
        <v>2</v>
      </c>
      <c r="J106" t="s">
        <v>970</v>
      </c>
    </row>
    <row r="107" spans="1:10">
      <c r="A107" s="16">
        <v>106</v>
      </c>
      <c r="B107" s="7" t="s">
        <v>1232</v>
      </c>
      <c r="C107" s="8" t="s">
        <v>1228</v>
      </c>
      <c r="D107" s="8" t="s">
        <v>1229</v>
      </c>
      <c r="E107" s="8" t="s">
        <v>1229</v>
      </c>
      <c r="F107" s="8" t="s">
        <v>1230</v>
      </c>
      <c r="G107" s="8">
        <v>3</v>
      </c>
      <c r="H107" s="8" t="s">
        <v>67</v>
      </c>
      <c r="I107" s="8">
        <v>1</v>
      </c>
      <c r="J107" t="s">
        <v>1065</v>
      </c>
    </row>
    <row r="108" spans="1:10">
      <c r="A108" s="16">
        <v>107</v>
      </c>
      <c r="B108" s="7" t="s">
        <v>1234</v>
      </c>
      <c r="C108" s="8" t="s">
        <v>1235</v>
      </c>
      <c r="D108" s="8" t="s">
        <v>1236</v>
      </c>
      <c r="E108" s="8" t="s">
        <v>1237</v>
      </c>
      <c r="F108" s="8" t="s">
        <v>1238</v>
      </c>
      <c r="G108" s="8">
        <v>3</v>
      </c>
      <c r="H108" s="8" t="s">
        <v>67</v>
      </c>
      <c r="I108" s="8">
        <v>2</v>
      </c>
      <c r="J108" t="s">
        <v>970</v>
      </c>
    </row>
    <row r="109" spans="1:10">
      <c r="A109" s="16">
        <v>108</v>
      </c>
      <c r="B109" s="7" t="s">
        <v>1240</v>
      </c>
      <c r="C109" s="8" t="s">
        <v>1235</v>
      </c>
      <c r="D109" s="8" t="s">
        <v>1236</v>
      </c>
      <c r="E109" s="8" t="s">
        <v>1237</v>
      </c>
      <c r="F109" s="8" t="s">
        <v>1238</v>
      </c>
      <c r="G109" s="8">
        <v>3</v>
      </c>
      <c r="H109" s="8" t="s">
        <v>67</v>
      </c>
      <c r="I109" s="8">
        <v>2</v>
      </c>
      <c r="J109" t="s">
        <v>970</v>
      </c>
    </row>
    <row r="110" spans="1:10">
      <c r="A110" s="16">
        <v>109</v>
      </c>
      <c r="B110" s="7" t="s">
        <v>1242</v>
      </c>
      <c r="C110" s="8" t="s">
        <v>1243</v>
      </c>
      <c r="D110" s="8" t="s">
        <v>1244</v>
      </c>
      <c r="E110" s="8" t="s">
        <v>1245</v>
      </c>
      <c r="F110" s="8" t="s">
        <v>1246</v>
      </c>
      <c r="G110" s="8">
        <v>3</v>
      </c>
      <c r="H110" s="8" t="s">
        <v>67</v>
      </c>
      <c r="I110" s="8">
        <v>1</v>
      </c>
      <c r="J110" t="s">
        <v>1065</v>
      </c>
    </row>
    <row r="111" spans="1:10">
      <c r="A111" s="16">
        <v>110</v>
      </c>
      <c r="B111" s="7" t="s">
        <v>1248</v>
      </c>
      <c r="C111" s="8" t="s">
        <v>1243</v>
      </c>
      <c r="D111" s="8" t="s">
        <v>1244</v>
      </c>
      <c r="E111" s="8" t="s">
        <v>1245</v>
      </c>
      <c r="F111" s="8" t="s">
        <v>1246</v>
      </c>
      <c r="G111" s="8">
        <v>3</v>
      </c>
      <c r="H111" s="8" t="s">
        <v>67</v>
      </c>
      <c r="I111" s="8">
        <v>1</v>
      </c>
      <c r="J111" t="s">
        <v>1065</v>
      </c>
    </row>
    <row r="112" spans="1:10">
      <c r="A112" s="16">
        <v>111</v>
      </c>
      <c r="B112" s="7" t="s">
        <v>1250</v>
      </c>
      <c r="C112" s="8" t="s">
        <v>1251</v>
      </c>
      <c r="D112" s="8" t="s">
        <v>1252</v>
      </c>
      <c r="E112" s="8" t="s">
        <v>1253</v>
      </c>
      <c r="F112" s="8" t="s">
        <v>1254</v>
      </c>
      <c r="G112" s="8">
        <v>3</v>
      </c>
      <c r="H112" s="8" t="s">
        <v>67</v>
      </c>
      <c r="I112" s="8">
        <v>2</v>
      </c>
      <c r="J112" t="s">
        <v>970</v>
      </c>
    </row>
    <row r="113" spans="1:2">
      <c r="A113" s="16">
        <v>112</v>
      </c>
      <c r="B113" s="7" t="s">
        <v>1670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5EFB-2653-409A-A12C-78D4FAFC551F}">
  <dimension ref="A1:F17"/>
  <sheetViews>
    <sheetView workbookViewId="0">
      <selection activeCell="C1" sqref="C1:F1"/>
    </sheetView>
  </sheetViews>
  <sheetFormatPr baseColWidth="10" defaultRowHeight="13.15"/>
  <cols>
    <col min="2" max="2" width="38.78515625" bestFit="1" customWidth="1"/>
    <col min="3" max="3" width="12.85546875" bestFit="1" customWidth="1"/>
    <col min="4" max="4" width="38.42578125" bestFit="1" customWidth="1"/>
    <col min="6" max="6" width="29.5" bestFit="1" customWidth="1"/>
  </cols>
  <sheetData>
    <row r="1" spans="1:6">
      <c r="A1" s="14" t="s">
        <v>944</v>
      </c>
      <c r="B1" t="s">
        <v>947</v>
      </c>
      <c r="C1" s="14" t="s">
        <v>1734</v>
      </c>
      <c r="D1" s="14" t="s">
        <v>1735</v>
      </c>
      <c r="E1" s="14" t="s">
        <v>1738</v>
      </c>
      <c r="F1" s="14" t="s">
        <v>1739</v>
      </c>
    </row>
    <row r="2" spans="1:6">
      <c r="A2">
        <v>1</v>
      </c>
      <c r="B2" s="14" t="s">
        <v>1732</v>
      </c>
      <c r="C2">
        <v>1</v>
      </c>
      <c r="D2" s="14" t="s">
        <v>964</v>
      </c>
      <c r="E2">
        <v>1</v>
      </c>
      <c r="F2" s="14" t="s">
        <v>964</v>
      </c>
    </row>
    <row r="3" spans="1:6">
      <c r="A3">
        <v>2</v>
      </c>
      <c r="B3" s="14" t="s">
        <v>1656</v>
      </c>
      <c r="C3">
        <v>2</v>
      </c>
      <c r="D3" s="14" t="s">
        <v>1736</v>
      </c>
      <c r="E3">
        <v>2</v>
      </c>
      <c r="F3" s="14" t="s">
        <v>1736</v>
      </c>
    </row>
    <row r="4" spans="1:6">
      <c r="A4">
        <v>3</v>
      </c>
      <c r="B4" s="14" t="s">
        <v>1657</v>
      </c>
      <c r="C4">
        <v>3</v>
      </c>
      <c r="D4" s="14" t="s">
        <v>1657</v>
      </c>
      <c r="E4">
        <v>3</v>
      </c>
      <c r="F4" s="14" t="s">
        <v>1740</v>
      </c>
    </row>
    <row r="5" spans="1:6">
      <c r="A5">
        <v>4</v>
      </c>
      <c r="B5" s="14" t="s">
        <v>1658</v>
      </c>
      <c r="C5">
        <v>4</v>
      </c>
      <c r="D5" s="14" t="s">
        <v>1658</v>
      </c>
      <c r="E5">
        <v>3</v>
      </c>
      <c r="F5" s="14" t="s">
        <v>1740</v>
      </c>
    </row>
    <row r="6" spans="1:6">
      <c r="A6">
        <v>5</v>
      </c>
      <c r="B6" s="14" t="s">
        <v>1659</v>
      </c>
      <c r="C6">
        <v>5</v>
      </c>
      <c r="D6" s="14" t="s">
        <v>1659</v>
      </c>
      <c r="E6">
        <v>4</v>
      </c>
      <c r="F6" s="14" t="s">
        <v>1737</v>
      </c>
    </row>
    <row r="7" spans="1:6">
      <c r="A7">
        <v>6</v>
      </c>
      <c r="B7" s="14" t="s">
        <v>1660</v>
      </c>
      <c r="C7">
        <v>6</v>
      </c>
      <c r="D7" s="14" t="s">
        <v>1660</v>
      </c>
      <c r="E7">
        <v>3</v>
      </c>
      <c r="F7" s="14" t="s">
        <v>1740</v>
      </c>
    </row>
    <row r="8" spans="1:6">
      <c r="A8">
        <v>7</v>
      </c>
      <c r="B8" s="14" t="s">
        <v>560</v>
      </c>
      <c r="C8">
        <v>1</v>
      </c>
      <c r="D8" s="14" t="s">
        <v>964</v>
      </c>
      <c r="E8">
        <v>1</v>
      </c>
      <c r="F8" s="14" t="s">
        <v>964</v>
      </c>
    </row>
    <row r="9" spans="1:6">
      <c r="A9">
        <v>8</v>
      </c>
      <c r="B9" s="14" t="s">
        <v>1661</v>
      </c>
      <c r="C9">
        <v>7</v>
      </c>
      <c r="D9" s="14" t="s">
        <v>1661</v>
      </c>
      <c r="E9">
        <v>5</v>
      </c>
      <c r="F9" s="14" t="s">
        <v>1409</v>
      </c>
    </row>
    <row r="10" spans="1:6">
      <c r="A10">
        <v>9</v>
      </c>
      <c r="B10" s="14" t="s">
        <v>1662</v>
      </c>
      <c r="C10">
        <v>8</v>
      </c>
      <c r="D10" s="14" t="s">
        <v>1662</v>
      </c>
      <c r="E10">
        <v>5</v>
      </c>
      <c r="F10" s="14" t="s">
        <v>1409</v>
      </c>
    </row>
    <row r="11" spans="1:6">
      <c r="A11">
        <v>10</v>
      </c>
      <c r="B11" s="14" t="s">
        <v>1663</v>
      </c>
      <c r="C11">
        <v>9</v>
      </c>
      <c r="D11" s="14" t="s">
        <v>1663</v>
      </c>
      <c r="E11">
        <v>5</v>
      </c>
      <c r="F11" s="14" t="s">
        <v>1409</v>
      </c>
    </row>
    <row r="12" spans="1:6">
      <c r="A12">
        <v>11</v>
      </c>
      <c r="B12" s="14" t="s">
        <v>1733</v>
      </c>
      <c r="C12">
        <v>10</v>
      </c>
      <c r="D12" s="14" t="s">
        <v>1733</v>
      </c>
      <c r="E12">
        <v>6</v>
      </c>
      <c r="F12" s="14" t="s">
        <v>1741</v>
      </c>
    </row>
    <row r="13" spans="1:6">
      <c r="A13">
        <v>12</v>
      </c>
      <c r="B13" s="14" t="s">
        <v>1422</v>
      </c>
      <c r="C13">
        <v>11</v>
      </c>
      <c r="D13" s="14" t="s">
        <v>1422</v>
      </c>
      <c r="E13">
        <v>6</v>
      </c>
      <c r="F13" s="14" t="s">
        <v>1741</v>
      </c>
    </row>
    <row r="14" spans="1:6">
      <c r="A14">
        <v>13</v>
      </c>
      <c r="B14" s="14" t="s">
        <v>1664</v>
      </c>
      <c r="C14">
        <v>2</v>
      </c>
      <c r="D14" s="14" t="s">
        <v>1736</v>
      </c>
      <c r="E14" s="13">
        <v>2</v>
      </c>
      <c r="F14" s="13" t="s">
        <v>1736</v>
      </c>
    </row>
    <row r="15" spans="1:6">
      <c r="B15" s="13"/>
    </row>
    <row r="17" spans="2:2">
      <c r="B17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9"/>
  <sheetViews>
    <sheetView topLeftCell="A16" zoomScale="95" zoomScaleNormal="95" workbookViewId="0">
      <selection activeCell="A39" sqref="A39"/>
    </sheetView>
  </sheetViews>
  <sheetFormatPr baseColWidth="10" defaultColWidth="9" defaultRowHeight="13.15"/>
  <cols>
    <col min="1" max="1" width="45.0703125" customWidth="1"/>
    <col min="2" max="2" width="30.5" customWidth="1"/>
    <col min="4" max="4" width="50.640625" customWidth="1"/>
    <col min="5" max="5" width="34.0703125" customWidth="1"/>
    <col min="7" max="7" width="31.140625" customWidth="1"/>
  </cols>
  <sheetData>
    <row r="1" spans="1:16" s="11" customFormat="1">
      <c r="A1" s="10" t="s">
        <v>944</v>
      </c>
      <c r="B1" s="10" t="s">
        <v>945</v>
      </c>
      <c r="C1" s="10" t="s">
        <v>946</v>
      </c>
      <c r="D1" s="10" t="s">
        <v>947</v>
      </c>
      <c r="E1" s="10" t="s">
        <v>948</v>
      </c>
      <c r="F1" s="10" t="s">
        <v>949</v>
      </c>
      <c r="G1" s="10" t="s">
        <v>950</v>
      </c>
      <c r="H1" s="10" t="s">
        <v>1671</v>
      </c>
      <c r="I1" s="10" t="s">
        <v>1672</v>
      </c>
      <c r="J1" s="10"/>
      <c r="K1" s="10"/>
      <c r="L1" s="10"/>
      <c r="M1" s="10"/>
      <c r="N1" s="10"/>
      <c r="O1" s="10"/>
      <c r="P1" s="10"/>
    </row>
    <row r="2" spans="1:16">
      <c r="A2" t="s">
        <v>962</v>
      </c>
      <c r="B2" t="s">
        <v>963</v>
      </c>
      <c r="C2" t="s">
        <v>964</v>
      </c>
      <c r="D2" t="s">
        <v>11</v>
      </c>
      <c r="E2">
        <v>1</v>
      </c>
      <c r="F2" t="s">
        <v>12</v>
      </c>
      <c r="G2" t="s">
        <v>11</v>
      </c>
      <c r="H2">
        <v>1</v>
      </c>
      <c r="I2">
        <v>0</v>
      </c>
    </row>
    <row r="3" spans="1:16">
      <c r="A3" t="s">
        <v>1673</v>
      </c>
      <c r="B3" t="s">
        <v>963</v>
      </c>
      <c r="C3" t="s">
        <v>964</v>
      </c>
      <c r="D3" t="s">
        <v>1674</v>
      </c>
      <c r="E3">
        <v>1</v>
      </c>
      <c r="F3" t="s">
        <v>12</v>
      </c>
      <c r="G3" t="s">
        <v>11</v>
      </c>
      <c r="H3">
        <v>2</v>
      </c>
      <c r="I3">
        <v>1</v>
      </c>
    </row>
    <row r="4" spans="1:16">
      <c r="A4" t="s">
        <v>1675</v>
      </c>
      <c r="B4" t="s">
        <v>963</v>
      </c>
      <c r="C4" t="s">
        <v>964</v>
      </c>
      <c r="D4" t="s">
        <v>1676</v>
      </c>
      <c r="E4">
        <v>1</v>
      </c>
      <c r="F4" t="s">
        <v>12</v>
      </c>
      <c r="G4" t="s">
        <v>11</v>
      </c>
      <c r="H4">
        <v>3</v>
      </c>
      <c r="I4">
        <v>2</v>
      </c>
    </row>
    <row r="5" spans="1:16">
      <c r="A5" t="s">
        <v>1677</v>
      </c>
      <c r="B5" t="s">
        <v>963</v>
      </c>
      <c r="C5" t="s">
        <v>964</v>
      </c>
      <c r="D5" t="s">
        <v>1678</v>
      </c>
      <c r="E5">
        <v>1</v>
      </c>
      <c r="F5" t="s">
        <v>12</v>
      </c>
      <c r="G5" t="s">
        <v>11</v>
      </c>
      <c r="H5">
        <v>4</v>
      </c>
      <c r="I5">
        <v>3</v>
      </c>
    </row>
    <row r="6" spans="1:16">
      <c r="A6" t="s">
        <v>1287</v>
      </c>
      <c r="B6" t="s">
        <v>963</v>
      </c>
      <c r="C6" t="s">
        <v>964</v>
      </c>
      <c r="D6" t="s">
        <v>1288</v>
      </c>
      <c r="E6">
        <v>2</v>
      </c>
      <c r="F6" t="s">
        <v>561</v>
      </c>
      <c r="G6" t="s">
        <v>560</v>
      </c>
      <c r="H6">
        <v>5</v>
      </c>
      <c r="I6">
        <v>0</v>
      </c>
    </row>
    <row r="7" spans="1:16">
      <c r="A7" t="s">
        <v>1679</v>
      </c>
      <c r="B7" t="s">
        <v>963</v>
      </c>
      <c r="C7" t="s">
        <v>964</v>
      </c>
      <c r="D7" t="s">
        <v>1680</v>
      </c>
      <c r="E7">
        <v>2</v>
      </c>
      <c r="F7" t="s">
        <v>561</v>
      </c>
      <c r="G7" t="s">
        <v>560</v>
      </c>
      <c r="H7">
        <v>6</v>
      </c>
      <c r="I7">
        <v>1</v>
      </c>
    </row>
    <row r="8" spans="1:16">
      <c r="A8" t="s">
        <v>1681</v>
      </c>
      <c r="B8" t="s">
        <v>963</v>
      </c>
      <c r="C8" t="s">
        <v>964</v>
      </c>
      <c r="D8" t="s">
        <v>1682</v>
      </c>
      <c r="E8">
        <v>2</v>
      </c>
      <c r="F8" t="s">
        <v>561</v>
      </c>
      <c r="G8" t="s">
        <v>560</v>
      </c>
      <c r="H8">
        <v>7</v>
      </c>
      <c r="I8">
        <v>2</v>
      </c>
    </row>
    <row r="9" spans="1:16">
      <c r="A9" t="s">
        <v>1683</v>
      </c>
      <c r="B9" t="s">
        <v>963</v>
      </c>
      <c r="C9" t="s">
        <v>964</v>
      </c>
      <c r="D9" t="s">
        <v>1684</v>
      </c>
      <c r="E9">
        <v>2</v>
      </c>
      <c r="F9" t="s">
        <v>561</v>
      </c>
      <c r="G9" t="s">
        <v>560</v>
      </c>
      <c r="H9">
        <v>8</v>
      </c>
      <c r="I9">
        <v>3</v>
      </c>
    </row>
    <row r="10" spans="1:16">
      <c r="A10" t="s">
        <v>1402</v>
      </c>
      <c r="B10" t="s">
        <v>1403</v>
      </c>
      <c r="C10" t="s">
        <v>1404</v>
      </c>
      <c r="D10" t="s">
        <v>1405</v>
      </c>
      <c r="E10">
        <v>3</v>
      </c>
      <c r="F10" t="s">
        <v>1406</v>
      </c>
      <c r="G10" t="s">
        <v>1404</v>
      </c>
      <c r="H10">
        <v>9</v>
      </c>
      <c r="I10">
        <v>9</v>
      </c>
    </row>
    <row r="11" spans="1:16">
      <c r="A11" t="s">
        <v>1408</v>
      </c>
      <c r="B11" t="s">
        <v>1403</v>
      </c>
      <c r="C11" t="s">
        <v>1409</v>
      </c>
      <c r="D11" t="s">
        <v>1410</v>
      </c>
      <c r="E11">
        <v>3</v>
      </c>
      <c r="F11" t="s">
        <v>1406</v>
      </c>
      <c r="G11" t="s">
        <v>1404</v>
      </c>
      <c r="H11">
        <v>10</v>
      </c>
      <c r="I11">
        <v>9</v>
      </c>
    </row>
    <row r="12" spans="1:16">
      <c r="A12" t="s">
        <v>1685</v>
      </c>
      <c r="B12" t="s">
        <v>1403</v>
      </c>
      <c r="C12" t="s">
        <v>1409</v>
      </c>
      <c r="D12" t="s">
        <v>1686</v>
      </c>
      <c r="E12">
        <v>3</v>
      </c>
      <c r="F12" t="s">
        <v>1406</v>
      </c>
      <c r="G12" t="s">
        <v>1404</v>
      </c>
      <c r="H12">
        <v>11</v>
      </c>
      <c r="I12">
        <v>9</v>
      </c>
    </row>
    <row r="13" spans="1:16">
      <c r="A13" t="s">
        <v>1687</v>
      </c>
      <c r="B13" t="s">
        <v>1403</v>
      </c>
      <c r="C13" t="s">
        <v>1409</v>
      </c>
      <c r="D13" t="s">
        <v>1688</v>
      </c>
      <c r="E13">
        <v>3</v>
      </c>
      <c r="F13" t="s">
        <v>1406</v>
      </c>
      <c r="G13" t="s">
        <v>1404</v>
      </c>
      <c r="H13">
        <v>12</v>
      </c>
      <c r="I13">
        <v>9</v>
      </c>
    </row>
    <row r="14" spans="1:16">
      <c r="A14" t="s">
        <v>1412</v>
      </c>
      <c r="B14" t="s">
        <v>1403</v>
      </c>
      <c r="C14" t="s">
        <v>1409</v>
      </c>
      <c r="D14" t="s">
        <v>1413</v>
      </c>
      <c r="E14">
        <v>3</v>
      </c>
      <c r="F14" t="s">
        <v>1406</v>
      </c>
      <c r="G14" t="s">
        <v>1404</v>
      </c>
    </row>
    <row r="15" spans="1:16">
      <c r="A15" t="s">
        <v>1689</v>
      </c>
      <c r="B15" t="s">
        <v>1403</v>
      </c>
      <c r="C15" t="s">
        <v>1409</v>
      </c>
      <c r="D15" t="s">
        <v>1690</v>
      </c>
      <c r="E15">
        <v>3</v>
      </c>
      <c r="F15" t="s">
        <v>1406</v>
      </c>
      <c r="G15" t="s">
        <v>1404</v>
      </c>
      <c r="H15">
        <v>13</v>
      </c>
      <c r="I15">
        <v>9</v>
      </c>
    </row>
    <row r="16" spans="1:16">
      <c r="A16" t="s">
        <v>1691</v>
      </c>
      <c r="B16" t="s">
        <v>1403</v>
      </c>
      <c r="C16" t="s">
        <v>1409</v>
      </c>
      <c r="D16" t="s">
        <v>1692</v>
      </c>
      <c r="E16">
        <v>3</v>
      </c>
      <c r="F16" t="s">
        <v>1406</v>
      </c>
      <c r="G16" t="s">
        <v>1404</v>
      </c>
      <c r="H16">
        <v>14</v>
      </c>
      <c r="I16">
        <v>9</v>
      </c>
    </row>
    <row r="17" spans="1:9">
      <c r="A17" t="s">
        <v>1693</v>
      </c>
      <c r="B17" t="s">
        <v>1403</v>
      </c>
      <c r="C17" t="s">
        <v>1409</v>
      </c>
      <c r="D17" t="s">
        <v>1694</v>
      </c>
      <c r="E17">
        <v>4</v>
      </c>
      <c r="F17" t="s">
        <v>1695</v>
      </c>
      <c r="G17" t="s">
        <v>1696</v>
      </c>
      <c r="H17">
        <v>15</v>
      </c>
      <c r="I17">
        <v>9</v>
      </c>
    </row>
    <row r="18" spans="1:9">
      <c r="A18" t="s">
        <v>1697</v>
      </c>
      <c r="B18" t="s">
        <v>1403</v>
      </c>
      <c r="C18" t="s">
        <v>1409</v>
      </c>
      <c r="D18" t="s">
        <v>1698</v>
      </c>
      <c r="E18">
        <v>4</v>
      </c>
      <c r="F18" t="s">
        <v>1695</v>
      </c>
      <c r="G18" t="s">
        <v>1696</v>
      </c>
      <c r="H18">
        <v>16</v>
      </c>
      <c r="I18">
        <v>9</v>
      </c>
    </row>
    <row r="19" spans="1:9">
      <c r="A19" t="s">
        <v>1415</v>
      </c>
      <c r="B19" t="s">
        <v>1416</v>
      </c>
      <c r="C19" t="s">
        <v>1409</v>
      </c>
      <c r="D19" t="s">
        <v>1417</v>
      </c>
      <c r="E19">
        <v>5</v>
      </c>
      <c r="F19" t="s">
        <v>1418</v>
      </c>
      <c r="G19" t="s">
        <v>1419</v>
      </c>
      <c r="H19">
        <v>17</v>
      </c>
      <c r="I19">
        <v>10</v>
      </c>
    </row>
    <row r="20" spans="1:9">
      <c r="A20" t="s">
        <v>1699</v>
      </c>
      <c r="B20" t="s">
        <v>1416</v>
      </c>
      <c r="C20" t="s">
        <v>1409</v>
      </c>
      <c r="D20" t="s">
        <v>1700</v>
      </c>
      <c r="E20">
        <v>5</v>
      </c>
      <c r="F20" t="s">
        <v>1418</v>
      </c>
      <c r="G20" t="s">
        <v>1419</v>
      </c>
      <c r="H20">
        <v>18</v>
      </c>
      <c r="I20">
        <v>10</v>
      </c>
    </row>
    <row r="21" spans="1:9">
      <c r="A21" t="s">
        <v>1421</v>
      </c>
      <c r="B21" t="s">
        <v>1416</v>
      </c>
      <c r="C21" t="s">
        <v>1409</v>
      </c>
      <c r="D21" t="s">
        <v>1422</v>
      </c>
      <c r="E21">
        <v>5</v>
      </c>
      <c r="F21" t="s">
        <v>1418</v>
      </c>
      <c r="G21" t="s">
        <v>1419</v>
      </c>
      <c r="H21">
        <v>19</v>
      </c>
      <c r="I21">
        <v>10</v>
      </c>
    </row>
    <row r="22" spans="1:9">
      <c r="A22" t="s">
        <v>1701</v>
      </c>
      <c r="B22" t="s">
        <v>1416</v>
      </c>
      <c r="C22" t="s">
        <v>1409</v>
      </c>
      <c r="D22" t="s">
        <v>1702</v>
      </c>
      <c r="E22">
        <v>5</v>
      </c>
      <c r="F22" t="s">
        <v>1418</v>
      </c>
      <c r="G22" t="s">
        <v>1419</v>
      </c>
      <c r="H22">
        <v>20</v>
      </c>
      <c r="I22">
        <v>10</v>
      </c>
    </row>
    <row r="23" spans="1:9">
      <c r="A23" t="s">
        <v>1424</v>
      </c>
      <c r="B23" t="s">
        <v>1259</v>
      </c>
      <c r="C23" t="s">
        <v>1260</v>
      </c>
      <c r="D23" t="s">
        <v>1425</v>
      </c>
      <c r="E23">
        <v>6</v>
      </c>
      <c r="F23" t="s">
        <v>1426</v>
      </c>
      <c r="G23" t="s">
        <v>1425</v>
      </c>
      <c r="H23">
        <v>21</v>
      </c>
      <c r="I23">
        <v>4</v>
      </c>
    </row>
    <row r="24" spans="1:9">
      <c r="A24" t="s">
        <v>1703</v>
      </c>
      <c r="B24" t="s">
        <v>1259</v>
      </c>
      <c r="C24" t="s">
        <v>1260</v>
      </c>
      <c r="D24" t="s">
        <v>1704</v>
      </c>
      <c r="E24">
        <v>6</v>
      </c>
      <c r="F24" t="s">
        <v>1426</v>
      </c>
      <c r="G24" t="s">
        <v>1425</v>
      </c>
      <c r="H24">
        <v>22</v>
      </c>
      <c r="I24">
        <v>4</v>
      </c>
    </row>
    <row r="25" spans="1:9">
      <c r="A25" t="s">
        <v>1705</v>
      </c>
      <c r="B25" t="s">
        <v>1259</v>
      </c>
      <c r="C25" t="s">
        <v>1260</v>
      </c>
      <c r="D25" t="s">
        <v>1706</v>
      </c>
      <c r="E25">
        <v>6</v>
      </c>
      <c r="F25" t="s">
        <v>1426</v>
      </c>
      <c r="G25" t="s">
        <v>1425</v>
      </c>
      <c r="H25">
        <v>23</v>
      </c>
      <c r="I25">
        <v>4</v>
      </c>
    </row>
    <row r="26" spans="1:9">
      <c r="A26" t="s">
        <v>1258</v>
      </c>
      <c r="B26" t="s">
        <v>1259</v>
      </c>
      <c r="C26" t="s">
        <v>1260</v>
      </c>
      <c r="D26" t="s">
        <v>1261</v>
      </c>
      <c r="E26">
        <v>7</v>
      </c>
      <c r="F26" t="s">
        <v>1262</v>
      </c>
      <c r="G26" t="s">
        <v>1263</v>
      </c>
      <c r="H26">
        <v>24</v>
      </c>
      <c r="I26">
        <v>4</v>
      </c>
    </row>
    <row r="27" spans="1:9">
      <c r="A27" t="s">
        <v>1707</v>
      </c>
      <c r="B27" t="s">
        <v>1259</v>
      </c>
      <c r="C27" t="s">
        <v>1260</v>
      </c>
      <c r="D27" t="s">
        <v>1708</v>
      </c>
      <c r="E27">
        <v>7</v>
      </c>
      <c r="F27" t="s">
        <v>1262</v>
      </c>
      <c r="G27" t="s">
        <v>1263</v>
      </c>
      <c r="H27">
        <v>25</v>
      </c>
      <c r="I27">
        <v>4</v>
      </c>
    </row>
    <row r="28" spans="1:9">
      <c r="A28" t="s">
        <v>1709</v>
      </c>
      <c r="B28" t="s">
        <v>1259</v>
      </c>
      <c r="C28" t="s">
        <v>1260</v>
      </c>
      <c r="D28" t="s">
        <v>1710</v>
      </c>
      <c r="E28">
        <v>7</v>
      </c>
      <c r="F28" t="s">
        <v>1262</v>
      </c>
      <c r="G28" t="s">
        <v>1263</v>
      </c>
      <c r="H28">
        <v>26</v>
      </c>
      <c r="I28">
        <v>4</v>
      </c>
    </row>
    <row r="29" spans="1:9">
      <c r="A29" t="s">
        <v>1711</v>
      </c>
      <c r="B29" t="s">
        <v>1712</v>
      </c>
      <c r="C29" t="s">
        <v>1713</v>
      </c>
      <c r="D29" t="s">
        <v>1714</v>
      </c>
      <c r="E29">
        <v>8</v>
      </c>
      <c r="F29" t="s">
        <v>1711</v>
      </c>
      <c r="G29" t="s">
        <v>1714</v>
      </c>
      <c r="H29">
        <v>27</v>
      </c>
      <c r="I29">
        <v>5</v>
      </c>
    </row>
    <row r="30" spans="1:9">
      <c r="A30" t="s">
        <v>1283</v>
      </c>
      <c r="B30" t="s">
        <v>1267</v>
      </c>
      <c r="C30" t="s">
        <v>1268</v>
      </c>
      <c r="D30" t="s">
        <v>1284</v>
      </c>
      <c r="E30">
        <v>9</v>
      </c>
      <c r="F30" t="s">
        <v>1270</v>
      </c>
      <c r="G30" t="s">
        <v>1271</v>
      </c>
      <c r="H30">
        <v>28</v>
      </c>
      <c r="I30">
        <v>6</v>
      </c>
    </row>
    <row r="31" spans="1:9">
      <c r="A31" t="s">
        <v>1273</v>
      </c>
      <c r="B31" t="s">
        <v>1267</v>
      </c>
      <c r="C31" t="s">
        <v>1268</v>
      </c>
      <c r="D31" t="s">
        <v>1274</v>
      </c>
      <c r="E31">
        <v>9</v>
      </c>
      <c r="F31" t="s">
        <v>1270</v>
      </c>
      <c r="G31" t="s">
        <v>1271</v>
      </c>
      <c r="H31">
        <v>29</v>
      </c>
      <c r="I31">
        <v>6</v>
      </c>
    </row>
    <row r="32" spans="1:9">
      <c r="A32" t="s">
        <v>1715</v>
      </c>
      <c r="B32" t="s">
        <v>1267</v>
      </c>
      <c r="C32" t="s">
        <v>1268</v>
      </c>
      <c r="D32" t="s">
        <v>1716</v>
      </c>
      <c r="E32">
        <v>9</v>
      </c>
      <c r="F32" t="s">
        <v>1270</v>
      </c>
      <c r="G32" t="s">
        <v>1271</v>
      </c>
      <c r="H32">
        <v>30</v>
      </c>
      <c r="I32">
        <v>6</v>
      </c>
    </row>
    <row r="33" spans="1:9">
      <c r="A33" t="s">
        <v>1266</v>
      </c>
      <c r="B33" t="s">
        <v>1267</v>
      </c>
      <c r="C33" t="s">
        <v>1268</v>
      </c>
      <c r="D33" t="s">
        <v>1269</v>
      </c>
      <c r="E33">
        <v>9</v>
      </c>
      <c r="F33" t="s">
        <v>1270</v>
      </c>
      <c r="G33" t="s">
        <v>1271</v>
      </c>
      <c r="H33">
        <v>31</v>
      </c>
      <c r="I33">
        <v>6</v>
      </c>
    </row>
    <row r="34" spans="1:9">
      <c r="A34" t="s">
        <v>1717</v>
      </c>
      <c r="B34" t="s">
        <v>1267</v>
      </c>
      <c r="C34" t="s">
        <v>1268</v>
      </c>
      <c r="D34" t="s">
        <v>1718</v>
      </c>
      <c r="E34">
        <v>10</v>
      </c>
      <c r="F34" t="s">
        <v>1719</v>
      </c>
      <c r="G34" t="s">
        <v>1718</v>
      </c>
      <c r="H34">
        <v>32</v>
      </c>
      <c r="I34">
        <v>6</v>
      </c>
    </row>
    <row r="35" spans="1:9">
      <c r="A35" t="s">
        <v>1720</v>
      </c>
      <c r="B35" t="s">
        <v>1267</v>
      </c>
      <c r="C35" t="s">
        <v>1268</v>
      </c>
      <c r="D35" t="s">
        <v>1721</v>
      </c>
      <c r="E35">
        <v>11</v>
      </c>
      <c r="F35" t="s">
        <v>1722</v>
      </c>
      <c r="G35" t="s">
        <v>1723</v>
      </c>
      <c r="H35">
        <v>33</v>
      </c>
      <c r="I35">
        <v>7</v>
      </c>
    </row>
    <row r="36" spans="1:9">
      <c r="A36" t="s">
        <v>1724</v>
      </c>
      <c r="B36" t="s">
        <v>1725</v>
      </c>
      <c r="C36" t="s">
        <v>1268</v>
      </c>
      <c r="D36" t="s">
        <v>1726</v>
      </c>
      <c r="E36">
        <v>11</v>
      </c>
      <c r="F36" t="s">
        <v>1722</v>
      </c>
      <c r="G36" t="s">
        <v>1723</v>
      </c>
      <c r="H36">
        <v>34</v>
      </c>
      <c r="I36">
        <v>7</v>
      </c>
    </row>
    <row r="37" spans="1:9">
      <c r="A37" t="s">
        <v>1277</v>
      </c>
      <c r="B37" t="s">
        <v>1278</v>
      </c>
      <c r="C37" t="s">
        <v>1279</v>
      </c>
      <c r="D37" t="s">
        <v>1280</v>
      </c>
      <c r="E37">
        <v>12</v>
      </c>
      <c r="F37" t="s">
        <v>1281</v>
      </c>
      <c r="G37" t="s">
        <v>1279</v>
      </c>
      <c r="H37">
        <v>35</v>
      </c>
      <c r="I37">
        <v>8</v>
      </c>
    </row>
    <row r="38" spans="1:9">
      <c r="A38" t="s">
        <v>1727</v>
      </c>
      <c r="B38" t="s">
        <v>1278</v>
      </c>
      <c r="C38" t="s">
        <v>1279</v>
      </c>
      <c r="D38" t="s">
        <v>1728</v>
      </c>
      <c r="E38">
        <v>12</v>
      </c>
      <c r="F38" t="s">
        <v>1281</v>
      </c>
      <c r="G38" t="s">
        <v>1279</v>
      </c>
      <c r="H38">
        <v>36</v>
      </c>
      <c r="I38">
        <v>8</v>
      </c>
    </row>
    <row r="39" spans="1:9">
      <c r="A39" t="s">
        <v>1729</v>
      </c>
      <c r="B39" t="s">
        <v>1278</v>
      </c>
      <c r="C39" t="s">
        <v>1279</v>
      </c>
      <c r="D39" t="s">
        <v>1730</v>
      </c>
      <c r="E39">
        <v>12</v>
      </c>
      <c r="F39" t="s">
        <v>1281</v>
      </c>
      <c r="G39" t="s">
        <v>1279</v>
      </c>
      <c r="H39">
        <v>37</v>
      </c>
      <c r="I39">
        <v>8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B1CE-0127-4BAE-A273-94C6DD85016E}">
  <dimension ref="A1:J113"/>
  <sheetViews>
    <sheetView zoomScale="95" zoomScaleNormal="95" workbookViewId="0">
      <selection activeCell="A2" sqref="A2"/>
    </sheetView>
  </sheetViews>
  <sheetFormatPr baseColWidth="10" defaultColWidth="12" defaultRowHeight="13.15"/>
  <cols>
    <col min="1" max="1" width="17.140625" customWidth="1"/>
    <col min="2" max="2" width="57.42578125" customWidth="1"/>
    <col min="3" max="3" width="3.28515625" customWidth="1"/>
    <col min="4" max="4" width="20.78515625" customWidth="1"/>
    <col min="5" max="5" width="27.35546875" customWidth="1"/>
    <col min="8" max="8" width="21.2109375" customWidth="1"/>
    <col min="10" max="10" width="12.140625" customWidth="1"/>
  </cols>
  <sheetData>
    <row r="1" spans="1:10">
      <c r="A1" s="14" t="s">
        <v>1544</v>
      </c>
      <c r="B1" t="s">
        <v>952</v>
      </c>
      <c r="C1" t="s">
        <v>1665</v>
      </c>
      <c r="D1" t="s">
        <v>1666</v>
      </c>
      <c r="E1" t="s">
        <v>1667</v>
      </c>
      <c r="F1" t="s">
        <v>1668</v>
      </c>
      <c r="G1" t="s">
        <v>1669</v>
      </c>
      <c r="H1" t="s">
        <v>958</v>
      </c>
      <c r="I1" t="s">
        <v>959</v>
      </c>
      <c r="J1" t="s">
        <v>960</v>
      </c>
    </row>
    <row r="2" spans="1:10">
      <c r="A2" s="16">
        <v>1</v>
      </c>
      <c r="B2" s="7" t="s">
        <v>965</v>
      </c>
      <c r="C2" s="8" t="s">
        <v>966</v>
      </c>
      <c r="D2" s="8" t="s">
        <v>967</v>
      </c>
      <c r="E2" s="8" t="s">
        <v>968</v>
      </c>
      <c r="F2" s="8" t="s">
        <v>969</v>
      </c>
      <c r="G2" s="8">
        <v>1</v>
      </c>
      <c r="H2" s="8" t="s">
        <v>14</v>
      </c>
      <c r="I2" s="8"/>
    </row>
    <row r="3" spans="1:10">
      <c r="A3" s="16">
        <v>2</v>
      </c>
      <c r="B3" s="7" t="s">
        <v>972</v>
      </c>
      <c r="C3" s="8" t="s">
        <v>966</v>
      </c>
      <c r="D3" s="8" t="s">
        <v>967</v>
      </c>
      <c r="E3" s="8" t="s">
        <v>968</v>
      </c>
      <c r="F3" s="8" t="s">
        <v>969</v>
      </c>
      <c r="G3" s="8">
        <v>1</v>
      </c>
      <c r="H3" s="8" t="s">
        <v>14</v>
      </c>
      <c r="I3" s="8"/>
    </row>
    <row r="4" spans="1:10">
      <c r="A4" s="16">
        <v>3</v>
      </c>
      <c r="B4" s="7" t="s">
        <v>974</v>
      </c>
      <c r="C4" s="8" t="s">
        <v>966</v>
      </c>
      <c r="D4" s="8" t="s">
        <v>967</v>
      </c>
      <c r="E4" s="8" t="s">
        <v>968</v>
      </c>
      <c r="F4" s="8" t="s">
        <v>969</v>
      </c>
      <c r="G4" s="8">
        <v>1</v>
      </c>
      <c r="H4" s="8" t="s">
        <v>14</v>
      </c>
      <c r="I4" s="8"/>
    </row>
    <row r="5" spans="1:10">
      <c r="A5" s="16">
        <v>4</v>
      </c>
      <c r="B5" s="7" t="s">
        <v>976</v>
      </c>
      <c r="C5" s="8" t="s">
        <v>966</v>
      </c>
      <c r="D5" s="8" t="s">
        <v>967</v>
      </c>
      <c r="E5" s="8" t="s">
        <v>968</v>
      </c>
      <c r="F5" s="8" t="s">
        <v>969</v>
      </c>
      <c r="G5" s="8">
        <v>1</v>
      </c>
      <c r="H5" s="8" t="s">
        <v>14</v>
      </c>
      <c r="I5" s="8"/>
    </row>
    <row r="6" spans="1:10">
      <c r="A6" s="16">
        <v>5</v>
      </c>
      <c r="B6" s="7" t="s">
        <v>978</v>
      </c>
      <c r="C6" s="8" t="s">
        <v>966</v>
      </c>
      <c r="D6" s="8" t="s">
        <v>967</v>
      </c>
      <c r="E6" s="8" t="s">
        <v>968</v>
      </c>
      <c r="F6" s="8" t="s">
        <v>969</v>
      </c>
      <c r="G6" s="8">
        <v>1</v>
      </c>
      <c r="H6" s="8" t="s">
        <v>14</v>
      </c>
      <c r="I6" s="8"/>
    </row>
    <row r="7" spans="1:10">
      <c r="A7" s="16">
        <v>6</v>
      </c>
      <c r="B7" s="7" t="s">
        <v>980</v>
      </c>
      <c r="C7" s="8" t="s">
        <v>966</v>
      </c>
      <c r="D7" s="8" t="s">
        <v>967</v>
      </c>
      <c r="E7" s="8" t="s">
        <v>968</v>
      </c>
      <c r="F7" s="8" t="s">
        <v>969</v>
      </c>
      <c r="G7" s="8">
        <v>1</v>
      </c>
      <c r="H7" s="8" t="s">
        <v>14</v>
      </c>
      <c r="I7" s="8"/>
    </row>
    <row r="8" spans="1:10">
      <c r="A8" s="16">
        <v>7</v>
      </c>
      <c r="B8" s="7" t="s">
        <v>982</v>
      </c>
      <c r="C8" s="8" t="s">
        <v>966</v>
      </c>
      <c r="D8" s="8" t="s">
        <v>967</v>
      </c>
      <c r="E8" s="8" t="s">
        <v>968</v>
      </c>
      <c r="F8" s="8" t="s">
        <v>969</v>
      </c>
      <c r="G8" s="8">
        <v>1</v>
      </c>
      <c r="H8" s="8" t="s">
        <v>14</v>
      </c>
      <c r="I8" s="8"/>
    </row>
    <row r="9" spans="1:10">
      <c r="A9" s="16">
        <v>8</v>
      </c>
      <c r="B9" s="7" t="s">
        <v>984</v>
      </c>
      <c r="C9" s="8" t="s">
        <v>966</v>
      </c>
      <c r="D9" s="8" t="s">
        <v>967</v>
      </c>
      <c r="E9" s="8" t="s">
        <v>968</v>
      </c>
      <c r="F9" s="8" t="s">
        <v>969</v>
      </c>
      <c r="G9" s="8">
        <v>1</v>
      </c>
      <c r="H9" s="8" t="s">
        <v>14</v>
      </c>
      <c r="I9" s="8"/>
    </row>
    <row r="10" spans="1:10">
      <c r="A10" s="16">
        <v>9</v>
      </c>
      <c r="B10" s="7" t="s">
        <v>986</v>
      </c>
      <c r="C10" s="8" t="s">
        <v>966</v>
      </c>
      <c r="D10" s="8" t="s">
        <v>967</v>
      </c>
      <c r="E10" s="8" t="s">
        <v>968</v>
      </c>
      <c r="F10" s="8" t="s">
        <v>969</v>
      </c>
      <c r="G10" s="8">
        <v>1</v>
      </c>
      <c r="H10" s="8" t="s">
        <v>14</v>
      </c>
      <c r="I10" s="8"/>
    </row>
    <row r="11" spans="1:10">
      <c r="A11" s="16">
        <v>10</v>
      </c>
      <c r="B11" s="6" t="s">
        <v>988</v>
      </c>
      <c r="C11" s="8" t="s">
        <v>966</v>
      </c>
      <c r="D11" s="8" t="s">
        <v>967</v>
      </c>
      <c r="E11" s="8" t="s">
        <v>968</v>
      </c>
      <c r="F11" s="8" t="s">
        <v>969</v>
      </c>
      <c r="G11" s="8">
        <v>1</v>
      </c>
      <c r="H11" s="8" t="s">
        <v>14</v>
      </c>
      <c r="I11" s="8"/>
    </row>
    <row r="12" spans="1:10">
      <c r="A12" s="16">
        <v>11</v>
      </c>
      <c r="B12" s="7" t="s">
        <v>990</v>
      </c>
      <c r="C12" s="8" t="s">
        <v>966</v>
      </c>
      <c r="D12" s="8" t="s">
        <v>967</v>
      </c>
      <c r="E12" s="8" t="s">
        <v>968</v>
      </c>
      <c r="F12" s="8" t="s">
        <v>969</v>
      </c>
      <c r="G12" s="8">
        <v>1</v>
      </c>
      <c r="H12" s="8" t="s">
        <v>14</v>
      </c>
      <c r="I12" s="8"/>
    </row>
    <row r="13" spans="1:10">
      <c r="A13" s="16">
        <v>12</v>
      </c>
      <c r="B13" s="7" t="s">
        <v>992</v>
      </c>
      <c r="C13" s="8" t="s">
        <v>966</v>
      </c>
      <c r="D13" s="8" t="s">
        <v>967</v>
      </c>
      <c r="E13" s="8" t="s">
        <v>968</v>
      </c>
      <c r="F13" s="8" t="s">
        <v>969</v>
      </c>
      <c r="G13" s="8">
        <v>1</v>
      </c>
      <c r="H13" s="8" t="s">
        <v>14</v>
      </c>
      <c r="I13" s="8"/>
    </row>
    <row r="14" spans="1:10">
      <c r="A14" s="16">
        <v>13</v>
      </c>
      <c r="B14" s="7" t="s">
        <v>994</v>
      </c>
      <c r="C14" s="8" t="s">
        <v>995</v>
      </c>
      <c r="D14" s="8" t="s">
        <v>996</v>
      </c>
      <c r="E14" s="8" t="s">
        <v>997</v>
      </c>
      <c r="F14" s="8" t="s">
        <v>998</v>
      </c>
      <c r="G14" s="8">
        <v>3</v>
      </c>
      <c r="H14" s="8" t="s">
        <v>67</v>
      </c>
      <c r="I14" s="8"/>
    </row>
    <row r="15" spans="1:10">
      <c r="A15" s="16">
        <v>14</v>
      </c>
      <c r="B15" s="7" t="s">
        <v>1000</v>
      </c>
      <c r="C15" s="8" t="s">
        <v>995</v>
      </c>
      <c r="D15" s="8" t="s">
        <v>996</v>
      </c>
      <c r="E15" s="8" t="s">
        <v>997</v>
      </c>
      <c r="F15" s="8" t="s">
        <v>998</v>
      </c>
      <c r="G15" s="8">
        <v>3</v>
      </c>
      <c r="H15" s="8" t="s">
        <v>67</v>
      </c>
      <c r="I15" s="8"/>
    </row>
    <row r="16" spans="1:10">
      <c r="A16" s="16">
        <v>15</v>
      </c>
      <c r="B16" s="7" t="s">
        <v>1002</v>
      </c>
      <c r="C16" s="8" t="s">
        <v>995</v>
      </c>
      <c r="D16" s="8" t="s">
        <v>996</v>
      </c>
      <c r="E16" s="8" t="s">
        <v>997</v>
      </c>
      <c r="F16" s="8" t="s">
        <v>998</v>
      </c>
      <c r="G16" s="8">
        <v>3</v>
      </c>
      <c r="H16" s="8" t="s">
        <v>67</v>
      </c>
      <c r="I16" s="8"/>
    </row>
    <row r="17" spans="1:9">
      <c r="A17" s="16">
        <v>16</v>
      </c>
      <c r="B17" s="7" t="s">
        <v>1004</v>
      </c>
      <c r="C17" s="8" t="s">
        <v>995</v>
      </c>
      <c r="D17" s="8" t="s">
        <v>996</v>
      </c>
      <c r="E17" s="8" t="s">
        <v>997</v>
      </c>
      <c r="F17" s="8" t="s">
        <v>998</v>
      </c>
      <c r="G17" s="8">
        <v>3</v>
      </c>
      <c r="H17" s="8" t="s">
        <v>67</v>
      </c>
      <c r="I17" s="8"/>
    </row>
    <row r="18" spans="1:9">
      <c r="A18" s="16">
        <v>17</v>
      </c>
      <c r="B18" s="7" t="s">
        <v>1006</v>
      </c>
      <c r="C18" s="8" t="s">
        <v>995</v>
      </c>
      <c r="D18" s="8" t="s">
        <v>996</v>
      </c>
      <c r="E18" s="8" t="s">
        <v>997</v>
      </c>
      <c r="F18" s="8" t="s">
        <v>998</v>
      </c>
      <c r="G18" s="8">
        <v>3</v>
      </c>
      <c r="H18" s="8" t="s">
        <v>67</v>
      </c>
      <c r="I18" s="8"/>
    </row>
    <row r="19" spans="1:9">
      <c r="A19" s="16">
        <v>18</v>
      </c>
      <c r="B19" s="7" t="s">
        <v>1008</v>
      </c>
      <c r="C19" s="8" t="s">
        <v>995</v>
      </c>
      <c r="D19" s="8" t="s">
        <v>996</v>
      </c>
      <c r="E19" s="8" t="s">
        <v>997</v>
      </c>
      <c r="F19" s="8" t="s">
        <v>998</v>
      </c>
      <c r="G19" s="8">
        <v>3</v>
      </c>
      <c r="H19" s="8" t="s">
        <v>67</v>
      </c>
      <c r="I19" s="8"/>
    </row>
    <row r="20" spans="1:9">
      <c r="A20" s="16">
        <v>19</v>
      </c>
      <c r="B20" s="7" t="s">
        <v>1010</v>
      </c>
      <c r="C20" s="8" t="s">
        <v>1011</v>
      </c>
      <c r="D20" s="8" t="s">
        <v>1012</v>
      </c>
      <c r="E20" s="8" t="s">
        <v>1013</v>
      </c>
      <c r="F20" s="8" t="s">
        <v>1014</v>
      </c>
      <c r="G20" s="8">
        <v>1</v>
      </c>
      <c r="H20" s="8" t="s">
        <v>14</v>
      </c>
      <c r="I20" s="8"/>
    </row>
    <row r="21" spans="1:9">
      <c r="A21" s="16">
        <v>20</v>
      </c>
      <c r="B21" s="7" t="s">
        <v>1016</v>
      </c>
      <c r="C21" s="8" t="s">
        <v>1011</v>
      </c>
      <c r="D21" s="8" t="s">
        <v>1012</v>
      </c>
      <c r="E21" s="8" t="s">
        <v>1013</v>
      </c>
      <c r="F21" s="8" t="s">
        <v>1014</v>
      </c>
      <c r="G21" s="8">
        <v>1</v>
      </c>
      <c r="H21" s="8" t="s">
        <v>14</v>
      </c>
      <c r="I21" s="8"/>
    </row>
    <row r="22" spans="1:9">
      <c r="A22" s="16">
        <v>21</v>
      </c>
      <c r="B22" s="7" t="s">
        <v>1018</v>
      </c>
      <c r="C22" s="8" t="s">
        <v>1011</v>
      </c>
      <c r="D22" s="8" t="s">
        <v>1012</v>
      </c>
      <c r="E22" s="8" t="s">
        <v>1013</v>
      </c>
      <c r="F22" s="8" t="s">
        <v>1014</v>
      </c>
      <c r="G22" s="8">
        <v>1</v>
      </c>
      <c r="H22" s="8" t="s">
        <v>14</v>
      </c>
      <c r="I22" s="8"/>
    </row>
    <row r="23" spans="1:9">
      <c r="A23" s="16">
        <v>22</v>
      </c>
      <c r="B23" s="7" t="s">
        <v>1020</v>
      </c>
      <c r="C23" s="8" t="s">
        <v>1011</v>
      </c>
      <c r="D23" s="8" t="s">
        <v>1012</v>
      </c>
      <c r="E23" s="8" t="s">
        <v>1013</v>
      </c>
      <c r="F23" s="8" t="s">
        <v>1014</v>
      </c>
      <c r="G23" s="8">
        <v>1</v>
      </c>
      <c r="H23" s="8" t="s">
        <v>14</v>
      </c>
      <c r="I23" s="8"/>
    </row>
    <row r="24" spans="1:9">
      <c r="A24" s="16">
        <v>23</v>
      </c>
      <c r="B24" s="7" t="s">
        <v>1022</v>
      </c>
      <c r="C24" s="8" t="s">
        <v>1011</v>
      </c>
      <c r="D24" s="8" t="s">
        <v>1012</v>
      </c>
      <c r="E24" s="8" t="s">
        <v>1013</v>
      </c>
      <c r="F24" s="8" t="s">
        <v>1014</v>
      </c>
      <c r="G24" s="8">
        <v>1</v>
      </c>
      <c r="H24" s="8" t="s">
        <v>14</v>
      </c>
      <c r="I24" s="8"/>
    </row>
    <row r="25" spans="1:9">
      <c r="A25" s="16">
        <v>24</v>
      </c>
      <c r="B25" s="7" t="s">
        <v>1024</v>
      </c>
      <c r="C25" s="8" t="s">
        <v>1011</v>
      </c>
      <c r="D25" s="8" t="s">
        <v>1012</v>
      </c>
      <c r="E25" s="8" t="s">
        <v>1013</v>
      </c>
      <c r="F25" s="8" t="s">
        <v>1014</v>
      </c>
      <c r="G25" s="8">
        <v>1</v>
      </c>
      <c r="H25" s="8" t="s">
        <v>14</v>
      </c>
      <c r="I25" s="8"/>
    </row>
    <row r="26" spans="1:9">
      <c r="A26" s="16">
        <v>25</v>
      </c>
      <c r="B26" s="7" t="s">
        <v>1026</v>
      </c>
      <c r="C26" s="8" t="s">
        <v>1011</v>
      </c>
      <c r="D26" s="8" t="s">
        <v>1012</v>
      </c>
      <c r="E26" s="8" t="s">
        <v>1013</v>
      </c>
      <c r="F26" s="8" t="s">
        <v>1014</v>
      </c>
      <c r="G26" s="8">
        <v>1</v>
      </c>
      <c r="H26" s="8" t="s">
        <v>14</v>
      </c>
      <c r="I26" s="8"/>
    </row>
    <row r="27" spans="1:9">
      <c r="A27" s="16">
        <v>26</v>
      </c>
      <c r="B27" s="7" t="s">
        <v>1028</v>
      </c>
      <c r="C27" s="8" t="s">
        <v>1011</v>
      </c>
      <c r="D27" s="8" t="s">
        <v>1012</v>
      </c>
      <c r="E27" s="8" t="s">
        <v>1013</v>
      </c>
      <c r="F27" s="8" t="s">
        <v>1014</v>
      </c>
      <c r="G27" s="8">
        <v>1</v>
      </c>
      <c r="H27" s="8" t="s">
        <v>14</v>
      </c>
      <c r="I27" s="8"/>
    </row>
    <row r="28" spans="1:9">
      <c r="A28" s="16">
        <v>27</v>
      </c>
      <c r="B28" s="7" t="s">
        <v>1030</v>
      </c>
      <c r="C28" s="8" t="s">
        <v>1011</v>
      </c>
      <c r="D28" s="8" t="s">
        <v>1012</v>
      </c>
      <c r="E28" s="8" t="s">
        <v>1013</v>
      </c>
      <c r="F28" s="8" t="s">
        <v>1014</v>
      </c>
      <c r="G28" s="8">
        <v>1</v>
      </c>
      <c r="H28" s="8" t="s">
        <v>14</v>
      </c>
      <c r="I28" s="8"/>
    </row>
    <row r="29" spans="1:9">
      <c r="A29" s="16">
        <v>28</v>
      </c>
      <c r="B29" s="7" t="s">
        <v>1032</v>
      </c>
      <c r="C29" s="8" t="s">
        <v>1011</v>
      </c>
      <c r="D29" s="8" t="s">
        <v>1012</v>
      </c>
      <c r="E29" s="8" t="s">
        <v>1013</v>
      </c>
      <c r="F29" s="8" t="s">
        <v>1014</v>
      </c>
      <c r="G29" s="8">
        <v>1</v>
      </c>
      <c r="H29" s="8" t="s">
        <v>14</v>
      </c>
      <c r="I29" s="8"/>
    </row>
    <row r="30" spans="1:9">
      <c r="A30" s="16">
        <v>29</v>
      </c>
      <c r="B30" s="7" t="s">
        <v>1034</v>
      </c>
      <c r="C30" s="8" t="s">
        <v>1011</v>
      </c>
      <c r="D30" s="8" t="s">
        <v>1012</v>
      </c>
      <c r="E30" s="8" t="s">
        <v>1013</v>
      </c>
      <c r="F30" s="8" t="s">
        <v>1014</v>
      </c>
      <c r="G30" s="8">
        <v>1</v>
      </c>
      <c r="H30" s="8" t="s">
        <v>14</v>
      </c>
      <c r="I30" s="8"/>
    </row>
    <row r="31" spans="1:9">
      <c r="A31" s="16">
        <v>30</v>
      </c>
      <c r="B31" s="7" t="s">
        <v>1036</v>
      </c>
      <c r="C31" s="8" t="s">
        <v>1011</v>
      </c>
      <c r="D31" s="8" t="s">
        <v>1012</v>
      </c>
      <c r="E31" s="8" t="s">
        <v>1013</v>
      </c>
      <c r="F31" s="8" t="s">
        <v>1014</v>
      </c>
      <c r="G31" s="8">
        <v>1</v>
      </c>
      <c r="H31" s="8" t="s">
        <v>14</v>
      </c>
      <c r="I31" s="8"/>
    </row>
    <row r="32" spans="1:9">
      <c r="A32" s="16">
        <v>31</v>
      </c>
      <c r="B32" s="7" t="s">
        <v>1038</v>
      </c>
      <c r="C32" s="8" t="s">
        <v>1011</v>
      </c>
      <c r="D32" s="8" t="s">
        <v>1012</v>
      </c>
      <c r="E32" s="8" t="s">
        <v>1013</v>
      </c>
      <c r="F32" s="8" t="s">
        <v>1014</v>
      </c>
      <c r="G32" s="8">
        <v>1</v>
      </c>
      <c r="H32" s="8" t="s">
        <v>14</v>
      </c>
      <c r="I32" s="8"/>
    </row>
    <row r="33" spans="1:9">
      <c r="A33" s="16">
        <v>32</v>
      </c>
      <c r="B33" s="7" t="s">
        <v>1040</v>
      </c>
      <c r="C33" s="8" t="s">
        <v>1011</v>
      </c>
      <c r="D33" s="8" t="s">
        <v>1012</v>
      </c>
      <c r="E33" s="8" t="s">
        <v>1013</v>
      </c>
      <c r="F33" s="8" t="s">
        <v>1014</v>
      </c>
      <c r="G33" s="8">
        <v>1</v>
      </c>
      <c r="H33" s="8" t="s">
        <v>14</v>
      </c>
      <c r="I33" s="8"/>
    </row>
    <row r="34" spans="1:9">
      <c r="A34" s="16">
        <v>33</v>
      </c>
      <c r="B34" s="7" t="s">
        <v>1042</v>
      </c>
      <c r="C34" s="8" t="s">
        <v>1011</v>
      </c>
      <c r="D34" s="8" t="s">
        <v>1012</v>
      </c>
      <c r="E34" s="8" t="s">
        <v>1013</v>
      </c>
      <c r="F34" s="8" t="s">
        <v>1014</v>
      </c>
      <c r="G34" s="8">
        <v>1</v>
      </c>
      <c r="H34" s="8" t="s">
        <v>14</v>
      </c>
      <c r="I34" s="8"/>
    </row>
    <row r="35" spans="1:9">
      <c r="A35" s="16">
        <v>34</v>
      </c>
      <c r="B35" s="7" t="s">
        <v>1044</v>
      </c>
      <c r="C35" s="8" t="s">
        <v>1011</v>
      </c>
      <c r="D35" s="8" t="s">
        <v>1012</v>
      </c>
      <c r="E35" s="8" t="s">
        <v>1013</v>
      </c>
      <c r="F35" s="8" t="s">
        <v>1014</v>
      </c>
      <c r="G35" s="8">
        <v>1</v>
      </c>
      <c r="H35" s="8" t="s">
        <v>14</v>
      </c>
      <c r="I35" s="8"/>
    </row>
    <row r="36" spans="1:9">
      <c r="A36" s="16">
        <v>35</v>
      </c>
      <c r="B36" s="7" t="s">
        <v>1046</v>
      </c>
      <c r="C36" s="8" t="s">
        <v>1011</v>
      </c>
      <c r="D36" s="8" t="s">
        <v>1012</v>
      </c>
      <c r="E36" s="8" t="s">
        <v>1013</v>
      </c>
      <c r="F36" s="8" t="s">
        <v>1014</v>
      </c>
      <c r="G36" s="8">
        <v>2</v>
      </c>
      <c r="H36" s="8" t="s">
        <v>142</v>
      </c>
      <c r="I36" s="8"/>
    </row>
    <row r="37" spans="1:9">
      <c r="A37" s="16">
        <v>36</v>
      </c>
      <c r="B37" s="7" t="s">
        <v>1048</v>
      </c>
      <c r="C37" s="8" t="s">
        <v>1011</v>
      </c>
      <c r="D37" s="8" t="s">
        <v>1012</v>
      </c>
      <c r="E37" s="8" t="s">
        <v>1013</v>
      </c>
      <c r="F37" s="8" t="s">
        <v>1014</v>
      </c>
      <c r="G37" s="8">
        <v>2</v>
      </c>
      <c r="H37" s="8" t="s">
        <v>142</v>
      </c>
      <c r="I37" s="8"/>
    </row>
    <row r="38" spans="1:9">
      <c r="A38" s="16">
        <v>37</v>
      </c>
      <c r="B38" s="7" t="s">
        <v>1050</v>
      </c>
      <c r="C38" s="8" t="s">
        <v>1011</v>
      </c>
      <c r="D38" s="8" t="s">
        <v>1012</v>
      </c>
      <c r="E38" s="8" t="s">
        <v>1013</v>
      </c>
      <c r="F38" s="8" t="s">
        <v>1014</v>
      </c>
      <c r="G38" s="8">
        <v>1</v>
      </c>
      <c r="H38" s="8" t="s">
        <v>14</v>
      </c>
      <c r="I38" s="8"/>
    </row>
    <row r="39" spans="1:9">
      <c r="A39" s="16">
        <v>38</v>
      </c>
      <c r="B39" s="7" t="s">
        <v>1052</v>
      </c>
      <c r="C39" s="8" t="s">
        <v>1011</v>
      </c>
      <c r="D39" s="8" t="s">
        <v>1012</v>
      </c>
      <c r="E39" s="8" t="s">
        <v>1013</v>
      </c>
      <c r="F39" s="8" t="s">
        <v>1014</v>
      </c>
      <c r="G39" s="8">
        <v>2</v>
      </c>
      <c r="H39" s="8" t="s">
        <v>142</v>
      </c>
      <c r="I39" s="8"/>
    </row>
    <row r="40" spans="1:9">
      <c r="A40" s="16">
        <v>39</v>
      </c>
      <c r="B40" s="7" t="s">
        <v>1054</v>
      </c>
      <c r="C40" s="8" t="s">
        <v>1011</v>
      </c>
      <c r="D40" s="8" t="s">
        <v>1012</v>
      </c>
      <c r="E40" s="8" t="s">
        <v>1013</v>
      </c>
      <c r="F40" s="8" t="s">
        <v>1014</v>
      </c>
      <c r="G40" s="8">
        <v>1</v>
      </c>
      <c r="H40" s="8" t="s">
        <v>14</v>
      </c>
      <c r="I40" s="8"/>
    </row>
    <row r="41" spans="1:9">
      <c r="A41" s="16">
        <v>40</v>
      </c>
      <c r="B41" s="7" t="s">
        <v>1056</v>
      </c>
      <c r="C41" s="8" t="s">
        <v>1011</v>
      </c>
      <c r="D41" s="8" t="s">
        <v>1012</v>
      </c>
      <c r="E41" s="8" t="s">
        <v>1013</v>
      </c>
      <c r="F41" s="8" t="s">
        <v>1014</v>
      </c>
      <c r="G41" s="8">
        <v>1</v>
      </c>
      <c r="H41" s="8" t="s">
        <v>14</v>
      </c>
      <c r="I41" s="8"/>
    </row>
    <row r="42" spans="1:9">
      <c r="A42" s="16">
        <v>41</v>
      </c>
      <c r="B42" s="7" t="s">
        <v>1058</v>
      </c>
      <c r="C42" s="8" t="s">
        <v>1011</v>
      </c>
      <c r="D42" s="8" t="s">
        <v>1012</v>
      </c>
      <c r="E42" s="8" t="s">
        <v>1013</v>
      </c>
      <c r="F42" s="8" t="s">
        <v>1014</v>
      </c>
      <c r="G42" s="8">
        <v>1</v>
      </c>
      <c r="H42" s="8" t="s">
        <v>14</v>
      </c>
      <c r="I42" s="8"/>
    </row>
    <row r="43" spans="1:9">
      <c r="A43" s="16">
        <v>42</v>
      </c>
      <c r="B43" s="7" t="s">
        <v>1060</v>
      </c>
      <c r="C43" s="8" t="s">
        <v>1011</v>
      </c>
      <c r="D43" s="8" t="s">
        <v>1012</v>
      </c>
      <c r="E43" s="8" t="s">
        <v>1013</v>
      </c>
      <c r="F43" s="8" t="s">
        <v>1014</v>
      </c>
      <c r="G43" s="8">
        <v>1</v>
      </c>
      <c r="H43" s="8" t="s">
        <v>14</v>
      </c>
      <c r="I43" s="8"/>
    </row>
    <row r="44" spans="1:9">
      <c r="A44" s="16">
        <v>43</v>
      </c>
      <c r="B44" s="7" t="s">
        <v>1062</v>
      </c>
      <c r="C44" s="8" t="s">
        <v>1011</v>
      </c>
      <c r="D44" s="8" t="s">
        <v>1012</v>
      </c>
      <c r="E44" s="8" t="s">
        <v>1013</v>
      </c>
      <c r="F44" s="8" t="s">
        <v>1014</v>
      </c>
      <c r="G44" s="8">
        <v>2</v>
      </c>
      <c r="H44" s="8" t="s">
        <v>142</v>
      </c>
      <c r="I44" s="8"/>
    </row>
    <row r="45" spans="1:9">
      <c r="A45" s="16">
        <v>44</v>
      </c>
      <c r="B45" s="7" t="s">
        <v>1064</v>
      </c>
      <c r="C45" s="8" t="s">
        <v>1011</v>
      </c>
      <c r="D45" s="8" t="s">
        <v>1012</v>
      </c>
      <c r="E45" s="8" t="s">
        <v>1013</v>
      </c>
      <c r="F45" s="8" t="s">
        <v>1014</v>
      </c>
      <c r="G45" s="8">
        <v>3</v>
      </c>
      <c r="H45" s="8" t="s">
        <v>67</v>
      </c>
      <c r="I45" s="8"/>
    </row>
    <row r="46" spans="1:9">
      <c r="A46" s="16">
        <v>45</v>
      </c>
      <c r="B46" s="7" t="s">
        <v>1067</v>
      </c>
      <c r="C46" s="8" t="s">
        <v>1011</v>
      </c>
      <c r="D46" s="8" t="s">
        <v>1012</v>
      </c>
      <c r="E46" s="8" t="s">
        <v>1013</v>
      </c>
      <c r="F46" s="8" t="s">
        <v>1014</v>
      </c>
      <c r="G46" s="8">
        <v>3</v>
      </c>
      <c r="H46" s="8" t="s">
        <v>67</v>
      </c>
      <c r="I46" s="8"/>
    </row>
    <row r="47" spans="1:9">
      <c r="A47" s="16">
        <v>46</v>
      </c>
      <c r="B47" s="7" t="s">
        <v>1069</v>
      </c>
      <c r="C47" s="8" t="s">
        <v>1011</v>
      </c>
      <c r="D47" s="8" t="s">
        <v>1012</v>
      </c>
      <c r="E47" s="8" t="s">
        <v>1013</v>
      </c>
      <c r="F47" s="8" t="s">
        <v>1014</v>
      </c>
      <c r="G47" s="8">
        <v>2</v>
      </c>
      <c r="H47" s="8" t="s">
        <v>142</v>
      </c>
      <c r="I47" s="8"/>
    </row>
    <row r="48" spans="1:9">
      <c r="A48" s="16">
        <v>47</v>
      </c>
      <c r="B48" s="7" t="s">
        <v>1071</v>
      </c>
      <c r="C48" s="8" t="s">
        <v>1011</v>
      </c>
      <c r="D48" s="8" t="s">
        <v>1012</v>
      </c>
      <c r="E48" s="8" t="s">
        <v>1013</v>
      </c>
      <c r="F48" s="8" t="s">
        <v>1014</v>
      </c>
      <c r="G48" s="8">
        <v>3</v>
      </c>
      <c r="H48" s="8" t="s">
        <v>67</v>
      </c>
      <c r="I48" s="8"/>
    </row>
    <row r="49" spans="1:9">
      <c r="A49" s="16">
        <v>48</v>
      </c>
      <c r="B49" s="7" t="s">
        <v>1073</v>
      </c>
      <c r="C49" s="8" t="s">
        <v>1011</v>
      </c>
      <c r="D49" s="8" t="s">
        <v>1012</v>
      </c>
      <c r="E49" s="8" t="s">
        <v>1013</v>
      </c>
      <c r="F49" s="8" t="s">
        <v>1014</v>
      </c>
      <c r="G49" s="8">
        <v>2</v>
      </c>
      <c r="H49" s="8" t="s">
        <v>142</v>
      </c>
      <c r="I49" s="8"/>
    </row>
    <row r="50" spans="1:9">
      <c r="A50" s="16">
        <v>49</v>
      </c>
      <c r="B50" s="7" t="s">
        <v>1075</v>
      </c>
      <c r="C50" s="8" t="s">
        <v>1011</v>
      </c>
      <c r="D50" s="8" t="s">
        <v>1012</v>
      </c>
      <c r="E50" s="8" t="s">
        <v>1013</v>
      </c>
      <c r="F50" s="8" t="s">
        <v>1014</v>
      </c>
      <c r="G50" s="8">
        <v>2</v>
      </c>
      <c r="H50" s="8" t="s">
        <v>142</v>
      </c>
      <c r="I50" s="8"/>
    </row>
    <row r="51" spans="1:9">
      <c r="A51" s="16">
        <v>50</v>
      </c>
      <c r="B51" s="7" t="s">
        <v>1077</v>
      </c>
      <c r="C51" s="8" t="s">
        <v>1011</v>
      </c>
      <c r="D51" s="8" t="s">
        <v>1012</v>
      </c>
      <c r="E51" s="8" t="s">
        <v>1013</v>
      </c>
      <c r="F51" s="8" t="s">
        <v>1014</v>
      </c>
      <c r="G51" s="8">
        <v>3</v>
      </c>
      <c r="H51" s="8" t="s">
        <v>67</v>
      </c>
      <c r="I51" s="8"/>
    </row>
    <row r="52" spans="1:9">
      <c r="A52" s="16">
        <v>51</v>
      </c>
      <c r="B52" s="7" t="s">
        <v>1079</v>
      </c>
      <c r="C52" s="8" t="s">
        <v>1011</v>
      </c>
      <c r="D52" s="8" t="s">
        <v>1012</v>
      </c>
      <c r="E52" s="8" t="s">
        <v>1013</v>
      </c>
      <c r="F52" s="8" t="s">
        <v>1014</v>
      </c>
      <c r="G52" s="8">
        <v>3</v>
      </c>
      <c r="H52" s="8" t="s">
        <v>67</v>
      </c>
      <c r="I52" s="8"/>
    </row>
    <row r="53" spans="1:9">
      <c r="A53" s="16">
        <v>52</v>
      </c>
      <c r="B53" s="7" t="s">
        <v>1081</v>
      </c>
      <c r="C53" s="8" t="s">
        <v>1011</v>
      </c>
      <c r="D53" s="8" t="s">
        <v>1012</v>
      </c>
      <c r="E53" s="8" t="s">
        <v>1013</v>
      </c>
      <c r="F53" s="8" t="s">
        <v>1014</v>
      </c>
      <c r="G53" s="8">
        <v>3</v>
      </c>
      <c r="H53" s="8" t="s">
        <v>67</v>
      </c>
      <c r="I53" s="8"/>
    </row>
    <row r="54" spans="1:9">
      <c r="A54" s="16">
        <v>53</v>
      </c>
      <c r="B54" s="7" t="s">
        <v>1083</v>
      </c>
      <c r="C54" s="8" t="s">
        <v>1011</v>
      </c>
      <c r="D54" s="8" t="s">
        <v>1012</v>
      </c>
      <c r="E54" s="8" t="s">
        <v>1013</v>
      </c>
      <c r="F54" s="8" t="s">
        <v>1014</v>
      </c>
      <c r="G54" s="8">
        <v>3</v>
      </c>
      <c r="H54" s="8" t="s">
        <v>67</v>
      </c>
      <c r="I54" s="8"/>
    </row>
    <row r="55" spans="1:9">
      <c r="A55" s="16">
        <v>54</v>
      </c>
      <c r="B55" s="7" t="s">
        <v>1085</v>
      </c>
      <c r="C55" s="8" t="s">
        <v>1011</v>
      </c>
      <c r="D55" s="8" t="s">
        <v>1012</v>
      </c>
      <c r="E55" s="8" t="s">
        <v>1013</v>
      </c>
      <c r="F55" s="8" t="s">
        <v>1014</v>
      </c>
      <c r="G55" s="8">
        <v>3</v>
      </c>
      <c r="H55" s="8" t="s">
        <v>67</v>
      </c>
      <c r="I55" s="8"/>
    </row>
    <row r="56" spans="1:9">
      <c r="A56" s="16">
        <v>55</v>
      </c>
      <c r="B56" s="7" t="s">
        <v>1087</v>
      </c>
      <c r="C56" s="8" t="s">
        <v>1011</v>
      </c>
      <c r="D56" s="8" t="s">
        <v>1012</v>
      </c>
      <c r="E56" s="8" t="s">
        <v>1013</v>
      </c>
      <c r="F56" s="8" t="s">
        <v>1014</v>
      </c>
      <c r="G56" s="8">
        <v>3</v>
      </c>
      <c r="H56" s="8" t="s">
        <v>67</v>
      </c>
      <c r="I56" s="8"/>
    </row>
    <row r="57" spans="1:9">
      <c r="A57" s="16">
        <v>56</v>
      </c>
      <c r="B57" s="7" t="s">
        <v>1089</v>
      </c>
      <c r="C57" s="8" t="s">
        <v>1011</v>
      </c>
      <c r="D57" s="8" t="s">
        <v>1012</v>
      </c>
      <c r="E57" s="8" t="s">
        <v>1013</v>
      </c>
      <c r="F57" s="8" t="s">
        <v>1014</v>
      </c>
      <c r="G57" s="8">
        <v>3</v>
      </c>
      <c r="H57" s="8" t="s">
        <v>67</v>
      </c>
      <c r="I57" s="8"/>
    </row>
    <row r="58" spans="1:9">
      <c r="A58" s="16">
        <v>57</v>
      </c>
      <c r="B58" s="7" t="s">
        <v>1091</v>
      </c>
      <c r="C58" s="8" t="s">
        <v>1011</v>
      </c>
      <c r="D58" s="8" t="s">
        <v>1012</v>
      </c>
      <c r="E58" s="8" t="s">
        <v>1013</v>
      </c>
      <c r="F58" s="8" t="s">
        <v>1014</v>
      </c>
      <c r="G58" s="8">
        <v>3</v>
      </c>
      <c r="H58" s="8" t="s">
        <v>67</v>
      </c>
      <c r="I58" s="8"/>
    </row>
    <row r="59" spans="1:9">
      <c r="A59" s="16">
        <v>58</v>
      </c>
      <c r="B59" s="7" t="s">
        <v>1093</v>
      </c>
      <c r="C59" s="8" t="s">
        <v>1011</v>
      </c>
      <c r="D59" s="8" t="s">
        <v>1012</v>
      </c>
      <c r="E59" s="8" t="s">
        <v>1013</v>
      </c>
      <c r="F59" s="8" t="s">
        <v>1014</v>
      </c>
      <c r="G59" s="8">
        <v>3</v>
      </c>
      <c r="H59" s="8" t="s">
        <v>67</v>
      </c>
      <c r="I59" s="8"/>
    </row>
    <row r="60" spans="1:9">
      <c r="A60" s="16">
        <v>59</v>
      </c>
      <c r="B60" s="7" t="s">
        <v>1095</v>
      </c>
      <c r="C60" s="8" t="s">
        <v>1011</v>
      </c>
      <c r="D60" s="8" t="s">
        <v>1012</v>
      </c>
      <c r="E60" s="8" t="s">
        <v>1013</v>
      </c>
      <c r="F60" s="8" t="s">
        <v>1014</v>
      </c>
      <c r="G60" s="8">
        <v>3</v>
      </c>
      <c r="H60" s="8" t="s">
        <v>67</v>
      </c>
      <c r="I60" s="8"/>
    </row>
    <row r="61" spans="1:9">
      <c r="A61" s="16">
        <v>60</v>
      </c>
      <c r="B61" s="7" t="s">
        <v>1097</v>
      </c>
      <c r="C61" s="8" t="s">
        <v>1011</v>
      </c>
      <c r="D61" s="8" t="s">
        <v>1012</v>
      </c>
      <c r="E61" s="8" t="s">
        <v>1013</v>
      </c>
      <c r="F61" s="8" t="s">
        <v>1014</v>
      </c>
      <c r="G61" s="8">
        <v>3</v>
      </c>
      <c r="H61" s="8" t="s">
        <v>67</v>
      </c>
      <c r="I61" s="8"/>
    </row>
    <row r="62" spans="1:9">
      <c r="A62" s="16">
        <v>61</v>
      </c>
      <c r="B62" s="7" t="s">
        <v>1099</v>
      </c>
      <c r="C62" s="8" t="s">
        <v>1011</v>
      </c>
      <c r="D62" s="8" t="s">
        <v>1012</v>
      </c>
      <c r="E62" s="8" t="s">
        <v>1013</v>
      </c>
      <c r="F62" s="8" t="s">
        <v>1014</v>
      </c>
      <c r="G62" s="8">
        <v>3</v>
      </c>
      <c r="H62" s="8" t="s">
        <v>67</v>
      </c>
      <c r="I62" s="8"/>
    </row>
    <row r="63" spans="1:9">
      <c r="A63" s="16">
        <v>62</v>
      </c>
      <c r="B63" s="7" t="s">
        <v>1101</v>
      </c>
      <c r="C63" s="8" t="s">
        <v>1011</v>
      </c>
      <c r="D63" s="8" t="s">
        <v>1012</v>
      </c>
      <c r="E63" s="8" t="s">
        <v>1013</v>
      </c>
      <c r="F63" s="8" t="s">
        <v>1014</v>
      </c>
      <c r="G63" s="8">
        <v>3</v>
      </c>
      <c r="H63" s="8" t="s">
        <v>67</v>
      </c>
      <c r="I63" s="8"/>
    </row>
    <row r="64" spans="1:9">
      <c r="A64" s="16">
        <v>63</v>
      </c>
      <c r="B64" s="7" t="s">
        <v>1103</v>
      </c>
      <c r="C64" s="8" t="s">
        <v>1011</v>
      </c>
      <c r="D64" s="8" t="s">
        <v>1012</v>
      </c>
      <c r="E64" s="8" t="s">
        <v>1013</v>
      </c>
      <c r="F64" s="8" t="s">
        <v>1014</v>
      </c>
      <c r="G64" s="8">
        <v>3</v>
      </c>
      <c r="H64" s="8" t="s">
        <v>67</v>
      </c>
      <c r="I64" s="8"/>
    </row>
    <row r="65" spans="1:9">
      <c r="A65" s="16">
        <v>64</v>
      </c>
      <c r="B65" s="7" t="s">
        <v>1105</v>
      </c>
      <c r="C65" s="8" t="s">
        <v>1106</v>
      </c>
      <c r="D65" s="8" t="s">
        <v>1107</v>
      </c>
      <c r="E65" s="8" t="s">
        <v>1108</v>
      </c>
      <c r="F65" s="8" t="s">
        <v>1109</v>
      </c>
      <c r="G65" s="8">
        <v>3</v>
      </c>
      <c r="H65" s="8" t="s">
        <v>67</v>
      </c>
      <c r="I65" s="8"/>
    </row>
    <row r="66" spans="1:9">
      <c r="A66" s="16">
        <v>65</v>
      </c>
      <c r="B66" s="7" t="s">
        <v>1111</v>
      </c>
      <c r="C66" s="8" t="s">
        <v>1106</v>
      </c>
      <c r="D66" s="8" t="s">
        <v>1107</v>
      </c>
      <c r="E66" s="8" t="s">
        <v>1108</v>
      </c>
      <c r="F66" s="8" t="s">
        <v>1109</v>
      </c>
      <c r="G66" s="8">
        <v>3</v>
      </c>
      <c r="H66" s="8" t="s">
        <v>67</v>
      </c>
      <c r="I66" s="8"/>
    </row>
    <row r="67" spans="1:9">
      <c r="A67" s="16">
        <v>66</v>
      </c>
      <c r="B67" s="7" t="s">
        <v>1113</v>
      </c>
      <c r="C67" s="8" t="s">
        <v>1106</v>
      </c>
      <c r="D67" s="8" t="s">
        <v>1107</v>
      </c>
      <c r="E67" s="8" t="s">
        <v>1108</v>
      </c>
      <c r="F67" s="8" t="s">
        <v>1109</v>
      </c>
      <c r="G67" s="8">
        <v>3</v>
      </c>
      <c r="H67" s="8" t="s">
        <v>67</v>
      </c>
      <c r="I67" s="8"/>
    </row>
    <row r="68" spans="1:9">
      <c r="A68" s="16">
        <v>67</v>
      </c>
      <c r="B68" s="7" t="s">
        <v>1115</v>
      </c>
      <c r="C68" s="8" t="s">
        <v>1106</v>
      </c>
      <c r="D68" s="8" t="s">
        <v>1107</v>
      </c>
      <c r="E68" s="8" t="s">
        <v>1108</v>
      </c>
      <c r="F68" s="8" t="s">
        <v>1109</v>
      </c>
      <c r="G68" s="8">
        <v>3</v>
      </c>
      <c r="H68" s="8" t="s">
        <v>67</v>
      </c>
      <c r="I68" s="8"/>
    </row>
    <row r="69" spans="1:9">
      <c r="A69" s="16">
        <v>68</v>
      </c>
      <c r="B69" s="7" t="s">
        <v>1117</v>
      </c>
      <c r="C69" s="8" t="s">
        <v>1118</v>
      </c>
      <c r="D69" s="8" t="s">
        <v>1119</v>
      </c>
      <c r="E69" s="8" t="s">
        <v>1117</v>
      </c>
      <c r="F69" s="8" t="s">
        <v>1120</v>
      </c>
      <c r="G69" s="8">
        <v>2</v>
      </c>
      <c r="H69" s="8" t="s">
        <v>142</v>
      </c>
      <c r="I69" s="8"/>
    </row>
    <row r="70" spans="1:9">
      <c r="A70" s="16">
        <v>69</v>
      </c>
      <c r="B70" s="7" t="s">
        <v>1122</v>
      </c>
      <c r="C70" s="8" t="s">
        <v>1118</v>
      </c>
      <c r="D70" s="8" t="s">
        <v>1119</v>
      </c>
      <c r="E70" s="8" t="s">
        <v>1117</v>
      </c>
      <c r="F70" s="8" t="s">
        <v>1120</v>
      </c>
      <c r="G70" s="8">
        <v>2</v>
      </c>
      <c r="H70" s="8" t="s">
        <v>142</v>
      </c>
      <c r="I70" s="8"/>
    </row>
    <row r="71" spans="1:9">
      <c r="A71" s="16">
        <v>70</v>
      </c>
      <c r="B71" s="7" t="s">
        <v>1124</v>
      </c>
      <c r="C71" s="8" t="s">
        <v>1125</v>
      </c>
      <c r="D71" s="8" t="s">
        <v>1126</v>
      </c>
      <c r="E71" s="8" t="s">
        <v>1126</v>
      </c>
      <c r="F71" s="8" t="s">
        <v>1127</v>
      </c>
      <c r="G71" s="8">
        <v>3</v>
      </c>
      <c r="H71" s="8" t="s">
        <v>67</v>
      </c>
      <c r="I71" s="8"/>
    </row>
    <row r="72" spans="1:9">
      <c r="A72" s="16">
        <v>71</v>
      </c>
      <c r="B72" s="7" t="s">
        <v>1129</v>
      </c>
      <c r="C72" s="8" t="s">
        <v>1125</v>
      </c>
      <c r="D72" s="8" t="s">
        <v>1126</v>
      </c>
      <c r="E72" s="8" t="s">
        <v>1126</v>
      </c>
      <c r="F72" s="8" t="s">
        <v>1127</v>
      </c>
      <c r="G72" s="8">
        <v>3</v>
      </c>
      <c r="H72" s="8" t="s">
        <v>67</v>
      </c>
      <c r="I72" s="8"/>
    </row>
    <row r="73" spans="1:9">
      <c r="A73" s="16">
        <v>72</v>
      </c>
      <c r="B73" s="7" t="s">
        <v>1131</v>
      </c>
      <c r="C73" s="8" t="s">
        <v>1125</v>
      </c>
      <c r="D73" s="8" t="s">
        <v>1126</v>
      </c>
      <c r="E73" s="8" t="s">
        <v>1126</v>
      </c>
      <c r="F73" s="8" t="s">
        <v>1127</v>
      </c>
      <c r="G73" s="8">
        <v>3</v>
      </c>
      <c r="H73" s="8" t="s">
        <v>67</v>
      </c>
      <c r="I73" s="8"/>
    </row>
    <row r="74" spans="1:9">
      <c r="A74" s="16">
        <v>73</v>
      </c>
      <c r="B74" s="7" t="s">
        <v>1133</v>
      </c>
      <c r="C74" s="8" t="s">
        <v>1125</v>
      </c>
      <c r="D74" s="8" t="s">
        <v>1126</v>
      </c>
      <c r="E74" s="8" t="s">
        <v>1126</v>
      </c>
      <c r="F74" s="8" t="s">
        <v>1127</v>
      </c>
      <c r="G74" s="8">
        <v>3</v>
      </c>
      <c r="H74" s="8" t="s">
        <v>67</v>
      </c>
      <c r="I74" s="8"/>
    </row>
    <row r="75" spans="1:9">
      <c r="A75" s="16">
        <v>74</v>
      </c>
      <c r="B75" s="7" t="s">
        <v>1135</v>
      </c>
      <c r="C75" s="8" t="s">
        <v>1136</v>
      </c>
      <c r="D75" s="8" t="s">
        <v>1137</v>
      </c>
      <c r="E75" s="8" t="s">
        <v>1138</v>
      </c>
      <c r="F75" s="8" t="s">
        <v>1139</v>
      </c>
      <c r="G75" s="8">
        <v>3</v>
      </c>
      <c r="H75" s="8" t="s">
        <v>67</v>
      </c>
      <c r="I75" s="8"/>
    </row>
    <row r="76" spans="1:9">
      <c r="A76" s="16">
        <v>75</v>
      </c>
      <c r="B76" s="7" t="s">
        <v>1141</v>
      </c>
      <c r="C76" s="8" t="s">
        <v>1136</v>
      </c>
      <c r="D76" s="8" t="s">
        <v>1137</v>
      </c>
      <c r="E76" s="8" t="s">
        <v>1138</v>
      </c>
      <c r="F76" s="8" t="s">
        <v>1139</v>
      </c>
      <c r="G76" s="8">
        <v>3</v>
      </c>
      <c r="H76" s="8" t="s">
        <v>67</v>
      </c>
      <c r="I76" s="8"/>
    </row>
    <row r="77" spans="1:9">
      <c r="A77" s="16">
        <v>76</v>
      </c>
      <c r="B77" s="7" t="s">
        <v>1143</v>
      </c>
      <c r="C77" s="8" t="s">
        <v>1136</v>
      </c>
      <c r="D77" s="8" t="s">
        <v>1137</v>
      </c>
      <c r="E77" s="8" t="s">
        <v>1138</v>
      </c>
      <c r="F77" s="8" t="s">
        <v>1139</v>
      </c>
      <c r="G77" s="8">
        <v>3</v>
      </c>
      <c r="H77" s="8" t="s">
        <v>67</v>
      </c>
      <c r="I77" s="8"/>
    </row>
    <row r="78" spans="1:9">
      <c r="A78" s="16">
        <v>77</v>
      </c>
      <c r="B78" s="7" t="s">
        <v>1145</v>
      </c>
      <c r="C78" s="8" t="s">
        <v>1146</v>
      </c>
      <c r="D78" s="8" t="s">
        <v>1147</v>
      </c>
      <c r="E78" s="8" t="s">
        <v>1148</v>
      </c>
      <c r="F78" s="8" t="s">
        <v>1149</v>
      </c>
      <c r="G78" s="8">
        <v>3</v>
      </c>
      <c r="H78" s="8" t="s">
        <v>67</v>
      </c>
      <c r="I78" s="8"/>
    </row>
    <row r="79" spans="1:9">
      <c r="A79" s="16">
        <v>78</v>
      </c>
      <c r="B79" s="7" t="s">
        <v>1151</v>
      </c>
      <c r="C79" s="8" t="s">
        <v>1146</v>
      </c>
      <c r="D79" s="8" t="s">
        <v>1147</v>
      </c>
      <c r="E79" s="8" t="s">
        <v>1148</v>
      </c>
      <c r="F79" s="8" t="s">
        <v>1149</v>
      </c>
      <c r="G79" s="8">
        <v>2</v>
      </c>
      <c r="H79" s="8" t="s">
        <v>142</v>
      </c>
      <c r="I79" s="8"/>
    </row>
    <row r="80" spans="1:9">
      <c r="A80" s="16">
        <v>79</v>
      </c>
      <c r="B80" s="7" t="s">
        <v>1153</v>
      </c>
      <c r="C80" s="8" t="s">
        <v>1154</v>
      </c>
      <c r="D80" s="8" t="s">
        <v>1155</v>
      </c>
      <c r="E80" s="8" t="s">
        <v>1155</v>
      </c>
      <c r="F80" s="8" t="s">
        <v>1156</v>
      </c>
      <c r="G80" s="8">
        <v>3</v>
      </c>
      <c r="H80" s="8" t="s">
        <v>67</v>
      </c>
      <c r="I80" s="8"/>
    </row>
    <row r="81" spans="1:9">
      <c r="A81" s="16">
        <v>80</v>
      </c>
      <c r="B81" s="7" t="s">
        <v>1158</v>
      </c>
      <c r="C81" s="8" t="s">
        <v>1154</v>
      </c>
      <c r="D81" s="8" t="s">
        <v>1155</v>
      </c>
      <c r="E81" s="8" t="s">
        <v>1155</v>
      </c>
      <c r="F81" s="8" t="s">
        <v>1156</v>
      </c>
      <c r="G81" s="8">
        <v>3</v>
      </c>
      <c r="H81" s="8" t="s">
        <v>67</v>
      </c>
      <c r="I81" s="8"/>
    </row>
    <row r="82" spans="1:9">
      <c r="A82" s="16">
        <v>81</v>
      </c>
      <c r="B82" s="7" t="s">
        <v>1160</v>
      </c>
      <c r="C82" s="8" t="s">
        <v>1154</v>
      </c>
      <c r="D82" s="8" t="s">
        <v>1155</v>
      </c>
      <c r="E82" s="8" t="s">
        <v>1155</v>
      </c>
      <c r="F82" s="8" t="s">
        <v>1156</v>
      </c>
      <c r="G82" s="8">
        <v>3</v>
      </c>
      <c r="H82" s="8" t="s">
        <v>67</v>
      </c>
      <c r="I82" s="8"/>
    </row>
    <row r="83" spans="1:9">
      <c r="A83" s="16">
        <v>82</v>
      </c>
      <c r="B83" s="7" t="s">
        <v>298</v>
      </c>
      <c r="C83" s="8" t="s">
        <v>1154</v>
      </c>
      <c r="D83" s="8" t="s">
        <v>1155</v>
      </c>
      <c r="E83" s="8" t="s">
        <v>1155</v>
      </c>
      <c r="F83" s="8" t="s">
        <v>1156</v>
      </c>
      <c r="G83" s="8">
        <v>3</v>
      </c>
      <c r="H83" s="8" t="s">
        <v>67</v>
      </c>
      <c r="I83" s="8"/>
    </row>
    <row r="84" spans="1:9">
      <c r="A84" s="16">
        <v>83</v>
      </c>
      <c r="B84" s="7" t="s">
        <v>1163</v>
      </c>
      <c r="C84" s="8" t="s">
        <v>1154</v>
      </c>
      <c r="D84" s="8" t="s">
        <v>1155</v>
      </c>
      <c r="E84" s="8" t="s">
        <v>1155</v>
      </c>
      <c r="F84" s="8" t="s">
        <v>1156</v>
      </c>
      <c r="G84" s="8">
        <v>3</v>
      </c>
      <c r="H84" s="8" t="s">
        <v>67</v>
      </c>
      <c r="I84" s="8"/>
    </row>
    <row r="85" spans="1:9">
      <c r="A85" s="16">
        <v>84</v>
      </c>
      <c r="B85" s="7" t="s">
        <v>1165</v>
      </c>
      <c r="C85" s="8" t="s">
        <v>1154</v>
      </c>
      <c r="D85" s="8" t="s">
        <v>1155</v>
      </c>
      <c r="E85" s="8" t="s">
        <v>1155</v>
      </c>
      <c r="F85" s="8" t="s">
        <v>1156</v>
      </c>
      <c r="G85" s="8">
        <v>3</v>
      </c>
      <c r="H85" s="8" t="s">
        <v>67</v>
      </c>
      <c r="I85" s="8"/>
    </row>
    <row r="86" spans="1:9">
      <c r="A86" s="16">
        <v>85</v>
      </c>
      <c r="B86" s="7" t="s">
        <v>1167</v>
      </c>
      <c r="C86" s="8" t="s">
        <v>1154</v>
      </c>
      <c r="D86" s="8" t="s">
        <v>1155</v>
      </c>
      <c r="E86" s="8" t="s">
        <v>1155</v>
      </c>
      <c r="F86" s="8" t="s">
        <v>1156</v>
      </c>
      <c r="G86" s="8">
        <v>3</v>
      </c>
      <c r="H86" s="8" t="s">
        <v>67</v>
      </c>
      <c r="I86" s="8"/>
    </row>
    <row r="87" spans="1:9">
      <c r="A87" s="16">
        <v>86</v>
      </c>
      <c r="B87" s="7" t="s">
        <v>1169</v>
      </c>
      <c r="C87" s="8" t="s">
        <v>1154</v>
      </c>
      <c r="D87" s="8" t="s">
        <v>1155</v>
      </c>
      <c r="E87" s="8" t="s">
        <v>1155</v>
      </c>
      <c r="F87" s="8" t="s">
        <v>1156</v>
      </c>
      <c r="G87" s="8">
        <v>3</v>
      </c>
      <c r="H87" s="8" t="s">
        <v>67</v>
      </c>
      <c r="I87" s="8"/>
    </row>
    <row r="88" spans="1:9">
      <c r="A88" s="16">
        <v>87</v>
      </c>
      <c r="B88" s="7" t="s">
        <v>1171</v>
      </c>
      <c r="C88" s="8" t="s">
        <v>1154</v>
      </c>
      <c r="D88" s="8" t="s">
        <v>1155</v>
      </c>
      <c r="E88" s="8" t="s">
        <v>1155</v>
      </c>
      <c r="F88" s="8" t="s">
        <v>1156</v>
      </c>
      <c r="G88" s="8">
        <v>3</v>
      </c>
      <c r="H88" s="8" t="s">
        <v>67</v>
      </c>
      <c r="I88" s="8"/>
    </row>
    <row r="89" spans="1:9">
      <c r="A89" s="16">
        <v>88</v>
      </c>
      <c r="B89" s="7" t="s">
        <v>1173</v>
      </c>
      <c r="C89" s="8" t="s">
        <v>1174</v>
      </c>
      <c r="D89" s="8" t="s">
        <v>1175</v>
      </c>
      <c r="E89" s="8" t="s">
        <v>1175</v>
      </c>
      <c r="F89" s="8" t="s">
        <v>1176</v>
      </c>
      <c r="G89" s="8">
        <v>3</v>
      </c>
      <c r="H89" s="8" t="s">
        <v>67</v>
      </c>
      <c r="I89" s="8"/>
    </row>
    <row r="90" spans="1:9">
      <c r="A90" s="16">
        <v>89</v>
      </c>
      <c r="B90" s="7" t="s">
        <v>1178</v>
      </c>
      <c r="C90" s="8" t="s">
        <v>1174</v>
      </c>
      <c r="D90" s="8" t="s">
        <v>1175</v>
      </c>
      <c r="E90" s="8" t="s">
        <v>1175</v>
      </c>
      <c r="F90" s="8" t="s">
        <v>1176</v>
      </c>
      <c r="G90" s="8">
        <v>3</v>
      </c>
      <c r="H90" s="8" t="s">
        <v>67</v>
      </c>
      <c r="I90" s="8"/>
    </row>
    <row r="91" spans="1:9">
      <c r="A91" s="16">
        <v>90</v>
      </c>
      <c r="B91" s="7" t="s">
        <v>1180</v>
      </c>
      <c r="C91" s="8" t="s">
        <v>1174</v>
      </c>
      <c r="D91" s="8" t="s">
        <v>1175</v>
      </c>
      <c r="E91" s="8" t="s">
        <v>1175</v>
      </c>
      <c r="F91" s="8" t="s">
        <v>1176</v>
      </c>
      <c r="G91" s="8">
        <v>3</v>
      </c>
      <c r="H91" s="8" t="s">
        <v>67</v>
      </c>
      <c r="I91" s="8"/>
    </row>
    <row r="92" spans="1:9">
      <c r="A92" s="16">
        <v>91</v>
      </c>
      <c r="B92" s="7" t="s">
        <v>1182</v>
      </c>
      <c r="C92" s="8" t="s">
        <v>1174</v>
      </c>
      <c r="D92" s="8" t="s">
        <v>1175</v>
      </c>
      <c r="E92" s="8" t="s">
        <v>1175</v>
      </c>
      <c r="F92" s="8" t="s">
        <v>1176</v>
      </c>
      <c r="G92" s="8">
        <v>3</v>
      </c>
      <c r="H92" s="8" t="s">
        <v>67</v>
      </c>
      <c r="I92" s="8"/>
    </row>
    <row r="93" spans="1:9">
      <c r="A93" s="16">
        <v>92</v>
      </c>
      <c r="B93" s="7" t="s">
        <v>1184</v>
      </c>
      <c r="C93" s="8" t="s">
        <v>1174</v>
      </c>
      <c r="D93" s="8" t="s">
        <v>1175</v>
      </c>
      <c r="E93" s="8" t="s">
        <v>1175</v>
      </c>
      <c r="F93" s="8" t="s">
        <v>1176</v>
      </c>
      <c r="G93" s="8">
        <v>3</v>
      </c>
      <c r="H93" s="8" t="s">
        <v>67</v>
      </c>
      <c r="I93" s="8"/>
    </row>
    <row r="94" spans="1:9">
      <c r="A94" s="16">
        <v>93</v>
      </c>
      <c r="B94" s="7" t="s">
        <v>1186</v>
      </c>
      <c r="C94" s="8" t="s">
        <v>1174</v>
      </c>
      <c r="D94" s="8" t="s">
        <v>1175</v>
      </c>
      <c r="E94" s="8" t="s">
        <v>1175</v>
      </c>
      <c r="F94" s="8" t="s">
        <v>1176</v>
      </c>
      <c r="G94" s="8">
        <v>3</v>
      </c>
      <c r="H94" s="8" t="s">
        <v>67</v>
      </c>
      <c r="I94" s="8"/>
    </row>
    <row r="95" spans="1:9">
      <c r="A95" s="16">
        <v>94</v>
      </c>
      <c r="B95" s="7" t="s">
        <v>1188</v>
      </c>
      <c r="C95" s="8" t="s">
        <v>1189</v>
      </c>
      <c r="D95" s="8" t="s">
        <v>1190</v>
      </c>
      <c r="E95" s="8" t="s">
        <v>1191</v>
      </c>
      <c r="F95" s="8" t="s">
        <v>1192</v>
      </c>
      <c r="G95" s="8">
        <v>3</v>
      </c>
      <c r="H95" s="8" t="s">
        <v>67</v>
      </c>
      <c r="I95" s="8"/>
    </row>
    <row r="96" spans="1:9">
      <c r="A96" s="16">
        <v>95</v>
      </c>
      <c r="B96" s="7" t="s">
        <v>1194</v>
      </c>
      <c r="C96" s="8" t="s">
        <v>1189</v>
      </c>
      <c r="D96" s="8" t="s">
        <v>1190</v>
      </c>
      <c r="E96" s="8" t="s">
        <v>1191</v>
      </c>
      <c r="F96" s="8" t="s">
        <v>1192</v>
      </c>
      <c r="G96" s="8">
        <v>3</v>
      </c>
      <c r="H96" s="8" t="s">
        <v>67</v>
      </c>
      <c r="I96" s="8"/>
    </row>
    <row r="97" spans="1:9">
      <c r="A97" s="16">
        <v>96</v>
      </c>
      <c r="B97" s="7" t="s">
        <v>1196</v>
      </c>
      <c r="C97" s="8" t="s">
        <v>1189</v>
      </c>
      <c r="D97" s="8" t="s">
        <v>1190</v>
      </c>
      <c r="E97" s="8" t="s">
        <v>1191</v>
      </c>
      <c r="F97" s="8" t="s">
        <v>1192</v>
      </c>
      <c r="G97" s="8">
        <v>3</v>
      </c>
      <c r="H97" s="8" t="s">
        <v>67</v>
      </c>
      <c r="I97" s="8"/>
    </row>
    <row r="98" spans="1:9">
      <c r="A98" s="16">
        <v>97</v>
      </c>
      <c r="B98" s="7" t="s">
        <v>1198</v>
      </c>
      <c r="C98" s="8" t="s">
        <v>1199</v>
      </c>
      <c r="D98" s="8" t="s">
        <v>1198</v>
      </c>
      <c r="E98" s="8" t="s">
        <v>1200</v>
      </c>
      <c r="F98" s="8" t="s">
        <v>1201</v>
      </c>
      <c r="G98" s="8">
        <v>3</v>
      </c>
      <c r="H98" s="8" t="s">
        <v>67</v>
      </c>
      <c r="I98" s="8"/>
    </row>
    <row r="99" spans="1:9">
      <c r="A99" s="16">
        <v>98</v>
      </c>
      <c r="B99" s="7" t="s">
        <v>340</v>
      </c>
      <c r="C99" s="8" t="s">
        <v>1199</v>
      </c>
      <c r="D99" s="8" t="s">
        <v>1198</v>
      </c>
      <c r="E99" s="8" t="s">
        <v>1200</v>
      </c>
      <c r="F99" s="8" t="s">
        <v>1201</v>
      </c>
      <c r="G99" s="8">
        <v>3</v>
      </c>
      <c r="H99" s="8" t="s">
        <v>67</v>
      </c>
      <c r="I99" s="8"/>
    </row>
    <row r="100" spans="1:9">
      <c r="A100" s="16">
        <v>99</v>
      </c>
      <c r="B100" s="7" t="s">
        <v>1204</v>
      </c>
      <c r="C100" s="8" t="s">
        <v>1205</v>
      </c>
      <c r="D100" s="8" t="s">
        <v>1206</v>
      </c>
      <c r="E100" s="8" t="s">
        <v>1207</v>
      </c>
      <c r="F100" s="8" t="s">
        <v>1208</v>
      </c>
      <c r="G100" s="8">
        <v>3</v>
      </c>
      <c r="H100" s="8" t="s">
        <v>67</v>
      </c>
      <c r="I100" s="8"/>
    </row>
    <row r="101" spans="1:9">
      <c r="A101" s="16">
        <v>100</v>
      </c>
      <c r="B101" s="7" t="s">
        <v>1210</v>
      </c>
      <c r="C101" s="8" t="s">
        <v>1205</v>
      </c>
      <c r="D101" s="8" t="s">
        <v>1206</v>
      </c>
      <c r="E101" s="8" t="s">
        <v>1207</v>
      </c>
      <c r="F101" s="8" t="s">
        <v>1208</v>
      </c>
      <c r="G101" s="8">
        <v>3</v>
      </c>
      <c r="H101" s="8" t="s">
        <v>67</v>
      </c>
      <c r="I101" s="8"/>
    </row>
    <row r="102" spans="1:9">
      <c r="A102" s="16">
        <v>101</v>
      </c>
      <c r="B102" s="7" t="s">
        <v>1212</v>
      </c>
      <c r="C102" s="8" t="s">
        <v>1205</v>
      </c>
      <c r="D102" s="8" t="s">
        <v>1206</v>
      </c>
      <c r="E102" s="8" t="s">
        <v>1207</v>
      </c>
      <c r="F102" s="8" t="s">
        <v>1208</v>
      </c>
      <c r="G102" s="8">
        <v>2</v>
      </c>
      <c r="H102" s="8" t="s">
        <v>142</v>
      </c>
      <c r="I102" s="8"/>
    </row>
    <row r="103" spans="1:9">
      <c r="A103" s="16">
        <v>102</v>
      </c>
      <c r="B103" s="7" t="s">
        <v>1214</v>
      </c>
      <c r="C103" s="8" t="s">
        <v>1215</v>
      </c>
      <c r="D103" s="8" t="s">
        <v>1216</v>
      </c>
      <c r="E103" s="8" t="s">
        <v>1217</v>
      </c>
      <c r="F103" s="8" t="s">
        <v>1218</v>
      </c>
      <c r="G103" s="8">
        <v>3</v>
      </c>
      <c r="H103" s="8" t="s">
        <v>67</v>
      </c>
      <c r="I103" s="8"/>
    </row>
    <row r="104" spans="1:9">
      <c r="A104" s="16">
        <v>103</v>
      </c>
      <c r="B104" s="7" t="s">
        <v>1220</v>
      </c>
      <c r="C104" s="8" t="s">
        <v>1215</v>
      </c>
      <c r="D104" s="8" t="s">
        <v>1216</v>
      </c>
      <c r="E104" s="8" t="s">
        <v>1217</v>
      </c>
      <c r="F104" s="8" t="s">
        <v>1218</v>
      </c>
      <c r="G104" s="8">
        <v>3</v>
      </c>
      <c r="H104" s="8" t="s">
        <v>67</v>
      </c>
      <c r="I104" s="8"/>
    </row>
    <row r="105" spans="1:9">
      <c r="A105" s="16">
        <v>104</v>
      </c>
      <c r="B105" s="7" t="s">
        <v>1222</v>
      </c>
      <c r="C105" s="8" t="s">
        <v>1223</v>
      </c>
      <c r="D105" s="8" t="s">
        <v>1224</v>
      </c>
      <c r="E105" s="8" t="s">
        <v>1222</v>
      </c>
      <c r="F105" s="8" t="s">
        <v>1225</v>
      </c>
      <c r="G105" s="8">
        <v>3</v>
      </c>
      <c r="H105" s="8" t="s">
        <v>67</v>
      </c>
      <c r="I105" s="8"/>
    </row>
    <row r="106" spans="1:9">
      <c r="A106" s="16">
        <v>105</v>
      </c>
      <c r="B106" s="7" t="s">
        <v>1227</v>
      </c>
      <c r="C106" s="8" t="s">
        <v>1228</v>
      </c>
      <c r="D106" s="8" t="s">
        <v>1229</v>
      </c>
      <c r="E106" s="8" t="s">
        <v>1229</v>
      </c>
      <c r="F106" s="8" t="s">
        <v>1230</v>
      </c>
      <c r="G106" s="8">
        <v>3</v>
      </c>
      <c r="H106" s="8" t="s">
        <v>67</v>
      </c>
      <c r="I106" s="8"/>
    </row>
    <row r="107" spans="1:9">
      <c r="A107" s="16">
        <v>106</v>
      </c>
      <c r="B107" s="7" t="s">
        <v>1232</v>
      </c>
      <c r="C107" s="8" t="s">
        <v>1228</v>
      </c>
      <c r="D107" s="8" t="s">
        <v>1229</v>
      </c>
      <c r="E107" s="8" t="s">
        <v>1229</v>
      </c>
      <c r="F107" s="8" t="s">
        <v>1230</v>
      </c>
      <c r="G107" s="8">
        <v>3</v>
      </c>
      <c r="H107" s="8" t="s">
        <v>67</v>
      </c>
      <c r="I107" s="8"/>
    </row>
    <row r="108" spans="1:9">
      <c r="A108" s="16">
        <v>107</v>
      </c>
      <c r="B108" s="7" t="s">
        <v>1234</v>
      </c>
      <c r="C108" s="8" t="s">
        <v>1235</v>
      </c>
      <c r="D108" s="8" t="s">
        <v>1236</v>
      </c>
      <c r="E108" s="8" t="s">
        <v>1237</v>
      </c>
      <c r="F108" s="8" t="s">
        <v>1238</v>
      </c>
      <c r="G108" s="8">
        <v>3</v>
      </c>
      <c r="H108" s="8" t="s">
        <v>67</v>
      </c>
      <c r="I108" s="8"/>
    </row>
    <row r="109" spans="1:9">
      <c r="A109" s="16">
        <v>108</v>
      </c>
      <c r="B109" s="7" t="s">
        <v>1240</v>
      </c>
      <c r="C109" s="8" t="s">
        <v>1235</v>
      </c>
      <c r="D109" s="8" t="s">
        <v>1236</v>
      </c>
      <c r="E109" s="8" t="s">
        <v>1237</v>
      </c>
      <c r="F109" s="8" t="s">
        <v>1238</v>
      </c>
      <c r="G109" s="8">
        <v>3</v>
      </c>
      <c r="H109" s="8" t="s">
        <v>67</v>
      </c>
      <c r="I109" s="8"/>
    </row>
    <row r="110" spans="1:9">
      <c r="A110" s="16">
        <v>109</v>
      </c>
      <c r="B110" s="7" t="s">
        <v>1242</v>
      </c>
      <c r="C110" s="8" t="s">
        <v>1243</v>
      </c>
      <c r="D110" s="8" t="s">
        <v>1244</v>
      </c>
      <c r="E110" s="8" t="s">
        <v>1245</v>
      </c>
      <c r="F110" s="8" t="s">
        <v>1246</v>
      </c>
      <c r="G110" s="8">
        <v>3</v>
      </c>
      <c r="H110" s="8" t="s">
        <v>67</v>
      </c>
      <c r="I110" s="8"/>
    </row>
    <row r="111" spans="1:9">
      <c r="A111" s="16">
        <v>110</v>
      </c>
      <c r="B111" s="7" t="s">
        <v>1248</v>
      </c>
      <c r="C111" s="8" t="s">
        <v>1243</v>
      </c>
      <c r="D111" s="8" t="s">
        <v>1244</v>
      </c>
      <c r="E111" s="8" t="s">
        <v>1245</v>
      </c>
      <c r="F111" s="8" t="s">
        <v>1246</v>
      </c>
      <c r="G111" s="8">
        <v>3</v>
      </c>
      <c r="H111" s="8" t="s">
        <v>67</v>
      </c>
      <c r="I111" s="8"/>
    </row>
    <row r="112" spans="1:9">
      <c r="A112" s="16">
        <v>111</v>
      </c>
      <c r="B112" s="7" t="s">
        <v>1250</v>
      </c>
      <c r="C112" s="8" t="s">
        <v>1251</v>
      </c>
      <c r="D112" s="8" t="s">
        <v>1252</v>
      </c>
      <c r="E112" s="8" t="s">
        <v>1253</v>
      </c>
      <c r="F112" s="8" t="s">
        <v>1254</v>
      </c>
      <c r="G112" s="8">
        <v>3</v>
      </c>
      <c r="H112" s="8" t="s">
        <v>67</v>
      </c>
      <c r="I112" s="8"/>
    </row>
    <row r="113" spans="1:2">
      <c r="A113" s="16">
        <v>112</v>
      </c>
      <c r="B113" s="7" t="s">
        <v>1670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83"/>
  <sheetViews>
    <sheetView topLeftCell="A155" zoomScale="95" zoomScaleNormal="95" workbookViewId="0">
      <selection activeCell="C1" sqref="C1:F1"/>
    </sheetView>
  </sheetViews>
  <sheetFormatPr baseColWidth="10" defaultColWidth="12" defaultRowHeight="13.15"/>
  <cols>
    <col min="1" max="1" width="11.92578125"/>
    <col min="2" max="2" width="60.35546875" customWidth="1"/>
    <col min="3" max="3" width="12.92578125" customWidth="1"/>
    <col min="4" max="6" width="19.2109375" customWidth="1"/>
    <col min="7" max="16384" width="11.92578125"/>
  </cols>
  <sheetData>
    <row r="1" spans="1:12">
      <c r="A1" t="s">
        <v>5</v>
      </c>
      <c r="B1" t="s">
        <v>6</v>
      </c>
      <c r="C1" s="14" t="s">
        <v>1742</v>
      </c>
      <c r="D1" s="14" t="s">
        <v>1743</v>
      </c>
      <c r="E1" s="14" t="s">
        <v>1744</v>
      </c>
      <c r="F1" s="14" t="s">
        <v>1745</v>
      </c>
      <c r="G1" t="s">
        <v>7</v>
      </c>
      <c r="H1" t="s">
        <v>8</v>
      </c>
      <c r="I1" t="s">
        <v>1541</v>
      </c>
      <c r="J1" t="s">
        <v>1542</v>
      </c>
    </row>
    <row r="2" spans="1:12">
      <c r="A2" s="9">
        <v>1</v>
      </c>
      <c r="B2" t="s">
        <v>13</v>
      </c>
      <c r="C2" s="14" t="str">
        <f>"0"</f>
        <v>0</v>
      </c>
      <c r="D2" s="17" t="str">
        <f>"Productos de la agricultura, la silvicultura y la pesca"</f>
        <v>Productos de la agricultura, la silvicultura y la pesca</v>
      </c>
      <c r="E2" s="17">
        <v>1</v>
      </c>
      <c r="F2" s="17" t="s">
        <v>1746</v>
      </c>
      <c r="G2">
        <v>1</v>
      </c>
      <c r="H2" t="s">
        <v>14</v>
      </c>
      <c r="I2">
        <v>2</v>
      </c>
      <c r="J2" t="s">
        <v>970</v>
      </c>
      <c r="L2" s="9"/>
    </row>
    <row r="3" spans="1:12">
      <c r="A3" s="9">
        <v>2</v>
      </c>
      <c r="B3" t="s">
        <v>16</v>
      </c>
      <c r="C3" s="14" t="str">
        <f>"0"</f>
        <v>0</v>
      </c>
      <c r="D3" s="17" t="str">
        <f>"Productos de la agricultura, la silvicultura y la pesca"</f>
        <v>Productos de la agricultura, la silvicultura y la pesca</v>
      </c>
      <c r="E3" s="17">
        <v>1</v>
      </c>
      <c r="F3" s="17" t="s">
        <v>1746</v>
      </c>
      <c r="G3">
        <v>1</v>
      </c>
      <c r="H3" t="s">
        <v>14</v>
      </c>
      <c r="I3">
        <v>2</v>
      </c>
      <c r="J3" t="s">
        <v>970</v>
      </c>
    </row>
    <row r="4" spans="1:12">
      <c r="A4" s="9">
        <v>3</v>
      </c>
      <c r="B4" t="s">
        <v>18</v>
      </c>
      <c r="C4" s="14" t="str">
        <f t="shared" ref="C4:C27" si="0">"0"</f>
        <v>0</v>
      </c>
      <c r="D4" s="17" t="str">
        <f t="shared" ref="D4:D27" si="1">"Productos de la agricultura, la silvicultura y la pesca"</f>
        <v>Productos de la agricultura, la silvicultura y la pesca</v>
      </c>
      <c r="E4" s="17">
        <v>1</v>
      </c>
      <c r="F4" s="17" t="s">
        <v>1746</v>
      </c>
      <c r="G4">
        <v>1</v>
      </c>
      <c r="H4" t="s">
        <v>14</v>
      </c>
      <c r="I4">
        <v>2</v>
      </c>
      <c r="J4" t="s">
        <v>970</v>
      </c>
    </row>
    <row r="5" spans="1:12">
      <c r="A5" s="9">
        <v>4</v>
      </c>
      <c r="B5" t="s">
        <v>20</v>
      </c>
      <c r="C5" s="14" t="str">
        <f t="shared" si="0"/>
        <v>0</v>
      </c>
      <c r="D5" s="17" t="str">
        <f t="shared" si="1"/>
        <v>Productos de la agricultura, la silvicultura y la pesca</v>
      </c>
      <c r="E5" s="17">
        <v>1</v>
      </c>
      <c r="F5" s="17" t="s">
        <v>1746</v>
      </c>
      <c r="G5">
        <v>1</v>
      </c>
      <c r="H5" t="s">
        <v>14</v>
      </c>
      <c r="I5">
        <v>2</v>
      </c>
      <c r="J5" t="s">
        <v>970</v>
      </c>
    </row>
    <row r="6" spans="1:12">
      <c r="A6" s="9">
        <v>5</v>
      </c>
      <c r="B6" t="s">
        <v>22</v>
      </c>
      <c r="C6" s="14" t="str">
        <f t="shared" si="0"/>
        <v>0</v>
      </c>
      <c r="D6" s="17" t="str">
        <f t="shared" si="1"/>
        <v>Productos de la agricultura, la silvicultura y la pesca</v>
      </c>
      <c r="E6" s="17">
        <v>1</v>
      </c>
      <c r="F6" s="17" t="s">
        <v>1746</v>
      </c>
      <c r="G6">
        <v>1</v>
      </c>
      <c r="H6" t="s">
        <v>14</v>
      </c>
      <c r="I6">
        <v>2</v>
      </c>
      <c r="J6" t="s">
        <v>970</v>
      </c>
    </row>
    <row r="7" spans="1:12">
      <c r="A7" s="9">
        <v>6</v>
      </c>
      <c r="B7" t="s">
        <v>24</v>
      </c>
      <c r="C7" s="14" t="str">
        <f t="shared" si="0"/>
        <v>0</v>
      </c>
      <c r="D7" s="17" t="str">
        <f t="shared" si="1"/>
        <v>Productos de la agricultura, la silvicultura y la pesca</v>
      </c>
      <c r="E7" s="17">
        <v>1</v>
      </c>
      <c r="F7" s="17" t="s">
        <v>1746</v>
      </c>
      <c r="G7">
        <v>1</v>
      </c>
      <c r="H7" t="s">
        <v>14</v>
      </c>
      <c r="I7">
        <v>2</v>
      </c>
      <c r="J7" t="s">
        <v>970</v>
      </c>
    </row>
    <row r="8" spans="1:12">
      <c r="A8" s="9">
        <v>7</v>
      </c>
      <c r="B8" t="s">
        <v>26</v>
      </c>
      <c r="C8" s="14" t="str">
        <f t="shared" si="0"/>
        <v>0</v>
      </c>
      <c r="D8" s="17" t="str">
        <f t="shared" si="1"/>
        <v>Productos de la agricultura, la silvicultura y la pesca</v>
      </c>
      <c r="E8" s="17">
        <v>1</v>
      </c>
      <c r="F8" s="17" t="s">
        <v>1746</v>
      </c>
      <c r="G8">
        <v>1</v>
      </c>
      <c r="H8" t="s">
        <v>14</v>
      </c>
      <c r="I8">
        <v>2</v>
      </c>
      <c r="J8" t="s">
        <v>970</v>
      </c>
    </row>
    <row r="9" spans="1:12">
      <c r="A9" s="9">
        <v>8</v>
      </c>
      <c r="B9" t="s">
        <v>28</v>
      </c>
      <c r="C9" s="14" t="str">
        <f t="shared" si="0"/>
        <v>0</v>
      </c>
      <c r="D9" s="17" t="str">
        <f t="shared" si="1"/>
        <v>Productos de la agricultura, la silvicultura y la pesca</v>
      </c>
      <c r="E9" s="17">
        <v>1</v>
      </c>
      <c r="F9" s="17" t="s">
        <v>1746</v>
      </c>
      <c r="G9">
        <v>1</v>
      </c>
      <c r="H9" t="s">
        <v>14</v>
      </c>
      <c r="I9">
        <v>2</v>
      </c>
      <c r="J9" t="s">
        <v>970</v>
      </c>
    </row>
    <row r="10" spans="1:12">
      <c r="A10" s="9">
        <v>9</v>
      </c>
      <c r="B10" t="s">
        <v>30</v>
      </c>
      <c r="C10" s="14" t="str">
        <f t="shared" si="0"/>
        <v>0</v>
      </c>
      <c r="D10" s="17" t="str">
        <f t="shared" si="1"/>
        <v>Productos de la agricultura, la silvicultura y la pesca</v>
      </c>
      <c r="E10" s="17">
        <v>1</v>
      </c>
      <c r="F10" s="17" t="s">
        <v>1746</v>
      </c>
      <c r="G10">
        <v>1</v>
      </c>
      <c r="H10" t="s">
        <v>14</v>
      </c>
      <c r="I10">
        <v>2</v>
      </c>
      <c r="J10" t="s">
        <v>970</v>
      </c>
    </row>
    <row r="11" spans="1:12">
      <c r="A11" s="9">
        <v>10</v>
      </c>
      <c r="B11" t="s">
        <v>32</v>
      </c>
      <c r="C11" s="14" t="str">
        <f t="shared" si="0"/>
        <v>0</v>
      </c>
      <c r="D11" s="17" t="str">
        <f t="shared" si="1"/>
        <v>Productos de la agricultura, la silvicultura y la pesca</v>
      </c>
      <c r="E11" s="17">
        <v>1</v>
      </c>
      <c r="F11" s="17" t="s">
        <v>1746</v>
      </c>
      <c r="G11">
        <v>1</v>
      </c>
      <c r="H11" t="s">
        <v>14</v>
      </c>
      <c r="I11">
        <v>2</v>
      </c>
      <c r="J11" t="s">
        <v>970</v>
      </c>
    </row>
    <row r="12" spans="1:12">
      <c r="A12" s="9">
        <v>11</v>
      </c>
      <c r="B12" t="s">
        <v>34</v>
      </c>
      <c r="C12" s="14" t="str">
        <f t="shared" si="0"/>
        <v>0</v>
      </c>
      <c r="D12" s="17" t="str">
        <f t="shared" si="1"/>
        <v>Productos de la agricultura, la silvicultura y la pesca</v>
      </c>
      <c r="E12" s="17">
        <v>1</v>
      </c>
      <c r="F12" s="17" t="s">
        <v>1746</v>
      </c>
      <c r="G12">
        <v>1</v>
      </c>
      <c r="H12" t="s">
        <v>14</v>
      </c>
      <c r="I12">
        <v>2</v>
      </c>
      <c r="J12" t="s">
        <v>970</v>
      </c>
    </row>
    <row r="13" spans="1:12">
      <c r="A13" s="9">
        <v>12</v>
      </c>
      <c r="B13" t="s">
        <v>36</v>
      </c>
      <c r="C13" s="14" t="str">
        <f t="shared" si="0"/>
        <v>0</v>
      </c>
      <c r="D13" s="17" t="str">
        <f t="shared" si="1"/>
        <v>Productos de la agricultura, la silvicultura y la pesca</v>
      </c>
      <c r="E13" s="17">
        <v>1</v>
      </c>
      <c r="F13" s="17" t="s">
        <v>1746</v>
      </c>
      <c r="G13">
        <v>1</v>
      </c>
      <c r="H13" t="s">
        <v>14</v>
      </c>
      <c r="I13">
        <v>2</v>
      </c>
      <c r="J13" t="s">
        <v>970</v>
      </c>
    </row>
    <row r="14" spans="1:12">
      <c r="A14" s="9">
        <v>13</v>
      </c>
      <c r="B14" t="s">
        <v>38</v>
      </c>
      <c r="C14" s="14" t="str">
        <f t="shared" si="0"/>
        <v>0</v>
      </c>
      <c r="D14" s="17" t="str">
        <f t="shared" si="1"/>
        <v>Productos de la agricultura, la silvicultura y la pesca</v>
      </c>
      <c r="E14" s="17">
        <v>1</v>
      </c>
      <c r="F14" s="17" t="s">
        <v>1746</v>
      </c>
      <c r="G14">
        <v>1</v>
      </c>
      <c r="H14" t="s">
        <v>14</v>
      </c>
      <c r="I14">
        <v>2</v>
      </c>
      <c r="J14" t="s">
        <v>970</v>
      </c>
    </row>
    <row r="15" spans="1:12">
      <c r="A15" s="9">
        <v>14</v>
      </c>
      <c r="B15" t="s">
        <v>40</v>
      </c>
      <c r="C15" s="14" t="str">
        <f t="shared" si="0"/>
        <v>0</v>
      </c>
      <c r="D15" s="17" t="str">
        <f t="shared" si="1"/>
        <v>Productos de la agricultura, la silvicultura y la pesca</v>
      </c>
      <c r="E15" s="17">
        <v>1</v>
      </c>
      <c r="F15" s="17" t="s">
        <v>1746</v>
      </c>
      <c r="G15">
        <v>1</v>
      </c>
      <c r="H15" t="s">
        <v>14</v>
      </c>
      <c r="I15">
        <v>2</v>
      </c>
      <c r="J15" t="s">
        <v>970</v>
      </c>
    </row>
    <row r="16" spans="1:12">
      <c r="A16" s="9">
        <v>15</v>
      </c>
      <c r="B16" t="s">
        <v>42</v>
      </c>
      <c r="C16" s="14" t="str">
        <f t="shared" si="0"/>
        <v>0</v>
      </c>
      <c r="D16" s="17" t="str">
        <f t="shared" si="1"/>
        <v>Productos de la agricultura, la silvicultura y la pesca</v>
      </c>
      <c r="E16" s="17">
        <v>1</v>
      </c>
      <c r="F16" s="17" t="s">
        <v>1746</v>
      </c>
      <c r="G16">
        <v>1</v>
      </c>
      <c r="H16" t="s">
        <v>14</v>
      </c>
      <c r="I16">
        <v>2</v>
      </c>
      <c r="J16" t="s">
        <v>970</v>
      </c>
    </row>
    <row r="17" spans="1:10">
      <c r="A17" s="9">
        <v>16</v>
      </c>
      <c r="B17" t="s">
        <v>44</v>
      </c>
      <c r="C17" s="14" t="str">
        <f t="shared" si="0"/>
        <v>0</v>
      </c>
      <c r="D17" s="17" t="str">
        <f t="shared" si="1"/>
        <v>Productos de la agricultura, la silvicultura y la pesca</v>
      </c>
      <c r="E17" s="17">
        <v>1</v>
      </c>
      <c r="F17" s="17" t="s">
        <v>1746</v>
      </c>
      <c r="G17">
        <v>1</v>
      </c>
      <c r="H17" t="s">
        <v>14</v>
      </c>
      <c r="I17">
        <v>2</v>
      </c>
      <c r="J17" t="s">
        <v>970</v>
      </c>
    </row>
    <row r="18" spans="1:10">
      <c r="A18" s="9">
        <v>17</v>
      </c>
      <c r="B18" t="s">
        <v>46</v>
      </c>
      <c r="C18" s="14" t="str">
        <f t="shared" si="0"/>
        <v>0</v>
      </c>
      <c r="D18" s="17" t="str">
        <f t="shared" si="1"/>
        <v>Productos de la agricultura, la silvicultura y la pesca</v>
      </c>
      <c r="E18" s="17">
        <v>1</v>
      </c>
      <c r="F18" s="17" t="s">
        <v>1746</v>
      </c>
      <c r="G18">
        <v>1</v>
      </c>
      <c r="H18" t="s">
        <v>14</v>
      </c>
      <c r="I18">
        <v>2</v>
      </c>
      <c r="J18" t="s">
        <v>970</v>
      </c>
    </row>
    <row r="19" spans="1:10">
      <c r="A19" s="9">
        <v>18</v>
      </c>
      <c r="B19" t="s">
        <v>48</v>
      </c>
      <c r="C19" s="14" t="str">
        <f t="shared" si="0"/>
        <v>0</v>
      </c>
      <c r="D19" s="17" t="str">
        <f t="shared" si="1"/>
        <v>Productos de la agricultura, la silvicultura y la pesca</v>
      </c>
      <c r="E19" s="17">
        <v>1</v>
      </c>
      <c r="F19" s="17" t="s">
        <v>1746</v>
      </c>
      <c r="G19">
        <v>1</v>
      </c>
      <c r="H19" t="s">
        <v>14</v>
      </c>
      <c r="I19">
        <v>2</v>
      </c>
      <c r="J19" t="s">
        <v>970</v>
      </c>
    </row>
    <row r="20" spans="1:10">
      <c r="A20" s="9">
        <v>19</v>
      </c>
      <c r="B20" t="s">
        <v>50</v>
      </c>
      <c r="C20" s="14" t="str">
        <f t="shared" si="0"/>
        <v>0</v>
      </c>
      <c r="D20" s="17" t="str">
        <f t="shared" si="1"/>
        <v>Productos de la agricultura, la silvicultura y la pesca</v>
      </c>
      <c r="E20" s="17">
        <v>1</v>
      </c>
      <c r="F20" s="17" t="s">
        <v>1746</v>
      </c>
      <c r="G20">
        <v>1</v>
      </c>
      <c r="H20" t="s">
        <v>14</v>
      </c>
      <c r="I20">
        <v>2</v>
      </c>
      <c r="J20" t="s">
        <v>970</v>
      </c>
    </row>
    <row r="21" spans="1:10">
      <c r="A21" s="9">
        <v>20</v>
      </c>
      <c r="B21" t="s">
        <v>52</v>
      </c>
      <c r="C21" s="14" t="str">
        <f t="shared" si="0"/>
        <v>0</v>
      </c>
      <c r="D21" s="17" t="str">
        <f t="shared" si="1"/>
        <v>Productos de la agricultura, la silvicultura y la pesca</v>
      </c>
      <c r="E21" s="17">
        <v>1</v>
      </c>
      <c r="F21" s="17" t="s">
        <v>1746</v>
      </c>
      <c r="G21">
        <v>1</v>
      </c>
      <c r="H21" t="s">
        <v>14</v>
      </c>
      <c r="I21">
        <v>2</v>
      </c>
      <c r="J21" t="s">
        <v>970</v>
      </c>
    </row>
    <row r="22" spans="1:10">
      <c r="A22" s="9">
        <v>21</v>
      </c>
      <c r="B22" t="s">
        <v>54</v>
      </c>
      <c r="C22" s="14" t="str">
        <f t="shared" si="0"/>
        <v>0</v>
      </c>
      <c r="D22" s="17" t="str">
        <f t="shared" si="1"/>
        <v>Productos de la agricultura, la silvicultura y la pesca</v>
      </c>
      <c r="E22" s="17">
        <v>1</v>
      </c>
      <c r="F22" s="17" t="s">
        <v>1746</v>
      </c>
      <c r="G22">
        <v>1</v>
      </c>
      <c r="H22" t="s">
        <v>14</v>
      </c>
      <c r="I22">
        <v>2</v>
      </c>
      <c r="J22" t="s">
        <v>970</v>
      </c>
    </row>
    <row r="23" spans="1:10">
      <c r="A23" s="9">
        <v>22</v>
      </c>
      <c r="B23" t="s">
        <v>56</v>
      </c>
      <c r="C23" s="14" t="str">
        <f t="shared" si="0"/>
        <v>0</v>
      </c>
      <c r="D23" s="17" t="str">
        <f t="shared" si="1"/>
        <v>Productos de la agricultura, la silvicultura y la pesca</v>
      </c>
      <c r="E23" s="17">
        <v>1</v>
      </c>
      <c r="F23" s="17" t="s">
        <v>1746</v>
      </c>
      <c r="G23">
        <v>1</v>
      </c>
      <c r="H23" t="s">
        <v>14</v>
      </c>
      <c r="I23">
        <v>2</v>
      </c>
      <c r="J23" t="s">
        <v>970</v>
      </c>
    </row>
    <row r="24" spans="1:10">
      <c r="A24" s="9">
        <v>23</v>
      </c>
      <c r="B24" t="s">
        <v>58</v>
      </c>
      <c r="C24" s="14" t="str">
        <f t="shared" si="0"/>
        <v>0</v>
      </c>
      <c r="D24" s="17" t="str">
        <f t="shared" si="1"/>
        <v>Productos de la agricultura, la silvicultura y la pesca</v>
      </c>
      <c r="E24" s="17">
        <v>1</v>
      </c>
      <c r="F24" s="17" t="s">
        <v>1746</v>
      </c>
      <c r="G24">
        <v>1</v>
      </c>
      <c r="H24" t="s">
        <v>14</v>
      </c>
      <c r="I24">
        <v>2</v>
      </c>
      <c r="J24" t="s">
        <v>970</v>
      </c>
    </row>
    <row r="25" spans="1:10">
      <c r="A25" s="9">
        <v>24</v>
      </c>
      <c r="B25" t="s">
        <v>60</v>
      </c>
      <c r="C25" s="14" t="str">
        <f t="shared" si="0"/>
        <v>0</v>
      </c>
      <c r="D25" s="17" t="str">
        <f t="shared" si="1"/>
        <v>Productos de la agricultura, la silvicultura y la pesca</v>
      </c>
      <c r="E25" s="17">
        <v>1</v>
      </c>
      <c r="F25" s="17" t="s">
        <v>1746</v>
      </c>
      <c r="G25">
        <v>1</v>
      </c>
      <c r="H25" t="s">
        <v>14</v>
      </c>
      <c r="I25">
        <v>2</v>
      </c>
      <c r="J25" t="s">
        <v>970</v>
      </c>
    </row>
    <row r="26" spans="1:10">
      <c r="A26" s="9">
        <v>25</v>
      </c>
      <c r="B26" t="s">
        <v>62</v>
      </c>
      <c r="C26" s="14" t="str">
        <f t="shared" si="0"/>
        <v>0</v>
      </c>
      <c r="D26" s="17" t="str">
        <f t="shared" si="1"/>
        <v>Productos de la agricultura, la silvicultura y la pesca</v>
      </c>
      <c r="E26" s="17">
        <v>1</v>
      </c>
      <c r="F26" s="17" t="s">
        <v>1746</v>
      </c>
      <c r="G26">
        <v>1</v>
      </c>
      <c r="H26" t="s">
        <v>14</v>
      </c>
      <c r="I26">
        <v>2</v>
      </c>
      <c r="J26" t="s">
        <v>970</v>
      </c>
    </row>
    <row r="27" spans="1:10">
      <c r="A27" s="9">
        <v>26</v>
      </c>
      <c r="B27" t="s">
        <v>64</v>
      </c>
      <c r="C27" s="14" t="str">
        <f t="shared" si="0"/>
        <v>0</v>
      </c>
      <c r="D27" s="17" t="str">
        <f t="shared" si="1"/>
        <v>Productos de la agricultura, la silvicultura y la pesca</v>
      </c>
      <c r="E27" s="17">
        <v>1</v>
      </c>
      <c r="F27" s="17" t="s">
        <v>1746</v>
      </c>
      <c r="G27">
        <v>1</v>
      </c>
      <c r="H27" t="s">
        <v>14</v>
      </c>
      <c r="I27">
        <v>2</v>
      </c>
      <c r="J27" t="s">
        <v>970</v>
      </c>
    </row>
    <row r="28" spans="1:10">
      <c r="A28" s="9">
        <v>27</v>
      </c>
      <c r="B28" t="s">
        <v>66</v>
      </c>
      <c r="C28" s="14" t="str">
        <f>"1"</f>
        <v>1</v>
      </c>
      <c r="D28" s="17" t="str">
        <f>"Minerales; electricidad, gas y agua"</f>
        <v>Minerales; electricidad, gas y agua</v>
      </c>
      <c r="E28" s="17">
        <v>2</v>
      </c>
      <c r="F28" s="17" t="s">
        <v>997</v>
      </c>
      <c r="G28">
        <v>3</v>
      </c>
      <c r="H28" t="s">
        <v>67</v>
      </c>
      <c r="I28">
        <v>2</v>
      </c>
      <c r="J28" t="s">
        <v>970</v>
      </c>
    </row>
    <row r="29" spans="1:10">
      <c r="A29" s="9">
        <v>28</v>
      </c>
      <c r="B29" t="s">
        <v>69</v>
      </c>
      <c r="C29" s="14" t="str">
        <f t="shared" ref="C29:C37" si="2">"1"</f>
        <v>1</v>
      </c>
      <c r="D29" s="17" t="str">
        <f t="shared" ref="D29:D37" si="3">"Minerales; electricidad, gas y agua"</f>
        <v>Minerales; electricidad, gas y agua</v>
      </c>
      <c r="E29" s="17">
        <v>2</v>
      </c>
      <c r="F29" s="17" t="s">
        <v>997</v>
      </c>
      <c r="G29">
        <v>3</v>
      </c>
      <c r="H29" t="s">
        <v>67</v>
      </c>
      <c r="I29">
        <v>2</v>
      </c>
      <c r="J29" t="s">
        <v>970</v>
      </c>
    </row>
    <row r="30" spans="1:10">
      <c r="A30" s="9">
        <v>29</v>
      </c>
      <c r="B30" t="s">
        <v>71</v>
      </c>
      <c r="C30" s="14" t="str">
        <f t="shared" si="2"/>
        <v>1</v>
      </c>
      <c r="D30" s="17" t="str">
        <f t="shared" si="3"/>
        <v>Minerales; electricidad, gas y agua</v>
      </c>
      <c r="E30" s="17">
        <v>2</v>
      </c>
      <c r="F30" s="17" t="s">
        <v>997</v>
      </c>
      <c r="G30">
        <v>3</v>
      </c>
      <c r="H30" t="s">
        <v>67</v>
      </c>
      <c r="I30">
        <v>2</v>
      </c>
      <c r="J30" t="s">
        <v>970</v>
      </c>
    </row>
    <row r="31" spans="1:10">
      <c r="A31" s="9">
        <v>30</v>
      </c>
      <c r="B31" t="s">
        <v>73</v>
      </c>
      <c r="C31" s="14" t="str">
        <f t="shared" si="2"/>
        <v>1</v>
      </c>
      <c r="D31" s="17" t="str">
        <f t="shared" si="3"/>
        <v>Minerales; electricidad, gas y agua</v>
      </c>
      <c r="E31" s="17">
        <v>2</v>
      </c>
      <c r="F31" s="17" t="s">
        <v>997</v>
      </c>
      <c r="G31">
        <v>3</v>
      </c>
      <c r="H31" t="s">
        <v>67</v>
      </c>
      <c r="I31">
        <v>2</v>
      </c>
      <c r="J31" t="s">
        <v>970</v>
      </c>
    </row>
    <row r="32" spans="1:10">
      <c r="A32" s="9">
        <v>31</v>
      </c>
      <c r="B32" t="s">
        <v>75</v>
      </c>
      <c r="C32" s="14" t="str">
        <f t="shared" si="2"/>
        <v>1</v>
      </c>
      <c r="D32" s="17" t="str">
        <f t="shared" si="3"/>
        <v>Minerales; electricidad, gas y agua</v>
      </c>
      <c r="E32" s="17">
        <v>2</v>
      </c>
      <c r="F32" s="17" t="s">
        <v>997</v>
      </c>
      <c r="G32">
        <v>3</v>
      </c>
      <c r="H32" t="s">
        <v>67</v>
      </c>
      <c r="I32">
        <v>2</v>
      </c>
      <c r="J32" t="s">
        <v>970</v>
      </c>
    </row>
    <row r="33" spans="1:10">
      <c r="A33" s="9">
        <v>32</v>
      </c>
      <c r="B33" t="s">
        <v>77</v>
      </c>
      <c r="C33" s="14" t="str">
        <f t="shared" si="2"/>
        <v>1</v>
      </c>
      <c r="D33" s="17" t="str">
        <f t="shared" si="3"/>
        <v>Minerales; electricidad, gas y agua</v>
      </c>
      <c r="E33" s="17">
        <v>2</v>
      </c>
      <c r="F33" s="17" t="s">
        <v>997</v>
      </c>
      <c r="G33">
        <v>3</v>
      </c>
      <c r="H33" t="s">
        <v>67</v>
      </c>
      <c r="I33">
        <v>2</v>
      </c>
      <c r="J33" t="s">
        <v>970</v>
      </c>
    </row>
    <row r="34" spans="1:10">
      <c r="A34" s="9">
        <v>33</v>
      </c>
      <c r="B34" t="s">
        <v>79</v>
      </c>
      <c r="C34" s="14" t="str">
        <f t="shared" si="2"/>
        <v>1</v>
      </c>
      <c r="D34" s="17" t="str">
        <f t="shared" si="3"/>
        <v>Minerales; electricidad, gas y agua</v>
      </c>
      <c r="E34" s="17">
        <v>2</v>
      </c>
      <c r="F34" s="17" t="s">
        <v>997</v>
      </c>
      <c r="G34">
        <v>3</v>
      </c>
      <c r="H34" t="s">
        <v>67</v>
      </c>
      <c r="I34">
        <v>2</v>
      </c>
      <c r="J34" t="s">
        <v>970</v>
      </c>
    </row>
    <row r="35" spans="1:10">
      <c r="A35" s="9">
        <v>34</v>
      </c>
      <c r="B35" t="s">
        <v>81</v>
      </c>
      <c r="C35" s="14" t="str">
        <f t="shared" si="2"/>
        <v>1</v>
      </c>
      <c r="D35" s="17" t="str">
        <f t="shared" si="3"/>
        <v>Minerales; electricidad, gas y agua</v>
      </c>
      <c r="E35" s="17">
        <v>2</v>
      </c>
      <c r="F35" s="17" t="s">
        <v>997</v>
      </c>
      <c r="G35">
        <v>3</v>
      </c>
      <c r="H35" t="s">
        <v>67</v>
      </c>
      <c r="I35">
        <v>2</v>
      </c>
      <c r="J35" t="s">
        <v>970</v>
      </c>
    </row>
    <row r="36" spans="1:10">
      <c r="A36" s="9">
        <v>35</v>
      </c>
      <c r="B36" t="s">
        <v>83</v>
      </c>
      <c r="C36" s="14" t="str">
        <f t="shared" si="2"/>
        <v>1</v>
      </c>
      <c r="D36" s="17" t="str">
        <f t="shared" si="3"/>
        <v>Minerales; electricidad, gas y agua</v>
      </c>
      <c r="E36" s="17">
        <v>2</v>
      </c>
      <c r="F36" s="17" t="s">
        <v>997</v>
      </c>
      <c r="G36">
        <v>3</v>
      </c>
      <c r="H36" t="s">
        <v>67</v>
      </c>
      <c r="I36">
        <v>2</v>
      </c>
      <c r="J36" t="s">
        <v>970</v>
      </c>
    </row>
    <row r="37" spans="1:10">
      <c r="A37" s="9">
        <v>36</v>
      </c>
      <c r="B37" t="s">
        <v>85</v>
      </c>
      <c r="C37" s="14" t="str">
        <f t="shared" si="2"/>
        <v>1</v>
      </c>
      <c r="D37" s="17" t="str">
        <f t="shared" si="3"/>
        <v>Minerales; electricidad, gas y agua</v>
      </c>
      <c r="E37" s="17">
        <v>2</v>
      </c>
      <c r="F37" s="17" t="s">
        <v>997</v>
      </c>
      <c r="G37">
        <v>3</v>
      </c>
      <c r="H37" t="s">
        <v>67</v>
      </c>
      <c r="I37">
        <v>2</v>
      </c>
      <c r="J37" t="s">
        <v>970</v>
      </c>
    </row>
    <row r="38" spans="1:10">
      <c r="A38" s="9">
        <v>37</v>
      </c>
      <c r="B38" t="s">
        <v>87</v>
      </c>
      <c r="C38" t="str">
        <f>"2"</f>
        <v>2</v>
      </c>
      <c r="D38" s="17" t="str">
        <f>"Productos alimenticios, bebidas y tabaco; textiles, prendas de vestir y productos de cuero"</f>
        <v>Productos alimenticios, bebidas y tabaco; textiles, prendas de vestir y productos de cuero</v>
      </c>
      <c r="E38" s="17">
        <v>3</v>
      </c>
      <c r="F38" s="17" t="s">
        <v>1013</v>
      </c>
      <c r="G38">
        <v>1</v>
      </c>
      <c r="H38" t="s">
        <v>14</v>
      </c>
      <c r="I38">
        <v>2</v>
      </c>
      <c r="J38" t="s">
        <v>970</v>
      </c>
    </row>
    <row r="39" spans="1:10">
      <c r="A39" s="9">
        <v>38</v>
      </c>
      <c r="B39" t="s">
        <v>89</v>
      </c>
      <c r="C39" t="str">
        <f t="shared" ref="C39:C68" si="4">"2"</f>
        <v>2</v>
      </c>
      <c r="D39" s="17" t="str">
        <f t="shared" ref="D39:D68" si="5">"Productos alimenticios, bebidas y tabaco; textiles, prendas de vestir y productos de cuero"</f>
        <v>Productos alimenticios, bebidas y tabaco; textiles, prendas de vestir y productos de cuero</v>
      </c>
      <c r="E39" s="17">
        <v>3</v>
      </c>
      <c r="F39" s="17" t="s">
        <v>1013</v>
      </c>
      <c r="G39">
        <v>1</v>
      </c>
      <c r="H39" t="s">
        <v>14</v>
      </c>
      <c r="I39">
        <v>2</v>
      </c>
      <c r="J39" t="s">
        <v>970</v>
      </c>
    </row>
    <row r="40" spans="1:10">
      <c r="A40" s="9">
        <v>39</v>
      </c>
      <c r="B40" t="s">
        <v>91</v>
      </c>
      <c r="C40" t="str">
        <f t="shared" si="4"/>
        <v>2</v>
      </c>
      <c r="D40" s="17" t="str">
        <f t="shared" si="5"/>
        <v>Productos alimenticios, bebidas y tabaco; textiles, prendas de vestir y productos de cuero</v>
      </c>
      <c r="E40" s="17">
        <v>3</v>
      </c>
      <c r="F40" s="17" t="s">
        <v>1013</v>
      </c>
      <c r="G40">
        <v>1</v>
      </c>
      <c r="H40" t="s">
        <v>14</v>
      </c>
      <c r="I40">
        <v>2</v>
      </c>
      <c r="J40" t="s">
        <v>970</v>
      </c>
    </row>
    <row r="41" spans="1:10">
      <c r="A41" s="9">
        <v>40</v>
      </c>
      <c r="B41" t="s">
        <v>93</v>
      </c>
      <c r="C41" t="str">
        <f t="shared" si="4"/>
        <v>2</v>
      </c>
      <c r="D41" s="17" t="str">
        <f t="shared" si="5"/>
        <v>Productos alimenticios, bebidas y tabaco; textiles, prendas de vestir y productos de cuero</v>
      </c>
      <c r="E41" s="17">
        <v>3</v>
      </c>
      <c r="F41" s="17" t="s">
        <v>1013</v>
      </c>
      <c r="G41">
        <v>1</v>
      </c>
      <c r="H41" t="s">
        <v>14</v>
      </c>
      <c r="I41">
        <v>2</v>
      </c>
      <c r="J41" t="s">
        <v>970</v>
      </c>
    </row>
    <row r="42" spans="1:10">
      <c r="A42" s="9">
        <v>41</v>
      </c>
      <c r="B42" t="s">
        <v>95</v>
      </c>
      <c r="C42" t="str">
        <f t="shared" si="4"/>
        <v>2</v>
      </c>
      <c r="D42" s="17" t="str">
        <f t="shared" si="5"/>
        <v>Productos alimenticios, bebidas y tabaco; textiles, prendas de vestir y productos de cuero</v>
      </c>
      <c r="E42" s="17">
        <v>3</v>
      </c>
      <c r="F42" s="17" t="s">
        <v>1013</v>
      </c>
      <c r="G42">
        <v>1</v>
      </c>
      <c r="H42" t="s">
        <v>14</v>
      </c>
      <c r="I42">
        <v>2</v>
      </c>
      <c r="J42" t="s">
        <v>970</v>
      </c>
    </row>
    <row r="43" spans="1:10">
      <c r="A43" s="9">
        <v>42</v>
      </c>
      <c r="B43" t="s">
        <v>97</v>
      </c>
      <c r="C43" t="str">
        <f t="shared" si="4"/>
        <v>2</v>
      </c>
      <c r="D43" s="17" t="str">
        <f t="shared" si="5"/>
        <v>Productos alimenticios, bebidas y tabaco; textiles, prendas de vestir y productos de cuero</v>
      </c>
      <c r="E43" s="17">
        <v>3</v>
      </c>
      <c r="F43" s="17" t="s">
        <v>1013</v>
      </c>
      <c r="G43">
        <v>1</v>
      </c>
      <c r="H43" t="s">
        <v>14</v>
      </c>
      <c r="I43">
        <v>2</v>
      </c>
      <c r="J43" t="s">
        <v>970</v>
      </c>
    </row>
    <row r="44" spans="1:10">
      <c r="A44" s="9">
        <v>43</v>
      </c>
      <c r="B44" t="s">
        <v>99</v>
      </c>
      <c r="C44" t="str">
        <f t="shared" si="4"/>
        <v>2</v>
      </c>
      <c r="D44" s="17" t="str">
        <f t="shared" si="5"/>
        <v>Productos alimenticios, bebidas y tabaco; textiles, prendas de vestir y productos de cuero</v>
      </c>
      <c r="E44" s="17">
        <v>3</v>
      </c>
      <c r="F44" s="17" t="s">
        <v>1013</v>
      </c>
      <c r="G44">
        <v>1</v>
      </c>
      <c r="H44" t="s">
        <v>14</v>
      </c>
      <c r="I44">
        <v>2</v>
      </c>
      <c r="J44" t="s">
        <v>970</v>
      </c>
    </row>
    <row r="45" spans="1:10">
      <c r="A45" s="9">
        <v>44</v>
      </c>
      <c r="B45" t="s">
        <v>101</v>
      </c>
      <c r="C45" t="str">
        <f t="shared" si="4"/>
        <v>2</v>
      </c>
      <c r="D45" s="17" t="str">
        <f t="shared" si="5"/>
        <v>Productos alimenticios, bebidas y tabaco; textiles, prendas de vestir y productos de cuero</v>
      </c>
      <c r="E45" s="17">
        <v>3</v>
      </c>
      <c r="F45" s="17" t="s">
        <v>1013</v>
      </c>
      <c r="G45">
        <v>1</v>
      </c>
      <c r="H45" t="s">
        <v>14</v>
      </c>
      <c r="I45">
        <v>2</v>
      </c>
      <c r="J45" t="s">
        <v>970</v>
      </c>
    </row>
    <row r="46" spans="1:10">
      <c r="A46" s="9">
        <v>45</v>
      </c>
      <c r="B46" t="s">
        <v>103</v>
      </c>
      <c r="C46" t="str">
        <f t="shared" si="4"/>
        <v>2</v>
      </c>
      <c r="D46" s="17" t="str">
        <f t="shared" si="5"/>
        <v>Productos alimenticios, bebidas y tabaco; textiles, prendas de vestir y productos de cuero</v>
      </c>
      <c r="E46" s="17">
        <v>3</v>
      </c>
      <c r="F46" s="17" t="s">
        <v>1013</v>
      </c>
      <c r="G46">
        <v>1</v>
      </c>
      <c r="H46" t="s">
        <v>14</v>
      </c>
      <c r="I46">
        <v>2</v>
      </c>
      <c r="J46" t="s">
        <v>970</v>
      </c>
    </row>
    <row r="47" spans="1:10">
      <c r="A47" s="9">
        <v>46</v>
      </c>
      <c r="B47" t="s">
        <v>105</v>
      </c>
      <c r="C47" t="str">
        <f t="shared" si="4"/>
        <v>2</v>
      </c>
      <c r="D47" s="17" t="str">
        <f t="shared" si="5"/>
        <v>Productos alimenticios, bebidas y tabaco; textiles, prendas de vestir y productos de cuero</v>
      </c>
      <c r="E47" s="17">
        <v>3</v>
      </c>
      <c r="F47" s="17" t="s">
        <v>1013</v>
      </c>
      <c r="G47">
        <v>1</v>
      </c>
      <c r="H47" t="s">
        <v>14</v>
      </c>
      <c r="I47">
        <v>2</v>
      </c>
      <c r="J47" t="s">
        <v>970</v>
      </c>
    </row>
    <row r="48" spans="1:10">
      <c r="A48" s="9">
        <v>47</v>
      </c>
      <c r="B48" t="s">
        <v>107</v>
      </c>
      <c r="C48" t="str">
        <f t="shared" si="4"/>
        <v>2</v>
      </c>
      <c r="D48" s="17" t="str">
        <f t="shared" si="5"/>
        <v>Productos alimenticios, bebidas y tabaco; textiles, prendas de vestir y productos de cuero</v>
      </c>
      <c r="E48" s="17">
        <v>3</v>
      </c>
      <c r="F48" s="17" t="s">
        <v>1013</v>
      </c>
      <c r="G48">
        <v>1</v>
      </c>
      <c r="H48" t="s">
        <v>14</v>
      </c>
      <c r="I48">
        <v>2</v>
      </c>
      <c r="J48" t="s">
        <v>970</v>
      </c>
    </row>
    <row r="49" spans="1:10">
      <c r="A49" s="9">
        <v>48</v>
      </c>
      <c r="B49" t="s">
        <v>109</v>
      </c>
      <c r="C49" t="str">
        <f t="shared" si="4"/>
        <v>2</v>
      </c>
      <c r="D49" s="17" t="str">
        <f t="shared" si="5"/>
        <v>Productos alimenticios, bebidas y tabaco; textiles, prendas de vestir y productos de cuero</v>
      </c>
      <c r="E49" s="17">
        <v>3</v>
      </c>
      <c r="F49" s="17" t="s">
        <v>1013</v>
      </c>
      <c r="G49">
        <v>1</v>
      </c>
      <c r="H49" t="s">
        <v>14</v>
      </c>
      <c r="I49">
        <v>2</v>
      </c>
      <c r="J49" t="s">
        <v>970</v>
      </c>
    </row>
    <row r="50" spans="1:10">
      <c r="A50" s="9">
        <v>49</v>
      </c>
      <c r="B50" t="s">
        <v>111</v>
      </c>
      <c r="C50" t="str">
        <f t="shared" si="4"/>
        <v>2</v>
      </c>
      <c r="D50" s="17" t="str">
        <f t="shared" si="5"/>
        <v>Productos alimenticios, bebidas y tabaco; textiles, prendas de vestir y productos de cuero</v>
      </c>
      <c r="E50" s="17">
        <v>3</v>
      </c>
      <c r="F50" s="17" t="s">
        <v>1013</v>
      </c>
      <c r="G50">
        <v>1</v>
      </c>
      <c r="H50" t="s">
        <v>14</v>
      </c>
      <c r="I50">
        <v>2</v>
      </c>
      <c r="J50" t="s">
        <v>970</v>
      </c>
    </row>
    <row r="51" spans="1:10">
      <c r="A51" s="9">
        <v>50</v>
      </c>
      <c r="B51" t="s">
        <v>113</v>
      </c>
      <c r="C51" t="str">
        <f t="shared" si="4"/>
        <v>2</v>
      </c>
      <c r="D51" s="17" t="str">
        <f t="shared" si="5"/>
        <v>Productos alimenticios, bebidas y tabaco; textiles, prendas de vestir y productos de cuero</v>
      </c>
      <c r="E51" s="17">
        <v>3</v>
      </c>
      <c r="F51" s="17" t="s">
        <v>1013</v>
      </c>
      <c r="G51">
        <v>1</v>
      </c>
      <c r="H51" t="s">
        <v>14</v>
      </c>
      <c r="I51">
        <v>2</v>
      </c>
      <c r="J51" t="s">
        <v>970</v>
      </c>
    </row>
    <row r="52" spans="1:10">
      <c r="A52" s="9">
        <v>51</v>
      </c>
      <c r="B52" t="s">
        <v>115</v>
      </c>
      <c r="C52" t="str">
        <f t="shared" si="4"/>
        <v>2</v>
      </c>
      <c r="D52" s="17" t="str">
        <f t="shared" si="5"/>
        <v>Productos alimenticios, bebidas y tabaco; textiles, prendas de vestir y productos de cuero</v>
      </c>
      <c r="E52" s="17">
        <v>3</v>
      </c>
      <c r="F52" s="17" t="s">
        <v>1013</v>
      </c>
      <c r="G52">
        <v>1</v>
      </c>
      <c r="H52" t="s">
        <v>14</v>
      </c>
      <c r="I52">
        <v>2</v>
      </c>
      <c r="J52" t="s">
        <v>970</v>
      </c>
    </row>
    <row r="53" spans="1:10">
      <c r="A53" s="9">
        <v>52</v>
      </c>
      <c r="B53" t="s">
        <v>117</v>
      </c>
      <c r="C53" t="str">
        <f t="shared" si="4"/>
        <v>2</v>
      </c>
      <c r="D53" s="17" t="str">
        <f t="shared" si="5"/>
        <v>Productos alimenticios, bebidas y tabaco; textiles, prendas de vestir y productos de cuero</v>
      </c>
      <c r="E53" s="17">
        <v>3</v>
      </c>
      <c r="F53" s="17" t="s">
        <v>1013</v>
      </c>
      <c r="G53">
        <v>1</v>
      </c>
      <c r="H53" t="s">
        <v>14</v>
      </c>
      <c r="I53">
        <v>2</v>
      </c>
      <c r="J53" t="s">
        <v>970</v>
      </c>
    </row>
    <row r="54" spans="1:10">
      <c r="A54" s="9">
        <v>53</v>
      </c>
      <c r="B54" t="s">
        <v>119</v>
      </c>
      <c r="C54" t="str">
        <f t="shared" si="4"/>
        <v>2</v>
      </c>
      <c r="D54" s="17" t="str">
        <f t="shared" si="5"/>
        <v>Productos alimenticios, bebidas y tabaco; textiles, prendas de vestir y productos de cuero</v>
      </c>
      <c r="E54" s="17">
        <v>3</v>
      </c>
      <c r="F54" s="17" t="s">
        <v>1013</v>
      </c>
      <c r="G54">
        <v>1</v>
      </c>
      <c r="H54" t="s">
        <v>14</v>
      </c>
      <c r="I54">
        <v>2</v>
      </c>
      <c r="J54" t="s">
        <v>970</v>
      </c>
    </row>
    <row r="55" spans="1:10">
      <c r="A55" s="9">
        <v>54</v>
      </c>
      <c r="B55" t="s">
        <v>121</v>
      </c>
      <c r="C55" t="str">
        <f t="shared" si="4"/>
        <v>2</v>
      </c>
      <c r="D55" s="17" t="str">
        <f t="shared" si="5"/>
        <v>Productos alimenticios, bebidas y tabaco; textiles, prendas de vestir y productos de cuero</v>
      </c>
      <c r="E55" s="17">
        <v>3</v>
      </c>
      <c r="F55" s="17" t="s">
        <v>1013</v>
      </c>
      <c r="G55">
        <v>1</v>
      </c>
      <c r="H55" t="s">
        <v>14</v>
      </c>
      <c r="I55">
        <v>2</v>
      </c>
      <c r="J55" t="s">
        <v>970</v>
      </c>
    </row>
    <row r="56" spans="1:10">
      <c r="A56" s="9">
        <v>55</v>
      </c>
      <c r="B56" t="s">
        <v>123</v>
      </c>
      <c r="C56" t="str">
        <f t="shared" si="4"/>
        <v>2</v>
      </c>
      <c r="D56" s="17" t="str">
        <f t="shared" si="5"/>
        <v>Productos alimenticios, bebidas y tabaco; textiles, prendas de vestir y productos de cuero</v>
      </c>
      <c r="E56" s="17">
        <v>3</v>
      </c>
      <c r="F56" s="17" t="s">
        <v>1013</v>
      </c>
      <c r="G56">
        <v>1</v>
      </c>
      <c r="H56" t="s">
        <v>14</v>
      </c>
      <c r="I56">
        <v>2</v>
      </c>
      <c r="J56" t="s">
        <v>970</v>
      </c>
    </row>
    <row r="57" spans="1:10">
      <c r="A57" s="9">
        <v>56</v>
      </c>
      <c r="B57" t="s">
        <v>125</v>
      </c>
      <c r="C57" t="str">
        <f t="shared" si="4"/>
        <v>2</v>
      </c>
      <c r="D57" s="17" t="str">
        <f t="shared" si="5"/>
        <v>Productos alimenticios, bebidas y tabaco; textiles, prendas de vestir y productos de cuero</v>
      </c>
      <c r="E57" s="17">
        <v>3</v>
      </c>
      <c r="F57" s="17" t="s">
        <v>1013</v>
      </c>
      <c r="G57">
        <v>1</v>
      </c>
      <c r="H57" t="s">
        <v>14</v>
      </c>
      <c r="I57">
        <v>2</v>
      </c>
      <c r="J57" t="s">
        <v>970</v>
      </c>
    </row>
    <row r="58" spans="1:10">
      <c r="A58" s="9">
        <v>57</v>
      </c>
      <c r="B58" t="s">
        <v>127</v>
      </c>
      <c r="C58" t="str">
        <f t="shared" si="4"/>
        <v>2</v>
      </c>
      <c r="D58" s="17" t="str">
        <f t="shared" si="5"/>
        <v>Productos alimenticios, bebidas y tabaco; textiles, prendas de vestir y productos de cuero</v>
      </c>
      <c r="E58" s="17">
        <v>3</v>
      </c>
      <c r="F58" s="17" t="s">
        <v>1013</v>
      </c>
      <c r="G58">
        <v>1</v>
      </c>
      <c r="H58" t="s">
        <v>14</v>
      </c>
      <c r="I58">
        <v>2</v>
      </c>
      <c r="J58" t="s">
        <v>970</v>
      </c>
    </row>
    <row r="59" spans="1:10">
      <c r="A59" s="9">
        <v>58</v>
      </c>
      <c r="B59" t="s">
        <v>129</v>
      </c>
      <c r="C59" t="str">
        <f t="shared" si="4"/>
        <v>2</v>
      </c>
      <c r="D59" s="17" t="str">
        <f t="shared" si="5"/>
        <v>Productos alimenticios, bebidas y tabaco; textiles, prendas de vestir y productos de cuero</v>
      </c>
      <c r="E59" s="17">
        <v>3</v>
      </c>
      <c r="F59" s="17" t="s">
        <v>1013</v>
      </c>
      <c r="G59">
        <v>1</v>
      </c>
      <c r="H59" t="s">
        <v>14</v>
      </c>
      <c r="I59">
        <v>2</v>
      </c>
      <c r="J59" t="s">
        <v>970</v>
      </c>
    </row>
    <row r="60" spans="1:10">
      <c r="A60" s="9">
        <v>59</v>
      </c>
      <c r="B60" t="s">
        <v>131</v>
      </c>
      <c r="C60" t="str">
        <f t="shared" si="4"/>
        <v>2</v>
      </c>
      <c r="D60" s="17" t="str">
        <f t="shared" si="5"/>
        <v>Productos alimenticios, bebidas y tabaco; textiles, prendas de vestir y productos de cuero</v>
      </c>
      <c r="E60" s="17">
        <v>3</v>
      </c>
      <c r="F60" s="17" t="s">
        <v>1013</v>
      </c>
      <c r="G60">
        <v>1</v>
      </c>
      <c r="H60" t="s">
        <v>14</v>
      </c>
      <c r="I60">
        <v>2</v>
      </c>
      <c r="J60" t="s">
        <v>970</v>
      </c>
    </row>
    <row r="61" spans="1:10">
      <c r="A61" s="9">
        <v>60</v>
      </c>
      <c r="B61" t="s">
        <v>133</v>
      </c>
      <c r="C61" t="str">
        <f t="shared" si="4"/>
        <v>2</v>
      </c>
      <c r="D61" s="17" t="str">
        <f t="shared" si="5"/>
        <v>Productos alimenticios, bebidas y tabaco; textiles, prendas de vestir y productos de cuero</v>
      </c>
      <c r="E61" s="17">
        <v>3</v>
      </c>
      <c r="F61" s="17" t="s">
        <v>1013</v>
      </c>
      <c r="G61">
        <v>1</v>
      </c>
      <c r="H61" t="s">
        <v>14</v>
      </c>
      <c r="I61">
        <v>2</v>
      </c>
      <c r="J61" t="s">
        <v>970</v>
      </c>
    </row>
    <row r="62" spans="1:10">
      <c r="A62" s="9">
        <v>61</v>
      </c>
      <c r="B62" t="s">
        <v>135</v>
      </c>
      <c r="C62" t="str">
        <f t="shared" si="4"/>
        <v>2</v>
      </c>
      <c r="D62" s="17" t="str">
        <f t="shared" si="5"/>
        <v>Productos alimenticios, bebidas y tabaco; textiles, prendas de vestir y productos de cuero</v>
      </c>
      <c r="E62" s="17">
        <v>3</v>
      </c>
      <c r="F62" s="17" t="s">
        <v>1013</v>
      </c>
      <c r="G62">
        <v>1</v>
      </c>
      <c r="H62" t="s">
        <v>14</v>
      </c>
      <c r="I62">
        <v>2</v>
      </c>
      <c r="J62" t="s">
        <v>970</v>
      </c>
    </row>
    <row r="63" spans="1:10">
      <c r="A63" s="9">
        <v>62</v>
      </c>
      <c r="B63" t="s">
        <v>137</v>
      </c>
      <c r="C63" t="str">
        <f t="shared" si="4"/>
        <v>2</v>
      </c>
      <c r="D63" s="17" t="str">
        <f t="shared" si="5"/>
        <v>Productos alimenticios, bebidas y tabaco; textiles, prendas de vestir y productos de cuero</v>
      </c>
      <c r="E63" s="17">
        <v>3</v>
      </c>
      <c r="F63" s="17" t="s">
        <v>1013</v>
      </c>
      <c r="G63">
        <v>1</v>
      </c>
      <c r="H63" t="s">
        <v>14</v>
      </c>
      <c r="I63">
        <v>2</v>
      </c>
      <c r="J63" t="s">
        <v>970</v>
      </c>
    </row>
    <row r="64" spans="1:10">
      <c r="A64" s="9">
        <v>63</v>
      </c>
      <c r="B64" t="s">
        <v>139</v>
      </c>
      <c r="C64" t="str">
        <f t="shared" si="4"/>
        <v>2</v>
      </c>
      <c r="D64" s="17" t="str">
        <f t="shared" si="5"/>
        <v>Productos alimenticios, bebidas y tabaco; textiles, prendas de vestir y productos de cuero</v>
      </c>
      <c r="E64" s="17">
        <v>3</v>
      </c>
      <c r="F64" s="17" t="s">
        <v>1013</v>
      </c>
      <c r="G64">
        <v>1</v>
      </c>
      <c r="H64" t="s">
        <v>14</v>
      </c>
      <c r="I64">
        <v>2</v>
      </c>
      <c r="J64" t="s">
        <v>970</v>
      </c>
    </row>
    <row r="65" spans="1:10">
      <c r="A65" s="9">
        <v>64</v>
      </c>
      <c r="B65" t="s">
        <v>141</v>
      </c>
      <c r="C65" t="str">
        <f t="shared" si="4"/>
        <v>2</v>
      </c>
      <c r="D65" s="17" t="str">
        <f t="shared" si="5"/>
        <v>Productos alimenticios, bebidas y tabaco; textiles, prendas de vestir y productos de cuero</v>
      </c>
      <c r="E65" s="17">
        <v>3</v>
      </c>
      <c r="F65" s="17" t="s">
        <v>1013</v>
      </c>
      <c r="G65">
        <v>2</v>
      </c>
      <c r="H65" t="s">
        <v>142</v>
      </c>
      <c r="I65">
        <v>2</v>
      </c>
      <c r="J65" t="s">
        <v>970</v>
      </c>
    </row>
    <row r="66" spans="1:10">
      <c r="A66" s="9">
        <v>65</v>
      </c>
      <c r="B66" t="s">
        <v>144</v>
      </c>
      <c r="C66" t="str">
        <f t="shared" si="4"/>
        <v>2</v>
      </c>
      <c r="D66" s="17" t="str">
        <f t="shared" si="5"/>
        <v>Productos alimenticios, bebidas y tabaco; textiles, prendas de vestir y productos de cuero</v>
      </c>
      <c r="E66" s="17">
        <v>3</v>
      </c>
      <c r="F66" s="17" t="s">
        <v>1013</v>
      </c>
      <c r="G66">
        <v>2</v>
      </c>
      <c r="H66" t="s">
        <v>142</v>
      </c>
      <c r="I66">
        <v>2</v>
      </c>
      <c r="J66" t="s">
        <v>970</v>
      </c>
    </row>
    <row r="67" spans="1:10">
      <c r="A67" s="9">
        <v>66</v>
      </c>
      <c r="B67" t="s">
        <v>146</v>
      </c>
      <c r="C67" t="str">
        <f t="shared" si="4"/>
        <v>2</v>
      </c>
      <c r="D67" s="17" t="str">
        <f t="shared" si="5"/>
        <v>Productos alimenticios, bebidas y tabaco; textiles, prendas de vestir y productos de cuero</v>
      </c>
      <c r="E67" s="17">
        <v>3</v>
      </c>
      <c r="F67" s="17" t="s">
        <v>1013</v>
      </c>
      <c r="G67">
        <v>1</v>
      </c>
      <c r="H67" t="s">
        <v>14</v>
      </c>
      <c r="I67">
        <v>2</v>
      </c>
      <c r="J67" t="s">
        <v>970</v>
      </c>
    </row>
    <row r="68" spans="1:10">
      <c r="A68" s="9">
        <v>67</v>
      </c>
      <c r="B68" t="s">
        <v>148</v>
      </c>
      <c r="C68" t="str">
        <f t="shared" si="4"/>
        <v>2</v>
      </c>
      <c r="D68" s="17" t="str">
        <f t="shared" si="5"/>
        <v>Productos alimenticios, bebidas y tabaco; textiles, prendas de vestir y productos de cuero</v>
      </c>
      <c r="E68" s="17">
        <v>3</v>
      </c>
      <c r="F68" s="17" t="s">
        <v>1013</v>
      </c>
      <c r="G68">
        <v>2</v>
      </c>
      <c r="H68" t="s">
        <v>142</v>
      </c>
      <c r="I68">
        <v>2</v>
      </c>
      <c r="J68" t="s">
        <v>970</v>
      </c>
    </row>
    <row r="69" spans="1:10">
      <c r="A69" s="9">
        <v>68</v>
      </c>
      <c r="B69" t="s">
        <v>150</v>
      </c>
      <c r="C69" t="str">
        <f>"3"</f>
        <v>3</v>
      </c>
      <c r="D69" s="17" t="str">
        <f>"Otros bienes transportables, excepto productos metálicos, maquinaria y equipo"</f>
        <v>Otros bienes transportables, excepto productos metálicos, maquinaria y equipo</v>
      </c>
      <c r="E69" s="17">
        <v>3</v>
      </c>
      <c r="F69" s="17" t="s">
        <v>1013</v>
      </c>
      <c r="G69">
        <v>2</v>
      </c>
      <c r="H69" t="s">
        <v>142</v>
      </c>
      <c r="I69">
        <v>2</v>
      </c>
      <c r="J69" t="s">
        <v>970</v>
      </c>
    </row>
    <row r="70" spans="1:10">
      <c r="A70" s="9">
        <v>69</v>
      </c>
      <c r="B70" t="s">
        <v>152</v>
      </c>
      <c r="C70" t="str">
        <f t="shared" ref="C70:C98" si="6">"3"</f>
        <v>3</v>
      </c>
      <c r="D70" s="17" t="str">
        <f t="shared" ref="D70:D98" si="7">"Otros bienes transportables, excepto productos metálicos, maquinaria y equipo"</f>
        <v>Otros bienes transportables, excepto productos metálicos, maquinaria y equipo</v>
      </c>
      <c r="E70" s="17">
        <v>3</v>
      </c>
      <c r="F70" s="17" t="s">
        <v>1013</v>
      </c>
      <c r="G70">
        <v>2</v>
      </c>
      <c r="H70" t="s">
        <v>142</v>
      </c>
      <c r="I70">
        <v>2</v>
      </c>
      <c r="J70" t="s">
        <v>970</v>
      </c>
    </row>
    <row r="71" spans="1:10">
      <c r="A71" s="9">
        <v>70</v>
      </c>
      <c r="B71" t="s">
        <v>154</v>
      </c>
      <c r="C71" t="str">
        <f t="shared" si="6"/>
        <v>3</v>
      </c>
      <c r="D71" s="17" t="str">
        <f t="shared" si="7"/>
        <v>Otros bienes transportables, excepto productos metálicos, maquinaria y equipo</v>
      </c>
      <c r="E71" s="17">
        <v>3</v>
      </c>
      <c r="F71" s="17" t="s">
        <v>1013</v>
      </c>
      <c r="G71">
        <v>2</v>
      </c>
      <c r="H71" t="s">
        <v>142</v>
      </c>
      <c r="I71">
        <v>2</v>
      </c>
      <c r="J71" t="s">
        <v>970</v>
      </c>
    </row>
    <row r="72" spans="1:10">
      <c r="A72" s="9">
        <v>71</v>
      </c>
      <c r="B72" t="s">
        <v>156</v>
      </c>
      <c r="C72" t="str">
        <f t="shared" si="6"/>
        <v>3</v>
      </c>
      <c r="D72" s="17" t="str">
        <f t="shared" si="7"/>
        <v>Otros bienes transportables, excepto productos metálicos, maquinaria y equipo</v>
      </c>
      <c r="E72" s="17">
        <v>3</v>
      </c>
      <c r="F72" s="17" t="s">
        <v>1013</v>
      </c>
      <c r="G72">
        <v>2</v>
      </c>
      <c r="H72" t="s">
        <v>142</v>
      </c>
      <c r="I72">
        <v>2</v>
      </c>
      <c r="J72" t="s">
        <v>970</v>
      </c>
    </row>
    <row r="73" spans="1:10">
      <c r="A73" s="9">
        <v>72</v>
      </c>
      <c r="B73" t="s">
        <v>158</v>
      </c>
      <c r="C73" t="str">
        <f t="shared" si="6"/>
        <v>3</v>
      </c>
      <c r="D73" s="17" t="str">
        <f t="shared" si="7"/>
        <v>Otros bienes transportables, excepto productos metálicos, maquinaria y equipo</v>
      </c>
      <c r="E73" s="17">
        <v>3</v>
      </c>
      <c r="F73" s="17" t="s">
        <v>1013</v>
      </c>
      <c r="G73">
        <v>2</v>
      </c>
      <c r="H73" t="s">
        <v>142</v>
      </c>
      <c r="I73">
        <v>2</v>
      </c>
      <c r="J73" t="s">
        <v>970</v>
      </c>
    </row>
    <row r="74" spans="1:10">
      <c r="A74" s="9">
        <v>73</v>
      </c>
      <c r="B74" t="s">
        <v>160</v>
      </c>
      <c r="C74" t="str">
        <f t="shared" si="6"/>
        <v>3</v>
      </c>
      <c r="D74" s="17" t="str">
        <f t="shared" si="7"/>
        <v>Otros bienes transportables, excepto productos metálicos, maquinaria y equipo</v>
      </c>
      <c r="E74" s="17">
        <v>3</v>
      </c>
      <c r="F74" s="17" t="s">
        <v>1013</v>
      </c>
      <c r="G74">
        <v>2</v>
      </c>
      <c r="H74" t="s">
        <v>142</v>
      </c>
      <c r="I74">
        <v>2</v>
      </c>
      <c r="J74" t="s">
        <v>970</v>
      </c>
    </row>
    <row r="75" spans="1:10">
      <c r="A75" s="9">
        <v>74</v>
      </c>
      <c r="B75" t="s">
        <v>162</v>
      </c>
      <c r="C75" t="str">
        <f t="shared" si="6"/>
        <v>3</v>
      </c>
      <c r="D75" s="17" t="str">
        <f t="shared" si="7"/>
        <v>Otros bienes transportables, excepto productos metálicos, maquinaria y equipo</v>
      </c>
      <c r="E75" s="17">
        <v>3</v>
      </c>
      <c r="F75" s="17" t="s">
        <v>1013</v>
      </c>
      <c r="G75">
        <v>2</v>
      </c>
      <c r="H75" t="s">
        <v>142</v>
      </c>
      <c r="I75">
        <v>2</v>
      </c>
      <c r="J75" t="s">
        <v>970</v>
      </c>
    </row>
    <row r="76" spans="1:10">
      <c r="A76" s="9">
        <v>75</v>
      </c>
      <c r="B76" t="s">
        <v>164</v>
      </c>
      <c r="C76" t="str">
        <f t="shared" si="6"/>
        <v>3</v>
      </c>
      <c r="D76" s="17" t="str">
        <f t="shared" si="7"/>
        <v>Otros bienes transportables, excepto productos metálicos, maquinaria y equipo</v>
      </c>
      <c r="E76" s="17">
        <v>3</v>
      </c>
      <c r="F76" s="17" t="s">
        <v>1013</v>
      </c>
      <c r="G76">
        <v>2</v>
      </c>
      <c r="H76" t="s">
        <v>142</v>
      </c>
      <c r="I76">
        <v>2</v>
      </c>
      <c r="J76" t="s">
        <v>970</v>
      </c>
    </row>
    <row r="77" spans="1:10">
      <c r="A77" s="9">
        <v>76</v>
      </c>
      <c r="B77" t="s">
        <v>166</v>
      </c>
      <c r="C77" t="str">
        <f t="shared" si="6"/>
        <v>3</v>
      </c>
      <c r="D77" s="17" t="str">
        <f t="shared" si="7"/>
        <v>Otros bienes transportables, excepto productos metálicos, maquinaria y equipo</v>
      </c>
      <c r="E77" s="17">
        <v>3</v>
      </c>
      <c r="F77" s="17" t="s">
        <v>1013</v>
      </c>
      <c r="G77">
        <v>3</v>
      </c>
      <c r="H77" t="s">
        <v>67</v>
      </c>
      <c r="I77">
        <v>1</v>
      </c>
      <c r="J77" s="14" t="s">
        <v>1065</v>
      </c>
    </row>
    <row r="78" spans="1:10">
      <c r="A78" s="9">
        <v>77</v>
      </c>
      <c r="B78" t="s">
        <v>168</v>
      </c>
      <c r="C78" t="str">
        <f t="shared" si="6"/>
        <v>3</v>
      </c>
      <c r="D78" s="17" t="str">
        <f t="shared" si="7"/>
        <v>Otros bienes transportables, excepto productos metálicos, maquinaria y equipo</v>
      </c>
      <c r="E78" s="17">
        <v>3</v>
      </c>
      <c r="F78" s="17" t="s">
        <v>1013</v>
      </c>
      <c r="G78">
        <v>3</v>
      </c>
      <c r="H78" t="s">
        <v>67</v>
      </c>
      <c r="I78">
        <v>2</v>
      </c>
      <c r="J78" t="s">
        <v>970</v>
      </c>
    </row>
    <row r="79" spans="1:10">
      <c r="A79" s="9">
        <v>78</v>
      </c>
      <c r="B79" t="s">
        <v>170</v>
      </c>
      <c r="C79" t="str">
        <f t="shared" si="6"/>
        <v>3</v>
      </c>
      <c r="D79" s="17" t="str">
        <f t="shared" si="7"/>
        <v>Otros bienes transportables, excepto productos metálicos, maquinaria y equipo</v>
      </c>
      <c r="E79" s="17">
        <v>3</v>
      </c>
      <c r="F79" s="17" t="s">
        <v>1013</v>
      </c>
      <c r="G79">
        <v>3</v>
      </c>
      <c r="H79" t="s">
        <v>67</v>
      </c>
      <c r="I79">
        <v>2</v>
      </c>
      <c r="J79" t="s">
        <v>970</v>
      </c>
    </row>
    <row r="80" spans="1:10">
      <c r="A80" s="9">
        <v>79</v>
      </c>
      <c r="B80" t="s">
        <v>172</v>
      </c>
      <c r="C80" t="str">
        <f t="shared" si="6"/>
        <v>3</v>
      </c>
      <c r="D80" s="17" t="str">
        <f t="shared" si="7"/>
        <v>Otros bienes transportables, excepto productos metálicos, maquinaria y equipo</v>
      </c>
      <c r="E80" s="17">
        <v>3</v>
      </c>
      <c r="F80" s="17" t="s">
        <v>1013</v>
      </c>
      <c r="G80">
        <v>3</v>
      </c>
      <c r="H80" t="s">
        <v>67</v>
      </c>
      <c r="I80">
        <v>2</v>
      </c>
      <c r="J80" t="s">
        <v>970</v>
      </c>
    </row>
    <row r="81" spans="1:10">
      <c r="A81" s="9">
        <v>80</v>
      </c>
      <c r="B81" t="s">
        <v>174</v>
      </c>
      <c r="C81" t="str">
        <f t="shared" si="6"/>
        <v>3</v>
      </c>
      <c r="D81" s="17" t="str">
        <f t="shared" si="7"/>
        <v>Otros bienes transportables, excepto productos metálicos, maquinaria y equipo</v>
      </c>
      <c r="E81" s="17">
        <v>3</v>
      </c>
      <c r="F81" s="17" t="s">
        <v>1013</v>
      </c>
      <c r="G81">
        <v>3</v>
      </c>
      <c r="H81" t="s">
        <v>67</v>
      </c>
      <c r="I81">
        <v>2</v>
      </c>
      <c r="J81" t="s">
        <v>970</v>
      </c>
    </row>
    <row r="82" spans="1:10">
      <c r="A82" s="9">
        <v>81</v>
      </c>
      <c r="B82" t="s">
        <v>176</v>
      </c>
      <c r="C82" t="str">
        <f t="shared" si="6"/>
        <v>3</v>
      </c>
      <c r="D82" s="17" t="str">
        <f t="shared" si="7"/>
        <v>Otros bienes transportables, excepto productos metálicos, maquinaria y equipo</v>
      </c>
      <c r="E82" s="17">
        <v>3</v>
      </c>
      <c r="F82" s="17" t="s">
        <v>1013</v>
      </c>
      <c r="G82">
        <v>3</v>
      </c>
      <c r="H82" t="s">
        <v>67</v>
      </c>
      <c r="I82">
        <v>2</v>
      </c>
      <c r="J82" t="s">
        <v>970</v>
      </c>
    </row>
    <row r="83" spans="1:10">
      <c r="A83" s="9">
        <v>82</v>
      </c>
      <c r="B83" t="s">
        <v>178</v>
      </c>
      <c r="C83" t="str">
        <f t="shared" si="6"/>
        <v>3</v>
      </c>
      <c r="D83" s="17" t="str">
        <f t="shared" si="7"/>
        <v>Otros bienes transportables, excepto productos metálicos, maquinaria y equipo</v>
      </c>
      <c r="E83" s="17">
        <v>3</v>
      </c>
      <c r="F83" s="17" t="s">
        <v>1013</v>
      </c>
      <c r="G83">
        <v>2</v>
      </c>
      <c r="H83" t="s">
        <v>142</v>
      </c>
      <c r="I83">
        <v>2</v>
      </c>
      <c r="J83" t="s">
        <v>970</v>
      </c>
    </row>
    <row r="84" spans="1:10">
      <c r="A84" s="9">
        <v>83</v>
      </c>
      <c r="B84" t="s">
        <v>180</v>
      </c>
      <c r="C84" t="str">
        <f t="shared" si="6"/>
        <v>3</v>
      </c>
      <c r="D84" s="17" t="str">
        <f t="shared" si="7"/>
        <v>Otros bienes transportables, excepto productos metálicos, maquinaria y equipo</v>
      </c>
      <c r="E84" s="17">
        <v>3</v>
      </c>
      <c r="F84" s="17" t="s">
        <v>1013</v>
      </c>
      <c r="G84">
        <v>3</v>
      </c>
      <c r="H84" t="s">
        <v>67</v>
      </c>
      <c r="I84">
        <v>2</v>
      </c>
      <c r="J84" t="s">
        <v>970</v>
      </c>
    </row>
    <row r="85" spans="1:10">
      <c r="A85" s="9">
        <v>84</v>
      </c>
      <c r="B85" t="s">
        <v>182</v>
      </c>
      <c r="C85" t="str">
        <f t="shared" si="6"/>
        <v>3</v>
      </c>
      <c r="D85" s="17" t="str">
        <f t="shared" si="7"/>
        <v>Otros bienes transportables, excepto productos metálicos, maquinaria y equipo</v>
      </c>
      <c r="E85" s="17">
        <v>3</v>
      </c>
      <c r="F85" s="17" t="s">
        <v>1013</v>
      </c>
      <c r="G85">
        <v>3</v>
      </c>
      <c r="H85" t="s">
        <v>67</v>
      </c>
      <c r="I85">
        <v>2</v>
      </c>
      <c r="J85" t="s">
        <v>970</v>
      </c>
    </row>
    <row r="86" spans="1:10">
      <c r="A86" s="9">
        <v>85</v>
      </c>
      <c r="B86" t="s">
        <v>184</v>
      </c>
      <c r="C86" t="str">
        <f t="shared" si="6"/>
        <v>3</v>
      </c>
      <c r="D86" s="17" t="str">
        <f t="shared" si="7"/>
        <v>Otros bienes transportables, excepto productos metálicos, maquinaria y equipo</v>
      </c>
      <c r="E86" s="17">
        <v>3</v>
      </c>
      <c r="F86" s="17" t="s">
        <v>1013</v>
      </c>
      <c r="G86">
        <v>3</v>
      </c>
      <c r="H86" t="s">
        <v>67</v>
      </c>
      <c r="I86">
        <v>2</v>
      </c>
      <c r="J86" t="s">
        <v>970</v>
      </c>
    </row>
    <row r="87" spans="1:10">
      <c r="A87" s="9">
        <v>86</v>
      </c>
      <c r="B87" t="s">
        <v>186</v>
      </c>
      <c r="C87" t="str">
        <f t="shared" si="6"/>
        <v>3</v>
      </c>
      <c r="D87" s="17" t="str">
        <f t="shared" si="7"/>
        <v>Otros bienes transportables, excepto productos metálicos, maquinaria y equipo</v>
      </c>
      <c r="E87" s="17">
        <v>3</v>
      </c>
      <c r="F87" s="17" t="s">
        <v>1013</v>
      </c>
      <c r="G87">
        <v>2</v>
      </c>
      <c r="H87" t="s">
        <v>142</v>
      </c>
      <c r="I87">
        <v>2</v>
      </c>
      <c r="J87" t="s">
        <v>970</v>
      </c>
    </row>
    <row r="88" spans="1:10">
      <c r="A88" s="9">
        <v>87</v>
      </c>
      <c r="B88" t="s">
        <v>188</v>
      </c>
      <c r="C88" t="str">
        <f t="shared" si="6"/>
        <v>3</v>
      </c>
      <c r="D88" s="17" t="str">
        <f t="shared" si="7"/>
        <v>Otros bienes transportables, excepto productos metálicos, maquinaria y equipo</v>
      </c>
      <c r="E88" s="17">
        <v>3</v>
      </c>
      <c r="F88" s="17" t="s">
        <v>1013</v>
      </c>
      <c r="G88">
        <v>2</v>
      </c>
      <c r="H88" t="s">
        <v>142</v>
      </c>
      <c r="I88">
        <v>2</v>
      </c>
      <c r="J88" t="s">
        <v>970</v>
      </c>
    </row>
    <row r="89" spans="1:10">
      <c r="A89" s="9">
        <v>88</v>
      </c>
      <c r="B89" t="s">
        <v>190</v>
      </c>
      <c r="C89" t="str">
        <f t="shared" si="6"/>
        <v>3</v>
      </c>
      <c r="D89" s="17" t="str">
        <f t="shared" si="7"/>
        <v>Otros bienes transportables, excepto productos metálicos, maquinaria y equipo</v>
      </c>
      <c r="E89" s="17">
        <v>3</v>
      </c>
      <c r="F89" s="17" t="s">
        <v>1013</v>
      </c>
      <c r="G89">
        <v>3</v>
      </c>
      <c r="H89" t="s">
        <v>67</v>
      </c>
      <c r="I89">
        <v>2</v>
      </c>
      <c r="J89" t="s">
        <v>970</v>
      </c>
    </row>
    <row r="90" spans="1:10">
      <c r="A90" s="9">
        <v>89</v>
      </c>
      <c r="B90" t="s">
        <v>192</v>
      </c>
      <c r="C90" t="str">
        <f t="shared" si="6"/>
        <v>3</v>
      </c>
      <c r="D90" s="17" t="str">
        <f t="shared" si="7"/>
        <v>Otros bienes transportables, excepto productos metálicos, maquinaria y equipo</v>
      </c>
      <c r="E90" s="17">
        <v>3</v>
      </c>
      <c r="F90" s="17" t="s">
        <v>1013</v>
      </c>
      <c r="G90">
        <v>3</v>
      </c>
      <c r="H90" t="s">
        <v>67</v>
      </c>
      <c r="I90">
        <v>2</v>
      </c>
      <c r="J90" t="s">
        <v>970</v>
      </c>
    </row>
    <row r="91" spans="1:10">
      <c r="A91" s="9">
        <v>90</v>
      </c>
      <c r="B91" t="s">
        <v>194</v>
      </c>
      <c r="C91" t="str">
        <f t="shared" si="6"/>
        <v>3</v>
      </c>
      <c r="D91" s="17" t="str">
        <f t="shared" si="7"/>
        <v>Otros bienes transportables, excepto productos metálicos, maquinaria y equipo</v>
      </c>
      <c r="E91" s="17">
        <v>3</v>
      </c>
      <c r="F91" s="17" t="s">
        <v>1013</v>
      </c>
      <c r="G91">
        <v>3</v>
      </c>
      <c r="H91" t="s">
        <v>67</v>
      </c>
      <c r="I91">
        <v>2</v>
      </c>
      <c r="J91" t="s">
        <v>970</v>
      </c>
    </row>
    <row r="92" spans="1:10">
      <c r="A92" s="9">
        <v>91</v>
      </c>
      <c r="B92" t="s">
        <v>196</v>
      </c>
      <c r="C92" t="str">
        <f t="shared" si="6"/>
        <v>3</v>
      </c>
      <c r="D92" s="17" t="str">
        <f t="shared" si="7"/>
        <v>Otros bienes transportables, excepto productos metálicos, maquinaria y equipo</v>
      </c>
      <c r="E92" s="17">
        <v>3</v>
      </c>
      <c r="F92" s="17" t="s">
        <v>1013</v>
      </c>
      <c r="G92">
        <v>3</v>
      </c>
      <c r="H92" t="s">
        <v>67</v>
      </c>
      <c r="I92">
        <v>2</v>
      </c>
      <c r="J92" t="s">
        <v>970</v>
      </c>
    </row>
    <row r="93" spans="1:10">
      <c r="A93" s="9">
        <v>92</v>
      </c>
      <c r="B93" t="s">
        <v>198</v>
      </c>
      <c r="C93" t="str">
        <f t="shared" si="6"/>
        <v>3</v>
      </c>
      <c r="D93" s="17" t="str">
        <f t="shared" si="7"/>
        <v>Otros bienes transportables, excepto productos metálicos, maquinaria y equipo</v>
      </c>
      <c r="E93" s="17">
        <v>3</v>
      </c>
      <c r="F93" s="17" t="s">
        <v>1013</v>
      </c>
      <c r="G93">
        <v>3</v>
      </c>
      <c r="H93" t="s">
        <v>67</v>
      </c>
      <c r="I93">
        <v>2</v>
      </c>
      <c r="J93" t="s">
        <v>970</v>
      </c>
    </row>
    <row r="94" spans="1:10">
      <c r="A94" s="9">
        <v>93</v>
      </c>
      <c r="B94" t="s">
        <v>200</v>
      </c>
      <c r="C94" t="str">
        <f t="shared" si="6"/>
        <v>3</v>
      </c>
      <c r="D94" s="17" t="str">
        <f t="shared" si="7"/>
        <v>Otros bienes transportables, excepto productos metálicos, maquinaria y equipo</v>
      </c>
      <c r="E94" s="17">
        <v>3</v>
      </c>
      <c r="F94" s="17" t="s">
        <v>1013</v>
      </c>
      <c r="G94">
        <v>3</v>
      </c>
      <c r="H94" t="s">
        <v>67</v>
      </c>
      <c r="I94">
        <v>2</v>
      </c>
      <c r="J94" t="s">
        <v>970</v>
      </c>
    </row>
    <row r="95" spans="1:10">
      <c r="A95" s="9">
        <v>94</v>
      </c>
      <c r="B95" t="s">
        <v>202</v>
      </c>
      <c r="C95" t="str">
        <f t="shared" si="6"/>
        <v>3</v>
      </c>
      <c r="D95" s="17" t="str">
        <f t="shared" si="7"/>
        <v>Otros bienes transportables, excepto productos metálicos, maquinaria y equipo</v>
      </c>
      <c r="E95" s="17">
        <v>3</v>
      </c>
      <c r="F95" s="17" t="s">
        <v>1013</v>
      </c>
      <c r="G95">
        <v>3</v>
      </c>
      <c r="H95" t="s">
        <v>67</v>
      </c>
      <c r="I95">
        <v>2</v>
      </c>
      <c r="J95" t="s">
        <v>970</v>
      </c>
    </row>
    <row r="96" spans="1:10">
      <c r="A96" s="9">
        <v>95</v>
      </c>
      <c r="B96" t="s">
        <v>204</v>
      </c>
      <c r="C96" t="str">
        <f t="shared" si="6"/>
        <v>3</v>
      </c>
      <c r="D96" s="17" t="str">
        <f t="shared" si="7"/>
        <v>Otros bienes transportables, excepto productos metálicos, maquinaria y equipo</v>
      </c>
      <c r="E96" s="17">
        <v>3</v>
      </c>
      <c r="F96" s="17" t="s">
        <v>1013</v>
      </c>
      <c r="G96">
        <v>3</v>
      </c>
      <c r="H96" t="s">
        <v>67</v>
      </c>
      <c r="I96">
        <v>2</v>
      </c>
      <c r="J96" t="s">
        <v>970</v>
      </c>
    </row>
    <row r="97" spans="1:10">
      <c r="A97" s="9">
        <v>96</v>
      </c>
      <c r="B97" t="s">
        <v>206</v>
      </c>
      <c r="C97" t="str">
        <f t="shared" si="6"/>
        <v>3</v>
      </c>
      <c r="D97" s="17" t="str">
        <f t="shared" si="7"/>
        <v>Otros bienes transportables, excepto productos metálicos, maquinaria y equipo</v>
      </c>
      <c r="E97" s="17">
        <v>3</v>
      </c>
      <c r="F97" s="17" t="s">
        <v>1013</v>
      </c>
      <c r="G97">
        <v>3</v>
      </c>
      <c r="H97" t="s">
        <v>67</v>
      </c>
      <c r="I97">
        <v>2</v>
      </c>
      <c r="J97" t="s">
        <v>970</v>
      </c>
    </row>
    <row r="98" spans="1:10">
      <c r="A98" s="9">
        <v>97</v>
      </c>
      <c r="B98" t="s">
        <v>208</v>
      </c>
      <c r="C98" t="str">
        <f t="shared" si="6"/>
        <v>3</v>
      </c>
      <c r="D98" s="17" t="str">
        <f t="shared" si="7"/>
        <v>Otros bienes transportables, excepto productos metálicos, maquinaria y equipo</v>
      </c>
      <c r="E98" s="17">
        <v>3</v>
      </c>
      <c r="F98" s="17" t="s">
        <v>1013</v>
      </c>
      <c r="G98">
        <v>3</v>
      </c>
      <c r="H98" t="s">
        <v>67</v>
      </c>
      <c r="I98">
        <v>2</v>
      </c>
      <c r="J98" t="s">
        <v>970</v>
      </c>
    </row>
    <row r="99" spans="1:10">
      <c r="A99" s="9">
        <v>98</v>
      </c>
      <c r="B99" t="s">
        <v>210</v>
      </c>
      <c r="C99" t="str">
        <f>"4"</f>
        <v>4</v>
      </c>
      <c r="D99" s="17" t="str">
        <f>"Productos metálicos, maquinaria y equipo"</f>
        <v>Productos metálicos, maquinaria y equipo</v>
      </c>
      <c r="E99" s="17">
        <v>3</v>
      </c>
      <c r="F99" s="17" t="s">
        <v>1013</v>
      </c>
      <c r="G99">
        <v>3</v>
      </c>
      <c r="H99" t="s">
        <v>67</v>
      </c>
      <c r="I99">
        <v>2</v>
      </c>
      <c r="J99" t="s">
        <v>970</v>
      </c>
    </row>
    <row r="100" spans="1:10">
      <c r="A100" s="9">
        <v>99</v>
      </c>
      <c r="B100" t="s">
        <v>212</v>
      </c>
      <c r="C100" t="str">
        <f t="shared" ref="C100:C119" si="8">"4"</f>
        <v>4</v>
      </c>
      <c r="D100" s="17" t="str">
        <f t="shared" ref="D100:D119" si="9">"Productos metálicos, maquinaria y equipo"</f>
        <v>Productos metálicos, maquinaria y equipo</v>
      </c>
      <c r="E100" s="17">
        <v>3</v>
      </c>
      <c r="F100" s="17" t="s">
        <v>1013</v>
      </c>
      <c r="G100">
        <v>3</v>
      </c>
      <c r="H100" t="s">
        <v>67</v>
      </c>
      <c r="I100">
        <v>2</v>
      </c>
      <c r="J100" t="s">
        <v>970</v>
      </c>
    </row>
    <row r="101" spans="1:10">
      <c r="A101" s="9">
        <v>100</v>
      </c>
      <c r="B101" t="s">
        <v>214</v>
      </c>
      <c r="C101" t="str">
        <f t="shared" si="8"/>
        <v>4</v>
      </c>
      <c r="D101" s="17" t="str">
        <f t="shared" si="9"/>
        <v>Productos metálicos, maquinaria y equipo</v>
      </c>
      <c r="E101" s="17">
        <v>3</v>
      </c>
      <c r="F101" s="17" t="s">
        <v>1013</v>
      </c>
      <c r="G101">
        <v>3</v>
      </c>
      <c r="H101" t="s">
        <v>67</v>
      </c>
      <c r="I101">
        <v>2</v>
      </c>
      <c r="J101" t="s">
        <v>970</v>
      </c>
    </row>
    <row r="102" spans="1:10">
      <c r="A102" s="9">
        <v>101</v>
      </c>
      <c r="B102" t="s">
        <v>216</v>
      </c>
      <c r="C102" t="str">
        <f t="shared" si="8"/>
        <v>4</v>
      </c>
      <c r="D102" s="17" t="str">
        <f t="shared" si="9"/>
        <v>Productos metálicos, maquinaria y equipo</v>
      </c>
      <c r="E102" s="17">
        <v>3</v>
      </c>
      <c r="F102" s="17" t="s">
        <v>1013</v>
      </c>
      <c r="G102">
        <v>3</v>
      </c>
      <c r="H102" t="s">
        <v>67</v>
      </c>
      <c r="I102">
        <v>2</v>
      </c>
      <c r="J102" t="s">
        <v>970</v>
      </c>
    </row>
    <row r="103" spans="1:10">
      <c r="A103" s="9">
        <v>102</v>
      </c>
      <c r="B103" t="s">
        <v>218</v>
      </c>
      <c r="C103" t="str">
        <f t="shared" si="8"/>
        <v>4</v>
      </c>
      <c r="D103" s="17" t="str">
        <f t="shared" si="9"/>
        <v>Productos metálicos, maquinaria y equipo</v>
      </c>
      <c r="E103" s="17">
        <v>3</v>
      </c>
      <c r="F103" s="17" t="s">
        <v>1013</v>
      </c>
      <c r="G103">
        <v>3</v>
      </c>
      <c r="H103" t="s">
        <v>67</v>
      </c>
      <c r="I103">
        <v>2</v>
      </c>
      <c r="J103" t="s">
        <v>970</v>
      </c>
    </row>
    <row r="104" spans="1:10">
      <c r="A104" s="9">
        <v>103</v>
      </c>
      <c r="B104" t="s">
        <v>220</v>
      </c>
      <c r="C104" t="str">
        <f t="shared" si="8"/>
        <v>4</v>
      </c>
      <c r="D104" s="17" t="str">
        <f t="shared" si="9"/>
        <v>Productos metálicos, maquinaria y equipo</v>
      </c>
      <c r="E104" s="17">
        <v>3</v>
      </c>
      <c r="F104" s="17" t="s">
        <v>1013</v>
      </c>
      <c r="G104">
        <v>3</v>
      </c>
      <c r="H104" t="s">
        <v>67</v>
      </c>
      <c r="I104">
        <v>2</v>
      </c>
      <c r="J104" t="s">
        <v>970</v>
      </c>
    </row>
    <row r="105" spans="1:10">
      <c r="A105" s="9">
        <v>104</v>
      </c>
      <c r="B105" t="s">
        <v>222</v>
      </c>
      <c r="C105" t="str">
        <f t="shared" si="8"/>
        <v>4</v>
      </c>
      <c r="D105" s="17" t="str">
        <f t="shared" si="9"/>
        <v>Productos metálicos, maquinaria y equipo</v>
      </c>
      <c r="E105" s="17">
        <v>3</v>
      </c>
      <c r="F105" s="17" t="s">
        <v>1013</v>
      </c>
      <c r="G105">
        <v>3</v>
      </c>
      <c r="H105" t="s">
        <v>67</v>
      </c>
      <c r="I105">
        <v>2</v>
      </c>
      <c r="J105" t="s">
        <v>970</v>
      </c>
    </row>
    <row r="106" spans="1:10">
      <c r="A106" s="9">
        <v>105</v>
      </c>
      <c r="B106" t="s">
        <v>224</v>
      </c>
      <c r="C106" t="str">
        <f t="shared" si="8"/>
        <v>4</v>
      </c>
      <c r="D106" s="17" t="str">
        <f t="shared" si="9"/>
        <v>Productos metálicos, maquinaria y equipo</v>
      </c>
      <c r="E106" s="17">
        <v>3</v>
      </c>
      <c r="F106" s="17" t="s">
        <v>1013</v>
      </c>
      <c r="G106">
        <v>3</v>
      </c>
      <c r="H106" t="s">
        <v>67</v>
      </c>
      <c r="I106">
        <v>2</v>
      </c>
      <c r="J106" t="s">
        <v>970</v>
      </c>
    </row>
    <row r="107" spans="1:10">
      <c r="A107" s="9">
        <v>106</v>
      </c>
      <c r="B107" t="s">
        <v>226</v>
      </c>
      <c r="C107" t="str">
        <f t="shared" si="8"/>
        <v>4</v>
      </c>
      <c r="D107" s="17" t="str">
        <f t="shared" si="9"/>
        <v>Productos metálicos, maquinaria y equipo</v>
      </c>
      <c r="E107" s="17">
        <v>3</v>
      </c>
      <c r="F107" s="17" t="s">
        <v>1013</v>
      </c>
      <c r="G107">
        <v>3</v>
      </c>
      <c r="H107" t="s">
        <v>67</v>
      </c>
      <c r="I107">
        <v>1</v>
      </c>
      <c r="J107" s="14" t="s">
        <v>1065</v>
      </c>
    </row>
    <row r="108" spans="1:10">
      <c r="A108" s="9">
        <v>107</v>
      </c>
      <c r="B108" t="s">
        <v>228</v>
      </c>
      <c r="C108" t="str">
        <f t="shared" si="8"/>
        <v>4</v>
      </c>
      <c r="D108" s="17" t="str">
        <f t="shared" si="9"/>
        <v>Productos metálicos, maquinaria y equipo</v>
      </c>
      <c r="E108" s="17">
        <v>3</v>
      </c>
      <c r="F108" s="17" t="s">
        <v>1013</v>
      </c>
      <c r="G108">
        <v>3</v>
      </c>
      <c r="H108" t="s">
        <v>67</v>
      </c>
      <c r="I108">
        <v>2</v>
      </c>
      <c r="J108" t="s">
        <v>970</v>
      </c>
    </row>
    <row r="109" spans="1:10">
      <c r="A109" s="9">
        <v>108</v>
      </c>
      <c r="B109" t="s">
        <v>230</v>
      </c>
      <c r="C109" t="str">
        <f t="shared" si="8"/>
        <v>4</v>
      </c>
      <c r="D109" s="17" t="str">
        <f t="shared" si="9"/>
        <v>Productos metálicos, maquinaria y equipo</v>
      </c>
      <c r="E109" s="17">
        <v>3</v>
      </c>
      <c r="F109" s="17" t="s">
        <v>1013</v>
      </c>
      <c r="G109">
        <v>3</v>
      </c>
      <c r="H109" t="s">
        <v>67</v>
      </c>
      <c r="I109">
        <v>2</v>
      </c>
      <c r="J109" t="s">
        <v>970</v>
      </c>
    </row>
    <row r="110" spans="1:10">
      <c r="A110" s="9">
        <v>109</v>
      </c>
      <c r="B110" t="s">
        <v>232</v>
      </c>
      <c r="C110" t="str">
        <f t="shared" si="8"/>
        <v>4</v>
      </c>
      <c r="D110" s="17" t="str">
        <f t="shared" si="9"/>
        <v>Productos metálicos, maquinaria y equipo</v>
      </c>
      <c r="E110" s="17">
        <v>3</v>
      </c>
      <c r="F110" s="17" t="s">
        <v>1013</v>
      </c>
      <c r="G110">
        <v>3</v>
      </c>
      <c r="H110" t="s">
        <v>67</v>
      </c>
      <c r="I110">
        <v>1</v>
      </c>
      <c r="J110" s="14" t="s">
        <v>1065</v>
      </c>
    </row>
    <row r="111" spans="1:10">
      <c r="A111" s="9">
        <v>110</v>
      </c>
      <c r="B111" t="s">
        <v>234</v>
      </c>
      <c r="C111" t="str">
        <f t="shared" si="8"/>
        <v>4</v>
      </c>
      <c r="D111" s="17" t="str">
        <f t="shared" si="9"/>
        <v>Productos metálicos, maquinaria y equipo</v>
      </c>
      <c r="E111" s="17">
        <v>3</v>
      </c>
      <c r="F111" s="17" t="s">
        <v>1013</v>
      </c>
      <c r="G111">
        <v>3</v>
      </c>
      <c r="H111" t="s">
        <v>67</v>
      </c>
      <c r="I111">
        <v>2</v>
      </c>
      <c r="J111" t="s">
        <v>970</v>
      </c>
    </row>
    <row r="112" spans="1:10">
      <c r="A112" s="9">
        <v>111</v>
      </c>
      <c r="B112" t="s">
        <v>236</v>
      </c>
      <c r="C112" t="str">
        <f t="shared" si="8"/>
        <v>4</v>
      </c>
      <c r="D112" s="17" t="str">
        <f t="shared" si="9"/>
        <v>Productos metálicos, maquinaria y equipo</v>
      </c>
      <c r="E112" s="17">
        <v>3</v>
      </c>
      <c r="F112" s="17" t="s">
        <v>1013</v>
      </c>
      <c r="G112">
        <v>3</v>
      </c>
      <c r="H112" t="s">
        <v>67</v>
      </c>
      <c r="I112">
        <v>2</v>
      </c>
      <c r="J112" t="s">
        <v>970</v>
      </c>
    </row>
    <row r="113" spans="1:10">
      <c r="A113" s="9">
        <v>112</v>
      </c>
      <c r="B113" t="s">
        <v>238</v>
      </c>
      <c r="C113" t="str">
        <f t="shared" si="8"/>
        <v>4</v>
      </c>
      <c r="D113" s="17" t="str">
        <f t="shared" si="9"/>
        <v>Productos metálicos, maquinaria y equipo</v>
      </c>
      <c r="E113" s="17">
        <v>3</v>
      </c>
      <c r="F113" s="17" t="s">
        <v>1013</v>
      </c>
      <c r="G113">
        <v>3</v>
      </c>
      <c r="H113" t="s">
        <v>67</v>
      </c>
      <c r="I113">
        <v>2</v>
      </c>
      <c r="J113" t="s">
        <v>970</v>
      </c>
    </row>
    <row r="114" spans="1:10">
      <c r="A114" s="9">
        <v>113</v>
      </c>
      <c r="B114" t="s">
        <v>240</v>
      </c>
      <c r="C114" t="str">
        <f t="shared" si="8"/>
        <v>4</v>
      </c>
      <c r="D114" s="17" t="str">
        <f t="shared" si="9"/>
        <v>Productos metálicos, maquinaria y equipo</v>
      </c>
      <c r="E114" s="17">
        <v>3</v>
      </c>
      <c r="F114" s="17" t="s">
        <v>1013</v>
      </c>
      <c r="G114">
        <v>3</v>
      </c>
      <c r="H114" t="s">
        <v>67</v>
      </c>
      <c r="I114">
        <v>2</v>
      </c>
      <c r="J114" t="s">
        <v>970</v>
      </c>
    </row>
    <row r="115" spans="1:10">
      <c r="A115" s="9">
        <v>114</v>
      </c>
      <c r="B115" t="s">
        <v>242</v>
      </c>
      <c r="C115" t="str">
        <f t="shared" si="8"/>
        <v>4</v>
      </c>
      <c r="D115" s="17" t="str">
        <f t="shared" si="9"/>
        <v>Productos metálicos, maquinaria y equipo</v>
      </c>
      <c r="E115" s="17">
        <v>3</v>
      </c>
      <c r="F115" s="17" t="s">
        <v>1013</v>
      </c>
      <c r="G115">
        <v>3</v>
      </c>
      <c r="H115" t="s">
        <v>67</v>
      </c>
      <c r="I115">
        <v>2</v>
      </c>
      <c r="J115" t="s">
        <v>970</v>
      </c>
    </row>
    <row r="116" spans="1:10">
      <c r="A116" s="9">
        <v>115</v>
      </c>
      <c r="B116" t="s">
        <v>244</v>
      </c>
      <c r="C116" t="str">
        <f t="shared" si="8"/>
        <v>4</v>
      </c>
      <c r="D116" s="17" t="str">
        <f t="shared" si="9"/>
        <v>Productos metálicos, maquinaria y equipo</v>
      </c>
      <c r="E116" s="17">
        <v>3</v>
      </c>
      <c r="F116" s="17" t="s">
        <v>1013</v>
      </c>
      <c r="G116">
        <v>3</v>
      </c>
      <c r="H116" t="s">
        <v>67</v>
      </c>
      <c r="I116">
        <v>2</v>
      </c>
      <c r="J116" t="s">
        <v>970</v>
      </c>
    </row>
    <row r="117" spans="1:10">
      <c r="A117" s="9">
        <v>116</v>
      </c>
      <c r="B117" t="s">
        <v>246</v>
      </c>
      <c r="C117" t="str">
        <f t="shared" si="8"/>
        <v>4</v>
      </c>
      <c r="D117" s="17" t="str">
        <f t="shared" si="9"/>
        <v>Productos metálicos, maquinaria y equipo</v>
      </c>
      <c r="E117" s="17">
        <v>3</v>
      </c>
      <c r="F117" s="17" t="s">
        <v>1013</v>
      </c>
      <c r="G117">
        <v>3</v>
      </c>
      <c r="H117" t="s">
        <v>67</v>
      </c>
      <c r="I117">
        <v>1</v>
      </c>
      <c r="J117" s="14" t="s">
        <v>1065</v>
      </c>
    </row>
    <row r="118" spans="1:10">
      <c r="A118" s="9">
        <v>117</v>
      </c>
      <c r="B118" t="s">
        <v>248</v>
      </c>
      <c r="C118" t="str">
        <f t="shared" si="8"/>
        <v>4</v>
      </c>
      <c r="D118" s="17" t="str">
        <f t="shared" si="9"/>
        <v>Productos metálicos, maquinaria y equipo</v>
      </c>
      <c r="E118" s="17">
        <v>3</v>
      </c>
      <c r="F118" s="17" t="s">
        <v>1013</v>
      </c>
      <c r="G118">
        <v>3</v>
      </c>
      <c r="H118" t="s">
        <v>67</v>
      </c>
      <c r="I118">
        <v>1</v>
      </c>
      <c r="J118" s="14" t="s">
        <v>1065</v>
      </c>
    </row>
    <row r="119" spans="1:10">
      <c r="A119" s="9">
        <v>118</v>
      </c>
      <c r="B119" t="s">
        <v>250</v>
      </c>
      <c r="C119" t="str">
        <f t="shared" si="8"/>
        <v>4</v>
      </c>
      <c r="D119" s="17" t="str">
        <f t="shared" si="9"/>
        <v>Productos metálicos, maquinaria y equipo</v>
      </c>
      <c r="E119" s="17">
        <v>3</v>
      </c>
      <c r="F119" s="17" t="s">
        <v>1013</v>
      </c>
      <c r="G119">
        <v>3</v>
      </c>
      <c r="H119" t="s">
        <v>67</v>
      </c>
      <c r="I119">
        <v>2</v>
      </c>
      <c r="J119" t="s">
        <v>970</v>
      </c>
    </row>
    <row r="120" spans="1:10">
      <c r="A120" s="9">
        <v>119</v>
      </c>
      <c r="B120" t="s">
        <v>252</v>
      </c>
      <c r="C120" s="14" t="str">
        <f t="shared" ref="C120:C125" si="10">"1"</f>
        <v>1</v>
      </c>
      <c r="D120" s="17" t="str">
        <f t="shared" ref="D120:D125" si="11">"Minerales; electricidad, gas y agua"</f>
        <v>Minerales; electricidad, gas y agua</v>
      </c>
      <c r="E120" s="17">
        <v>4</v>
      </c>
      <c r="F120" s="17" t="s">
        <v>1108</v>
      </c>
      <c r="G120">
        <v>3</v>
      </c>
      <c r="H120" t="s">
        <v>67</v>
      </c>
      <c r="I120">
        <v>2</v>
      </c>
      <c r="J120" t="s">
        <v>970</v>
      </c>
    </row>
    <row r="121" spans="1:10">
      <c r="A121" s="9">
        <v>120</v>
      </c>
      <c r="B121" t="s">
        <v>254</v>
      </c>
      <c r="C121" s="14" t="str">
        <f t="shared" si="10"/>
        <v>1</v>
      </c>
      <c r="D121" s="17" t="str">
        <f t="shared" si="11"/>
        <v>Minerales; electricidad, gas y agua</v>
      </c>
      <c r="E121" s="17">
        <v>4</v>
      </c>
      <c r="F121" s="17" t="s">
        <v>1108</v>
      </c>
      <c r="G121">
        <v>3</v>
      </c>
      <c r="H121" t="s">
        <v>67</v>
      </c>
      <c r="I121">
        <v>2</v>
      </c>
      <c r="J121" t="s">
        <v>970</v>
      </c>
    </row>
    <row r="122" spans="1:10">
      <c r="A122" s="9">
        <v>121</v>
      </c>
      <c r="B122" t="s">
        <v>256</v>
      </c>
      <c r="C122" s="14" t="str">
        <f t="shared" si="10"/>
        <v>1</v>
      </c>
      <c r="D122" s="17" t="str">
        <f t="shared" si="11"/>
        <v>Minerales; electricidad, gas y agua</v>
      </c>
      <c r="E122" s="17">
        <v>4</v>
      </c>
      <c r="F122" s="17" t="s">
        <v>1108</v>
      </c>
      <c r="G122">
        <v>3</v>
      </c>
      <c r="H122" t="s">
        <v>67</v>
      </c>
      <c r="I122">
        <v>2</v>
      </c>
      <c r="J122" t="s">
        <v>970</v>
      </c>
    </row>
    <row r="123" spans="1:10">
      <c r="A123" s="9">
        <v>122</v>
      </c>
      <c r="B123" t="s">
        <v>258</v>
      </c>
      <c r="C123" s="14" t="str">
        <f t="shared" si="10"/>
        <v>1</v>
      </c>
      <c r="D123" s="17" t="str">
        <f t="shared" si="11"/>
        <v>Minerales; electricidad, gas y agua</v>
      </c>
      <c r="E123" s="17">
        <v>4</v>
      </c>
      <c r="F123" s="17" t="s">
        <v>1108</v>
      </c>
      <c r="G123">
        <v>3</v>
      </c>
      <c r="H123" t="s">
        <v>67</v>
      </c>
      <c r="I123">
        <v>2</v>
      </c>
      <c r="J123" t="s">
        <v>970</v>
      </c>
    </row>
    <row r="124" spans="1:10">
      <c r="A124" s="9">
        <v>123</v>
      </c>
      <c r="B124" t="s">
        <v>260</v>
      </c>
      <c r="C124" s="14" t="str">
        <f t="shared" si="10"/>
        <v>1</v>
      </c>
      <c r="D124" s="17" t="str">
        <f t="shared" si="11"/>
        <v>Minerales; electricidad, gas y agua</v>
      </c>
      <c r="E124" s="17">
        <v>4</v>
      </c>
      <c r="F124" s="17" t="s">
        <v>1108</v>
      </c>
      <c r="G124">
        <v>2</v>
      </c>
      <c r="H124" t="s">
        <v>142</v>
      </c>
      <c r="I124">
        <v>2</v>
      </c>
      <c r="J124" t="s">
        <v>970</v>
      </c>
    </row>
    <row r="125" spans="1:10">
      <c r="A125" s="9">
        <v>124</v>
      </c>
      <c r="B125" t="s">
        <v>262</v>
      </c>
      <c r="C125" s="14" t="str">
        <f t="shared" si="10"/>
        <v>1</v>
      </c>
      <c r="D125" s="17" t="str">
        <f t="shared" si="11"/>
        <v>Minerales; electricidad, gas y agua</v>
      </c>
      <c r="E125" s="17">
        <v>4</v>
      </c>
      <c r="F125" s="17" t="s">
        <v>1108</v>
      </c>
      <c r="G125">
        <v>2</v>
      </c>
      <c r="H125" t="s">
        <v>142</v>
      </c>
      <c r="I125">
        <v>2</v>
      </c>
      <c r="J125" t="s">
        <v>970</v>
      </c>
    </row>
    <row r="126" spans="1:10">
      <c r="A126" s="9">
        <v>125</v>
      </c>
      <c r="B126" t="s">
        <v>264</v>
      </c>
      <c r="C126" s="14" t="str">
        <f>"5"</f>
        <v>5</v>
      </c>
      <c r="D126" s="17" t="str">
        <f>"Construcciones y servicios de construcción"</f>
        <v>Construcciones y servicios de construcción</v>
      </c>
      <c r="E126" s="17">
        <v>5</v>
      </c>
      <c r="F126" s="17" t="s">
        <v>1126</v>
      </c>
      <c r="G126">
        <v>3</v>
      </c>
      <c r="H126" t="s">
        <v>67</v>
      </c>
      <c r="I126">
        <v>2</v>
      </c>
      <c r="J126" t="s">
        <v>970</v>
      </c>
    </row>
    <row r="127" spans="1:10">
      <c r="A127" s="9">
        <v>126</v>
      </c>
      <c r="B127" t="s">
        <v>266</v>
      </c>
      <c r="C127" s="14" t="str">
        <f t="shared" ref="C127:C132" si="12">"5"</f>
        <v>5</v>
      </c>
      <c r="D127" s="17" t="str">
        <f t="shared" ref="D127:D132" si="13">"Construcciones y servicios de construcción"</f>
        <v>Construcciones y servicios de construcción</v>
      </c>
      <c r="E127" s="17">
        <v>5</v>
      </c>
      <c r="F127" s="17" t="s">
        <v>1126</v>
      </c>
      <c r="G127">
        <v>3</v>
      </c>
      <c r="H127" t="s">
        <v>67</v>
      </c>
      <c r="I127">
        <v>2</v>
      </c>
      <c r="J127" t="s">
        <v>970</v>
      </c>
    </row>
    <row r="128" spans="1:10">
      <c r="A128" s="9">
        <v>127</v>
      </c>
      <c r="B128" t="s">
        <v>268</v>
      </c>
      <c r="C128" s="14" t="str">
        <f t="shared" si="12"/>
        <v>5</v>
      </c>
      <c r="D128" s="17" t="str">
        <f t="shared" si="13"/>
        <v>Construcciones y servicios de construcción</v>
      </c>
      <c r="E128" s="17">
        <v>5</v>
      </c>
      <c r="F128" s="17" t="s">
        <v>1126</v>
      </c>
      <c r="G128">
        <v>3</v>
      </c>
      <c r="H128" t="s">
        <v>67</v>
      </c>
      <c r="I128">
        <v>2</v>
      </c>
      <c r="J128" t="s">
        <v>970</v>
      </c>
    </row>
    <row r="129" spans="1:10">
      <c r="A129" s="9">
        <v>128</v>
      </c>
      <c r="B129" t="s">
        <v>270</v>
      </c>
      <c r="C129" s="14" t="str">
        <f t="shared" si="12"/>
        <v>5</v>
      </c>
      <c r="D129" s="17" t="str">
        <f t="shared" si="13"/>
        <v>Construcciones y servicios de construcción</v>
      </c>
      <c r="E129" s="17">
        <v>5</v>
      </c>
      <c r="F129" s="17" t="s">
        <v>1126</v>
      </c>
      <c r="G129">
        <v>3</v>
      </c>
      <c r="H129" t="s">
        <v>67</v>
      </c>
      <c r="I129">
        <v>2</v>
      </c>
      <c r="J129" t="s">
        <v>970</v>
      </c>
    </row>
    <row r="130" spans="1:10">
      <c r="A130" s="9">
        <v>129</v>
      </c>
      <c r="B130" t="s">
        <v>272</v>
      </c>
      <c r="C130" s="14" t="str">
        <f t="shared" si="12"/>
        <v>5</v>
      </c>
      <c r="D130" s="17" t="str">
        <f t="shared" si="13"/>
        <v>Construcciones y servicios de construcción</v>
      </c>
      <c r="E130" s="17">
        <v>5</v>
      </c>
      <c r="F130" s="17" t="s">
        <v>1126</v>
      </c>
      <c r="G130">
        <v>3</v>
      </c>
      <c r="H130" t="s">
        <v>67</v>
      </c>
      <c r="I130">
        <v>2</v>
      </c>
      <c r="J130" t="s">
        <v>970</v>
      </c>
    </row>
    <row r="131" spans="1:10">
      <c r="A131" s="9">
        <v>130</v>
      </c>
      <c r="B131" t="s">
        <v>274</v>
      </c>
      <c r="C131" s="14" t="str">
        <f t="shared" si="12"/>
        <v>5</v>
      </c>
      <c r="D131" s="17" t="str">
        <f t="shared" si="13"/>
        <v>Construcciones y servicios de construcción</v>
      </c>
      <c r="E131" s="17">
        <v>5</v>
      </c>
      <c r="F131" s="17" t="s">
        <v>1126</v>
      </c>
      <c r="G131">
        <v>3</v>
      </c>
      <c r="H131" t="s">
        <v>67</v>
      </c>
      <c r="I131">
        <v>2</v>
      </c>
      <c r="J131" t="s">
        <v>970</v>
      </c>
    </row>
    <row r="132" spans="1:10">
      <c r="A132" s="9">
        <v>131</v>
      </c>
      <c r="B132" t="s">
        <v>276</v>
      </c>
      <c r="C132" s="14" t="str">
        <f t="shared" si="12"/>
        <v>5</v>
      </c>
      <c r="D132" s="17" t="str">
        <f t="shared" si="13"/>
        <v>Construcciones y servicios de construcción</v>
      </c>
      <c r="E132" s="17">
        <v>5</v>
      </c>
      <c r="F132" s="17" t="s">
        <v>1126</v>
      </c>
      <c r="G132">
        <v>3</v>
      </c>
      <c r="H132" t="s">
        <v>67</v>
      </c>
      <c r="I132">
        <v>2</v>
      </c>
      <c r="J132" t="s">
        <v>970</v>
      </c>
    </row>
    <row r="133" spans="1:10">
      <c r="A133" s="9">
        <v>132</v>
      </c>
      <c r="B133" t="s">
        <v>278</v>
      </c>
      <c r="C133" s="14" t="str">
        <f>"6"</f>
        <v>6</v>
      </c>
      <c r="D133" s="17" t="str">
        <f>"Servicios comerciales de distribución; alojamiento, servicios de suministro de comidas y bebidas; servicios de transporte; y servicios de distribución de electricidad, gas y agua"</f>
        <v>Servicios comerciales de distribución; alojamiento, servicios de suministro de comidas y bebidas; servicios de transporte; y servicios de distribución de electricidad, gas y agua</v>
      </c>
      <c r="E133" s="17">
        <v>6</v>
      </c>
      <c r="F133" s="17" t="s">
        <v>1138</v>
      </c>
      <c r="G133">
        <v>3</v>
      </c>
      <c r="H133" t="s">
        <v>67</v>
      </c>
      <c r="I133">
        <v>2</v>
      </c>
      <c r="J133" t="s">
        <v>970</v>
      </c>
    </row>
    <row r="134" spans="1:10">
      <c r="A134" s="9">
        <v>133</v>
      </c>
      <c r="B134" t="s">
        <v>280</v>
      </c>
      <c r="C134" s="14" t="str">
        <f t="shared" ref="C134:C157" si="14">"6"</f>
        <v>6</v>
      </c>
      <c r="D134" s="17" t="str">
        <f t="shared" ref="D134:D157" si="15">"Servicios comerciales de distribución; alojamiento, servicios de suministro de comidas y bebidas; servicios de transporte; y servicios de distribución de electricidad, gas y agua"</f>
        <v>Servicios comerciales de distribución; alojamiento, servicios de suministro de comidas y bebidas; servicios de transporte; y servicios de distribución de electricidad, gas y agua</v>
      </c>
      <c r="E134" s="17">
        <v>6</v>
      </c>
      <c r="F134" s="17" t="s">
        <v>1138</v>
      </c>
      <c r="G134">
        <v>3</v>
      </c>
      <c r="H134" t="s">
        <v>67</v>
      </c>
      <c r="I134">
        <v>2</v>
      </c>
      <c r="J134" t="s">
        <v>970</v>
      </c>
    </row>
    <row r="135" spans="1:10">
      <c r="A135" s="9">
        <v>134</v>
      </c>
      <c r="B135" t="s">
        <v>282</v>
      </c>
      <c r="C135" s="14" t="str">
        <f t="shared" si="14"/>
        <v>6</v>
      </c>
      <c r="D135" s="17" t="str">
        <f t="shared" si="15"/>
        <v>Servicios comerciales de distribución; alojamiento, servicios de suministro de comidas y bebidas; servicios de transporte; y servicios de distribución de electricidad, gas y agua</v>
      </c>
      <c r="E135" s="17">
        <v>6</v>
      </c>
      <c r="F135" s="17" t="s">
        <v>1138</v>
      </c>
      <c r="G135">
        <v>3</v>
      </c>
      <c r="H135" t="s">
        <v>67</v>
      </c>
      <c r="I135">
        <v>1</v>
      </c>
      <c r="J135" s="14" t="s">
        <v>1065</v>
      </c>
    </row>
    <row r="136" spans="1:10">
      <c r="A136" s="9">
        <v>135</v>
      </c>
      <c r="B136" t="s">
        <v>284</v>
      </c>
      <c r="C136" s="14" t="str">
        <f t="shared" si="14"/>
        <v>6</v>
      </c>
      <c r="D136" s="17" t="str">
        <f t="shared" si="15"/>
        <v>Servicios comerciales de distribución; alojamiento, servicios de suministro de comidas y bebidas; servicios de transporte; y servicios de distribución de electricidad, gas y agua</v>
      </c>
      <c r="E136" s="17">
        <v>6</v>
      </c>
      <c r="F136" s="17" t="s">
        <v>1138</v>
      </c>
      <c r="G136">
        <v>3</v>
      </c>
      <c r="H136" t="s">
        <v>67</v>
      </c>
      <c r="I136">
        <v>2</v>
      </c>
      <c r="J136" t="s">
        <v>970</v>
      </c>
    </row>
    <row r="137" spans="1:10">
      <c r="A137" s="9">
        <v>136</v>
      </c>
      <c r="B137" t="s">
        <v>286</v>
      </c>
      <c r="C137" s="14" t="str">
        <f t="shared" si="14"/>
        <v>6</v>
      </c>
      <c r="D137" s="17" t="str">
        <f t="shared" si="15"/>
        <v>Servicios comerciales de distribución; alojamiento, servicios de suministro de comidas y bebidas; servicios de transporte; y servicios de distribución de electricidad, gas y agua</v>
      </c>
      <c r="E137" s="17">
        <v>7</v>
      </c>
      <c r="F137" s="17" t="s">
        <v>1253</v>
      </c>
      <c r="G137">
        <v>3</v>
      </c>
      <c r="H137" t="s">
        <v>67</v>
      </c>
      <c r="I137">
        <v>2</v>
      </c>
      <c r="J137" t="s">
        <v>970</v>
      </c>
    </row>
    <row r="138" spans="1:10">
      <c r="A138" s="9">
        <v>137</v>
      </c>
      <c r="B138" t="s">
        <v>288</v>
      </c>
      <c r="C138" s="14" t="str">
        <f t="shared" si="14"/>
        <v>6</v>
      </c>
      <c r="D138" s="17" t="str">
        <f t="shared" si="15"/>
        <v>Servicios comerciales de distribución; alojamiento, servicios de suministro de comidas y bebidas; servicios de transporte; y servicios de distribución de electricidad, gas y agua</v>
      </c>
      <c r="E138" s="17">
        <v>7</v>
      </c>
      <c r="F138" s="17" t="s">
        <v>1253</v>
      </c>
      <c r="G138">
        <v>3</v>
      </c>
      <c r="H138" t="s">
        <v>67</v>
      </c>
      <c r="I138">
        <v>2</v>
      </c>
      <c r="J138" t="s">
        <v>970</v>
      </c>
    </row>
    <row r="139" spans="1:10">
      <c r="A139" s="9">
        <v>138</v>
      </c>
      <c r="B139" t="s">
        <v>290</v>
      </c>
      <c r="C139" s="14" t="str">
        <f t="shared" si="14"/>
        <v>6</v>
      </c>
      <c r="D139" s="17" t="str">
        <f t="shared" si="15"/>
        <v>Servicios comerciales de distribución; alojamiento, servicios de suministro de comidas y bebidas; servicios de transporte; y servicios de distribución de electricidad, gas y agua</v>
      </c>
      <c r="E139" s="17">
        <v>7</v>
      </c>
      <c r="F139" s="17" t="s">
        <v>1253</v>
      </c>
      <c r="G139">
        <v>2</v>
      </c>
      <c r="H139" t="s">
        <v>142</v>
      </c>
      <c r="I139">
        <v>2</v>
      </c>
      <c r="J139" t="s">
        <v>970</v>
      </c>
    </row>
    <row r="140" spans="1:10">
      <c r="A140" s="9">
        <v>139</v>
      </c>
      <c r="B140" t="s">
        <v>292</v>
      </c>
      <c r="C140" s="14" t="str">
        <f t="shared" si="14"/>
        <v>6</v>
      </c>
      <c r="D140" s="17" t="str">
        <f t="shared" si="15"/>
        <v>Servicios comerciales de distribución; alojamiento, servicios de suministro de comidas y bebidas; servicios de transporte; y servicios de distribución de electricidad, gas y agua</v>
      </c>
      <c r="E140" s="17">
        <v>7</v>
      </c>
      <c r="F140" s="17" t="s">
        <v>1253</v>
      </c>
      <c r="G140">
        <v>3</v>
      </c>
      <c r="H140" t="s">
        <v>67</v>
      </c>
      <c r="I140">
        <v>2</v>
      </c>
      <c r="J140" t="s">
        <v>970</v>
      </c>
    </row>
    <row r="141" spans="1:10">
      <c r="A141" s="9">
        <v>140</v>
      </c>
      <c r="B141" t="s">
        <v>294</v>
      </c>
      <c r="C141" s="14" t="str">
        <f t="shared" si="14"/>
        <v>6</v>
      </c>
      <c r="D141" s="17" t="str">
        <f t="shared" si="15"/>
        <v>Servicios comerciales de distribución; alojamiento, servicios de suministro de comidas y bebidas; servicios de transporte; y servicios de distribución de electricidad, gas y agua</v>
      </c>
      <c r="E141" s="17">
        <v>7</v>
      </c>
      <c r="F141" s="17" t="s">
        <v>1253</v>
      </c>
      <c r="G141">
        <v>3</v>
      </c>
      <c r="H141" t="s">
        <v>67</v>
      </c>
      <c r="I141">
        <v>2</v>
      </c>
      <c r="J141" t="s">
        <v>970</v>
      </c>
    </row>
    <row r="142" spans="1:10">
      <c r="A142" s="9">
        <v>141</v>
      </c>
      <c r="B142" t="s">
        <v>296</v>
      </c>
      <c r="C142" s="14" t="str">
        <f t="shared" si="14"/>
        <v>6</v>
      </c>
      <c r="D142" s="17" t="str">
        <f t="shared" si="15"/>
        <v>Servicios comerciales de distribución; alojamiento, servicios de suministro de comidas y bebidas; servicios de transporte; y servicios de distribución de electricidad, gas y agua</v>
      </c>
      <c r="E142" s="17">
        <v>7</v>
      </c>
      <c r="F142" s="17" t="s">
        <v>1253</v>
      </c>
      <c r="G142">
        <v>3</v>
      </c>
      <c r="H142" t="s">
        <v>67</v>
      </c>
      <c r="I142">
        <v>2</v>
      </c>
      <c r="J142" t="s">
        <v>970</v>
      </c>
    </row>
    <row r="143" spans="1:10">
      <c r="A143" s="9">
        <v>142</v>
      </c>
      <c r="B143" t="s">
        <v>298</v>
      </c>
      <c r="C143" s="14" t="str">
        <f t="shared" si="14"/>
        <v>6</v>
      </c>
      <c r="D143" s="17" t="str">
        <f t="shared" si="15"/>
        <v>Servicios comerciales de distribución; alojamiento, servicios de suministro de comidas y bebidas; servicios de transporte; y servicios de distribución de electricidad, gas y agua</v>
      </c>
      <c r="E143" s="17">
        <v>7</v>
      </c>
      <c r="F143" s="17" t="s">
        <v>1253</v>
      </c>
      <c r="G143">
        <v>3</v>
      </c>
      <c r="H143" t="s">
        <v>67</v>
      </c>
      <c r="I143">
        <v>2</v>
      </c>
      <c r="J143" t="s">
        <v>970</v>
      </c>
    </row>
    <row r="144" spans="1:10">
      <c r="A144" s="9">
        <v>143</v>
      </c>
      <c r="B144" t="s">
        <v>300</v>
      </c>
      <c r="C144" s="14" t="str">
        <f t="shared" si="14"/>
        <v>6</v>
      </c>
      <c r="D144" s="17" t="str">
        <f t="shared" si="15"/>
        <v>Servicios comerciales de distribución; alojamiento, servicios de suministro de comidas y bebidas; servicios de transporte; y servicios de distribución de electricidad, gas y agua</v>
      </c>
      <c r="E144" s="17">
        <v>7</v>
      </c>
      <c r="F144" s="17" t="s">
        <v>1253</v>
      </c>
      <c r="G144">
        <v>3</v>
      </c>
      <c r="H144" t="s">
        <v>67</v>
      </c>
      <c r="I144">
        <v>2</v>
      </c>
      <c r="J144" t="s">
        <v>970</v>
      </c>
    </row>
    <row r="145" spans="1:10">
      <c r="A145" s="9">
        <v>144</v>
      </c>
      <c r="B145" t="s">
        <v>302</v>
      </c>
      <c r="C145" s="14" t="str">
        <f t="shared" si="14"/>
        <v>6</v>
      </c>
      <c r="D145" s="17" t="str">
        <f t="shared" si="15"/>
        <v>Servicios comerciales de distribución; alojamiento, servicios de suministro de comidas y bebidas; servicios de transporte; y servicios de distribución de electricidad, gas y agua</v>
      </c>
      <c r="E145" s="17">
        <v>7</v>
      </c>
      <c r="F145" s="17" t="s">
        <v>1253</v>
      </c>
      <c r="G145">
        <v>3</v>
      </c>
      <c r="H145" t="s">
        <v>67</v>
      </c>
      <c r="I145">
        <v>2</v>
      </c>
      <c r="J145" t="s">
        <v>970</v>
      </c>
    </row>
    <row r="146" spans="1:10">
      <c r="A146" s="9">
        <v>145</v>
      </c>
      <c r="B146" t="s">
        <v>304</v>
      </c>
      <c r="C146" s="14" t="str">
        <f t="shared" si="14"/>
        <v>6</v>
      </c>
      <c r="D146" s="17" t="str">
        <f t="shared" si="15"/>
        <v>Servicios comerciales de distribución; alojamiento, servicios de suministro de comidas y bebidas; servicios de transporte; y servicios de distribución de electricidad, gas y agua</v>
      </c>
      <c r="E146" s="17">
        <v>7</v>
      </c>
      <c r="F146" s="17" t="s">
        <v>1253</v>
      </c>
      <c r="G146">
        <v>3</v>
      </c>
      <c r="H146" t="s">
        <v>67</v>
      </c>
      <c r="I146">
        <v>2</v>
      </c>
      <c r="J146" t="s">
        <v>970</v>
      </c>
    </row>
    <row r="147" spans="1:10">
      <c r="A147" s="9">
        <v>146</v>
      </c>
      <c r="B147" t="s">
        <v>306</v>
      </c>
      <c r="C147" s="14" t="str">
        <f t="shared" si="14"/>
        <v>6</v>
      </c>
      <c r="D147" s="17" t="str">
        <f t="shared" si="15"/>
        <v>Servicios comerciales de distribución; alojamiento, servicios de suministro de comidas y bebidas; servicios de transporte; y servicios de distribución de electricidad, gas y agua</v>
      </c>
      <c r="E147" s="18">
        <v>7</v>
      </c>
      <c r="F147" s="17" t="s">
        <v>1253</v>
      </c>
      <c r="G147">
        <v>3</v>
      </c>
      <c r="H147" t="s">
        <v>67</v>
      </c>
      <c r="I147">
        <v>2</v>
      </c>
      <c r="J147" t="s">
        <v>970</v>
      </c>
    </row>
    <row r="148" spans="1:10">
      <c r="A148" s="9">
        <v>147</v>
      </c>
      <c r="B148" t="s">
        <v>308</v>
      </c>
      <c r="C148" s="14" t="str">
        <f t="shared" si="14"/>
        <v>6</v>
      </c>
      <c r="D148" s="17" t="str">
        <f t="shared" si="15"/>
        <v>Servicios comerciales de distribución; alojamiento, servicios de suministro de comidas y bebidas; servicios de transporte; y servicios de distribución de electricidad, gas y agua</v>
      </c>
      <c r="E148" s="17">
        <v>7</v>
      </c>
      <c r="F148" s="17" t="s">
        <v>1253</v>
      </c>
      <c r="G148">
        <v>3</v>
      </c>
      <c r="H148" t="s">
        <v>67</v>
      </c>
      <c r="I148">
        <v>2</v>
      </c>
      <c r="J148" t="s">
        <v>970</v>
      </c>
    </row>
    <row r="149" spans="1:10">
      <c r="A149" s="9">
        <v>148</v>
      </c>
      <c r="B149" t="s">
        <v>310</v>
      </c>
      <c r="C149" s="14" t="str">
        <f t="shared" si="14"/>
        <v>6</v>
      </c>
      <c r="D149" s="17" t="str">
        <f t="shared" si="15"/>
        <v>Servicios comerciales de distribución; alojamiento, servicios de suministro de comidas y bebidas; servicios de transporte; y servicios de distribución de electricidad, gas y agua</v>
      </c>
      <c r="E149" s="17">
        <v>7</v>
      </c>
      <c r="F149" s="17" t="s">
        <v>1253</v>
      </c>
      <c r="G149">
        <v>3</v>
      </c>
      <c r="H149" t="s">
        <v>67</v>
      </c>
      <c r="I149">
        <v>2</v>
      </c>
      <c r="J149" t="s">
        <v>970</v>
      </c>
    </row>
    <row r="150" spans="1:10">
      <c r="A150" s="9">
        <v>149</v>
      </c>
      <c r="B150" t="s">
        <v>312</v>
      </c>
      <c r="C150" s="14" t="str">
        <f t="shared" si="14"/>
        <v>6</v>
      </c>
      <c r="D150" s="17" t="str">
        <f t="shared" si="15"/>
        <v>Servicios comerciales de distribución; alojamiento, servicios de suministro de comidas y bebidas; servicios de transporte; y servicios de distribución de electricidad, gas y agua</v>
      </c>
      <c r="E150" s="17">
        <v>7</v>
      </c>
      <c r="F150" s="17" t="s">
        <v>1253</v>
      </c>
      <c r="G150">
        <v>3</v>
      </c>
      <c r="H150" t="s">
        <v>67</v>
      </c>
      <c r="I150">
        <v>2</v>
      </c>
      <c r="J150" t="s">
        <v>970</v>
      </c>
    </row>
    <row r="151" spans="1:10">
      <c r="A151" s="9">
        <v>150</v>
      </c>
      <c r="B151" t="s">
        <v>314</v>
      </c>
      <c r="C151" s="14" t="str">
        <f t="shared" si="14"/>
        <v>6</v>
      </c>
      <c r="D151" s="17" t="str">
        <f t="shared" si="15"/>
        <v>Servicios comerciales de distribución; alojamiento, servicios de suministro de comidas y bebidas; servicios de transporte; y servicios de distribución de electricidad, gas y agua</v>
      </c>
      <c r="E151" s="17">
        <v>7</v>
      </c>
      <c r="F151" s="17" t="s">
        <v>1253</v>
      </c>
      <c r="G151">
        <v>3</v>
      </c>
      <c r="H151" t="s">
        <v>67</v>
      </c>
      <c r="I151">
        <v>2</v>
      </c>
      <c r="J151" t="s">
        <v>970</v>
      </c>
    </row>
    <row r="152" spans="1:10">
      <c r="A152" s="9">
        <v>151</v>
      </c>
      <c r="B152" t="s">
        <v>316</v>
      </c>
      <c r="C152" s="14" t="str">
        <f t="shared" si="14"/>
        <v>6</v>
      </c>
      <c r="D152" s="17" t="str">
        <f t="shared" si="15"/>
        <v>Servicios comerciales de distribución; alojamiento, servicios de suministro de comidas y bebidas; servicios de transporte; y servicios de distribución de electricidad, gas y agua</v>
      </c>
      <c r="E152" s="17">
        <v>7</v>
      </c>
      <c r="F152" s="17" t="s">
        <v>1253</v>
      </c>
      <c r="G152">
        <v>3</v>
      </c>
      <c r="H152" t="s">
        <v>67</v>
      </c>
      <c r="I152">
        <v>2</v>
      </c>
      <c r="J152" t="s">
        <v>970</v>
      </c>
    </row>
    <row r="153" spans="1:10">
      <c r="A153" s="9">
        <v>152</v>
      </c>
      <c r="B153" t="s">
        <v>318</v>
      </c>
      <c r="C153" s="14" t="str">
        <f t="shared" si="14"/>
        <v>6</v>
      </c>
      <c r="D153" s="17" t="str">
        <f t="shared" si="15"/>
        <v>Servicios comerciales de distribución; alojamiento, servicios de suministro de comidas y bebidas; servicios de transporte; y servicios de distribución de electricidad, gas y agua</v>
      </c>
      <c r="E153" s="17">
        <v>7</v>
      </c>
      <c r="F153" s="17" t="s">
        <v>1253</v>
      </c>
      <c r="G153">
        <v>3</v>
      </c>
      <c r="H153" t="s">
        <v>67</v>
      </c>
      <c r="I153">
        <v>2</v>
      </c>
      <c r="J153" t="s">
        <v>970</v>
      </c>
    </row>
    <row r="154" spans="1:10">
      <c r="A154" s="9">
        <v>153</v>
      </c>
      <c r="B154" t="s">
        <v>320</v>
      </c>
      <c r="C154" s="14" t="str">
        <f t="shared" si="14"/>
        <v>6</v>
      </c>
      <c r="D154" s="17" t="str">
        <f t="shared" si="15"/>
        <v>Servicios comerciales de distribución; alojamiento, servicios de suministro de comidas y bebidas; servicios de transporte; y servicios de distribución de electricidad, gas y agua</v>
      </c>
      <c r="E154" s="17">
        <v>7</v>
      </c>
      <c r="F154" s="17" t="s">
        <v>1253</v>
      </c>
      <c r="G154">
        <v>3</v>
      </c>
      <c r="H154" t="s">
        <v>67</v>
      </c>
      <c r="I154">
        <v>2</v>
      </c>
      <c r="J154" t="s">
        <v>970</v>
      </c>
    </row>
    <row r="155" spans="1:10">
      <c r="A155" s="9">
        <v>154</v>
      </c>
      <c r="B155" t="s">
        <v>322</v>
      </c>
      <c r="C155" s="14" t="str">
        <f t="shared" si="14"/>
        <v>6</v>
      </c>
      <c r="D155" s="17" t="str">
        <f t="shared" si="15"/>
        <v>Servicios comerciales de distribución; alojamiento, servicios de suministro de comidas y bebidas; servicios de transporte; y servicios de distribución de electricidad, gas y agua</v>
      </c>
      <c r="E155" s="17">
        <v>7</v>
      </c>
      <c r="F155" s="17" t="s">
        <v>1253</v>
      </c>
      <c r="G155">
        <v>3</v>
      </c>
      <c r="H155" t="s">
        <v>67</v>
      </c>
      <c r="I155">
        <v>1</v>
      </c>
      <c r="J155" s="14" t="s">
        <v>1065</v>
      </c>
    </row>
    <row r="156" spans="1:10">
      <c r="A156" s="9">
        <v>155</v>
      </c>
      <c r="B156" t="s">
        <v>324</v>
      </c>
      <c r="C156" s="14" t="str">
        <f t="shared" si="14"/>
        <v>6</v>
      </c>
      <c r="D156" s="17" t="str">
        <f t="shared" si="15"/>
        <v>Servicios comerciales de distribución; alojamiento, servicios de suministro de comidas y bebidas; servicios de transporte; y servicios de distribución de electricidad, gas y agua</v>
      </c>
      <c r="E156" s="17">
        <v>7</v>
      </c>
      <c r="F156" s="17" t="s">
        <v>1253</v>
      </c>
      <c r="G156">
        <v>3</v>
      </c>
      <c r="H156" t="s">
        <v>67</v>
      </c>
      <c r="I156">
        <v>1</v>
      </c>
      <c r="J156" s="14" t="s">
        <v>1065</v>
      </c>
    </row>
    <row r="157" spans="1:10">
      <c r="A157" s="9">
        <v>156</v>
      </c>
      <c r="B157" t="s">
        <v>326</v>
      </c>
      <c r="C157" s="14" t="str">
        <f t="shared" si="14"/>
        <v>6</v>
      </c>
      <c r="D157" s="17" t="str">
        <f t="shared" si="15"/>
        <v>Servicios comerciales de distribución; alojamiento, servicios de suministro de comidas y bebidas; servicios de transporte; y servicios de distribución de electricidad, gas y agua</v>
      </c>
      <c r="E157" s="17">
        <v>7</v>
      </c>
      <c r="F157" s="17" t="s">
        <v>1253</v>
      </c>
      <c r="G157">
        <v>3</v>
      </c>
      <c r="H157" t="s">
        <v>67</v>
      </c>
      <c r="I157">
        <v>1</v>
      </c>
      <c r="J157" s="14" t="s">
        <v>1065</v>
      </c>
    </row>
    <row r="158" spans="1:10">
      <c r="A158" s="9">
        <v>157</v>
      </c>
      <c r="B158" t="s">
        <v>328</v>
      </c>
      <c r="C158" s="14" t="str">
        <f>"7"</f>
        <v>7</v>
      </c>
      <c r="D158" s="17" t="str">
        <f>"Servicios financieros y servicios conexos; servicios inmobiliarios; y servicios de alquiler y arrendamiento"</f>
        <v>Servicios financieros y servicios conexos; servicios inmobiliarios; y servicios de alquiler y arrendamiento</v>
      </c>
      <c r="E158" s="17">
        <v>7</v>
      </c>
      <c r="F158" s="17" t="s">
        <v>1253</v>
      </c>
      <c r="G158">
        <v>3</v>
      </c>
      <c r="H158" t="s">
        <v>67</v>
      </c>
      <c r="I158">
        <v>2</v>
      </c>
      <c r="J158" t="s">
        <v>970</v>
      </c>
    </row>
    <row r="159" spans="1:10">
      <c r="A159" s="9">
        <v>158</v>
      </c>
      <c r="B159" t="s">
        <v>330</v>
      </c>
      <c r="C159" s="14" t="str">
        <f t="shared" ref="C159:C164" si="16">"7"</f>
        <v>7</v>
      </c>
      <c r="D159" s="17" t="str">
        <f t="shared" ref="D159:D164" si="17">"Servicios financieros y servicios conexos; servicios inmobiliarios; y servicios de alquiler y arrendamiento"</f>
        <v>Servicios financieros y servicios conexos; servicios inmobiliarios; y servicios de alquiler y arrendamiento</v>
      </c>
      <c r="E159" s="17">
        <v>7</v>
      </c>
      <c r="F159" s="17" t="s">
        <v>1253</v>
      </c>
      <c r="G159">
        <v>3</v>
      </c>
      <c r="H159" t="s">
        <v>67</v>
      </c>
      <c r="I159">
        <v>2</v>
      </c>
      <c r="J159" t="s">
        <v>970</v>
      </c>
    </row>
    <row r="160" spans="1:10">
      <c r="A160" s="9">
        <v>159</v>
      </c>
      <c r="B160" t="s">
        <v>332</v>
      </c>
      <c r="C160" s="14" t="str">
        <f t="shared" si="16"/>
        <v>7</v>
      </c>
      <c r="D160" s="17" t="str">
        <f t="shared" si="17"/>
        <v>Servicios financieros y servicios conexos; servicios inmobiliarios; y servicios de alquiler y arrendamiento</v>
      </c>
      <c r="E160" s="17">
        <v>7</v>
      </c>
      <c r="F160" s="17" t="s">
        <v>1253</v>
      </c>
      <c r="G160">
        <v>3</v>
      </c>
      <c r="H160" t="s">
        <v>67</v>
      </c>
      <c r="I160">
        <v>2</v>
      </c>
      <c r="J160" t="s">
        <v>970</v>
      </c>
    </row>
    <row r="161" spans="1:10">
      <c r="A161" s="9">
        <v>160</v>
      </c>
      <c r="B161" t="s">
        <v>334</v>
      </c>
      <c r="C161" s="14" t="str">
        <f t="shared" si="16"/>
        <v>7</v>
      </c>
      <c r="D161" s="17" t="str">
        <f t="shared" si="17"/>
        <v>Servicios financieros y servicios conexos; servicios inmobiliarios; y servicios de alquiler y arrendamiento</v>
      </c>
      <c r="E161" s="17">
        <v>7</v>
      </c>
      <c r="F161" s="17" t="s">
        <v>1253</v>
      </c>
      <c r="G161">
        <v>3</v>
      </c>
      <c r="H161" t="s">
        <v>67</v>
      </c>
      <c r="I161">
        <v>2</v>
      </c>
      <c r="J161" t="s">
        <v>970</v>
      </c>
    </row>
    <row r="162" spans="1:10">
      <c r="A162" s="9">
        <v>161</v>
      </c>
      <c r="B162" t="s">
        <v>336</v>
      </c>
      <c r="C162" s="14" t="str">
        <f t="shared" si="16"/>
        <v>7</v>
      </c>
      <c r="D162" s="17" t="str">
        <f t="shared" si="17"/>
        <v>Servicios financieros y servicios conexos; servicios inmobiliarios; y servicios de alquiler y arrendamiento</v>
      </c>
      <c r="E162" s="17">
        <v>7</v>
      </c>
      <c r="F162" s="17" t="s">
        <v>1253</v>
      </c>
      <c r="G162">
        <v>3</v>
      </c>
      <c r="H162" t="s">
        <v>67</v>
      </c>
      <c r="I162">
        <v>2</v>
      </c>
      <c r="J162" t="s">
        <v>970</v>
      </c>
    </row>
    <row r="163" spans="1:10">
      <c r="A163" s="9">
        <v>162</v>
      </c>
      <c r="B163" t="s">
        <v>338</v>
      </c>
      <c r="C163" s="14" t="str">
        <f t="shared" si="16"/>
        <v>7</v>
      </c>
      <c r="D163" s="17" t="str">
        <f t="shared" si="17"/>
        <v>Servicios financieros y servicios conexos; servicios inmobiliarios; y servicios de alquiler y arrendamiento</v>
      </c>
      <c r="E163" s="17">
        <v>7</v>
      </c>
      <c r="F163" s="17" t="s">
        <v>1253</v>
      </c>
      <c r="G163">
        <v>3</v>
      </c>
      <c r="H163" t="s">
        <v>67</v>
      </c>
      <c r="I163">
        <v>2</v>
      </c>
      <c r="J163" t="s">
        <v>970</v>
      </c>
    </row>
    <row r="164" spans="1:10">
      <c r="A164" s="9">
        <v>163</v>
      </c>
      <c r="B164" t="s">
        <v>340</v>
      </c>
      <c r="C164" s="14" t="str">
        <f t="shared" si="16"/>
        <v>7</v>
      </c>
      <c r="D164" s="17" t="str">
        <f t="shared" si="17"/>
        <v>Servicios financieros y servicios conexos; servicios inmobiliarios; y servicios de alquiler y arrendamiento</v>
      </c>
      <c r="E164" s="17">
        <v>7</v>
      </c>
      <c r="F164" s="17" t="s">
        <v>1253</v>
      </c>
      <c r="G164">
        <v>3</v>
      </c>
      <c r="H164" t="s">
        <v>67</v>
      </c>
      <c r="I164">
        <v>2</v>
      </c>
      <c r="J164" t="s">
        <v>970</v>
      </c>
    </row>
    <row r="165" spans="1:10">
      <c r="A165" s="9">
        <v>164</v>
      </c>
      <c r="B165" t="s">
        <v>342</v>
      </c>
      <c r="C165" s="14" t="str">
        <f>"8"</f>
        <v>8</v>
      </c>
      <c r="D165" s="17" t="str">
        <f>"Servicios prestados a las empresas y servicios de producción"</f>
        <v>Servicios prestados a las empresas y servicios de producción</v>
      </c>
      <c r="E165" s="17">
        <v>7</v>
      </c>
      <c r="F165" s="17" t="s">
        <v>1253</v>
      </c>
      <c r="G165">
        <v>3</v>
      </c>
      <c r="H165" t="s">
        <v>67</v>
      </c>
      <c r="I165">
        <v>2</v>
      </c>
      <c r="J165" t="s">
        <v>970</v>
      </c>
    </row>
    <row r="166" spans="1:10">
      <c r="A166" s="9">
        <v>165</v>
      </c>
      <c r="B166" t="s">
        <v>344</v>
      </c>
      <c r="C166" s="14" t="str">
        <f t="shared" ref="C166:C171" si="18">"8"</f>
        <v>8</v>
      </c>
      <c r="D166" s="17" t="str">
        <f t="shared" ref="D166:D171" si="19">"Servicios prestados a las empresas y servicios de producción"</f>
        <v>Servicios prestados a las empresas y servicios de producción</v>
      </c>
      <c r="E166" s="17">
        <v>7</v>
      </c>
      <c r="F166" s="17" t="s">
        <v>1253</v>
      </c>
      <c r="G166">
        <v>3</v>
      </c>
      <c r="H166" t="s">
        <v>67</v>
      </c>
      <c r="I166">
        <v>1</v>
      </c>
      <c r="J166" s="14" t="s">
        <v>1065</v>
      </c>
    </row>
    <row r="167" spans="1:10">
      <c r="A167" s="9">
        <v>166</v>
      </c>
      <c r="B167" t="s">
        <v>346</v>
      </c>
      <c r="C167" s="14" t="str">
        <f t="shared" si="18"/>
        <v>8</v>
      </c>
      <c r="D167" s="17" t="str">
        <f t="shared" si="19"/>
        <v>Servicios prestados a las empresas y servicios de producción</v>
      </c>
      <c r="E167" s="17">
        <v>7</v>
      </c>
      <c r="F167" s="17" t="s">
        <v>1253</v>
      </c>
      <c r="G167">
        <v>3</v>
      </c>
      <c r="H167" t="s">
        <v>67</v>
      </c>
      <c r="I167">
        <v>1</v>
      </c>
      <c r="J167" s="14" t="s">
        <v>1065</v>
      </c>
    </row>
    <row r="168" spans="1:10">
      <c r="A168" s="9">
        <v>167</v>
      </c>
      <c r="B168" t="s">
        <v>348</v>
      </c>
      <c r="C168" s="14" t="str">
        <f t="shared" si="18"/>
        <v>8</v>
      </c>
      <c r="D168" s="17" t="str">
        <f t="shared" si="19"/>
        <v>Servicios prestados a las empresas y servicios de producción</v>
      </c>
      <c r="E168" s="17">
        <v>7</v>
      </c>
      <c r="F168" s="17" t="s">
        <v>1253</v>
      </c>
      <c r="G168">
        <v>2</v>
      </c>
      <c r="H168" t="s">
        <v>142</v>
      </c>
      <c r="I168">
        <v>1</v>
      </c>
      <c r="J168" s="14" t="s">
        <v>1065</v>
      </c>
    </row>
    <row r="169" spans="1:10">
      <c r="A169" s="9">
        <v>168</v>
      </c>
      <c r="B169" t="s">
        <v>350</v>
      </c>
      <c r="C169" s="14" t="str">
        <f t="shared" si="18"/>
        <v>8</v>
      </c>
      <c r="D169" s="17" t="str">
        <f t="shared" si="19"/>
        <v>Servicios prestados a las empresas y servicios de producción</v>
      </c>
      <c r="E169" s="17">
        <v>7</v>
      </c>
      <c r="F169" s="17" t="s">
        <v>1253</v>
      </c>
      <c r="G169">
        <v>3</v>
      </c>
      <c r="H169" t="s">
        <v>67</v>
      </c>
      <c r="I169">
        <v>1</v>
      </c>
      <c r="J169" s="14" t="s">
        <v>1065</v>
      </c>
    </row>
    <row r="170" spans="1:10">
      <c r="A170" s="9">
        <v>169</v>
      </c>
      <c r="B170" t="s">
        <v>352</v>
      </c>
      <c r="C170" s="14" t="str">
        <f t="shared" si="18"/>
        <v>8</v>
      </c>
      <c r="D170" s="17" t="str">
        <f t="shared" si="19"/>
        <v>Servicios prestados a las empresas y servicios de producción</v>
      </c>
      <c r="E170" s="17">
        <v>7</v>
      </c>
      <c r="F170" s="17" t="s">
        <v>1253</v>
      </c>
      <c r="G170">
        <v>3</v>
      </c>
      <c r="H170" t="s">
        <v>67</v>
      </c>
      <c r="I170">
        <v>1</v>
      </c>
      <c r="J170" s="14" t="s">
        <v>1065</v>
      </c>
    </row>
    <row r="171" spans="1:10">
      <c r="A171" s="9">
        <v>170</v>
      </c>
      <c r="B171" t="s">
        <v>354</v>
      </c>
      <c r="C171" s="14" t="str">
        <f t="shared" si="18"/>
        <v>8</v>
      </c>
      <c r="D171" s="17" t="str">
        <f t="shared" si="19"/>
        <v>Servicios prestados a las empresas y servicios de producción</v>
      </c>
      <c r="E171" s="17">
        <v>7</v>
      </c>
      <c r="F171" s="17" t="s">
        <v>1253</v>
      </c>
      <c r="G171">
        <v>3</v>
      </c>
      <c r="H171" t="s">
        <v>67</v>
      </c>
      <c r="I171">
        <v>2</v>
      </c>
      <c r="J171" t="s">
        <v>970</v>
      </c>
    </row>
    <row r="172" spans="1:10">
      <c r="A172" s="9">
        <v>171</v>
      </c>
      <c r="B172" t="s">
        <v>356</v>
      </c>
      <c r="C172" s="14" t="str">
        <f>"9"</f>
        <v>9</v>
      </c>
      <c r="D172" s="17" t="str">
        <f>"Servicios para la comunidad, sociales y personales"</f>
        <v>Servicios para la comunidad, sociales y personales</v>
      </c>
      <c r="E172" s="17">
        <v>7</v>
      </c>
      <c r="F172" s="17" t="s">
        <v>1253</v>
      </c>
      <c r="G172">
        <v>3</v>
      </c>
      <c r="H172" t="s">
        <v>67</v>
      </c>
      <c r="I172">
        <v>2</v>
      </c>
      <c r="J172" t="s">
        <v>970</v>
      </c>
    </row>
    <row r="173" spans="1:10">
      <c r="A173" s="9">
        <v>172</v>
      </c>
      <c r="B173" t="s">
        <v>358</v>
      </c>
      <c r="C173" s="14" t="str">
        <f t="shared" ref="C173:C182" si="20">"9"</f>
        <v>9</v>
      </c>
      <c r="D173" s="17" t="str">
        <f t="shared" ref="D173:D182" si="21">"Servicios para la comunidad, sociales y personales"</f>
        <v>Servicios para la comunidad, sociales y personales</v>
      </c>
      <c r="E173" s="17">
        <v>7</v>
      </c>
      <c r="F173" s="17" t="s">
        <v>1253</v>
      </c>
      <c r="G173">
        <v>3</v>
      </c>
      <c r="H173" t="s">
        <v>67</v>
      </c>
      <c r="I173">
        <v>2</v>
      </c>
      <c r="J173" t="s">
        <v>970</v>
      </c>
    </row>
    <row r="174" spans="1:10">
      <c r="A174" s="9">
        <v>173</v>
      </c>
      <c r="B174" t="s">
        <v>360</v>
      </c>
      <c r="C174" s="14" t="str">
        <f t="shared" si="20"/>
        <v>9</v>
      </c>
      <c r="D174" s="17" t="str">
        <f t="shared" si="21"/>
        <v>Servicios para la comunidad, sociales y personales</v>
      </c>
      <c r="E174" s="17">
        <v>7</v>
      </c>
      <c r="F174" s="17" t="s">
        <v>1253</v>
      </c>
      <c r="G174">
        <v>3</v>
      </c>
      <c r="H174" t="s">
        <v>67</v>
      </c>
      <c r="I174">
        <v>1</v>
      </c>
      <c r="J174" s="14" t="s">
        <v>1065</v>
      </c>
    </row>
    <row r="175" spans="1:10">
      <c r="A175" s="9">
        <v>174</v>
      </c>
      <c r="B175" t="s">
        <v>362</v>
      </c>
      <c r="C175" s="14" t="str">
        <f t="shared" si="20"/>
        <v>9</v>
      </c>
      <c r="D175" s="17" t="str">
        <f t="shared" si="21"/>
        <v>Servicios para la comunidad, sociales y personales</v>
      </c>
      <c r="E175" s="17">
        <v>7</v>
      </c>
      <c r="F175" s="17" t="s">
        <v>1253</v>
      </c>
      <c r="G175">
        <v>3</v>
      </c>
      <c r="H175" t="s">
        <v>67</v>
      </c>
      <c r="I175">
        <v>2</v>
      </c>
      <c r="J175" t="s">
        <v>970</v>
      </c>
    </row>
    <row r="176" spans="1:10">
      <c r="A176" s="9">
        <v>175</v>
      </c>
      <c r="B176" t="s">
        <v>364</v>
      </c>
      <c r="C176" s="14" t="str">
        <f t="shared" si="20"/>
        <v>9</v>
      </c>
      <c r="D176" s="17" t="str">
        <f t="shared" si="21"/>
        <v>Servicios para la comunidad, sociales y personales</v>
      </c>
      <c r="E176" s="17">
        <v>7</v>
      </c>
      <c r="F176" s="17" t="s">
        <v>1253</v>
      </c>
      <c r="G176">
        <v>3</v>
      </c>
      <c r="H176" t="s">
        <v>67</v>
      </c>
      <c r="I176">
        <v>2</v>
      </c>
      <c r="J176" t="s">
        <v>970</v>
      </c>
    </row>
    <row r="177" spans="1:10">
      <c r="A177" s="9">
        <v>176</v>
      </c>
      <c r="B177" t="s">
        <v>366</v>
      </c>
      <c r="C177" s="14" t="str">
        <f t="shared" si="20"/>
        <v>9</v>
      </c>
      <c r="D177" s="17" t="str">
        <f t="shared" si="21"/>
        <v>Servicios para la comunidad, sociales y personales</v>
      </c>
      <c r="E177" s="17">
        <v>7</v>
      </c>
      <c r="F177" s="17" t="s">
        <v>1253</v>
      </c>
      <c r="G177">
        <v>3</v>
      </c>
      <c r="H177" t="s">
        <v>67</v>
      </c>
      <c r="I177">
        <v>1</v>
      </c>
      <c r="J177" s="14" t="s">
        <v>1065</v>
      </c>
    </row>
    <row r="178" spans="1:10">
      <c r="A178" s="9">
        <v>177</v>
      </c>
      <c r="B178" t="s">
        <v>368</v>
      </c>
      <c r="C178" s="14" t="str">
        <f t="shared" si="20"/>
        <v>9</v>
      </c>
      <c r="D178" s="17" t="str">
        <f t="shared" si="21"/>
        <v>Servicios para la comunidad, sociales y personales</v>
      </c>
      <c r="E178" s="17">
        <v>7</v>
      </c>
      <c r="F178" s="17" t="s">
        <v>1253</v>
      </c>
      <c r="G178">
        <v>3</v>
      </c>
      <c r="H178" t="s">
        <v>67</v>
      </c>
      <c r="I178">
        <v>1</v>
      </c>
      <c r="J178" s="14" t="s">
        <v>1065</v>
      </c>
    </row>
    <row r="179" spans="1:10">
      <c r="A179" s="9">
        <v>178</v>
      </c>
      <c r="B179" t="s">
        <v>370</v>
      </c>
      <c r="C179" s="14" t="str">
        <f t="shared" si="20"/>
        <v>9</v>
      </c>
      <c r="D179" s="17" t="str">
        <f t="shared" si="21"/>
        <v>Servicios para la comunidad, sociales y personales</v>
      </c>
      <c r="E179" s="17">
        <v>7</v>
      </c>
      <c r="F179" s="17" t="s">
        <v>1253</v>
      </c>
      <c r="G179">
        <v>3</v>
      </c>
      <c r="H179" t="s">
        <v>67</v>
      </c>
      <c r="I179">
        <v>2</v>
      </c>
      <c r="J179" t="s">
        <v>970</v>
      </c>
    </row>
    <row r="180" spans="1:10">
      <c r="A180" s="9">
        <v>179</v>
      </c>
      <c r="B180" t="s">
        <v>372</v>
      </c>
      <c r="C180" s="14" t="str">
        <f t="shared" si="20"/>
        <v>9</v>
      </c>
      <c r="D180" s="17" t="str">
        <f t="shared" si="21"/>
        <v>Servicios para la comunidad, sociales y personales</v>
      </c>
      <c r="E180" s="17">
        <v>7</v>
      </c>
      <c r="F180" s="17" t="s">
        <v>1253</v>
      </c>
      <c r="G180">
        <v>3</v>
      </c>
      <c r="H180" t="s">
        <v>67</v>
      </c>
      <c r="I180">
        <v>2</v>
      </c>
      <c r="J180" t="s">
        <v>970</v>
      </c>
    </row>
    <row r="181" spans="1:10">
      <c r="A181" s="9">
        <v>180</v>
      </c>
      <c r="B181" t="s">
        <v>374</v>
      </c>
      <c r="C181" s="14" t="str">
        <f t="shared" si="20"/>
        <v>9</v>
      </c>
      <c r="D181" s="17" t="str">
        <f t="shared" si="21"/>
        <v>Servicios para la comunidad, sociales y personales</v>
      </c>
      <c r="E181" s="17">
        <v>7</v>
      </c>
      <c r="F181" s="17" t="s">
        <v>1253</v>
      </c>
      <c r="G181">
        <v>3</v>
      </c>
      <c r="H181" t="s">
        <v>67</v>
      </c>
      <c r="I181">
        <v>2</v>
      </c>
      <c r="J181" t="s">
        <v>970</v>
      </c>
    </row>
    <row r="182" spans="1:10">
      <c r="A182" s="9">
        <v>181</v>
      </c>
      <c r="B182" t="s">
        <v>376</v>
      </c>
      <c r="C182" s="14" t="str">
        <f t="shared" si="20"/>
        <v>9</v>
      </c>
      <c r="D182" s="17" t="str">
        <f t="shared" si="21"/>
        <v>Servicios para la comunidad, sociales y personales</v>
      </c>
      <c r="E182" s="17">
        <v>7</v>
      </c>
      <c r="F182" s="17" t="s">
        <v>1253</v>
      </c>
      <c r="G182">
        <v>3</v>
      </c>
      <c r="H182" t="s">
        <v>67</v>
      </c>
      <c r="I182">
        <v>2</v>
      </c>
      <c r="J182" t="s">
        <v>970</v>
      </c>
    </row>
    <row r="183" spans="1:10">
      <c r="I183" s="13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&amp;C&amp;"Arial,Regular"&amp;A</oddHeader>
    <oddFooter>&amp;C&amp;"Arial,Regular"Page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84E3A-7180-4080-AFDC-3695276BEDCC}">
  <dimension ref="A1:L183"/>
  <sheetViews>
    <sheetView zoomScale="95" zoomScaleNormal="95" workbookViewId="0"/>
  </sheetViews>
  <sheetFormatPr baseColWidth="10" defaultColWidth="12" defaultRowHeight="13.15"/>
  <cols>
    <col min="2" max="2" width="60.35546875" customWidth="1"/>
    <col min="3" max="3" width="12.92578125" customWidth="1"/>
    <col min="4" max="6" width="19.2109375" customWidth="1"/>
  </cols>
  <sheetData>
    <row r="1" spans="1:12">
      <c r="A1" t="s">
        <v>5</v>
      </c>
      <c r="B1" t="s">
        <v>6</v>
      </c>
      <c r="C1" s="14" t="s">
        <v>1742</v>
      </c>
      <c r="D1" s="14" t="s">
        <v>1743</v>
      </c>
      <c r="E1" s="14" t="s">
        <v>1744</v>
      </c>
      <c r="F1" s="14" t="s">
        <v>1745</v>
      </c>
      <c r="G1" t="s">
        <v>7</v>
      </c>
      <c r="H1" t="s">
        <v>8</v>
      </c>
      <c r="I1" t="s">
        <v>1541</v>
      </c>
      <c r="J1" t="s">
        <v>1542</v>
      </c>
    </row>
    <row r="2" spans="1:12">
      <c r="A2" s="9">
        <v>1</v>
      </c>
      <c r="B2" t="s">
        <v>13</v>
      </c>
      <c r="C2" s="14" t="str">
        <f>"0"</f>
        <v>0</v>
      </c>
      <c r="D2" s="17" t="str">
        <f>"Productos de la agricultura, la silvicultura y la pesca"</f>
        <v>Productos de la agricultura, la silvicultura y la pesca</v>
      </c>
      <c r="E2" s="17">
        <v>1</v>
      </c>
      <c r="F2" s="17" t="s">
        <v>1746</v>
      </c>
      <c r="G2">
        <v>1</v>
      </c>
      <c r="H2" t="s">
        <v>14</v>
      </c>
      <c r="L2" s="9"/>
    </row>
    <row r="3" spans="1:12">
      <c r="A3" s="9">
        <v>2</v>
      </c>
      <c r="B3" t="s">
        <v>16</v>
      </c>
      <c r="C3" s="14" t="str">
        <f>"0"</f>
        <v>0</v>
      </c>
      <c r="D3" s="17" t="str">
        <f>"Productos de la agricultura, la silvicultura y la pesca"</f>
        <v>Productos de la agricultura, la silvicultura y la pesca</v>
      </c>
      <c r="E3" s="17">
        <v>1</v>
      </c>
      <c r="F3" s="17" t="s">
        <v>1746</v>
      </c>
      <c r="G3">
        <v>1</v>
      </c>
      <c r="H3" t="s">
        <v>14</v>
      </c>
    </row>
    <row r="4" spans="1:12">
      <c r="A4" s="9">
        <v>3</v>
      </c>
      <c r="B4" t="s">
        <v>18</v>
      </c>
      <c r="C4" s="14" t="str">
        <f t="shared" ref="C4:C27" si="0">"0"</f>
        <v>0</v>
      </c>
      <c r="D4" s="17" t="str">
        <f t="shared" ref="D4:D27" si="1">"Productos de la agricultura, la silvicultura y la pesca"</f>
        <v>Productos de la agricultura, la silvicultura y la pesca</v>
      </c>
      <c r="E4" s="17">
        <v>1</v>
      </c>
      <c r="F4" s="17" t="s">
        <v>1746</v>
      </c>
      <c r="G4">
        <v>1</v>
      </c>
      <c r="H4" t="s">
        <v>14</v>
      </c>
    </row>
    <row r="5" spans="1:12">
      <c r="A5" s="9">
        <v>4</v>
      </c>
      <c r="B5" t="s">
        <v>20</v>
      </c>
      <c r="C5" s="14" t="str">
        <f t="shared" si="0"/>
        <v>0</v>
      </c>
      <c r="D5" s="17" t="str">
        <f t="shared" si="1"/>
        <v>Productos de la agricultura, la silvicultura y la pesca</v>
      </c>
      <c r="E5" s="17">
        <v>1</v>
      </c>
      <c r="F5" s="17" t="s">
        <v>1746</v>
      </c>
      <c r="G5">
        <v>1</v>
      </c>
      <c r="H5" t="s">
        <v>14</v>
      </c>
    </row>
    <row r="6" spans="1:12">
      <c r="A6" s="9">
        <v>5</v>
      </c>
      <c r="B6" t="s">
        <v>22</v>
      </c>
      <c r="C6" s="14" t="str">
        <f t="shared" si="0"/>
        <v>0</v>
      </c>
      <c r="D6" s="17" t="str">
        <f t="shared" si="1"/>
        <v>Productos de la agricultura, la silvicultura y la pesca</v>
      </c>
      <c r="E6" s="17">
        <v>1</v>
      </c>
      <c r="F6" s="17" t="s">
        <v>1746</v>
      </c>
      <c r="G6">
        <v>1</v>
      </c>
      <c r="H6" t="s">
        <v>14</v>
      </c>
    </row>
    <row r="7" spans="1:12">
      <c r="A7" s="9">
        <v>6</v>
      </c>
      <c r="B7" t="s">
        <v>24</v>
      </c>
      <c r="C7" s="14" t="str">
        <f t="shared" si="0"/>
        <v>0</v>
      </c>
      <c r="D7" s="17" t="str">
        <f t="shared" si="1"/>
        <v>Productos de la agricultura, la silvicultura y la pesca</v>
      </c>
      <c r="E7" s="17">
        <v>1</v>
      </c>
      <c r="F7" s="17" t="s">
        <v>1746</v>
      </c>
      <c r="G7">
        <v>1</v>
      </c>
      <c r="H7" t="s">
        <v>14</v>
      </c>
    </row>
    <row r="8" spans="1:12">
      <c r="A8" s="9">
        <v>7</v>
      </c>
      <c r="B8" t="s">
        <v>26</v>
      </c>
      <c r="C8" s="14" t="str">
        <f t="shared" si="0"/>
        <v>0</v>
      </c>
      <c r="D8" s="17" t="str">
        <f t="shared" si="1"/>
        <v>Productos de la agricultura, la silvicultura y la pesca</v>
      </c>
      <c r="E8" s="17">
        <v>1</v>
      </c>
      <c r="F8" s="17" t="s">
        <v>1746</v>
      </c>
      <c r="G8">
        <v>1</v>
      </c>
      <c r="H8" t="s">
        <v>14</v>
      </c>
    </row>
    <row r="9" spans="1:12">
      <c r="A9" s="9">
        <v>8</v>
      </c>
      <c r="B9" t="s">
        <v>28</v>
      </c>
      <c r="C9" s="14" t="str">
        <f t="shared" si="0"/>
        <v>0</v>
      </c>
      <c r="D9" s="17" t="str">
        <f t="shared" si="1"/>
        <v>Productos de la agricultura, la silvicultura y la pesca</v>
      </c>
      <c r="E9" s="17">
        <v>1</v>
      </c>
      <c r="F9" s="17" t="s">
        <v>1746</v>
      </c>
      <c r="G9">
        <v>1</v>
      </c>
      <c r="H9" t="s">
        <v>14</v>
      </c>
    </row>
    <row r="10" spans="1:12">
      <c r="A10" s="9">
        <v>9</v>
      </c>
      <c r="B10" t="s">
        <v>30</v>
      </c>
      <c r="C10" s="14" t="str">
        <f t="shared" si="0"/>
        <v>0</v>
      </c>
      <c r="D10" s="17" t="str">
        <f t="shared" si="1"/>
        <v>Productos de la agricultura, la silvicultura y la pesca</v>
      </c>
      <c r="E10" s="17">
        <v>1</v>
      </c>
      <c r="F10" s="17" t="s">
        <v>1746</v>
      </c>
      <c r="G10">
        <v>1</v>
      </c>
      <c r="H10" t="s">
        <v>14</v>
      </c>
    </row>
    <row r="11" spans="1:12">
      <c r="A11" s="9">
        <v>10</v>
      </c>
      <c r="B11" t="s">
        <v>32</v>
      </c>
      <c r="C11" s="14" t="str">
        <f t="shared" si="0"/>
        <v>0</v>
      </c>
      <c r="D11" s="17" t="str">
        <f t="shared" si="1"/>
        <v>Productos de la agricultura, la silvicultura y la pesca</v>
      </c>
      <c r="E11" s="17">
        <v>1</v>
      </c>
      <c r="F11" s="17" t="s">
        <v>1746</v>
      </c>
      <c r="G11">
        <v>1</v>
      </c>
      <c r="H11" t="s">
        <v>14</v>
      </c>
    </row>
    <row r="12" spans="1:12">
      <c r="A12" s="9">
        <v>11</v>
      </c>
      <c r="B12" t="s">
        <v>34</v>
      </c>
      <c r="C12" s="14" t="str">
        <f t="shared" si="0"/>
        <v>0</v>
      </c>
      <c r="D12" s="17" t="str">
        <f t="shared" si="1"/>
        <v>Productos de la agricultura, la silvicultura y la pesca</v>
      </c>
      <c r="E12" s="17">
        <v>1</v>
      </c>
      <c r="F12" s="17" t="s">
        <v>1746</v>
      </c>
      <c r="G12">
        <v>1</v>
      </c>
      <c r="H12" t="s">
        <v>14</v>
      </c>
    </row>
    <row r="13" spans="1:12">
      <c r="A13" s="9">
        <v>12</v>
      </c>
      <c r="B13" t="s">
        <v>36</v>
      </c>
      <c r="C13" s="14" t="str">
        <f t="shared" si="0"/>
        <v>0</v>
      </c>
      <c r="D13" s="17" t="str">
        <f t="shared" si="1"/>
        <v>Productos de la agricultura, la silvicultura y la pesca</v>
      </c>
      <c r="E13" s="17">
        <v>1</v>
      </c>
      <c r="F13" s="17" t="s">
        <v>1746</v>
      </c>
      <c r="G13">
        <v>1</v>
      </c>
      <c r="H13" t="s">
        <v>14</v>
      </c>
    </row>
    <row r="14" spans="1:12">
      <c r="A14" s="9">
        <v>13</v>
      </c>
      <c r="B14" t="s">
        <v>38</v>
      </c>
      <c r="C14" s="14" t="str">
        <f t="shared" si="0"/>
        <v>0</v>
      </c>
      <c r="D14" s="17" t="str">
        <f t="shared" si="1"/>
        <v>Productos de la agricultura, la silvicultura y la pesca</v>
      </c>
      <c r="E14" s="17">
        <v>1</v>
      </c>
      <c r="F14" s="17" t="s">
        <v>1746</v>
      </c>
      <c r="G14">
        <v>1</v>
      </c>
      <c r="H14" t="s">
        <v>14</v>
      </c>
    </row>
    <row r="15" spans="1:12">
      <c r="A15" s="9">
        <v>14</v>
      </c>
      <c r="B15" t="s">
        <v>40</v>
      </c>
      <c r="C15" s="14" t="str">
        <f t="shared" si="0"/>
        <v>0</v>
      </c>
      <c r="D15" s="17" t="str">
        <f t="shared" si="1"/>
        <v>Productos de la agricultura, la silvicultura y la pesca</v>
      </c>
      <c r="E15" s="17">
        <v>1</v>
      </c>
      <c r="F15" s="17" t="s">
        <v>1746</v>
      </c>
      <c r="G15">
        <v>1</v>
      </c>
      <c r="H15" t="s">
        <v>14</v>
      </c>
    </row>
    <row r="16" spans="1:12">
      <c r="A16" s="9">
        <v>15</v>
      </c>
      <c r="B16" t="s">
        <v>42</v>
      </c>
      <c r="C16" s="14" t="str">
        <f t="shared" si="0"/>
        <v>0</v>
      </c>
      <c r="D16" s="17" t="str">
        <f t="shared" si="1"/>
        <v>Productos de la agricultura, la silvicultura y la pesca</v>
      </c>
      <c r="E16" s="17">
        <v>1</v>
      </c>
      <c r="F16" s="17" t="s">
        <v>1746</v>
      </c>
      <c r="G16">
        <v>1</v>
      </c>
      <c r="H16" t="s">
        <v>14</v>
      </c>
    </row>
    <row r="17" spans="1:8">
      <c r="A17" s="9">
        <v>16</v>
      </c>
      <c r="B17" t="s">
        <v>44</v>
      </c>
      <c r="C17" s="14" t="str">
        <f t="shared" si="0"/>
        <v>0</v>
      </c>
      <c r="D17" s="17" t="str">
        <f t="shared" si="1"/>
        <v>Productos de la agricultura, la silvicultura y la pesca</v>
      </c>
      <c r="E17" s="17">
        <v>1</v>
      </c>
      <c r="F17" s="17" t="s">
        <v>1746</v>
      </c>
      <c r="G17">
        <v>1</v>
      </c>
      <c r="H17" t="s">
        <v>14</v>
      </c>
    </row>
    <row r="18" spans="1:8">
      <c r="A18" s="9">
        <v>17</v>
      </c>
      <c r="B18" t="s">
        <v>46</v>
      </c>
      <c r="C18" s="14" t="str">
        <f t="shared" si="0"/>
        <v>0</v>
      </c>
      <c r="D18" s="17" t="str">
        <f t="shared" si="1"/>
        <v>Productos de la agricultura, la silvicultura y la pesca</v>
      </c>
      <c r="E18" s="17">
        <v>1</v>
      </c>
      <c r="F18" s="17" t="s">
        <v>1746</v>
      </c>
      <c r="G18">
        <v>1</v>
      </c>
      <c r="H18" t="s">
        <v>14</v>
      </c>
    </row>
    <row r="19" spans="1:8">
      <c r="A19" s="9">
        <v>18</v>
      </c>
      <c r="B19" t="s">
        <v>48</v>
      </c>
      <c r="C19" s="14" t="str">
        <f t="shared" si="0"/>
        <v>0</v>
      </c>
      <c r="D19" s="17" t="str">
        <f t="shared" si="1"/>
        <v>Productos de la agricultura, la silvicultura y la pesca</v>
      </c>
      <c r="E19" s="17">
        <v>1</v>
      </c>
      <c r="F19" s="17" t="s">
        <v>1746</v>
      </c>
      <c r="G19">
        <v>1</v>
      </c>
      <c r="H19" t="s">
        <v>14</v>
      </c>
    </row>
    <row r="20" spans="1:8">
      <c r="A20" s="9">
        <v>19</v>
      </c>
      <c r="B20" t="s">
        <v>50</v>
      </c>
      <c r="C20" s="14" t="str">
        <f t="shared" si="0"/>
        <v>0</v>
      </c>
      <c r="D20" s="17" t="str">
        <f t="shared" si="1"/>
        <v>Productos de la agricultura, la silvicultura y la pesca</v>
      </c>
      <c r="E20" s="17">
        <v>1</v>
      </c>
      <c r="F20" s="17" t="s">
        <v>1746</v>
      </c>
      <c r="G20">
        <v>1</v>
      </c>
      <c r="H20" t="s">
        <v>14</v>
      </c>
    </row>
    <row r="21" spans="1:8">
      <c r="A21" s="9">
        <v>20</v>
      </c>
      <c r="B21" t="s">
        <v>52</v>
      </c>
      <c r="C21" s="14" t="str">
        <f t="shared" si="0"/>
        <v>0</v>
      </c>
      <c r="D21" s="17" t="str">
        <f t="shared" si="1"/>
        <v>Productos de la agricultura, la silvicultura y la pesca</v>
      </c>
      <c r="E21" s="17">
        <v>1</v>
      </c>
      <c r="F21" s="17" t="s">
        <v>1746</v>
      </c>
      <c r="G21">
        <v>1</v>
      </c>
      <c r="H21" t="s">
        <v>14</v>
      </c>
    </row>
    <row r="22" spans="1:8">
      <c r="A22" s="9">
        <v>21</v>
      </c>
      <c r="B22" t="s">
        <v>54</v>
      </c>
      <c r="C22" s="14" t="str">
        <f t="shared" si="0"/>
        <v>0</v>
      </c>
      <c r="D22" s="17" t="str">
        <f t="shared" si="1"/>
        <v>Productos de la agricultura, la silvicultura y la pesca</v>
      </c>
      <c r="E22" s="17">
        <v>1</v>
      </c>
      <c r="F22" s="17" t="s">
        <v>1746</v>
      </c>
      <c r="G22">
        <v>1</v>
      </c>
      <c r="H22" t="s">
        <v>14</v>
      </c>
    </row>
    <row r="23" spans="1:8">
      <c r="A23" s="9">
        <v>22</v>
      </c>
      <c r="B23" t="s">
        <v>56</v>
      </c>
      <c r="C23" s="14" t="str">
        <f t="shared" si="0"/>
        <v>0</v>
      </c>
      <c r="D23" s="17" t="str">
        <f t="shared" si="1"/>
        <v>Productos de la agricultura, la silvicultura y la pesca</v>
      </c>
      <c r="E23" s="17">
        <v>1</v>
      </c>
      <c r="F23" s="17" t="s">
        <v>1746</v>
      </c>
      <c r="G23">
        <v>1</v>
      </c>
      <c r="H23" t="s">
        <v>14</v>
      </c>
    </row>
    <row r="24" spans="1:8">
      <c r="A24" s="9">
        <v>23</v>
      </c>
      <c r="B24" t="s">
        <v>58</v>
      </c>
      <c r="C24" s="14" t="str">
        <f t="shared" si="0"/>
        <v>0</v>
      </c>
      <c r="D24" s="17" t="str">
        <f t="shared" si="1"/>
        <v>Productos de la agricultura, la silvicultura y la pesca</v>
      </c>
      <c r="E24" s="17">
        <v>1</v>
      </c>
      <c r="F24" s="17" t="s">
        <v>1746</v>
      </c>
      <c r="G24">
        <v>1</v>
      </c>
      <c r="H24" t="s">
        <v>14</v>
      </c>
    </row>
    <row r="25" spans="1:8">
      <c r="A25" s="9">
        <v>24</v>
      </c>
      <c r="B25" t="s">
        <v>60</v>
      </c>
      <c r="C25" s="14" t="str">
        <f t="shared" si="0"/>
        <v>0</v>
      </c>
      <c r="D25" s="17" t="str">
        <f t="shared" si="1"/>
        <v>Productos de la agricultura, la silvicultura y la pesca</v>
      </c>
      <c r="E25" s="17">
        <v>1</v>
      </c>
      <c r="F25" s="17" t="s">
        <v>1746</v>
      </c>
      <c r="G25">
        <v>1</v>
      </c>
      <c r="H25" t="s">
        <v>14</v>
      </c>
    </row>
    <row r="26" spans="1:8">
      <c r="A26" s="9">
        <v>25</v>
      </c>
      <c r="B26" t="s">
        <v>62</v>
      </c>
      <c r="C26" s="14" t="str">
        <f t="shared" si="0"/>
        <v>0</v>
      </c>
      <c r="D26" s="17" t="str">
        <f t="shared" si="1"/>
        <v>Productos de la agricultura, la silvicultura y la pesca</v>
      </c>
      <c r="E26" s="17">
        <v>1</v>
      </c>
      <c r="F26" s="17" t="s">
        <v>1746</v>
      </c>
      <c r="G26">
        <v>1</v>
      </c>
      <c r="H26" t="s">
        <v>14</v>
      </c>
    </row>
    <row r="27" spans="1:8">
      <c r="A27" s="9">
        <v>26</v>
      </c>
      <c r="B27" t="s">
        <v>64</v>
      </c>
      <c r="C27" s="14" t="str">
        <f t="shared" si="0"/>
        <v>0</v>
      </c>
      <c r="D27" s="17" t="str">
        <f t="shared" si="1"/>
        <v>Productos de la agricultura, la silvicultura y la pesca</v>
      </c>
      <c r="E27" s="17">
        <v>1</v>
      </c>
      <c r="F27" s="17" t="s">
        <v>1746</v>
      </c>
      <c r="G27">
        <v>1</v>
      </c>
      <c r="H27" t="s">
        <v>14</v>
      </c>
    </row>
    <row r="28" spans="1:8">
      <c r="A28" s="9">
        <v>27</v>
      </c>
      <c r="B28" t="s">
        <v>66</v>
      </c>
      <c r="C28" s="14" t="str">
        <f>"1"</f>
        <v>1</v>
      </c>
      <c r="D28" s="17" t="str">
        <f>"Minerales; electricidad, gas y agua"</f>
        <v>Minerales; electricidad, gas y agua</v>
      </c>
      <c r="E28" s="17">
        <v>2</v>
      </c>
      <c r="F28" s="17" t="s">
        <v>997</v>
      </c>
      <c r="G28">
        <v>3</v>
      </c>
      <c r="H28" t="s">
        <v>67</v>
      </c>
    </row>
    <row r="29" spans="1:8">
      <c r="A29" s="9">
        <v>28</v>
      </c>
      <c r="B29" t="s">
        <v>69</v>
      </c>
      <c r="C29" s="14" t="str">
        <f t="shared" ref="C29:C37" si="2">"1"</f>
        <v>1</v>
      </c>
      <c r="D29" s="17" t="str">
        <f t="shared" ref="D29:D37" si="3">"Minerales; electricidad, gas y agua"</f>
        <v>Minerales; electricidad, gas y agua</v>
      </c>
      <c r="E29" s="17">
        <v>2</v>
      </c>
      <c r="F29" s="17" t="s">
        <v>997</v>
      </c>
      <c r="G29">
        <v>3</v>
      </c>
      <c r="H29" t="s">
        <v>67</v>
      </c>
    </row>
    <row r="30" spans="1:8">
      <c r="A30" s="9">
        <v>29</v>
      </c>
      <c r="B30" t="s">
        <v>71</v>
      </c>
      <c r="C30" s="14" t="str">
        <f t="shared" si="2"/>
        <v>1</v>
      </c>
      <c r="D30" s="17" t="str">
        <f t="shared" si="3"/>
        <v>Minerales; electricidad, gas y agua</v>
      </c>
      <c r="E30" s="17">
        <v>2</v>
      </c>
      <c r="F30" s="17" t="s">
        <v>997</v>
      </c>
      <c r="G30">
        <v>3</v>
      </c>
      <c r="H30" t="s">
        <v>67</v>
      </c>
    </row>
    <row r="31" spans="1:8">
      <c r="A31" s="9">
        <v>30</v>
      </c>
      <c r="B31" t="s">
        <v>73</v>
      </c>
      <c r="C31" s="14" t="str">
        <f t="shared" si="2"/>
        <v>1</v>
      </c>
      <c r="D31" s="17" t="str">
        <f t="shared" si="3"/>
        <v>Minerales; electricidad, gas y agua</v>
      </c>
      <c r="E31" s="17">
        <v>2</v>
      </c>
      <c r="F31" s="17" t="s">
        <v>997</v>
      </c>
      <c r="G31">
        <v>3</v>
      </c>
      <c r="H31" t="s">
        <v>67</v>
      </c>
    </row>
    <row r="32" spans="1:8">
      <c r="A32" s="9">
        <v>31</v>
      </c>
      <c r="B32" t="s">
        <v>75</v>
      </c>
      <c r="C32" s="14" t="str">
        <f t="shared" si="2"/>
        <v>1</v>
      </c>
      <c r="D32" s="17" t="str">
        <f t="shared" si="3"/>
        <v>Minerales; electricidad, gas y agua</v>
      </c>
      <c r="E32" s="17">
        <v>2</v>
      </c>
      <c r="F32" s="17" t="s">
        <v>997</v>
      </c>
      <c r="G32">
        <v>3</v>
      </c>
      <c r="H32" t="s">
        <v>67</v>
      </c>
    </row>
    <row r="33" spans="1:8">
      <c r="A33" s="9">
        <v>32</v>
      </c>
      <c r="B33" t="s">
        <v>77</v>
      </c>
      <c r="C33" s="14" t="str">
        <f t="shared" si="2"/>
        <v>1</v>
      </c>
      <c r="D33" s="17" t="str">
        <f t="shared" si="3"/>
        <v>Minerales; electricidad, gas y agua</v>
      </c>
      <c r="E33" s="17">
        <v>2</v>
      </c>
      <c r="F33" s="17" t="s">
        <v>997</v>
      </c>
      <c r="G33">
        <v>3</v>
      </c>
      <c r="H33" t="s">
        <v>67</v>
      </c>
    </row>
    <row r="34" spans="1:8">
      <c r="A34" s="9">
        <v>33</v>
      </c>
      <c r="B34" t="s">
        <v>79</v>
      </c>
      <c r="C34" s="14" t="str">
        <f t="shared" si="2"/>
        <v>1</v>
      </c>
      <c r="D34" s="17" t="str">
        <f t="shared" si="3"/>
        <v>Minerales; electricidad, gas y agua</v>
      </c>
      <c r="E34" s="17">
        <v>2</v>
      </c>
      <c r="F34" s="17" t="s">
        <v>997</v>
      </c>
      <c r="G34">
        <v>3</v>
      </c>
      <c r="H34" t="s">
        <v>67</v>
      </c>
    </row>
    <row r="35" spans="1:8">
      <c r="A35" s="9">
        <v>34</v>
      </c>
      <c r="B35" t="s">
        <v>81</v>
      </c>
      <c r="C35" s="14" t="str">
        <f t="shared" si="2"/>
        <v>1</v>
      </c>
      <c r="D35" s="17" t="str">
        <f t="shared" si="3"/>
        <v>Minerales; electricidad, gas y agua</v>
      </c>
      <c r="E35" s="17">
        <v>2</v>
      </c>
      <c r="F35" s="17" t="s">
        <v>997</v>
      </c>
      <c r="G35">
        <v>3</v>
      </c>
      <c r="H35" t="s">
        <v>67</v>
      </c>
    </row>
    <row r="36" spans="1:8">
      <c r="A36" s="9">
        <v>35</v>
      </c>
      <c r="B36" t="s">
        <v>83</v>
      </c>
      <c r="C36" s="14" t="str">
        <f t="shared" si="2"/>
        <v>1</v>
      </c>
      <c r="D36" s="17" t="str">
        <f t="shared" si="3"/>
        <v>Minerales; electricidad, gas y agua</v>
      </c>
      <c r="E36" s="17">
        <v>2</v>
      </c>
      <c r="F36" s="17" t="s">
        <v>997</v>
      </c>
      <c r="G36">
        <v>3</v>
      </c>
      <c r="H36" t="s">
        <v>67</v>
      </c>
    </row>
    <row r="37" spans="1:8">
      <c r="A37" s="9">
        <v>36</v>
      </c>
      <c r="B37" t="s">
        <v>85</v>
      </c>
      <c r="C37" s="14" t="str">
        <f t="shared" si="2"/>
        <v>1</v>
      </c>
      <c r="D37" s="17" t="str">
        <f t="shared" si="3"/>
        <v>Minerales; electricidad, gas y agua</v>
      </c>
      <c r="E37" s="17">
        <v>2</v>
      </c>
      <c r="F37" s="17" t="s">
        <v>997</v>
      </c>
      <c r="G37">
        <v>3</v>
      </c>
      <c r="H37" t="s">
        <v>67</v>
      </c>
    </row>
    <row r="38" spans="1:8">
      <c r="A38" s="9">
        <v>37</v>
      </c>
      <c r="B38" t="s">
        <v>87</v>
      </c>
      <c r="C38" t="str">
        <f>"2"</f>
        <v>2</v>
      </c>
      <c r="D38" s="17" t="str">
        <f>"Productos alimenticios, bebidas y tabaco; textiles, prendas de vestir y productos de cuero"</f>
        <v>Productos alimenticios, bebidas y tabaco; textiles, prendas de vestir y productos de cuero</v>
      </c>
      <c r="E38" s="17">
        <v>3</v>
      </c>
      <c r="F38" s="17" t="s">
        <v>1013</v>
      </c>
      <c r="G38">
        <v>1</v>
      </c>
      <c r="H38" t="s">
        <v>14</v>
      </c>
    </row>
    <row r="39" spans="1:8">
      <c r="A39" s="9">
        <v>38</v>
      </c>
      <c r="B39" t="s">
        <v>89</v>
      </c>
      <c r="C39" t="str">
        <f t="shared" ref="C39:C68" si="4">"2"</f>
        <v>2</v>
      </c>
      <c r="D39" s="17" t="str">
        <f t="shared" ref="D39:D68" si="5">"Productos alimenticios, bebidas y tabaco; textiles, prendas de vestir y productos de cuero"</f>
        <v>Productos alimenticios, bebidas y tabaco; textiles, prendas de vestir y productos de cuero</v>
      </c>
      <c r="E39" s="17">
        <v>3</v>
      </c>
      <c r="F39" s="17" t="s">
        <v>1013</v>
      </c>
      <c r="G39">
        <v>1</v>
      </c>
      <c r="H39" t="s">
        <v>14</v>
      </c>
    </row>
    <row r="40" spans="1:8">
      <c r="A40" s="9">
        <v>39</v>
      </c>
      <c r="B40" t="s">
        <v>91</v>
      </c>
      <c r="C40" t="str">
        <f t="shared" si="4"/>
        <v>2</v>
      </c>
      <c r="D40" s="17" t="str">
        <f t="shared" si="5"/>
        <v>Productos alimenticios, bebidas y tabaco; textiles, prendas de vestir y productos de cuero</v>
      </c>
      <c r="E40" s="17">
        <v>3</v>
      </c>
      <c r="F40" s="17" t="s">
        <v>1013</v>
      </c>
      <c r="G40">
        <v>1</v>
      </c>
      <c r="H40" t="s">
        <v>14</v>
      </c>
    </row>
    <row r="41" spans="1:8">
      <c r="A41" s="9">
        <v>40</v>
      </c>
      <c r="B41" t="s">
        <v>93</v>
      </c>
      <c r="C41" t="str">
        <f t="shared" si="4"/>
        <v>2</v>
      </c>
      <c r="D41" s="17" t="str">
        <f t="shared" si="5"/>
        <v>Productos alimenticios, bebidas y tabaco; textiles, prendas de vestir y productos de cuero</v>
      </c>
      <c r="E41" s="17">
        <v>3</v>
      </c>
      <c r="F41" s="17" t="s">
        <v>1013</v>
      </c>
      <c r="G41">
        <v>1</v>
      </c>
      <c r="H41" t="s">
        <v>14</v>
      </c>
    </row>
    <row r="42" spans="1:8">
      <c r="A42" s="9">
        <v>41</v>
      </c>
      <c r="B42" t="s">
        <v>95</v>
      </c>
      <c r="C42" t="str">
        <f t="shared" si="4"/>
        <v>2</v>
      </c>
      <c r="D42" s="17" t="str">
        <f t="shared" si="5"/>
        <v>Productos alimenticios, bebidas y tabaco; textiles, prendas de vestir y productos de cuero</v>
      </c>
      <c r="E42" s="17">
        <v>3</v>
      </c>
      <c r="F42" s="17" t="s">
        <v>1013</v>
      </c>
      <c r="G42">
        <v>1</v>
      </c>
      <c r="H42" t="s">
        <v>14</v>
      </c>
    </row>
    <row r="43" spans="1:8">
      <c r="A43" s="9">
        <v>42</v>
      </c>
      <c r="B43" t="s">
        <v>97</v>
      </c>
      <c r="C43" t="str">
        <f t="shared" si="4"/>
        <v>2</v>
      </c>
      <c r="D43" s="17" t="str">
        <f t="shared" si="5"/>
        <v>Productos alimenticios, bebidas y tabaco; textiles, prendas de vestir y productos de cuero</v>
      </c>
      <c r="E43" s="17">
        <v>3</v>
      </c>
      <c r="F43" s="17" t="s">
        <v>1013</v>
      </c>
      <c r="G43">
        <v>1</v>
      </c>
      <c r="H43" t="s">
        <v>14</v>
      </c>
    </row>
    <row r="44" spans="1:8">
      <c r="A44" s="9">
        <v>43</v>
      </c>
      <c r="B44" t="s">
        <v>99</v>
      </c>
      <c r="C44" t="str">
        <f t="shared" si="4"/>
        <v>2</v>
      </c>
      <c r="D44" s="17" t="str">
        <f t="shared" si="5"/>
        <v>Productos alimenticios, bebidas y tabaco; textiles, prendas de vestir y productos de cuero</v>
      </c>
      <c r="E44" s="17">
        <v>3</v>
      </c>
      <c r="F44" s="17" t="s">
        <v>1013</v>
      </c>
      <c r="G44">
        <v>1</v>
      </c>
      <c r="H44" t="s">
        <v>14</v>
      </c>
    </row>
    <row r="45" spans="1:8">
      <c r="A45" s="9">
        <v>44</v>
      </c>
      <c r="B45" t="s">
        <v>101</v>
      </c>
      <c r="C45" t="str">
        <f t="shared" si="4"/>
        <v>2</v>
      </c>
      <c r="D45" s="17" t="str">
        <f t="shared" si="5"/>
        <v>Productos alimenticios, bebidas y tabaco; textiles, prendas de vestir y productos de cuero</v>
      </c>
      <c r="E45" s="17">
        <v>3</v>
      </c>
      <c r="F45" s="17" t="s">
        <v>1013</v>
      </c>
      <c r="G45">
        <v>1</v>
      </c>
      <c r="H45" t="s">
        <v>14</v>
      </c>
    </row>
    <row r="46" spans="1:8">
      <c r="A46" s="9">
        <v>45</v>
      </c>
      <c r="B46" t="s">
        <v>103</v>
      </c>
      <c r="C46" t="str">
        <f t="shared" si="4"/>
        <v>2</v>
      </c>
      <c r="D46" s="17" t="str">
        <f t="shared" si="5"/>
        <v>Productos alimenticios, bebidas y tabaco; textiles, prendas de vestir y productos de cuero</v>
      </c>
      <c r="E46" s="17">
        <v>3</v>
      </c>
      <c r="F46" s="17" t="s">
        <v>1013</v>
      </c>
      <c r="G46">
        <v>1</v>
      </c>
      <c r="H46" t="s">
        <v>14</v>
      </c>
    </row>
    <row r="47" spans="1:8">
      <c r="A47" s="9">
        <v>46</v>
      </c>
      <c r="B47" t="s">
        <v>105</v>
      </c>
      <c r="C47" t="str">
        <f t="shared" si="4"/>
        <v>2</v>
      </c>
      <c r="D47" s="17" t="str">
        <f t="shared" si="5"/>
        <v>Productos alimenticios, bebidas y tabaco; textiles, prendas de vestir y productos de cuero</v>
      </c>
      <c r="E47" s="17">
        <v>3</v>
      </c>
      <c r="F47" s="17" t="s">
        <v>1013</v>
      </c>
      <c r="G47">
        <v>1</v>
      </c>
      <c r="H47" t="s">
        <v>14</v>
      </c>
    </row>
    <row r="48" spans="1:8">
      <c r="A48" s="9">
        <v>47</v>
      </c>
      <c r="B48" t="s">
        <v>107</v>
      </c>
      <c r="C48" t="str">
        <f t="shared" si="4"/>
        <v>2</v>
      </c>
      <c r="D48" s="17" t="str">
        <f t="shared" si="5"/>
        <v>Productos alimenticios, bebidas y tabaco; textiles, prendas de vestir y productos de cuero</v>
      </c>
      <c r="E48" s="17">
        <v>3</v>
      </c>
      <c r="F48" s="17" t="s">
        <v>1013</v>
      </c>
      <c r="G48">
        <v>1</v>
      </c>
      <c r="H48" t="s">
        <v>14</v>
      </c>
    </row>
    <row r="49" spans="1:8">
      <c r="A49" s="9">
        <v>48</v>
      </c>
      <c r="B49" t="s">
        <v>109</v>
      </c>
      <c r="C49" t="str">
        <f t="shared" si="4"/>
        <v>2</v>
      </c>
      <c r="D49" s="17" t="str">
        <f t="shared" si="5"/>
        <v>Productos alimenticios, bebidas y tabaco; textiles, prendas de vestir y productos de cuero</v>
      </c>
      <c r="E49" s="17">
        <v>3</v>
      </c>
      <c r="F49" s="17" t="s">
        <v>1013</v>
      </c>
      <c r="G49">
        <v>1</v>
      </c>
      <c r="H49" t="s">
        <v>14</v>
      </c>
    </row>
    <row r="50" spans="1:8">
      <c r="A50" s="9">
        <v>49</v>
      </c>
      <c r="B50" t="s">
        <v>111</v>
      </c>
      <c r="C50" t="str">
        <f t="shared" si="4"/>
        <v>2</v>
      </c>
      <c r="D50" s="17" t="str">
        <f t="shared" si="5"/>
        <v>Productos alimenticios, bebidas y tabaco; textiles, prendas de vestir y productos de cuero</v>
      </c>
      <c r="E50" s="17">
        <v>3</v>
      </c>
      <c r="F50" s="17" t="s">
        <v>1013</v>
      </c>
      <c r="G50">
        <v>1</v>
      </c>
      <c r="H50" t="s">
        <v>14</v>
      </c>
    </row>
    <row r="51" spans="1:8">
      <c r="A51" s="9">
        <v>50</v>
      </c>
      <c r="B51" t="s">
        <v>113</v>
      </c>
      <c r="C51" t="str">
        <f t="shared" si="4"/>
        <v>2</v>
      </c>
      <c r="D51" s="17" t="str">
        <f t="shared" si="5"/>
        <v>Productos alimenticios, bebidas y tabaco; textiles, prendas de vestir y productos de cuero</v>
      </c>
      <c r="E51" s="17">
        <v>3</v>
      </c>
      <c r="F51" s="17" t="s">
        <v>1013</v>
      </c>
      <c r="G51">
        <v>1</v>
      </c>
      <c r="H51" t="s">
        <v>14</v>
      </c>
    </row>
    <row r="52" spans="1:8">
      <c r="A52" s="9">
        <v>51</v>
      </c>
      <c r="B52" t="s">
        <v>115</v>
      </c>
      <c r="C52" t="str">
        <f t="shared" si="4"/>
        <v>2</v>
      </c>
      <c r="D52" s="17" t="str">
        <f t="shared" si="5"/>
        <v>Productos alimenticios, bebidas y tabaco; textiles, prendas de vestir y productos de cuero</v>
      </c>
      <c r="E52" s="17">
        <v>3</v>
      </c>
      <c r="F52" s="17" t="s">
        <v>1013</v>
      </c>
      <c r="G52">
        <v>1</v>
      </c>
      <c r="H52" t="s">
        <v>14</v>
      </c>
    </row>
    <row r="53" spans="1:8">
      <c r="A53" s="9">
        <v>52</v>
      </c>
      <c r="B53" t="s">
        <v>117</v>
      </c>
      <c r="C53" t="str">
        <f t="shared" si="4"/>
        <v>2</v>
      </c>
      <c r="D53" s="17" t="str">
        <f t="shared" si="5"/>
        <v>Productos alimenticios, bebidas y tabaco; textiles, prendas de vestir y productos de cuero</v>
      </c>
      <c r="E53" s="17">
        <v>3</v>
      </c>
      <c r="F53" s="17" t="s">
        <v>1013</v>
      </c>
      <c r="G53">
        <v>1</v>
      </c>
      <c r="H53" t="s">
        <v>14</v>
      </c>
    </row>
    <row r="54" spans="1:8">
      <c r="A54" s="9">
        <v>53</v>
      </c>
      <c r="B54" t="s">
        <v>119</v>
      </c>
      <c r="C54" t="str">
        <f t="shared" si="4"/>
        <v>2</v>
      </c>
      <c r="D54" s="17" t="str">
        <f t="shared" si="5"/>
        <v>Productos alimenticios, bebidas y tabaco; textiles, prendas de vestir y productos de cuero</v>
      </c>
      <c r="E54" s="17">
        <v>3</v>
      </c>
      <c r="F54" s="17" t="s">
        <v>1013</v>
      </c>
      <c r="G54">
        <v>1</v>
      </c>
      <c r="H54" t="s">
        <v>14</v>
      </c>
    </row>
    <row r="55" spans="1:8">
      <c r="A55" s="9">
        <v>54</v>
      </c>
      <c r="B55" t="s">
        <v>121</v>
      </c>
      <c r="C55" t="str">
        <f t="shared" si="4"/>
        <v>2</v>
      </c>
      <c r="D55" s="17" t="str">
        <f t="shared" si="5"/>
        <v>Productos alimenticios, bebidas y tabaco; textiles, prendas de vestir y productos de cuero</v>
      </c>
      <c r="E55" s="17">
        <v>3</v>
      </c>
      <c r="F55" s="17" t="s">
        <v>1013</v>
      </c>
      <c r="G55">
        <v>1</v>
      </c>
      <c r="H55" t="s">
        <v>14</v>
      </c>
    </row>
    <row r="56" spans="1:8">
      <c r="A56" s="9">
        <v>55</v>
      </c>
      <c r="B56" t="s">
        <v>123</v>
      </c>
      <c r="C56" t="str">
        <f t="shared" si="4"/>
        <v>2</v>
      </c>
      <c r="D56" s="17" t="str">
        <f t="shared" si="5"/>
        <v>Productos alimenticios, bebidas y tabaco; textiles, prendas de vestir y productos de cuero</v>
      </c>
      <c r="E56" s="17">
        <v>3</v>
      </c>
      <c r="F56" s="17" t="s">
        <v>1013</v>
      </c>
      <c r="G56">
        <v>1</v>
      </c>
      <c r="H56" t="s">
        <v>14</v>
      </c>
    </row>
    <row r="57" spans="1:8">
      <c r="A57" s="9">
        <v>56</v>
      </c>
      <c r="B57" t="s">
        <v>125</v>
      </c>
      <c r="C57" t="str">
        <f t="shared" si="4"/>
        <v>2</v>
      </c>
      <c r="D57" s="17" t="str">
        <f t="shared" si="5"/>
        <v>Productos alimenticios, bebidas y tabaco; textiles, prendas de vestir y productos de cuero</v>
      </c>
      <c r="E57" s="17">
        <v>3</v>
      </c>
      <c r="F57" s="17" t="s">
        <v>1013</v>
      </c>
      <c r="G57">
        <v>1</v>
      </c>
      <c r="H57" t="s">
        <v>14</v>
      </c>
    </row>
    <row r="58" spans="1:8">
      <c r="A58" s="9">
        <v>57</v>
      </c>
      <c r="B58" t="s">
        <v>127</v>
      </c>
      <c r="C58" t="str">
        <f t="shared" si="4"/>
        <v>2</v>
      </c>
      <c r="D58" s="17" t="str">
        <f t="shared" si="5"/>
        <v>Productos alimenticios, bebidas y tabaco; textiles, prendas de vestir y productos de cuero</v>
      </c>
      <c r="E58" s="17">
        <v>3</v>
      </c>
      <c r="F58" s="17" t="s">
        <v>1013</v>
      </c>
      <c r="G58">
        <v>1</v>
      </c>
      <c r="H58" t="s">
        <v>14</v>
      </c>
    </row>
    <row r="59" spans="1:8">
      <c r="A59" s="9">
        <v>58</v>
      </c>
      <c r="B59" t="s">
        <v>129</v>
      </c>
      <c r="C59" t="str">
        <f t="shared" si="4"/>
        <v>2</v>
      </c>
      <c r="D59" s="17" t="str">
        <f t="shared" si="5"/>
        <v>Productos alimenticios, bebidas y tabaco; textiles, prendas de vestir y productos de cuero</v>
      </c>
      <c r="E59" s="17">
        <v>3</v>
      </c>
      <c r="F59" s="17" t="s">
        <v>1013</v>
      </c>
      <c r="G59">
        <v>1</v>
      </c>
      <c r="H59" t="s">
        <v>14</v>
      </c>
    </row>
    <row r="60" spans="1:8">
      <c r="A60" s="9">
        <v>59</v>
      </c>
      <c r="B60" t="s">
        <v>131</v>
      </c>
      <c r="C60" t="str">
        <f t="shared" si="4"/>
        <v>2</v>
      </c>
      <c r="D60" s="17" t="str">
        <f t="shared" si="5"/>
        <v>Productos alimenticios, bebidas y tabaco; textiles, prendas de vestir y productos de cuero</v>
      </c>
      <c r="E60" s="17">
        <v>3</v>
      </c>
      <c r="F60" s="17" t="s">
        <v>1013</v>
      </c>
      <c r="G60">
        <v>1</v>
      </c>
      <c r="H60" t="s">
        <v>14</v>
      </c>
    </row>
    <row r="61" spans="1:8">
      <c r="A61" s="9">
        <v>60</v>
      </c>
      <c r="B61" t="s">
        <v>133</v>
      </c>
      <c r="C61" t="str">
        <f t="shared" si="4"/>
        <v>2</v>
      </c>
      <c r="D61" s="17" t="str">
        <f t="shared" si="5"/>
        <v>Productos alimenticios, bebidas y tabaco; textiles, prendas de vestir y productos de cuero</v>
      </c>
      <c r="E61" s="17">
        <v>3</v>
      </c>
      <c r="F61" s="17" t="s">
        <v>1013</v>
      </c>
      <c r="G61">
        <v>1</v>
      </c>
      <c r="H61" t="s">
        <v>14</v>
      </c>
    </row>
    <row r="62" spans="1:8">
      <c r="A62" s="9">
        <v>61</v>
      </c>
      <c r="B62" t="s">
        <v>135</v>
      </c>
      <c r="C62" t="str">
        <f t="shared" si="4"/>
        <v>2</v>
      </c>
      <c r="D62" s="17" t="str">
        <f t="shared" si="5"/>
        <v>Productos alimenticios, bebidas y tabaco; textiles, prendas de vestir y productos de cuero</v>
      </c>
      <c r="E62" s="17">
        <v>3</v>
      </c>
      <c r="F62" s="17" t="s">
        <v>1013</v>
      </c>
      <c r="G62">
        <v>1</v>
      </c>
      <c r="H62" t="s">
        <v>14</v>
      </c>
    </row>
    <row r="63" spans="1:8">
      <c r="A63" s="9">
        <v>62</v>
      </c>
      <c r="B63" t="s">
        <v>137</v>
      </c>
      <c r="C63" t="str">
        <f t="shared" si="4"/>
        <v>2</v>
      </c>
      <c r="D63" s="17" t="str">
        <f t="shared" si="5"/>
        <v>Productos alimenticios, bebidas y tabaco; textiles, prendas de vestir y productos de cuero</v>
      </c>
      <c r="E63" s="17">
        <v>3</v>
      </c>
      <c r="F63" s="17" t="s">
        <v>1013</v>
      </c>
      <c r="G63">
        <v>1</v>
      </c>
      <c r="H63" t="s">
        <v>14</v>
      </c>
    </row>
    <row r="64" spans="1:8">
      <c r="A64" s="9">
        <v>63</v>
      </c>
      <c r="B64" t="s">
        <v>139</v>
      </c>
      <c r="C64" t="str">
        <f t="shared" si="4"/>
        <v>2</v>
      </c>
      <c r="D64" s="17" t="str">
        <f t="shared" si="5"/>
        <v>Productos alimenticios, bebidas y tabaco; textiles, prendas de vestir y productos de cuero</v>
      </c>
      <c r="E64" s="17">
        <v>3</v>
      </c>
      <c r="F64" s="17" t="s">
        <v>1013</v>
      </c>
      <c r="G64">
        <v>1</v>
      </c>
      <c r="H64" t="s">
        <v>14</v>
      </c>
    </row>
    <row r="65" spans="1:10">
      <c r="A65" s="9">
        <v>64</v>
      </c>
      <c r="B65" t="s">
        <v>141</v>
      </c>
      <c r="C65" t="str">
        <f t="shared" si="4"/>
        <v>2</v>
      </c>
      <c r="D65" s="17" t="str">
        <f t="shared" si="5"/>
        <v>Productos alimenticios, bebidas y tabaco; textiles, prendas de vestir y productos de cuero</v>
      </c>
      <c r="E65" s="17">
        <v>3</v>
      </c>
      <c r="F65" s="17" t="s">
        <v>1013</v>
      </c>
      <c r="G65">
        <v>2</v>
      </c>
      <c r="H65" t="s">
        <v>142</v>
      </c>
    </row>
    <row r="66" spans="1:10">
      <c r="A66" s="9">
        <v>65</v>
      </c>
      <c r="B66" t="s">
        <v>144</v>
      </c>
      <c r="C66" t="str">
        <f t="shared" si="4"/>
        <v>2</v>
      </c>
      <c r="D66" s="17" t="str">
        <f t="shared" si="5"/>
        <v>Productos alimenticios, bebidas y tabaco; textiles, prendas de vestir y productos de cuero</v>
      </c>
      <c r="E66" s="17">
        <v>3</v>
      </c>
      <c r="F66" s="17" t="s">
        <v>1013</v>
      </c>
      <c r="G66">
        <v>2</v>
      </c>
      <c r="H66" t="s">
        <v>142</v>
      </c>
    </row>
    <row r="67" spans="1:10">
      <c r="A67" s="9">
        <v>66</v>
      </c>
      <c r="B67" t="s">
        <v>146</v>
      </c>
      <c r="C67" t="str">
        <f t="shared" si="4"/>
        <v>2</v>
      </c>
      <c r="D67" s="17" t="str">
        <f t="shared" si="5"/>
        <v>Productos alimenticios, bebidas y tabaco; textiles, prendas de vestir y productos de cuero</v>
      </c>
      <c r="E67" s="17">
        <v>3</v>
      </c>
      <c r="F67" s="17" t="s">
        <v>1013</v>
      </c>
      <c r="G67">
        <v>1</v>
      </c>
      <c r="H67" t="s">
        <v>14</v>
      </c>
    </row>
    <row r="68" spans="1:10">
      <c r="A68" s="9">
        <v>67</v>
      </c>
      <c r="B68" t="s">
        <v>148</v>
      </c>
      <c r="C68" t="str">
        <f t="shared" si="4"/>
        <v>2</v>
      </c>
      <c r="D68" s="17" t="str">
        <f t="shared" si="5"/>
        <v>Productos alimenticios, bebidas y tabaco; textiles, prendas de vestir y productos de cuero</v>
      </c>
      <c r="E68" s="17">
        <v>3</v>
      </c>
      <c r="F68" s="17" t="s">
        <v>1013</v>
      </c>
      <c r="G68">
        <v>2</v>
      </c>
      <c r="H68" t="s">
        <v>142</v>
      </c>
    </row>
    <row r="69" spans="1:10">
      <c r="A69" s="9">
        <v>68</v>
      </c>
      <c r="B69" t="s">
        <v>150</v>
      </c>
      <c r="C69" t="str">
        <f>"3"</f>
        <v>3</v>
      </c>
      <c r="D69" s="17" t="str">
        <f>"Otros bienes transportables, excepto productos metálicos, maquinaria y equipo"</f>
        <v>Otros bienes transportables, excepto productos metálicos, maquinaria y equipo</v>
      </c>
      <c r="E69" s="17">
        <v>3</v>
      </c>
      <c r="F69" s="17" t="s">
        <v>1013</v>
      </c>
      <c r="G69">
        <v>2</v>
      </c>
      <c r="H69" t="s">
        <v>142</v>
      </c>
    </row>
    <row r="70" spans="1:10">
      <c r="A70" s="9">
        <v>69</v>
      </c>
      <c r="B70" t="s">
        <v>152</v>
      </c>
      <c r="C70" t="str">
        <f t="shared" ref="C70:C98" si="6">"3"</f>
        <v>3</v>
      </c>
      <c r="D70" s="17" t="str">
        <f t="shared" ref="D70:D98" si="7">"Otros bienes transportables, excepto productos metálicos, maquinaria y equipo"</f>
        <v>Otros bienes transportables, excepto productos metálicos, maquinaria y equipo</v>
      </c>
      <c r="E70" s="17">
        <v>3</v>
      </c>
      <c r="F70" s="17" t="s">
        <v>1013</v>
      </c>
      <c r="G70">
        <v>2</v>
      </c>
      <c r="H70" t="s">
        <v>142</v>
      </c>
    </row>
    <row r="71" spans="1:10">
      <c r="A71" s="9">
        <v>70</v>
      </c>
      <c r="B71" t="s">
        <v>154</v>
      </c>
      <c r="C71" t="str">
        <f t="shared" si="6"/>
        <v>3</v>
      </c>
      <c r="D71" s="17" t="str">
        <f t="shared" si="7"/>
        <v>Otros bienes transportables, excepto productos metálicos, maquinaria y equipo</v>
      </c>
      <c r="E71" s="17">
        <v>3</v>
      </c>
      <c r="F71" s="17" t="s">
        <v>1013</v>
      </c>
      <c r="G71">
        <v>2</v>
      </c>
      <c r="H71" t="s">
        <v>142</v>
      </c>
    </row>
    <row r="72" spans="1:10">
      <c r="A72" s="9">
        <v>71</v>
      </c>
      <c r="B72" t="s">
        <v>156</v>
      </c>
      <c r="C72" t="str">
        <f t="shared" si="6"/>
        <v>3</v>
      </c>
      <c r="D72" s="17" t="str">
        <f t="shared" si="7"/>
        <v>Otros bienes transportables, excepto productos metálicos, maquinaria y equipo</v>
      </c>
      <c r="E72" s="17">
        <v>3</v>
      </c>
      <c r="F72" s="17" t="s">
        <v>1013</v>
      </c>
      <c r="G72">
        <v>2</v>
      </c>
      <c r="H72" t="s">
        <v>142</v>
      </c>
    </row>
    <row r="73" spans="1:10">
      <c r="A73" s="9">
        <v>72</v>
      </c>
      <c r="B73" t="s">
        <v>158</v>
      </c>
      <c r="C73" t="str">
        <f t="shared" si="6"/>
        <v>3</v>
      </c>
      <c r="D73" s="17" t="str">
        <f t="shared" si="7"/>
        <v>Otros bienes transportables, excepto productos metálicos, maquinaria y equipo</v>
      </c>
      <c r="E73" s="17">
        <v>3</v>
      </c>
      <c r="F73" s="17" t="s">
        <v>1013</v>
      </c>
      <c r="G73">
        <v>2</v>
      </c>
      <c r="H73" t="s">
        <v>142</v>
      </c>
    </row>
    <row r="74" spans="1:10">
      <c r="A74" s="9">
        <v>73</v>
      </c>
      <c r="B74" t="s">
        <v>160</v>
      </c>
      <c r="C74" t="str">
        <f t="shared" si="6"/>
        <v>3</v>
      </c>
      <c r="D74" s="17" t="str">
        <f t="shared" si="7"/>
        <v>Otros bienes transportables, excepto productos metálicos, maquinaria y equipo</v>
      </c>
      <c r="E74" s="17">
        <v>3</v>
      </c>
      <c r="F74" s="17" t="s">
        <v>1013</v>
      </c>
      <c r="G74">
        <v>2</v>
      </c>
      <c r="H74" t="s">
        <v>142</v>
      </c>
    </row>
    <row r="75" spans="1:10">
      <c r="A75" s="9">
        <v>74</v>
      </c>
      <c r="B75" t="s">
        <v>162</v>
      </c>
      <c r="C75" t="str">
        <f t="shared" si="6"/>
        <v>3</v>
      </c>
      <c r="D75" s="17" t="str">
        <f t="shared" si="7"/>
        <v>Otros bienes transportables, excepto productos metálicos, maquinaria y equipo</v>
      </c>
      <c r="E75" s="17">
        <v>3</v>
      </c>
      <c r="F75" s="17" t="s">
        <v>1013</v>
      </c>
      <c r="G75">
        <v>2</v>
      </c>
      <c r="H75" t="s">
        <v>142</v>
      </c>
    </row>
    <row r="76" spans="1:10">
      <c r="A76" s="9">
        <v>75</v>
      </c>
      <c r="B76" t="s">
        <v>164</v>
      </c>
      <c r="C76" t="str">
        <f t="shared" si="6"/>
        <v>3</v>
      </c>
      <c r="D76" s="17" t="str">
        <f t="shared" si="7"/>
        <v>Otros bienes transportables, excepto productos metálicos, maquinaria y equipo</v>
      </c>
      <c r="E76" s="17">
        <v>3</v>
      </c>
      <c r="F76" s="17" t="s">
        <v>1013</v>
      </c>
      <c r="G76">
        <v>2</v>
      </c>
      <c r="H76" t="s">
        <v>142</v>
      </c>
    </row>
    <row r="77" spans="1:10">
      <c r="A77" s="9">
        <v>76</v>
      </c>
      <c r="B77" t="s">
        <v>166</v>
      </c>
      <c r="C77" t="str">
        <f t="shared" si="6"/>
        <v>3</v>
      </c>
      <c r="D77" s="17" t="str">
        <f t="shared" si="7"/>
        <v>Otros bienes transportables, excepto productos metálicos, maquinaria y equipo</v>
      </c>
      <c r="E77" s="17">
        <v>3</v>
      </c>
      <c r="F77" s="17" t="s">
        <v>1013</v>
      </c>
      <c r="G77">
        <v>3</v>
      </c>
      <c r="H77" t="s">
        <v>67</v>
      </c>
      <c r="J77" s="14"/>
    </row>
    <row r="78" spans="1:10">
      <c r="A78" s="9">
        <v>77</v>
      </c>
      <c r="B78" t="s">
        <v>168</v>
      </c>
      <c r="C78" t="str">
        <f t="shared" si="6"/>
        <v>3</v>
      </c>
      <c r="D78" s="17" t="str">
        <f t="shared" si="7"/>
        <v>Otros bienes transportables, excepto productos metálicos, maquinaria y equipo</v>
      </c>
      <c r="E78" s="17">
        <v>3</v>
      </c>
      <c r="F78" s="17" t="s">
        <v>1013</v>
      </c>
      <c r="G78">
        <v>3</v>
      </c>
      <c r="H78" t="s">
        <v>67</v>
      </c>
    </row>
    <row r="79" spans="1:10">
      <c r="A79" s="9">
        <v>78</v>
      </c>
      <c r="B79" t="s">
        <v>170</v>
      </c>
      <c r="C79" t="str">
        <f t="shared" si="6"/>
        <v>3</v>
      </c>
      <c r="D79" s="17" t="str">
        <f t="shared" si="7"/>
        <v>Otros bienes transportables, excepto productos metálicos, maquinaria y equipo</v>
      </c>
      <c r="E79" s="17">
        <v>3</v>
      </c>
      <c r="F79" s="17" t="s">
        <v>1013</v>
      </c>
      <c r="G79">
        <v>3</v>
      </c>
      <c r="H79" t="s">
        <v>67</v>
      </c>
    </row>
    <row r="80" spans="1:10">
      <c r="A80" s="9">
        <v>79</v>
      </c>
      <c r="B80" t="s">
        <v>172</v>
      </c>
      <c r="C80" t="str">
        <f t="shared" si="6"/>
        <v>3</v>
      </c>
      <c r="D80" s="17" t="str">
        <f t="shared" si="7"/>
        <v>Otros bienes transportables, excepto productos metálicos, maquinaria y equipo</v>
      </c>
      <c r="E80" s="17">
        <v>3</v>
      </c>
      <c r="F80" s="17" t="s">
        <v>1013</v>
      </c>
      <c r="G80">
        <v>3</v>
      </c>
      <c r="H80" t="s">
        <v>67</v>
      </c>
    </row>
    <row r="81" spans="1:8">
      <c r="A81" s="9">
        <v>80</v>
      </c>
      <c r="B81" t="s">
        <v>174</v>
      </c>
      <c r="C81" t="str">
        <f t="shared" si="6"/>
        <v>3</v>
      </c>
      <c r="D81" s="17" t="str">
        <f t="shared" si="7"/>
        <v>Otros bienes transportables, excepto productos metálicos, maquinaria y equipo</v>
      </c>
      <c r="E81" s="17">
        <v>3</v>
      </c>
      <c r="F81" s="17" t="s">
        <v>1013</v>
      </c>
      <c r="G81">
        <v>3</v>
      </c>
      <c r="H81" t="s">
        <v>67</v>
      </c>
    </row>
    <row r="82" spans="1:8">
      <c r="A82" s="9">
        <v>81</v>
      </c>
      <c r="B82" t="s">
        <v>176</v>
      </c>
      <c r="C82" t="str">
        <f t="shared" si="6"/>
        <v>3</v>
      </c>
      <c r="D82" s="17" t="str">
        <f t="shared" si="7"/>
        <v>Otros bienes transportables, excepto productos metálicos, maquinaria y equipo</v>
      </c>
      <c r="E82" s="17">
        <v>3</v>
      </c>
      <c r="F82" s="17" t="s">
        <v>1013</v>
      </c>
      <c r="G82">
        <v>3</v>
      </c>
      <c r="H82" t="s">
        <v>67</v>
      </c>
    </row>
    <row r="83" spans="1:8">
      <c r="A83" s="9">
        <v>82</v>
      </c>
      <c r="B83" t="s">
        <v>178</v>
      </c>
      <c r="C83" t="str">
        <f t="shared" si="6"/>
        <v>3</v>
      </c>
      <c r="D83" s="17" t="str">
        <f t="shared" si="7"/>
        <v>Otros bienes transportables, excepto productos metálicos, maquinaria y equipo</v>
      </c>
      <c r="E83" s="17">
        <v>3</v>
      </c>
      <c r="F83" s="17" t="s">
        <v>1013</v>
      </c>
      <c r="G83">
        <v>2</v>
      </c>
      <c r="H83" t="s">
        <v>142</v>
      </c>
    </row>
    <row r="84" spans="1:8">
      <c r="A84" s="9">
        <v>83</v>
      </c>
      <c r="B84" t="s">
        <v>180</v>
      </c>
      <c r="C84" t="str">
        <f t="shared" si="6"/>
        <v>3</v>
      </c>
      <c r="D84" s="17" t="str">
        <f t="shared" si="7"/>
        <v>Otros bienes transportables, excepto productos metálicos, maquinaria y equipo</v>
      </c>
      <c r="E84" s="17">
        <v>3</v>
      </c>
      <c r="F84" s="17" t="s">
        <v>1013</v>
      </c>
      <c r="G84">
        <v>3</v>
      </c>
      <c r="H84" t="s">
        <v>67</v>
      </c>
    </row>
    <row r="85" spans="1:8">
      <c r="A85" s="9">
        <v>84</v>
      </c>
      <c r="B85" t="s">
        <v>182</v>
      </c>
      <c r="C85" t="str">
        <f t="shared" si="6"/>
        <v>3</v>
      </c>
      <c r="D85" s="17" t="str">
        <f t="shared" si="7"/>
        <v>Otros bienes transportables, excepto productos metálicos, maquinaria y equipo</v>
      </c>
      <c r="E85" s="17">
        <v>3</v>
      </c>
      <c r="F85" s="17" t="s">
        <v>1013</v>
      </c>
      <c r="G85">
        <v>3</v>
      </c>
      <c r="H85" t="s">
        <v>67</v>
      </c>
    </row>
    <row r="86" spans="1:8">
      <c r="A86" s="9">
        <v>85</v>
      </c>
      <c r="B86" t="s">
        <v>184</v>
      </c>
      <c r="C86" t="str">
        <f t="shared" si="6"/>
        <v>3</v>
      </c>
      <c r="D86" s="17" t="str">
        <f t="shared" si="7"/>
        <v>Otros bienes transportables, excepto productos metálicos, maquinaria y equipo</v>
      </c>
      <c r="E86" s="17">
        <v>3</v>
      </c>
      <c r="F86" s="17" t="s">
        <v>1013</v>
      </c>
      <c r="G86">
        <v>3</v>
      </c>
      <c r="H86" t="s">
        <v>67</v>
      </c>
    </row>
    <row r="87" spans="1:8">
      <c r="A87" s="9">
        <v>86</v>
      </c>
      <c r="B87" t="s">
        <v>186</v>
      </c>
      <c r="C87" t="str">
        <f t="shared" si="6"/>
        <v>3</v>
      </c>
      <c r="D87" s="17" t="str">
        <f t="shared" si="7"/>
        <v>Otros bienes transportables, excepto productos metálicos, maquinaria y equipo</v>
      </c>
      <c r="E87" s="17">
        <v>3</v>
      </c>
      <c r="F87" s="17" t="s">
        <v>1013</v>
      </c>
      <c r="G87">
        <v>2</v>
      </c>
      <c r="H87" t="s">
        <v>142</v>
      </c>
    </row>
    <row r="88" spans="1:8">
      <c r="A88" s="9">
        <v>87</v>
      </c>
      <c r="B88" t="s">
        <v>188</v>
      </c>
      <c r="C88" t="str">
        <f t="shared" si="6"/>
        <v>3</v>
      </c>
      <c r="D88" s="17" t="str">
        <f t="shared" si="7"/>
        <v>Otros bienes transportables, excepto productos metálicos, maquinaria y equipo</v>
      </c>
      <c r="E88" s="17">
        <v>3</v>
      </c>
      <c r="F88" s="17" t="s">
        <v>1013</v>
      </c>
      <c r="G88">
        <v>2</v>
      </c>
      <c r="H88" t="s">
        <v>142</v>
      </c>
    </row>
    <row r="89" spans="1:8">
      <c r="A89" s="9">
        <v>88</v>
      </c>
      <c r="B89" t="s">
        <v>190</v>
      </c>
      <c r="C89" t="str">
        <f t="shared" si="6"/>
        <v>3</v>
      </c>
      <c r="D89" s="17" t="str">
        <f t="shared" si="7"/>
        <v>Otros bienes transportables, excepto productos metálicos, maquinaria y equipo</v>
      </c>
      <c r="E89" s="17">
        <v>3</v>
      </c>
      <c r="F89" s="17" t="s">
        <v>1013</v>
      </c>
      <c r="G89">
        <v>3</v>
      </c>
      <c r="H89" t="s">
        <v>67</v>
      </c>
    </row>
    <row r="90" spans="1:8">
      <c r="A90" s="9">
        <v>89</v>
      </c>
      <c r="B90" t="s">
        <v>192</v>
      </c>
      <c r="C90" t="str">
        <f t="shared" si="6"/>
        <v>3</v>
      </c>
      <c r="D90" s="17" t="str">
        <f t="shared" si="7"/>
        <v>Otros bienes transportables, excepto productos metálicos, maquinaria y equipo</v>
      </c>
      <c r="E90" s="17">
        <v>3</v>
      </c>
      <c r="F90" s="17" t="s">
        <v>1013</v>
      </c>
      <c r="G90">
        <v>3</v>
      </c>
      <c r="H90" t="s">
        <v>67</v>
      </c>
    </row>
    <row r="91" spans="1:8">
      <c r="A91" s="9">
        <v>90</v>
      </c>
      <c r="B91" t="s">
        <v>194</v>
      </c>
      <c r="C91" t="str">
        <f t="shared" si="6"/>
        <v>3</v>
      </c>
      <c r="D91" s="17" t="str">
        <f t="shared" si="7"/>
        <v>Otros bienes transportables, excepto productos metálicos, maquinaria y equipo</v>
      </c>
      <c r="E91" s="17">
        <v>3</v>
      </c>
      <c r="F91" s="17" t="s">
        <v>1013</v>
      </c>
      <c r="G91">
        <v>3</v>
      </c>
      <c r="H91" t="s">
        <v>67</v>
      </c>
    </row>
    <row r="92" spans="1:8">
      <c r="A92" s="9">
        <v>91</v>
      </c>
      <c r="B92" t="s">
        <v>196</v>
      </c>
      <c r="C92" t="str">
        <f t="shared" si="6"/>
        <v>3</v>
      </c>
      <c r="D92" s="17" t="str">
        <f t="shared" si="7"/>
        <v>Otros bienes transportables, excepto productos metálicos, maquinaria y equipo</v>
      </c>
      <c r="E92" s="17">
        <v>3</v>
      </c>
      <c r="F92" s="17" t="s">
        <v>1013</v>
      </c>
      <c r="G92">
        <v>3</v>
      </c>
      <c r="H92" t="s">
        <v>67</v>
      </c>
    </row>
    <row r="93" spans="1:8">
      <c r="A93" s="9">
        <v>92</v>
      </c>
      <c r="B93" t="s">
        <v>198</v>
      </c>
      <c r="C93" t="str">
        <f t="shared" si="6"/>
        <v>3</v>
      </c>
      <c r="D93" s="17" t="str">
        <f t="shared" si="7"/>
        <v>Otros bienes transportables, excepto productos metálicos, maquinaria y equipo</v>
      </c>
      <c r="E93" s="17">
        <v>3</v>
      </c>
      <c r="F93" s="17" t="s">
        <v>1013</v>
      </c>
      <c r="G93">
        <v>3</v>
      </c>
      <c r="H93" t="s">
        <v>67</v>
      </c>
    </row>
    <row r="94" spans="1:8">
      <c r="A94" s="9">
        <v>93</v>
      </c>
      <c r="B94" t="s">
        <v>200</v>
      </c>
      <c r="C94" t="str">
        <f t="shared" si="6"/>
        <v>3</v>
      </c>
      <c r="D94" s="17" t="str">
        <f t="shared" si="7"/>
        <v>Otros bienes transportables, excepto productos metálicos, maquinaria y equipo</v>
      </c>
      <c r="E94" s="17">
        <v>3</v>
      </c>
      <c r="F94" s="17" t="s">
        <v>1013</v>
      </c>
      <c r="G94">
        <v>3</v>
      </c>
      <c r="H94" t="s">
        <v>67</v>
      </c>
    </row>
    <row r="95" spans="1:8">
      <c r="A95" s="9">
        <v>94</v>
      </c>
      <c r="B95" t="s">
        <v>202</v>
      </c>
      <c r="C95" t="str">
        <f t="shared" si="6"/>
        <v>3</v>
      </c>
      <c r="D95" s="17" t="str">
        <f t="shared" si="7"/>
        <v>Otros bienes transportables, excepto productos metálicos, maquinaria y equipo</v>
      </c>
      <c r="E95" s="17">
        <v>3</v>
      </c>
      <c r="F95" s="17" t="s">
        <v>1013</v>
      </c>
      <c r="G95">
        <v>3</v>
      </c>
      <c r="H95" t="s">
        <v>67</v>
      </c>
    </row>
    <row r="96" spans="1:8">
      <c r="A96" s="9">
        <v>95</v>
      </c>
      <c r="B96" t="s">
        <v>204</v>
      </c>
      <c r="C96" t="str">
        <f t="shared" si="6"/>
        <v>3</v>
      </c>
      <c r="D96" s="17" t="str">
        <f t="shared" si="7"/>
        <v>Otros bienes transportables, excepto productos metálicos, maquinaria y equipo</v>
      </c>
      <c r="E96" s="17">
        <v>3</v>
      </c>
      <c r="F96" s="17" t="s">
        <v>1013</v>
      </c>
      <c r="G96">
        <v>3</v>
      </c>
      <c r="H96" t="s">
        <v>67</v>
      </c>
    </row>
    <row r="97" spans="1:10">
      <c r="A97" s="9">
        <v>96</v>
      </c>
      <c r="B97" t="s">
        <v>206</v>
      </c>
      <c r="C97" t="str">
        <f t="shared" si="6"/>
        <v>3</v>
      </c>
      <c r="D97" s="17" t="str">
        <f t="shared" si="7"/>
        <v>Otros bienes transportables, excepto productos metálicos, maquinaria y equipo</v>
      </c>
      <c r="E97" s="17">
        <v>3</v>
      </c>
      <c r="F97" s="17" t="s">
        <v>1013</v>
      </c>
      <c r="G97">
        <v>3</v>
      </c>
      <c r="H97" t="s">
        <v>67</v>
      </c>
    </row>
    <row r="98" spans="1:10">
      <c r="A98" s="9">
        <v>97</v>
      </c>
      <c r="B98" t="s">
        <v>208</v>
      </c>
      <c r="C98" t="str">
        <f t="shared" si="6"/>
        <v>3</v>
      </c>
      <c r="D98" s="17" t="str">
        <f t="shared" si="7"/>
        <v>Otros bienes transportables, excepto productos metálicos, maquinaria y equipo</v>
      </c>
      <c r="E98" s="17">
        <v>3</v>
      </c>
      <c r="F98" s="17" t="s">
        <v>1013</v>
      </c>
      <c r="G98">
        <v>3</v>
      </c>
      <c r="H98" t="s">
        <v>67</v>
      </c>
    </row>
    <row r="99" spans="1:10">
      <c r="A99" s="9">
        <v>98</v>
      </c>
      <c r="B99" t="s">
        <v>210</v>
      </c>
      <c r="C99" t="str">
        <f>"4"</f>
        <v>4</v>
      </c>
      <c r="D99" s="17" t="str">
        <f>"Productos metálicos, maquinaria y equipo"</f>
        <v>Productos metálicos, maquinaria y equipo</v>
      </c>
      <c r="E99" s="17">
        <v>3</v>
      </c>
      <c r="F99" s="17" t="s">
        <v>1013</v>
      </c>
      <c r="G99">
        <v>3</v>
      </c>
      <c r="H99" t="s">
        <v>67</v>
      </c>
    </row>
    <row r="100" spans="1:10">
      <c r="A100" s="9">
        <v>99</v>
      </c>
      <c r="B100" t="s">
        <v>212</v>
      </c>
      <c r="C100" t="str">
        <f t="shared" ref="C100:C119" si="8">"4"</f>
        <v>4</v>
      </c>
      <c r="D100" s="17" t="str">
        <f t="shared" ref="D100:D119" si="9">"Productos metálicos, maquinaria y equipo"</f>
        <v>Productos metálicos, maquinaria y equipo</v>
      </c>
      <c r="E100" s="17">
        <v>3</v>
      </c>
      <c r="F100" s="17" t="s">
        <v>1013</v>
      </c>
      <c r="G100">
        <v>3</v>
      </c>
      <c r="H100" t="s">
        <v>67</v>
      </c>
    </row>
    <row r="101" spans="1:10">
      <c r="A101" s="9">
        <v>100</v>
      </c>
      <c r="B101" t="s">
        <v>214</v>
      </c>
      <c r="C101" t="str">
        <f t="shared" si="8"/>
        <v>4</v>
      </c>
      <c r="D101" s="17" t="str">
        <f t="shared" si="9"/>
        <v>Productos metálicos, maquinaria y equipo</v>
      </c>
      <c r="E101" s="17">
        <v>3</v>
      </c>
      <c r="F101" s="17" t="s">
        <v>1013</v>
      </c>
      <c r="G101">
        <v>3</v>
      </c>
      <c r="H101" t="s">
        <v>67</v>
      </c>
    </row>
    <row r="102" spans="1:10">
      <c r="A102" s="9">
        <v>101</v>
      </c>
      <c r="B102" t="s">
        <v>216</v>
      </c>
      <c r="C102" t="str">
        <f t="shared" si="8"/>
        <v>4</v>
      </c>
      <c r="D102" s="17" t="str">
        <f t="shared" si="9"/>
        <v>Productos metálicos, maquinaria y equipo</v>
      </c>
      <c r="E102" s="17">
        <v>3</v>
      </c>
      <c r="F102" s="17" t="s">
        <v>1013</v>
      </c>
      <c r="G102">
        <v>3</v>
      </c>
      <c r="H102" t="s">
        <v>67</v>
      </c>
    </row>
    <row r="103" spans="1:10">
      <c r="A103" s="9">
        <v>102</v>
      </c>
      <c r="B103" t="s">
        <v>218</v>
      </c>
      <c r="C103" t="str">
        <f t="shared" si="8"/>
        <v>4</v>
      </c>
      <c r="D103" s="17" t="str">
        <f t="shared" si="9"/>
        <v>Productos metálicos, maquinaria y equipo</v>
      </c>
      <c r="E103" s="17">
        <v>3</v>
      </c>
      <c r="F103" s="17" t="s">
        <v>1013</v>
      </c>
      <c r="G103">
        <v>3</v>
      </c>
      <c r="H103" t="s">
        <v>67</v>
      </c>
    </row>
    <row r="104" spans="1:10">
      <c r="A104" s="9">
        <v>103</v>
      </c>
      <c r="B104" t="s">
        <v>220</v>
      </c>
      <c r="C104" t="str">
        <f t="shared" si="8"/>
        <v>4</v>
      </c>
      <c r="D104" s="17" t="str">
        <f t="shared" si="9"/>
        <v>Productos metálicos, maquinaria y equipo</v>
      </c>
      <c r="E104" s="17">
        <v>3</v>
      </c>
      <c r="F104" s="17" t="s">
        <v>1013</v>
      </c>
      <c r="G104">
        <v>3</v>
      </c>
      <c r="H104" t="s">
        <v>67</v>
      </c>
    </row>
    <row r="105" spans="1:10">
      <c r="A105" s="9">
        <v>104</v>
      </c>
      <c r="B105" t="s">
        <v>222</v>
      </c>
      <c r="C105" t="str">
        <f t="shared" si="8"/>
        <v>4</v>
      </c>
      <c r="D105" s="17" t="str">
        <f t="shared" si="9"/>
        <v>Productos metálicos, maquinaria y equipo</v>
      </c>
      <c r="E105" s="17">
        <v>3</v>
      </c>
      <c r="F105" s="17" t="s">
        <v>1013</v>
      </c>
      <c r="G105">
        <v>3</v>
      </c>
      <c r="H105" t="s">
        <v>67</v>
      </c>
    </row>
    <row r="106" spans="1:10">
      <c r="A106" s="9">
        <v>105</v>
      </c>
      <c r="B106" t="s">
        <v>224</v>
      </c>
      <c r="C106" t="str">
        <f t="shared" si="8"/>
        <v>4</v>
      </c>
      <c r="D106" s="17" t="str">
        <f t="shared" si="9"/>
        <v>Productos metálicos, maquinaria y equipo</v>
      </c>
      <c r="E106" s="17">
        <v>3</v>
      </c>
      <c r="F106" s="17" t="s">
        <v>1013</v>
      </c>
      <c r="G106">
        <v>3</v>
      </c>
      <c r="H106" t="s">
        <v>67</v>
      </c>
    </row>
    <row r="107" spans="1:10">
      <c r="A107" s="9">
        <v>106</v>
      </c>
      <c r="B107" t="s">
        <v>226</v>
      </c>
      <c r="C107" t="str">
        <f t="shared" si="8"/>
        <v>4</v>
      </c>
      <c r="D107" s="17" t="str">
        <f t="shared" si="9"/>
        <v>Productos metálicos, maquinaria y equipo</v>
      </c>
      <c r="E107" s="17">
        <v>3</v>
      </c>
      <c r="F107" s="17" t="s">
        <v>1013</v>
      </c>
      <c r="G107">
        <v>3</v>
      </c>
      <c r="H107" t="s">
        <v>67</v>
      </c>
      <c r="J107" s="14"/>
    </row>
    <row r="108" spans="1:10">
      <c r="A108" s="9">
        <v>107</v>
      </c>
      <c r="B108" t="s">
        <v>228</v>
      </c>
      <c r="C108" t="str">
        <f t="shared" si="8"/>
        <v>4</v>
      </c>
      <c r="D108" s="17" t="str">
        <f t="shared" si="9"/>
        <v>Productos metálicos, maquinaria y equipo</v>
      </c>
      <c r="E108" s="17">
        <v>3</v>
      </c>
      <c r="F108" s="17" t="s">
        <v>1013</v>
      </c>
      <c r="G108">
        <v>3</v>
      </c>
      <c r="H108" t="s">
        <v>67</v>
      </c>
    </row>
    <row r="109" spans="1:10">
      <c r="A109" s="9">
        <v>108</v>
      </c>
      <c r="B109" t="s">
        <v>230</v>
      </c>
      <c r="C109" t="str">
        <f t="shared" si="8"/>
        <v>4</v>
      </c>
      <c r="D109" s="17" t="str">
        <f t="shared" si="9"/>
        <v>Productos metálicos, maquinaria y equipo</v>
      </c>
      <c r="E109" s="17">
        <v>3</v>
      </c>
      <c r="F109" s="17" t="s">
        <v>1013</v>
      </c>
      <c r="G109">
        <v>3</v>
      </c>
      <c r="H109" t="s">
        <v>67</v>
      </c>
    </row>
    <row r="110" spans="1:10">
      <c r="A110" s="9">
        <v>109</v>
      </c>
      <c r="B110" t="s">
        <v>232</v>
      </c>
      <c r="C110" t="str">
        <f t="shared" si="8"/>
        <v>4</v>
      </c>
      <c r="D110" s="17" t="str">
        <f t="shared" si="9"/>
        <v>Productos metálicos, maquinaria y equipo</v>
      </c>
      <c r="E110" s="17">
        <v>3</v>
      </c>
      <c r="F110" s="17" t="s">
        <v>1013</v>
      </c>
      <c r="G110">
        <v>3</v>
      </c>
      <c r="H110" t="s">
        <v>67</v>
      </c>
      <c r="J110" s="14"/>
    </row>
    <row r="111" spans="1:10">
      <c r="A111" s="9">
        <v>110</v>
      </c>
      <c r="B111" t="s">
        <v>234</v>
      </c>
      <c r="C111" t="str">
        <f t="shared" si="8"/>
        <v>4</v>
      </c>
      <c r="D111" s="17" t="str">
        <f t="shared" si="9"/>
        <v>Productos metálicos, maquinaria y equipo</v>
      </c>
      <c r="E111" s="17">
        <v>3</v>
      </c>
      <c r="F111" s="17" t="s">
        <v>1013</v>
      </c>
      <c r="G111">
        <v>3</v>
      </c>
      <c r="H111" t="s">
        <v>67</v>
      </c>
    </row>
    <row r="112" spans="1:10">
      <c r="A112" s="9">
        <v>111</v>
      </c>
      <c r="B112" t="s">
        <v>236</v>
      </c>
      <c r="C112" t="str">
        <f t="shared" si="8"/>
        <v>4</v>
      </c>
      <c r="D112" s="17" t="str">
        <f t="shared" si="9"/>
        <v>Productos metálicos, maquinaria y equipo</v>
      </c>
      <c r="E112" s="17">
        <v>3</v>
      </c>
      <c r="F112" s="17" t="s">
        <v>1013</v>
      </c>
      <c r="G112">
        <v>3</v>
      </c>
      <c r="H112" t="s">
        <v>67</v>
      </c>
    </row>
    <row r="113" spans="1:10">
      <c r="A113" s="9">
        <v>112</v>
      </c>
      <c r="B113" t="s">
        <v>238</v>
      </c>
      <c r="C113" t="str">
        <f t="shared" si="8"/>
        <v>4</v>
      </c>
      <c r="D113" s="17" t="str">
        <f t="shared" si="9"/>
        <v>Productos metálicos, maquinaria y equipo</v>
      </c>
      <c r="E113" s="17">
        <v>3</v>
      </c>
      <c r="F113" s="17" t="s">
        <v>1013</v>
      </c>
      <c r="G113">
        <v>3</v>
      </c>
      <c r="H113" t="s">
        <v>67</v>
      </c>
    </row>
    <row r="114" spans="1:10">
      <c r="A114" s="9">
        <v>113</v>
      </c>
      <c r="B114" t="s">
        <v>240</v>
      </c>
      <c r="C114" t="str">
        <f t="shared" si="8"/>
        <v>4</v>
      </c>
      <c r="D114" s="17" t="str">
        <f t="shared" si="9"/>
        <v>Productos metálicos, maquinaria y equipo</v>
      </c>
      <c r="E114" s="17">
        <v>3</v>
      </c>
      <c r="F114" s="17" t="s">
        <v>1013</v>
      </c>
      <c r="G114">
        <v>3</v>
      </c>
      <c r="H114" t="s">
        <v>67</v>
      </c>
    </row>
    <row r="115" spans="1:10">
      <c r="A115" s="9">
        <v>114</v>
      </c>
      <c r="B115" t="s">
        <v>242</v>
      </c>
      <c r="C115" t="str">
        <f t="shared" si="8"/>
        <v>4</v>
      </c>
      <c r="D115" s="17" t="str">
        <f t="shared" si="9"/>
        <v>Productos metálicos, maquinaria y equipo</v>
      </c>
      <c r="E115" s="17">
        <v>3</v>
      </c>
      <c r="F115" s="17" t="s">
        <v>1013</v>
      </c>
      <c r="G115">
        <v>3</v>
      </c>
      <c r="H115" t="s">
        <v>67</v>
      </c>
    </row>
    <row r="116" spans="1:10">
      <c r="A116" s="9">
        <v>115</v>
      </c>
      <c r="B116" t="s">
        <v>244</v>
      </c>
      <c r="C116" t="str">
        <f t="shared" si="8"/>
        <v>4</v>
      </c>
      <c r="D116" s="17" t="str">
        <f t="shared" si="9"/>
        <v>Productos metálicos, maquinaria y equipo</v>
      </c>
      <c r="E116" s="17">
        <v>3</v>
      </c>
      <c r="F116" s="17" t="s">
        <v>1013</v>
      </c>
      <c r="G116">
        <v>3</v>
      </c>
      <c r="H116" t="s">
        <v>67</v>
      </c>
    </row>
    <row r="117" spans="1:10">
      <c r="A117" s="9">
        <v>116</v>
      </c>
      <c r="B117" t="s">
        <v>246</v>
      </c>
      <c r="C117" t="str">
        <f t="shared" si="8"/>
        <v>4</v>
      </c>
      <c r="D117" s="17" t="str">
        <f t="shared" si="9"/>
        <v>Productos metálicos, maquinaria y equipo</v>
      </c>
      <c r="E117" s="17">
        <v>3</v>
      </c>
      <c r="F117" s="17" t="s">
        <v>1013</v>
      </c>
      <c r="G117">
        <v>3</v>
      </c>
      <c r="H117" t="s">
        <v>67</v>
      </c>
      <c r="J117" s="14"/>
    </row>
    <row r="118" spans="1:10">
      <c r="A118" s="9">
        <v>117</v>
      </c>
      <c r="B118" t="s">
        <v>248</v>
      </c>
      <c r="C118" t="str">
        <f t="shared" si="8"/>
        <v>4</v>
      </c>
      <c r="D118" s="17" t="str">
        <f t="shared" si="9"/>
        <v>Productos metálicos, maquinaria y equipo</v>
      </c>
      <c r="E118" s="17">
        <v>3</v>
      </c>
      <c r="F118" s="17" t="s">
        <v>1013</v>
      </c>
      <c r="G118">
        <v>3</v>
      </c>
      <c r="H118" t="s">
        <v>67</v>
      </c>
      <c r="J118" s="14"/>
    </row>
    <row r="119" spans="1:10">
      <c r="A119" s="9">
        <v>118</v>
      </c>
      <c r="B119" t="s">
        <v>250</v>
      </c>
      <c r="C119" t="str">
        <f t="shared" si="8"/>
        <v>4</v>
      </c>
      <c r="D119" s="17" t="str">
        <f t="shared" si="9"/>
        <v>Productos metálicos, maquinaria y equipo</v>
      </c>
      <c r="E119" s="17">
        <v>3</v>
      </c>
      <c r="F119" s="17" t="s">
        <v>1013</v>
      </c>
      <c r="G119">
        <v>3</v>
      </c>
      <c r="H119" t="s">
        <v>67</v>
      </c>
    </row>
    <row r="120" spans="1:10">
      <c r="A120" s="9">
        <v>119</v>
      </c>
      <c r="B120" t="s">
        <v>252</v>
      </c>
      <c r="C120" s="14" t="str">
        <f t="shared" ref="C120:C125" si="10">"1"</f>
        <v>1</v>
      </c>
      <c r="D120" s="17" t="str">
        <f t="shared" ref="D120:D125" si="11">"Minerales; electricidad, gas y agua"</f>
        <v>Minerales; electricidad, gas y agua</v>
      </c>
      <c r="E120" s="17">
        <v>4</v>
      </c>
      <c r="F120" s="17" t="s">
        <v>1108</v>
      </c>
      <c r="G120">
        <v>3</v>
      </c>
      <c r="H120" t="s">
        <v>67</v>
      </c>
    </row>
    <row r="121" spans="1:10">
      <c r="A121" s="9">
        <v>120</v>
      </c>
      <c r="B121" t="s">
        <v>254</v>
      </c>
      <c r="C121" s="14" t="str">
        <f t="shared" si="10"/>
        <v>1</v>
      </c>
      <c r="D121" s="17" t="str">
        <f t="shared" si="11"/>
        <v>Minerales; electricidad, gas y agua</v>
      </c>
      <c r="E121" s="17">
        <v>4</v>
      </c>
      <c r="F121" s="17" t="s">
        <v>1108</v>
      </c>
      <c r="G121">
        <v>3</v>
      </c>
      <c r="H121" t="s">
        <v>67</v>
      </c>
    </row>
    <row r="122" spans="1:10">
      <c r="A122" s="9">
        <v>121</v>
      </c>
      <c r="B122" t="s">
        <v>256</v>
      </c>
      <c r="C122" s="14" t="str">
        <f t="shared" si="10"/>
        <v>1</v>
      </c>
      <c r="D122" s="17" t="str">
        <f t="shared" si="11"/>
        <v>Minerales; electricidad, gas y agua</v>
      </c>
      <c r="E122" s="17">
        <v>4</v>
      </c>
      <c r="F122" s="17" t="s">
        <v>1108</v>
      </c>
      <c r="G122">
        <v>3</v>
      </c>
      <c r="H122" t="s">
        <v>67</v>
      </c>
    </row>
    <row r="123" spans="1:10">
      <c r="A123" s="9">
        <v>122</v>
      </c>
      <c r="B123" t="s">
        <v>258</v>
      </c>
      <c r="C123" s="14" t="str">
        <f t="shared" si="10"/>
        <v>1</v>
      </c>
      <c r="D123" s="17" t="str">
        <f t="shared" si="11"/>
        <v>Minerales; electricidad, gas y agua</v>
      </c>
      <c r="E123" s="17">
        <v>4</v>
      </c>
      <c r="F123" s="17" t="s">
        <v>1108</v>
      </c>
      <c r="G123">
        <v>3</v>
      </c>
      <c r="H123" t="s">
        <v>67</v>
      </c>
    </row>
    <row r="124" spans="1:10">
      <c r="A124" s="9">
        <v>123</v>
      </c>
      <c r="B124" t="s">
        <v>260</v>
      </c>
      <c r="C124" s="14" t="str">
        <f t="shared" si="10"/>
        <v>1</v>
      </c>
      <c r="D124" s="17" t="str">
        <f t="shared" si="11"/>
        <v>Minerales; electricidad, gas y agua</v>
      </c>
      <c r="E124" s="17">
        <v>4</v>
      </c>
      <c r="F124" s="17" t="s">
        <v>1108</v>
      </c>
      <c r="G124">
        <v>2</v>
      </c>
      <c r="H124" t="s">
        <v>142</v>
      </c>
    </row>
    <row r="125" spans="1:10">
      <c r="A125" s="9">
        <v>124</v>
      </c>
      <c r="B125" t="s">
        <v>262</v>
      </c>
      <c r="C125" s="14" t="str">
        <f t="shared" si="10"/>
        <v>1</v>
      </c>
      <c r="D125" s="17" t="str">
        <f t="shared" si="11"/>
        <v>Minerales; electricidad, gas y agua</v>
      </c>
      <c r="E125" s="17">
        <v>4</v>
      </c>
      <c r="F125" s="17" t="s">
        <v>1108</v>
      </c>
      <c r="G125">
        <v>2</v>
      </c>
      <c r="H125" t="s">
        <v>142</v>
      </c>
    </row>
    <row r="126" spans="1:10">
      <c r="A126" s="9">
        <v>125</v>
      </c>
      <c r="B126" t="s">
        <v>264</v>
      </c>
      <c r="C126" s="14" t="str">
        <f>"5"</f>
        <v>5</v>
      </c>
      <c r="D126" s="17" t="str">
        <f>"Construcciones y servicios de construcción"</f>
        <v>Construcciones y servicios de construcción</v>
      </c>
      <c r="E126" s="17">
        <v>5</v>
      </c>
      <c r="F126" s="17" t="s">
        <v>1126</v>
      </c>
      <c r="G126">
        <v>3</v>
      </c>
      <c r="H126" t="s">
        <v>67</v>
      </c>
    </row>
    <row r="127" spans="1:10">
      <c r="A127" s="9">
        <v>126</v>
      </c>
      <c r="B127" t="s">
        <v>266</v>
      </c>
      <c r="C127" s="14" t="str">
        <f t="shared" ref="C127:C132" si="12">"5"</f>
        <v>5</v>
      </c>
      <c r="D127" s="17" t="str">
        <f t="shared" ref="D127:D132" si="13">"Construcciones y servicios de construcción"</f>
        <v>Construcciones y servicios de construcción</v>
      </c>
      <c r="E127" s="17">
        <v>5</v>
      </c>
      <c r="F127" s="17" t="s">
        <v>1126</v>
      </c>
      <c r="G127">
        <v>3</v>
      </c>
      <c r="H127" t="s">
        <v>67</v>
      </c>
    </row>
    <row r="128" spans="1:10">
      <c r="A128" s="9">
        <v>127</v>
      </c>
      <c r="B128" t="s">
        <v>268</v>
      </c>
      <c r="C128" s="14" t="str">
        <f t="shared" si="12"/>
        <v>5</v>
      </c>
      <c r="D128" s="17" t="str">
        <f t="shared" si="13"/>
        <v>Construcciones y servicios de construcción</v>
      </c>
      <c r="E128" s="17">
        <v>5</v>
      </c>
      <c r="F128" s="17" t="s">
        <v>1126</v>
      </c>
      <c r="G128">
        <v>3</v>
      </c>
      <c r="H128" t="s">
        <v>67</v>
      </c>
    </row>
    <row r="129" spans="1:10">
      <c r="A129" s="9">
        <v>128</v>
      </c>
      <c r="B129" t="s">
        <v>270</v>
      </c>
      <c r="C129" s="14" t="str">
        <f t="shared" si="12"/>
        <v>5</v>
      </c>
      <c r="D129" s="17" t="str">
        <f t="shared" si="13"/>
        <v>Construcciones y servicios de construcción</v>
      </c>
      <c r="E129" s="17">
        <v>5</v>
      </c>
      <c r="F129" s="17" t="s">
        <v>1126</v>
      </c>
      <c r="G129">
        <v>3</v>
      </c>
      <c r="H129" t="s">
        <v>67</v>
      </c>
    </row>
    <row r="130" spans="1:10">
      <c r="A130" s="9">
        <v>129</v>
      </c>
      <c r="B130" t="s">
        <v>272</v>
      </c>
      <c r="C130" s="14" t="str">
        <f t="shared" si="12"/>
        <v>5</v>
      </c>
      <c r="D130" s="17" t="str">
        <f t="shared" si="13"/>
        <v>Construcciones y servicios de construcción</v>
      </c>
      <c r="E130" s="17">
        <v>5</v>
      </c>
      <c r="F130" s="17" t="s">
        <v>1126</v>
      </c>
      <c r="G130">
        <v>3</v>
      </c>
      <c r="H130" t="s">
        <v>67</v>
      </c>
    </row>
    <row r="131" spans="1:10">
      <c r="A131" s="9">
        <v>130</v>
      </c>
      <c r="B131" t="s">
        <v>274</v>
      </c>
      <c r="C131" s="14" t="str">
        <f t="shared" si="12"/>
        <v>5</v>
      </c>
      <c r="D131" s="17" t="str">
        <f t="shared" si="13"/>
        <v>Construcciones y servicios de construcción</v>
      </c>
      <c r="E131" s="17">
        <v>5</v>
      </c>
      <c r="F131" s="17" t="s">
        <v>1126</v>
      </c>
      <c r="G131">
        <v>3</v>
      </c>
      <c r="H131" t="s">
        <v>67</v>
      </c>
    </row>
    <row r="132" spans="1:10">
      <c r="A132" s="9">
        <v>131</v>
      </c>
      <c r="B132" t="s">
        <v>276</v>
      </c>
      <c r="C132" s="14" t="str">
        <f t="shared" si="12"/>
        <v>5</v>
      </c>
      <c r="D132" s="17" t="str">
        <f t="shared" si="13"/>
        <v>Construcciones y servicios de construcción</v>
      </c>
      <c r="E132" s="17">
        <v>5</v>
      </c>
      <c r="F132" s="17" t="s">
        <v>1126</v>
      </c>
      <c r="G132">
        <v>3</v>
      </c>
      <c r="H132" t="s">
        <v>67</v>
      </c>
    </row>
    <row r="133" spans="1:10">
      <c r="A133" s="9">
        <v>132</v>
      </c>
      <c r="B133" t="s">
        <v>278</v>
      </c>
      <c r="C133" s="14" t="str">
        <f>"6"</f>
        <v>6</v>
      </c>
      <c r="D133" s="17" t="str">
        <f>"Servicios comerciales de distribución; alojamiento, servicios de suministro de comidas y bebidas; servicios de transporte; y servicios de distribución de electricidad, gas y agua"</f>
        <v>Servicios comerciales de distribución; alojamiento, servicios de suministro de comidas y bebidas; servicios de transporte; y servicios de distribución de electricidad, gas y agua</v>
      </c>
      <c r="E133" s="17">
        <v>6</v>
      </c>
      <c r="F133" s="17" t="s">
        <v>1138</v>
      </c>
      <c r="G133">
        <v>3</v>
      </c>
      <c r="H133" t="s">
        <v>67</v>
      </c>
    </row>
    <row r="134" spans="1:10">
      <c r="A134" s="9">
        <v>133</v>
      </c>
      <c r="B134" t="s">
        <v>280</v>
      </c>
      <c r="C134" s="14" t="str">
        <f t="shared" ref="C134:C157" si="14">"6"</f>
        <v>6</v>
      </c>
      <c r="D134" s="17" t="str">
        <f t="shared" ref="D134:D157" si="15">"Servicios comerciales de distribución; alojamiento, servicios de suministro de comidas y bebidas; servicios de transporte; y servicios de distribución de electricidad, gas y agua"</f>
        <v>Servicios comerciales de distribución; alojamiento, servicios de suministro de comidas y bebidas; servicios de transporte; y servicios de distribución de electricidad, gas y agua</v>
      </c>
      <c r="E134" s="17">
        <v>6</v>
      </c>
      <c r="F134" s="17" t="s">
        <v>1138</v>
      </c>
      <c r="G134">
        <v>3</v>
      </c>
      <c r="H134" t="s">
        <v>67</v>
      </c>
    </row>
    <row r="135" spans="1:10">
      <c r="A135" s="9">
        <v>134</v>
      </c>
      <c r="B135" t="s">
        <v>282</v>
      </c>
      <c r="C135" s="14" t="str">
        <f t="shared" si="14"/>
        <v>6</v>
      </c>
      <c r="D135" s="17" t="str">
        <f t="shared" si="15"/>
        <v>Servicios comerciales de distribución; alojamiento, servicios de suministro de comidas y bebidas; servicios de transporte; y servicios de distribución de electricidad, gas y agua</v>
      </c>
      <c r="E135" s="17">
        <v>6</v>
      </c>
      <c r="F135" s="17" t="s">
        <v>1138</v>
      </c>
      <c r="G135">
        <v>3</v>
      </c>
      <c r="H135" t="s">
        <v>67</v>
      </c>
      <c r="J135" s="14"/>
    </row>
    <row r="136" spans="1:10">
      <c r="A136" s="9">
        <v>135</v>
      </c>
      <c r="B136" t="s">
        <v>284</v>
      </c>
      <c r="C136" s="14" t="str">
        <f t="shared" si="14"/>
        <v>6</v>
      </c>
      <c r="D136" s="17" t="str">
        <f t="shared" si="15"/>
        <v>Servicios comerciales de distribución; alojamiento, servicios de suministro de comidas y bebidas; servicios de transporte; y servicios de distribución de electricidad, gas y agua</v>
      </c>
      <c r="E136" s="17">
        <v>6</v>
      </c>
      <c r="F136" s="17" t="s">
        <v>1138</v>
      </c>
      <c r="G136">
        <v>3</v>
      </c>
      <c r="H136" t="s">
        <v>67</v>
      </c>
    </row>
    <row r="137" spans="1:10">
      <c r="A137" s="9">
        <v>136</v>
      </c>
      <c r="B137" t="s">
        <v>286</v>
      </c>
      <c r="C137" s="14" t="str">
        <f t="shared" si="14"/>
        <v>6</v>
      </c>
      <c r="D137" s="17" t="str">
        <f t="shared" si="15"/>
        <v>Servicios comerciales de distribución; alojamiento, servicios de suministro de comidas y bebidas; servicios de transporte; y servicios de distribución de electricidad, gas y agua</v>
      </c>
      <c r="E137" s="17">
        <v>7</v>
      </c>
      <c r="F137" s="17" t="s">
        <v>1253</v>
      </c>
      <c r="G137">
        <v>3</v>
      </c>
      <c r="H137" t="s">
        <v>67</v>
      </c>
    </row>
    <row r="138" spans="1:10">
      <c r="A138" s="9">
        <v>137</v>
      </c>
      <c r="B138" t="s">
        <v>288</v>
      </c>
      <c r="C138" s="14" t="str">
        <f t="shared" si="14"/>
        <v>6</v>
      </c>
      <c r="D138" s="17" t="str">
        <f t="shared" si="15"/>
        <v>Servicios comerciales de distribución; alojamiento, servicios de suministro de comidas y bebidas; servicios de transporte; y servicios de distribución de electricidad, gas y agua</v>
      </c>
      <c r="E138" s="17">
        <v>7</v>
      </c>
      <c r="F138" s="17" t="s">
        <v>1253</v>
      </c>
      <c r="G138">
        <v>3</v>
      </c>
      <c r="H138" t="s">
        <v>67</v>
      </c>
    </row>
    <row r="139" spans="1:10">
      <c r="A139" s="9">
        <v>138</v>
      </c>
      <c r="B139" t="s">
        <v>290</v>
      </c>
      <c r="C139" s="14" t="str">
        <f t="shared" si="14"/>
        <v>6</v>
      </c>
      <c r="D139" s="17" t="str">
        <f t="shared" si="15"/>
        <v>Servicios comerciales de distribución; alojamiento, servicios de suministro de comidas y bebidas; servicios de transporte; y servicios de distribución de electricidad, gas y agua</v>
      </c>
      <c r="E139" s="17">
        <v>7</v>
      </c>
      <c r="F139" s="17" t="s">
        <v>1253</v>
      </c>
      <c r="G139">
        <v>2</v>
      </c>
      <c r="H139" t="s">
        <v>142</v>
      </c>
    </row>
    <row r="140" spans="1:10">
      <c r="A140" s="9">
        <v>139</v>
      </c>
      <c r="B140" t="s">
        <v>292</v>
      </c>
      <c r="C140" s="14" t="str">
        <f t="shared" si="14"/>
        <v>6</v>
      </c>
      <c r="D140" s="17" t="str">
        <f t="shared" si="15"/>
        <v>Servicios comerciales de distribución; alojamiento, servicios de suministro de comidas y bebidas; servicios de transporte; y servicios de distribución de electricidad, gas y agua</v>
      </c>
      <c r="E140" s="17">
        <v>7</v>
      </c>
      <c r="F140" s="17" t="s">
        <v>1253</v>
      </c>
      <c r="G140">
        <v>3</v>
      </c>
      <c r="H140" t="s">
        <v>67</v>
      </c>
    </row>
    <row r="141" spans="1:10">
      <c r="A141" s="9">
        <v>140</v>
      </c>
      <c r="B141" t="s">
        <v>294</v>
      </c>
      <c r="C141" s="14" t="str">
        <f t="shared" si="14"/>
        <v>6</v>
      </c>
      <c r="D141" s="17" t="str">
        <f t="shared" si="15"/>
        <v>Servicios comerciales de distribución; alojamiento, servicios de suministro de comidas y bebidas; servicios de transporte; y servicios de distribución de electricidad, gas y agua</v>
      </c>
      <c r="E141" s="17">
        <v>7</v>
      </c>
      <c r="F141" s="17" t="s">
        <v>1253</v>
      </c>
      <c r="G141">
        <v>3</v>
      </c>
      <c r="H141" t="s">
        <v>67</v>
      </c>
    </row>
    <row r="142" spans="1:10">
      <c r="A142" s="9">
        <v>141</v>
      </c>
      <c r="B142" t="s">
        <v>296</v>
      </c>
      <c r="C142" s="14" t="str">
        <f t="shared" si="14"/>
        <v>6</v>
      </c>
      <c r="D142" s="17" t="str">
        <f t="shared" si="15"/>
        <v>Servicios comerciales de distribución; alojamiento, servicios de suministro de comidas y bebidas; servicios de transporte; y servicios de distribución de electricidad, gas y agua</v>
      </c>
      <c r="E142" s="17">
        <v>7</v>
      </c>
      <c r="F142" s="17" t="s">
        <v>1253</v>
      </c>
      <c r="G142">
        <v>3</v>
      </c>
      <c r="H142" t="s">
        <v>67</v>
      </c>
    </row>
    <row r="143" spans="1:10">
      <c r="A143" s="9">
        <v>142</v>
      </c>
      <c r="B143" t="s">
        <v>298</v>
      </c>
      <c r="C143" s="14" t="str">
        <f t="shared" si="14"/>
        <v>6</v>
      </c>
      <c r="D143" s="17" t="str">
        <f t="shared" si="15"/>
        <v>Servicios comerciales de distribución; alojamiento, servicios de suministro de comidas y bebidas; servicios de transporte; y servicios de distribución de electricidad, gas y agua</v>
      </c>
      <c r="E143" s="17">
        <v>7</v>
      </c>
      <c r="F143" s="17" t="s">
        <v>1253</v>
      </c>
      <c r="G143">
        <v>3</v>
      </c>
      <c r="H143" t="s">
        <v>67</v>
      </c>
    </row>
    <row r="144" spans="1:10">
      <c r="A144" s="9">
        <v>143</v>
      </c>
      <c r="B144" t="s">
        <v>300</v>
      </c>
      <c r="C144" s="14" t="str">
        <f t="shared" si="14"/>
        <v>6</v>
      </c>
      <c r="D144" s="17" t="str">
        <f t="shared" si="15"/>
        <v>Servicios comerciales de distribución; alojamiento, servicios de suministro de comidas y bebidas; servicios de transporte; y servicios de distribución de electricidad, gas y agua</v>
      </c>
      <c r="E144" s="17">
        <v>7</v>
      </c>
      <c r="F144" s="17" t="s">
        <v>1253</v>
      </c>
      <c r="G144">
        <v>3</v>
      </c>
      <c r="H144" t="s">
        <v>67</v>
      </c>
    </row>
    <row r="145" spans="1:10">
      <c r="A145" s="9">
        <v>144</v>
      </c>
      <c r="B145" t="s">
        <v>302</v>
      </c>
      <c r="C145" s="14" t="str">
        <f t="shared" si="14"/>
        <v>6</v>
      </c>
      <c r="D145" s="17" t="str">
        <f t="shared" si="15"/>
        <v>Servicios comerciales de distribución; alojamiento, servicios de suministro de comidas y bebidas; servicios de transporte; y servicios de distribución de electricidad, gas y agua</v>
      </c>
      <c r="E145" s="17">
        <v>7</v>
      </c>
      <c r="F145" s="17" t="s">
        <v>1253</v>
      </c>
      <c r="G145">
        <v>3</v>
      </c>
      <c r="H145" t="s">
        <v>67</v>
      </c>
    </row>
    <row r="146" spans="1:10">
      <c r="A146" s="9">
        <v>145</v>
      </c>
      <c r="B146" t="s">
        <v>304</v>
      </c>
      <c r="C146" s="14" t="str">
        <f t="shared" si="14"/>
        <v>6</v>
      </c>
      <c r="D146" s="17" t="str">
        <f t="shared" si="15"/>
        <v>Servicios comerciales de distribución; alojamiento, servicios de suministro de comidas y bebidas; servicios de transporte; y servicios de distribución de electricidad, gas y agua</v>
      </c>
      <c r="E146" s="17">
        <v>7</v>
      </c>
      <c r="F146" s="17" t="s">
        <v>1253</v>
      </c>
      <c r="G146">
        <v>3</v>
      </c>
      <c r="H146" t="s">
        <v>67</v>
      </c>
    </row>
    <row r="147" spans="1:10">
      <c r="A147" s="9">
        <v>146</v>
      </c>
      <c r="B147" t="s">
        <v>306</v>
      </c>
      <c r="C147" s="14" t="str">
        <f t="shared" si="14"/>
        <v>6</v>
      </c>
      <c r="D147" s="17" t="str">
        <f t="shared" si="15"/>
        <v>Servicios comerciales de distribución; alojamiento, servicios de suministro de comidas y bebidas; servicios de transporte; y servicios de distribución de electricidad, gas y agua</v>
      </c>
      <c r="E147" s="18">
        <v>7</v>
      </c>
      <c r="F147" s="17" t="s">
        <v>1253</v>
      </c>
      <c r="G147">
        <v>3</v>
      </c>
      <c r="H147" t="s">
        <v>67</v>
      </c>
    </row>
    <row r="148" spans="1:10">
      <c r="A148" s="9">
        <v>147</v>
      </c>
      <c r="B148" t="s">
        <v>308</v>
      </c>
      <c r="C148" s="14" t="str">
        <f t="shared" si="14"/>
        <v>6</v>
      </c>
      <c r="D148" s="17" t="str">
        <f t="shared" si="15"/>
        <v>Servicios comerciales de distribución; alojamiento, servicios de suministro de comidas y bebidas; servicios de transporte; y servicios de distribución de electricidad, gas y agua</v>
      </c>
      <c r="E148" s="17">
        <v>7</v>
      </c>
      <c r="F148" s="17" t="s">
        <v>1253</v>
      </c>
      <c r="G148">
        <v>3</v>
      </c>
      <c r="H148" t="s">
        <v>67</v>
      </c>
    </row>
    <row r="149" spans="1:10">
      <c r="A149" s="9">
        <v>148</v>
      </c>
      <c r="B149" t="s">
        <v>310</v>
      </c>
      <c r="C149" s="14" t="str">
        <f t="shared" si="14"/>
        <v>6</v>
      </c>
      <c r="D149" s="17" t="str">
        <f t="shared" si="15"/>
        <v>Servicios comerciales de distribución; alojamiento, servicios de suministro de comidas y bebidas; servicios de transporte; y servicios de distribución de electricidad, gas y agua</v>
      </c>
      <c r="E149" s="17">
        <v>7</v>
      </c>
      <c r="F149" s="17" t="s">
        <v>1253</v>
      </c>
      <c r="G149">
        <v>3</v>
      </c>
      <c r="H149" t="s">
        <v>67</v>
      </c>
    </row>
    <row r="150" spans="1:10">
      <c r="A150" s="9">
        <v>149</v>
      </c>
      <c r="B150" t="s">
        <v>312</v>
      </c>
      <c r="C150" s="14" t="str">
        <f t="shared" si="14"/>
        <v>6</v>
      </c>
      <c r="D150" s="17" t="str">
        <f t="shared" si="15"/>
        <v>Servicios comerciales de distribución; alojamiento, servicios de suministro de comidas y bebidas; servicios de transporte; y servicios de distribución de electricidad, gas y agua</v>
      </c>
      <c r="E150" s="17">
        <v>7</v>
      </c>
      <c r="F150" s="17" t="s">
        <v>1253</v>
      </c>
      <c r="G150">
        <v>3</v>
      </c>
      <c r="H150" t="s">
        <v>67</v>
      </c>
    </row>
    <row r="151" spans="1:10">
      <c r="A151" s="9">
        <v>150</v>
      </c>
      <c r="B151" t="s">
        <v>314</v>
      </c>
      <c r="C151" s="14" t="str">
        <f t="shared" si="14"/>
        <v>6</v>
      </c>
      <c r="D151" s="17" t="str">
        <f t="shared" si="15"/>
        <v>Servicios comerciales de distribución; alojamiento, servicios de suministro de comidas y bebidas; servicios de transporte; y servicios de distribución de electricidad, gas y agua</v>
      </c>
      <c r="E151" s="17">
        <v>7</v>
      </c>
      <c r="F151" s="17" t="s">
        <v>1253</v>
      </c>
      <c r="G151">
        <v>3</v>
      </c>
      <c r="H151" t="s">
        <v>67</v>
      </c>
    </row>
    <row r="152" spans="1:10">
      <c r="A152" s="9">
        <v>151</v>
      </c>
      <c r="B152" t="s">
        <v>316</v>
      </c>
      <c r="C152" s="14" t="str">
        <f t="shared" si="14"/>
        <v>6</v>
      </c>
      <c r="D152" s="17" t="str">
        <f t="shared" si="15"/>
        <v>Servicios comerciales de distribución; alojamiento, servicios de suministro de comidas y bebidas; servicios de transporte; y servicios de distribución de electricidad, gas y agua</v>
      </c>
      <c r="E152" s="17">
        <v>7</v>
      </c>
      <c r="F152" s="17" t="s">
        <v>1253</v>
      </c>
      <c r="G152">
        <v>3</v>
      </c>
      <c r="H152" t="s">
        <v>67</v>
      </c>
    </row>
    <row r="153" spans="1:10">
      <c r="A153" s="9">
        <v>152</v>
      </c>
      <c r="B153" t="s">
        <v>318</v>
      </c>
      <c r="C153" s="14" t="str">
        <f t="shared" si="14"/>
        <v>6</v>
      </c>
      <c r="D153" s="17" t="str">
        <f t="shared" si="15"/>
        <v>Servicios comerciales de distribución; alojamiento, servicios de suministro de comidas y bebidas; servicios de transporte; y servicios de distribución de electricidad, gas y agua</v>
      </c>
      <c r="E153" s="17">
        <v>7</v>
      </c>
      <c r="F153" s="17" t="s">
        <v>1253</v>
      </c>
      <c r="G153">
        <v>3</v>
      </c>
      <c r="H153" t="s">
        <v>67</v>
      </c>
    </row>
    <row r="154" spans="1:10">
      <c r="A154" s="9">
        <v>153</v>
      </c>
      <c r="B154" t="s">
        <v>320</v>
      </c>
      <c r="C154" s="14" t="str">
        <f t="shared" si="14"/>
        <v>6</v>
      </c>
      <c r="D154" s="17" t="str">
        <f t="shared" si="15"/>
        <v>Servicios comerciales de distribución; alojamiento, servicios de suministro de comidas y bebidas; servicios de transporte; y servicios de distribución de electricidad, gas y agua</v>
      </c>
      <c r="E154" s="17">
        <v>7</v>
      </c>
      <c r="F154" s="17" t="s">
        <v>1253</v>
      </c>
      <c r="G154">
        <v>3</v>
      </c>
      <c r="H154" t="s">
        <v>67</v>
      </c>
    </row>
    <row r="155" spans="1:10">
      <c r="A155" s="9">
        <v>154</v>
      </c>
      <c r="B155" t="s">
        <v>322</v>
      </c>
      <c r="C155" s="14" t="str">
        <f t="shared" si="14"/>
        <v>6</v>
      </c>
      <c r="D155" s="17" t="str">
        <f t="shared" si="15"/>
        <v>Servicios comerciales de distribución; alojamiento, servicios de suministro de comidas y bebidas; servicios de transporte; y servicios de distribución de electricidad, gas y agua</v>
      </c>
      <c r="E155" s="17">
        <v>7</v>
      </c>
      <c r="F155" s="17" t="s">
        <v>1253</v>
      </c>
      <c r="G155">
        <v>3</v>
      </c>
      <c r="H155" t="s">
        <v>67</v>
      </c>
      <c r="J155" s="14"/>
    </row>
    <row r="156" spans="1:10">
      <c r="A156" s="9">
        <v>155</v>
      </c>
      <c r="B156" t="s">
        <v>324</v>
      </c>
      <c r="C156" s="14" t="str">
        <f t="shared" si="14"/>
        <v>6</v>
      </c>
      <c r="D156" s="17" t="str">
        <f t="shared" si="15"/>
        <v>Servicios comerciales de distribución; alojamiento, servicios de suministro de comidas y bebidas; servicios de transporte; y servicios de distribución de electricidad, gas y agua</v>
      </c>
      <c r="E156" s="17">
        <v>7</v>
      </c>
      <c r="F156" s="17" t="s">
        <v>1253</v>
      </c>
      <c r="G156">
        <v>3</v>
      </c>
      <c r="H156" t="s">
        <v>67</v>
      </c>
      <c r="J156" s="14"/>
    </row>
    <row r="157" spans="1:10">
      <c r="A157" s="9">
        <v>156</v>
      </c>
      <c r="B157" t="s">
        <v>326</v>
      </c>
      <c r="C157" s="14" t="str">
        <f t="shared" si="14"/>
        <v>6</v>
      </c>
      <c r="D157" s="17" t="str">
        <f t="shared" si="15"/>
        <v>Servicios comerciales de distribución; alojamiento, servicios de suministro de comidas y bebidas; servicios de transporte; y servicios de distribución de electricidad, gas y agua</v>
      </c>
      <c r="E157" s="17">
        <v>7</v>
      </c>
      <c r="F157" s="17" t="s">
        <v>1253</v>
      </c>
      <c r="G157">
        <v>3</v>
      </c>
      <c r="H157" t="s">
        <v>67</v>
      </c>
      <c r="J157" s="14"/>
    </row>
    <row r="158" spans="1:10">
      <c r="A158" s="9">
        <v>157</v>
      </c>
      <c r="B158" t="s">
        <v>328</v>
      </c>
      <c r="C158" s="14" t="str">
        <f>"7"</f>
        <v>7</v>
      </c>
      <c r="D158" s="17" t="str">
        <f>"Servicios financieros y servicios conexos; servicios inmobiliarios; y servicios de alquiler y arrendamiento"</f>
        <v>Servicios financieros y servicios conexos; servicios inmobiliarios; y servicios de alquiler y arrendamiento</v>
      </c>
      <c r="E158" s="17">
        <v>7</v>
      </c>
      <c r="F158" s="17" t="s">
        <v>1253</v>
      </c>
      <c r="G158">
        <v>3</v>
      </c>
      <c r="H158" t="s">
        <v>67</v>
      </c>
    </row>
    <row r="159" spans="1:10">
      <c r="A159" s="9">
        <v>158</v>
      </c>
      <c r="B159" t="s">
        <v>330</v>
      </c>
      <c r="C159" s="14" t="str">
        <f t="shared" ref="C159:C164" si="16">"7"</f>
        <v>7</v>
      </c>
      <c r="D159" s="17" t="str">
        <f t="shared" ref="D159:D164" si="17">"Servicios financieros y servicios conexos; servicios inmobiliarios; y servicios de alquiler y arrendamiento"</f>
        <v>Servicios financieros y servicios conexos; servicios inmobiliarios; y servicios de alquiler y arrendamiento</v>
      </c>
      <c r="E159" s="17">
        <v>7</v>
      </c>
      <c r="F159" s="17" t="s">
        <v>1253</v>
      </c>
      <c r="G159">
        <v>3</v>
      </c>
      <c r="H159" t="s">
        <v>67</v>
      </c>
    </row>
    <row r="160" spans="1:10">
      <c r="A160" s="9">
        <v>159</v>
      </c>
      <c r="B160" t="s">
        <v>332</v>
      </c>
      <c r="C160" s="14" t="str">
        <f t="shared" si="16"/>
        <v>7</v>
      </c>
      <c r="D160" s="17" t="str">
        <f t="shared" si="17"/>
        <v>Servicios financieros y servicios conexos; servicios inmobiliarios; y servicios de alquiler y arrendamiento</v>
      </c>
      <c r="E160" s="17">
        <v>7</v>
      </c>
      <c r="F160" s="17" t="s">
        <v>1253</v>
      </c>
      <c r="G160">
        <v>3</v>
      </c>
      <c r="H160" t="s">
        <v>67</v>
      </c>
    </row>
    <row r="161" spans="1:10">
      <c r="A161" s="9">
        <v>160</v>
      </c>
      <c r="B161" t="s">
        <v>334</v>
      </c>
      <c r="C161" s="14" t="str">
        <f t="shared" si="16"/>
        <v>7</v>
      </c>
      <c r="D161" s="17" t="str">
        <f t="shared" si="17"/>
        <v>Servicios financieros y servicios conexos; servicios inmobiliarios; y servicios de alquiler y arrendamiento</v>
      </c>
      <c r="E161" s="17">
        <v>7</v>
      </c>
      <c r="F161" s="17" t="s">
        <v>1253</v>
      </c>
      <c r="G161">
        <v>3</v>
      </c>
      <c r="H161" t="s">
        <v>67</v>
      </c>
    </row>
    <row r="162" spans="1:10">
      <c r="A162" s="9">
        <v>161</v>
      </c>
      <c r="B162" t="s">
        <v>336</v>
      </c>
      <c r="C162" s="14" t="str">
        <f t="shared" si="16"/>
        <v>7</v>
      </c>
      <c r="D162" s="17" t="str">
        <f t="shared" si="17"/>
        <v>Servicios financieros y servicios conexos; servicios inmobiliarios; y servicios de alquiler y arrendamiento</v>
      </c>
      <c r="E162" s="17">
        <v>7</v>
      </c>
      <c r="F162" s="17" t="s">
        <v>1253</v>
      </c>
      <c r="G162">
        <v>3</v>
      </c>
      <c r="H162" t="s">
        <v>67</v>
      </c>
    </row>
    <row r="163" spans="1:10">
      <c r="A163" s="9">
        <v>162</v>
      </c>
      <c r="B163" t="s">
        <v>338</v>
      </c>
      <c r="C163" s="14" t="str">
        <f t="shared" si="16"/>
        <v>7</v>
      </c>
      <c r="D163" s="17" t="str">
        <f t="shared" si="17"/>
        <v>Servicios financieros y servicios conexos; servicios inmobiliarios; y servicios de alquiler y arrendamiento</v>
      </c>
      <c r="E163" s="17">
        <v>7</v>
      </c>
      <c r="F163" s="17" t="s">
        <v>1253</v>
      </c>
      <c r="G163">
        <v>3</v>
      </c>
      <c r="H163" t="s">
        <v>67</v>
      </c>
    </row>
    <row r="164" spans="1:10">
      <c r="A164" s="9">
        <v>163</v>
      </c>
      <c r="B164" t="s">
        <v>340</v>
      </c>
      <c r="C164" s="14" t="str">
        <f t="shared" si="16"/>
        <v>7</v>
      </c>
      <c r="D164" s="17" t="str">
        <f t="shared" si="17"/>
        <v>Servicios financieros y servicios conexos; servicios inmobiliarios; y servicios de alquiler y arrendamiento</v>
      </c>
      <c r="E164" s="17">
        <v>7</v>
      </c>
      <c r="F164" s="17" t="s">
        <v>1253</v>
      </c>
      <c r="G164">
        <v>3</v>
      </c>
      <c r="H164" t="s">
        <v>67</v>
      </c>
    </row>
    <row r="165" spans="1:10">
      <c r="A165" s="9">
        <v>164</v>
      </c>
      <c r="B165" t="s">
        <v>342</v>
      </c>
      <c r="C165" s="14" t="str">
        <f>"8"</f>
        <v>8</v>
      </c>
      <c r="D165" s="17" t="str">
        <f>"Servicios prestados a las empresas y servicios de producción"</f>
        <v>Servicios prestados a las empresas y servicios de producción</v>
      </c>
      <c r="E165" s="17">
        <v>7</v>
      </c>
      <c r="F165" s="17" t="s">
        <v>1253</v>
      </c>
      <c r="G165">
        <v>3</v>
      </c>
      <c r="H165" t="s">
        <v>67</v>
      </c>
    </row>
    <row r="166" spans="1:10">
      <c r="A166" s="9">
        <v>165</v>
      </c>
      <c r="B166" t="s">
        <v>344</v>
      </c>
      <c r="C166" s="14" t="str">
        <f t="shared" ref="C166:C171" si="18">"8"</f>
        <v>8</v>
      </c>
      <c r="D166" s="17" t="str">
        <f t="shared" ref="D166:D171" si="19">"Servicios prestados a las empresas y servicios de producción"</f>
        <v>Servicios prestados a las empresas y servicios de producción</v>
      </c>
      <c r="E166" s="17">
        <v>7</v>
      </c>
      <c r="F166" s="17" t="s">
        <v>1253</v>
      </c>
      <c r="G166">
        <v>3</v>
      </c>
      <c r="H166" t="s">
        <v>67</v>
      </c>
      <c r="J166" s="14"/>
    </row>
    <row r="167" spans="1:10">
      <c r="A167" s="9">
        <v>166</v>
      </c>
      <c r="B167" t="s">
        <v>346</v>
      </c>
      <c r="C167" s="14" t="str">
        <f t="shared" si="18"/>
        <v>8</v>
      </c>
      <c r="D167" s="17" t="str">
        <f t="shared" si="19"/>
        <v>Servicios prestados a las empresas y servicios de producción</v>
      </c>
      <c r="E167" s="17">
        <v>7</v>
      </c>
      <c r="F167" s="17" t="s">
        <v>1253</v>
      </c>
      <c r="G167">
        <v>3</v>
      </c>
      <c r="H167" t="s">
        <v>67</v>
      </c>
      <c r="J167" s="14"/>
    </row>
    <row r="168" spans="1:10">
      <c r="A168" s="9">
        <v>167</v>
      </c>
      <c r="B168" t="s">
        <v>348</v>
      </c>
      <c r="C168" s="14" t="str">
        <f t="shared" si="18"/>
        <v>8</v>
      </c>
      <c r="D168" s="17" t="str">
        <f t="shared" si="19"/>
        <v>Servicios prestados a las empresas y servicios de producción</v>
      </c>
      <c r="E168" s="17">
        <v>7</v>
      </c>
      <c r="F168" s="17" t="s">
        <v>1253</v>
      </c>
      <c r="G168">
        <v>2</v>
      </c>
      <c r="H168" t="s">
        <v>142</v>
      </c>
      <c r="J168" s="14"/>
    </row>
    <row r="169" spans="1:10">
      <c r="A169" s="9">
        <v>168</v>
      </c>
      <c r="B169" t="s">
        <v>350</v>
      </c>
      <c r="C169" s="14" t="str">
        <f t="shared" si="18"/>
        <v>8</v>
      </c>
      <c r="D169" s="17" t="str">
        <f t="shared" si="19"/>
        <v>Servicios prestados a las empresas y servicios de producción</v>
      </c>
      <c r="E169" s="17">
        <v>7</v>
      </c>
      <c r="F169" s="17" t="s">
        <v>1253</v>
      </c>
      <c r="G169">
        <v>3</v>
      </c>
      <c r="H169" t="s">
        <v>67</v>
      </c>
      <c r="J169" s="14"/>
    </row>
    <row r="170" spans="1:10">
      <c r="A170" s="9">
        <v>169</v>
      </c>
      <c r="B170" t="s">
        <v>352</v>
      </c>
      <c r="C170" s="14" t="str">
        <f t="shared" si="18"/>
        <v>8</v>
      </c>
      <c r="D170" s="17" t="str">
        <f t="shared" si="19"/>
        <v>Servicios prestados a las empresas y servicios de producción</v>
      </c>
      <c r="E170" s="17">
        <v>7</v>
      </c>
      <c r="F170" s="17" t="s">
        <v>1253</v>
      </c>
      <c r="G170">
        <v>3</v>
      </c>
      <c r="H170" t="s">
        <v>67</v>
      </c>
      <c r="J170" s="14"/>
    </row>
    <row r="171" spans="1:10">
      <c r="A171" s="9">
        <v>170</v>
      </c>
      <c r="B171" t="s">
        <v>354</v>
      </c>
      <c r="C171" s="14" t="str">
        <f t="shared" si="18"/>
        <v>8</v>
      </c>
      <c r="D171" s="17" t="str">
        <f t="shared" si="19"/>
        <v>Servicios prestados a las empresas y servicios de producción</v>
      </c>
      <c r="E171" s="17">
        <v>7</v>
      </c>
      <c r="F171" s="17" t="s">
        <v>1253</v>
      </c>
      <c r="G171">
        <v>3</v>
      </c>
      <c r="H171" t="s">
        <v>67</v>
      </c>
    </row>
    <row r="172" spans="1:10">
      <c r="A172" s="9">
        <v>171</v>
      </c>
      <c r="B172" t="s">
        <v>356</v>
      </c>
      <c r="C172" s="14" t="str">
        <f>"9"</f>
        <v>9</v>
      </c>
      <c r="D172" s="17" t="str">
        <f>"Servicios para la comunidad, sociales y personales"</f>
        <v>Servicios para la comunidad, sociales y personales</v>
      </c>
      <c r="E172" s="17">
        <v>7</v>
      </c>
      <c r="F172" s="17" t="s">
        <v>1253</v>
      </c>
      <c r="G172">
        <v>3</v>
      </c>
      <c r="H172" t="s">
        <v>67</v>
      </c>
    </row>
    <row r="173" spans="1:10">
      <c r="A173" s="9">
        <v>172</v>
      </c>
      <c r="B173" t="s">
        <v>358</v>
      </c>
      <c r="C173" s="14" t="str">
        <f t="shared" ref="C173:C182" si="20">"9"</f>
        <v>9</v>
      </c>
      <c r="D173" s="17" t="str">
        <f t="shared" ref="D173:D182" si="21">"Servicios para la comunidad, sociales y personales"</f>
        <v>Servicios para la comunidad, sociales y personales</v>
      </c>
      <c r="E173" s="17">
        <v>7</v>
      </c>
      <c r="F173" s="17" t="s">
        <v>1253</v>
      </c>
      <c r="G173">
        <v>3</v>
      </c>
      <c r="H173" t="s">
        <v>67</v>
      </c>
    </row>
    <row r="174" spans="1:10">
      <c r="A174" s="9">
        <v>173</v>
      </c>
      <c r="B174" t="s">
        <v>360</v>
      </c>
      <c r="C174" s="14" t="str">
        <f t="shared" si="20"/>
        <v>9</v>
      </c>
      <c r="D174" s="17" t="str">
        <f t="shared" si="21"/>
        <v>Servicios para la comunidad, sociales y personales</v>
      </c>
      <c r="E174" s="17">
        <v>7</v>
      </c>
      <c r="F174" s="17" t="s">
        <v>1253</v>
      </c>
      <c r="G174">
        <v>3</v>
      </c>
      <c r="H174" t="s">
        <v>67</v>
      </c>
      <c r="J174" s="14"/>
    </row>
    <row r="175" spans="1:10">
      <c r="A175" s="9">
        <v>174</v>
      </c>
      <c r="B175" t="s">
        <v>362</v>
      </c>
      <c r="C175" s="14" t="str">
        <f t="shared" si="20"/>
        <v>9</v>
      </c>
      <c r="D175" s="17" t="str">
        <f t="shared" si="21"/>
        <v>Servicios para la comunidad, sociales y personales</v>
      </c>
      <c r="E175" s="17">
        <v>7</v>
      </c>
      <c r="F175" s="17" t="s">
        <v>1253</v>
      </c>
      <c r="G175">
        <v>3</v>
      </c>
      <c r="H175" t="s">
        <v>67</v>
      </c>
    </row>
    <row r="176" spans="1:10">
      <c r="A176" s="9">
        <v>175</v>
      </c>
      <c r="B176" t="s">
        <v>364</v>
      </c>
      <c r="C176" s="14" t="str">
        <f t="shared" si="20"/>
        <v>9</v>
      </c>
      <c r="D176" s="17" t="str">
        <f t="shared" si="21"/>
        <v>Servicios para la comunidad, sociales y personales</v>
      </c>
      <c r="E176" s="17">
        <v>7</v>
      </c>
      <c r="F176" s="17" t="s">
        <v>1253</v>
      </c>
      <c r="G176">
        <v>3</v>
      </c>
      <c r="H176" t="s">
        <v>67</v>
      </c>
    </row>
    <row r="177" spans="1:10">
      <c r="A177" s="9">
        <v>176</v>
      </c>
      <c r="B177" t="s">
        <v>366</v>
      </c>
      <c r="C177" s="14" t="str">
        <f t="shared" si="20"/>
        <v>9</v>
      </c>
      <c r="D177" s="17" t="str">
        <f t="shared" si="21"/>
        <v>Servicios para la comunidad, sociales y personales</v>
      </c>
      <c r="E177" s="17">
        <v>7</v>
      </c>
      <c r="F177" s="17" t="s">
        <v>1253</v>
      </c>
      <c r="G177">
        <v>3</v>
      </c>
      <c r="H177" t="s">
        <v>67</v>
      </c>
      <c r="J177" s="14"/>
    </row>
    <row r="178" spans="1:10">
      <c r="A178" s="9">
        <v>177</v>
      </c>
      <c r="B178" t="s">
        <v>368</v>
      </c>
      <c r="C178" s="14" t="str">
        <f t="shared" si="20"/>
        <v>9</v>
      </c>
      <c r="D178" s="17" t="str">
        <f t="shared" si="21"/>
        <v>Servicios para la comunidad, sociales y personales</v>
      </c>
      <c r="E178" s="17">
        <v>7</v>
      </c>
      <c r="F178" s="17" t="s">
        <v>1253</v>
      </c>
      <c r="G178">
        <v>3</v>
      </c>
      <c r="H178" t="s">
        <v>67</v>
      </c>
      <c r="J178" s="14"/>
    </row>
    <row r="179" spans="1:10">
      <c r="A179" s="9">
        <v>178</v>
      </c>
      <c r="B179" t="s">
        <v>370</v>
      </c>
      <c r="C179" s="14" t="str">
        <f t="shared" si="20"/>
        <v>9</v>
      </c>
      <c r="D179" s="17" t="str">
        <f t="shared" si="21"/>
        <v>Servicios para la comunidad, sociales y personales</v>
      </c>
      <c r="E179" s="17">
        <v>7</v>
      </c>
      <c r="F179" s="17" t="s">
        <v>1253</v>
      </c>
      <c r="G179">
        <v>3</v>
      </c>
      <c r="H179" t="s">
        <v>67</v>
      </c>
    </row>
    <row r="180" spans="1:10">
      <c r="A180" s="9">
        <v>179</v>
      </c>
      <c r="B180" t="s">
        <v>372</v>
      </c>
      <c r="C180" s="14" t="str">
        <f t="shared" si="20"/>
        <v>9</v>
      </c>
      <c r="D180" s="17" t="str">
        <f t="shared" si="21"/>
        <v>Servicios para la comunidad, sociales y personales</v>
      </c>
      <c r="E180" s="17">
        <v>7</v>
      </c>
      <c r="F180" s="17" t="s">
        <v>1253</v>
      </c>
      <c r="G180">
        <v>3</v>
      </c>
      <c r="H180" t="s">
        <v>67</v>
      </c>
    </row>
    <row r="181" spans="1:10">
      <c r="A181" s="9">
        <v>180</v>
      </c>
      <c r="B181" t="s">
        <v>374</v>
      </c>
      <c r="C181" s="14" t="str">
        <f t="shared" si="20"/>
        <v>9</v>
      </c>
      <c r="D181" s="17" t="str">
        <f t="shared" si="21"/>
        <v>Servicios para la comunidad, sociales y personales</v>
      </c>
      <c r="E181" s="17">
        <v>7</v>
      </c>
      <c r="F181" s="17" t="s">
        <v>1253</v>
      </c>
      <c r="G181">
        <v>3</v>
      </c>
      <c r="H181" t="s">
        <v>67</v>
      </c>
    </row>
    <row r="182" spans="1:10">
      <c r="A182" s="9">
        <v>181</v>
      </c>
      <c r="B182" t="s">
        <v>376</v>
      </c>
      <c r="C182" s="14" t="str">
        <f t="shared" si="20"/>
        <v>9</v>
      </c>
      <c r="D182" s="17" t="str">
        <f t="shared" si="21"/>
        <v>Servicios para la comunidad, sociales y personales</v>
      </c>
      <c r="E182" s="17">
        <v>7</v>
      </c>
      <c r="F182" s="17" t="s">
        <v>1253</v>
      </c>
      <c r="G182">
        <v>3</v>
      </c>
      <c r="H182" t="s">
        <v>67</v>
      </c>
    </row>
    <row r="183" spans="1:10">
      <c r="I183" s="13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&amp;C&amp;"Arial,Regular"&amp;A</oddHeader>
    <oddFooter>&amp;C&amp;"Arial,Regular"Page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Default Template</Template>
  <TotalTime>190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Filas</vt:lpstr>
      <vt:lpstr>Columnas</vt:lpstr>
      <vt:lpstr>FilasC</vt:lpstr>
      <vt:lpstr>ColumnasC</vt:lpstr>
      <vt:lpstr>Actividades</vt:lpstr>
      <vt:lpstr>Transacciones CHL</vt:lpstr>
      <vt:lpstr>Transacciones </vt:lpstr>
      <vt:lpstr>Actividades sin C</vt:lpstr>
      <vt:lpstr>Productos</vt:lpstr>
      <vt:lpstr>Productos sin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Default Template</dc:title>
  <dc:subject/>
  <dc:creator>Renato Vargas</dc:creator>
  <dc:description/>
  <cp:lastModifiedBy>Renato Vargas</cp:lastModifiedBy>
  <cp:revision>29</cp:revision>
  <dcterms:created xsi:type="dcterms:W3CDTF">2025-08-27T18:30:12Z</dcterms:created>
  <dcterms:modified xsi:type="dcterms:W3CDTF">2025-09-01T11:15:19Z</dcterms:modified>
  <dc:language>en-US</dc:language>
</cp:coreProperties>
</file>