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utomatiCOU-ECU\resultados\"/>
    </mc:Choice>
  </mc:AlternateContent>
  <xr:revisionPtr revIDLastSave="0" documentId="13_ncr:1_{3843D850-B4D8-42B5-B7A6-2AC7B3BC56F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multiplicadores bio" sheetId="1" r:id="rId5"/>
  </sheets>
  <calcPr calcId="191029"/>
  <pivotCaches>
    <pivotCache cacheId="0" r:id="rId6"/>
    <pivotCache cacheId="1" r:id="rId7"/>
    <pivotCache cacheId="2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2" i="1"/>
  <c r="G8" i="4" l="1"/>
  <c r="G7" i="4"/>
  <c r="G6" i="4"/>
  <c r="G5" i="4"/>
  <c r="G4" i="4"/>
</calcChain>
</file>

<file path=xl/sharedStrings.xml><?xml version="1.0" encoding="utf-8"?>
<sst xmlns="http://schemas.openxmlformats.org/spreadsheetml/2006/main" count="726" uniqueCount="339">
  <si>
    <t>Código.Clasificación.Actividades</t>
  </si>
  <si>
    <t>Descripción.Actividades</t>
  </si>
  <si>
    <t>CIIU.Compacto</t>
  </si>
  <si>
    <t>CIIU.Compacto.Descripción</t>
  </si>
  <si>
    <t>001001</t>
  </si>
  <si>
    <t>Cultivo de banano, café y cacao</t>
  </si>
  <si>
    <t>A</t>
  </si>
  <si>
    <t>Agricultura</t>
  </si>
  <si>
    <t>002001</t>
  </si>
  <si>
    <t>Cultivo de cereales</t>
  </si>
  <si>
    <t>003001</t>
  </si>
  <si>
    <t>Cultivo de flores</t>
  </si>
  <si>
    <t>004001</t>
  </si>
  <si>
    <t>Cultivo de tubérculos, vegetales, melones y frutas</t>
  </si>
  <si>
    <t>004002</t>
  </si>
  <si>
    <t>Cultivo oleaginosas e industriales</t>
  </si>
  <si>
    <t>004003</t>
  </si>
  <si>
    <t>Actividades de apoyo a los cultivos</t>
  </si>
  <si>
    <t>005001</t>
  </si>
  <si>
    <t>Cría de ganado, otros animales; productos animales; y actividades de apoyo</t>
  </si>
  <si>
    <t>006001</t>
  </si>
  <si>
    <t>Silvicultura, extracción de madera y actividades relacionadas</t>
  </si>
  <si>
    <t>007001</t>
  </si>
  <si>
    <t>Acuicultura y pesca de camarón</t>
  </si>
  <si>
    <t>008001</t>
  </si>
  <si>
    <t>Pesca (excepto camarón)</t>
  </si>
  <si>
    <t>008002</t>
  </si>
  <si>
    <t>Acuicultura (excepto camarón)</t>
  </si>
  <si>
    <t>009001</t>
  </si>
  <si>
    <t>Extracción de petróleo crudo y gas natural</t>
  </si>
  <si>
    <t>B</t>
  </si>
  <si>
    <t>Minería</t>
  </si>
  <si>
    <t>009002</t>
  </si>
  <si>
    <t>Actividades de apoyo a la extracción de petróleo y gas natural</t>
  </si>
  <si>
    <t>010001</t>
  </si>
  <si>
    <t>Explotación de minerales metálicos</t>
  </si>
  <si>
    <t>010002</t>
  </si>
  <si>
    <t>Explotación de minerales no metálicos y actividades de apoyo a las minas y canteras</t>
  </si>
  <si>
    <t>011001</t>
  </si>
  <si>
    <t>Procesamiento y conservación de carne</t>
  </si>
  <si>
    <t>C</t>
  </si>
  <si>
    <t>Manufacturas</t>
  </si>
  <si>
    <t>012001</t>
  </si>
  <si>
    <t>Procesamiento y conservación de camarón</t>
  </si>
  <si>
    <t>013001</t>
  </si>
  <si>
    <t>Procesamiento de pescado y otros productos acuáticos elaborados</t>
  </si>
  <si>
    <t>013002</t>
  </si>
  <si>
    <t>Conservación de especies acuáticas</t>
  </si>
  <si>
    <t>014001</t>
  </si>
  <si>
    <t>Elaboración de aceites y grasas origen vegetal y animal</t>
  </si>
  <si>
    <t>015001</t>
  </si>
  <si>
    <t>Elaboración de productos lácteos</t>
  </si>
  <si>
    <t>016001</t>
  </si>
  <si>
    <t>Elaboración de productos de molinería</t>
  </si>
  <si>
    <t>016002</t>
  </si>
  <si>
    <t>Elaboración de productos de la panadería</t>
  </si>
  <si>
    <t>016003</t>
  </si>
  <si>
    <t>Elaboración de  fideos y de otros productos farináceos</t>
  </si>
  <si>
    <t>017001</t>
  </si>
  <si>
    <t>Elaboración y refinación de azúcar</t>
  </si>
  <si>
    <t>018001</t>
  </si>
  <si>
    <t>Elaboración de cacao, chocolate y productos de confitería</t>
  </si>
  <si>
    <t>019001</t>
  </si>
  <si>
    <t>Elaboración de alimentos preparados para animales</t>
  </si>
  <si>
    <t>019002</t>
  </si>
  <si>
    <t>Elaboración de café</t>
  </si>
  <si>
    <t>019003</t>
  </si>
  <si>
    <t>Elaboración de otros productos alimenticios diversos</t>
  </si>
  <si>
    <t>020001</t>
  </si>
  <si>
    <t>Elaboración bebidas alcohólicas</t>
  </si>
  <si>
    <t>020002</t>
  </si>
  <si>
    <t>Elaboración bebidas no alcohólicas</t>
  </si>
  <si>
    <t>020003</t>
  </si>
  <si>
    <t>Elaboración de productos de tabaco</t>
  </si>
  <si>
    <t>021001</t>
  </si>
  <si>
    <t>Fabricación de hilos, hilados; tejidos y confecciones</t>
  </si>
  <si>
    <t>021002</t>
  </si>
  <si>
    <t>Fabricación de prendas de vestir</t>
  </si>
  <si>
    <t>021003</t>
  </si>
  <si>
    <t>Fabricación de cuero, productos de cuero y calzado</t>
  </si>
  <si>
    <t>022001</t>
  </si>
  <si>
    <t>Producción de madera y productos de madera</t>
  </si>
  <si>
    <t>023001</t>
  </si>
  <si>
    <t>Fabricación de papel y productos de papel</t>
  </si>
  <si>
    <t>024001</t>
  </si>
  <si>
    <t>Fabricación de productos refinados de petróleo y de otros</t>
  </si>
  <si>
    <t>025001</t>
  </si>
  <si>
    <t>Fabricación de sustancias químicas básicas, abonos y plásticos primarios</t>
  </si>
  <si>
    <t>025002</t>
  </si>
  <si>
    <t>Fabricación de otros productos químicos</t>
  </si>
  <si>
    <t>026001</t>
  </si>
  <si>
    <t>Fabricación de productos de caucho</t>
  </si>
  <si>
    <t>026002</t>
  </si>
  <si>
    <t>Fabricación de productos de plástico</t>
  </si>
  <si>
    <t>027001</t>
  </si>
  <si>
    <t>Fabricación de vidrio, productos refractarios y de cerámica</t>
  </si>
  <si>
    <t>027002</t>
  </si>
  <si>
    <t>Fabricación de cemento, artículos de hormigón y piedra</t>
  </si>
  <si>
    <t>028001</t>
  </si>
  <si>
    <t>Fabricación de metales comunes</t>
  </si>
  <si>
    <t>028002</t>
  </si>
  <si>
    <t>Fabricación de productos derivados del metal, excepto maquinaria y equipo</t>
  </si>
  <si>
    <t>029001</t>
  </si>
  <si>
    <t>Fabricación de maquinaria y equipo</t>
  </si>
  <si>
    <t>030001</t>
  </si>
  <si>
    <t>Fabricación de equipo de transporte</t>
  </si>
  <si>
    <t>031001</t>
  </si>
  <si>
    <t>Fabricación de muebles</t>
  </si>
  <si>
    <t>032001</t>
  </si>
  <si>
    <t>Industrias manufactureras n.c.p.</t>
  </si>
  <si>
    <t>033001</t>
  </si>
  <si>
    <t>Generación, captación y distribución de energía eléctrica</t>
  </si>
  <si>
    <t>D - E</t>
  </si>
  <si>
    <t>Servicios básicos y agua</t>
  </si>
  <si>
    <t>033002</t>
  </si>
  <si>
    <t>Captación, depuración y distribución de agua; y saneamiento</t>
  </si>
  <si>
    <t>034001</t>
  </si>
  <si>
    <t>Construcción</t>
  </si>
  <si>
    <t>F</t>
  </si>
  <si>
    <t>035001</t>
  </si>
  <si>
    <t>Comercio al por mayor y al por menor; incluido comercio de vehículos automotores y motocicletas</t>
  </si>
  <si>
    <t>G</t>
  </si>
  <si>
    <t>Comercio</t>
  </si>
  <si>
    <t>035002</t>
  </si>
  <si>
    <t>Servicios de reparación y mantenimiento de vehículos de motor y motocicletas</t>
  </si>
  <si>
    <t>036001</t>
  </si>
  <si>
    <t>Alojamiento</t>
  </si>
  <si>
    <t>H - S</t>
  </si>
  <si>
    <t>Otros servicios</t>
  </si>
  <si>
    <t>036002</t>
  </si>
  <si>
    <t>Servicio de alimento y bebida</t>
  </si>
  <si>
    <t>037001</t>
  </si>
  <si>
    <t>Transporte y almacenamiento</t>
  </si>
  <si>
    <t>038001</t>
  </si>
  <si>
    <t>Actividades postales y de correo</t>
  </si>
  <si>
    <t>038002</t>
  </si>
  <si>
    <t>Comunicaciones e información</t>
  </si>
  <si>
    <t>039001</t>
  </si>
  <si>
    <t>Actividades de servicios financieros</t>
  </si>
  <si>
    <t>040001</t>
  </si>
  <si>
    <t>Financiación de planes de seguro, excepto seguridad social</t>
  </si>
  <si>
    <t>041001</t>
  </si>
  <si>
    <t>Actividades inmobiliarias</t>
  </si>
  <si>
    <t>042001</t>
  </si>
  <si>
    <t>Actividades profesionales, técnicas y administrativas</t>
  </si>
  <si>
    <t>043001</t>
  </si>
  <si>
    <t>Administración pública, defensa; planes de seguridad social obligatoria</t>
  </si>
  <si>
    <t>044001</t>
  </si>
  <si>
    <t>Servicios de enseñanza privado</t>
  </si>
  <si>
    <t>044002</t>
  </si>
  <si>
    <t>Servicios de enseñanza público (no de mercado)</t>
  </si>
  <si>
    <t>045001</t>
  </si>
  <si>
    <t>Servicios sociales y de salud privados</t>
  </si>
  <si>
    <t>045002</t>
  </si>
  <si>
    <t>Servicios sociales y de salud no de mercado (públicos)</t>
  </si>
  <si>
    <t>046001</t>
  </si>
  <si>
    <t>Entretenimiento, recreación y otras actividades de servicios</t>
  </si>
  <si>
    <t>047001</t>
  </si>
  <si>
    <t>Hogares privados con servicio doméstico</t>
  </si>
  <si>
    <t>Sum of Bioeconomía total</t>
  </si>
  <si>
    <t>Deviation_Category</t>
  </si>
  <si>
    <t>3. Sobre la mediana</t>
  </si>
  <si>
    <t>4. Mediana o abajo</t>
  </si>
  <si>
    <t>1. Muy alta</t>
  </si>
  <si>
    <t>2. Alta</t>
  </si>
  <si>
    <t>Row Labels</t>
  </si>
  <si>
    <t>Grand Total</t>
  </si>
  <si>
    <t>Average of Bioeconomía total</t>
  </si>
  <si>
    <t>VA</t>
  </si>
  <si>
    <t>Sum of VA</t>
  </si>
  <si>
    <t>Valor Agregado Bruto</t>
  </si>
  <si>
    <t>Porcentaje</t>
  </si>
  <si>
    <t>Código.Clasificación.Actividades</t>
  </si>
  <si>
    <t>Descripción.Actividades</t>
  </si>
  <si>
    <t>CIIU.Compacto</t>
  </si>
  <si>
    <t>CIIU.Compacto.Descripción</t>
  </si>
  <si>
    <t>Correlativo.Bioeconomía.Actividades</t>
  </si>
  <si>
    <t>Bioeconomía.Actividades</t>
  </si>
  <si>
    <t>Bioeconomía</t>
  </si>
  <si>
    <t>Bioeconomía extendida</t>
  </si>
  <si>
    <t>Bioeconomía total</t>
  </si>
  <si>
    <t>001001</t>
  </si>
  <si>
    <t>Cultivo de banano, café y cacao</t>
  </si>
  <si>
    <t>A</t>
  </si>
  <si>
    <t>Agricultura</t>
  </si>
  <si>
    <t>002001</t>
  </si>
  <si>
    <t>Cultivo de cereales</t>
  </si>
  <si>
    <t>003001</t>
  </si>
  <si>
    <t>Cultivo de flores</t>
  </si>
  <si>
    <t>004001</t>
  </si>
  <si>
    <t>Cultivo de tubérculos, vegetales, melones y frutas</t>
  </si>
  <si>
    <t>004002</t>
  </si>
  <si>
    <t>Cultivo oleaginosas e industriales</t>
  </si>
  <si>
    <t>004003</t>
  </si>
  <si>
    <t>Actividades de apoyo a los cultivos</t>
  </si>
  <si>
    <t>005001</t>
  </si>
  <si>
    <t>Cría de ganado, otros animales; productos animales; y actividades de apoyo</t>
  </si>
  <si>
    <t>006001</t>
  </si>
  <si>
    <t>Silvicultura, extracción de madera y actividades relacionadas</t>
  </si>
  <si>
    <t>007001</t>
  </si>
  <si>
    <t>Acuicultura y pesca de camarón</t>
  </si>
  <si>
    <t>008001</t>
  </si>
  <si>
    <t>Pesca (excepto camarón)</t>
  </si>
  <si>
    <t>008002</t>
  </si>
  <si>
    <t>Acuicultura (excepto camarón)</t>
  </si>
  <si>
    <t>009001</t>
  </si>
  <si>
    <t>Extracción de petróleo crudo y gas natural</t>
  </si>
  <si>
    <t>B</t>
  </si>
  <si>
    <t>Minería</t>
  </si>
  <si>
    <t>No bioeconomía</t>
  </si>
  <si>
    <t>009002</t>
  </si>
  <si>
    <t>Actividades de apoyo a la extracción de petróleo y gas natural</t>
  </si>
  <si>
    <t>010001</t>
  </si>
  <si>
    <t>Explotación de minerales metálicos</t>
  </si>
  <si>
    <t>010002</t>
  </si>
  <si>
    <t>Explotación de minerales no metálicos y actividades de apoyo a las minas y canteras</t>
  </si>
  <si>
    <t>011001</t>
  </si>
  <si>
    <t>Procesamiento y conservación de carne</t>
  </si>
  <si>
    <t>C</t>
  </si>
  <si>
    <t>Manufacturas</t>
  </si>
  <si>
    <t>012001</t>
  </si>
  <si>
    <t>Procesamiento y conservación de camarón</t>
  </si>
  <si>
    <t>013001</t>
  </si>
  <si>
    <t>Procesamiento de pescado y otros productos acuáticos elaborados</t>
  </si>
  <si>
    <t>013002</t>
  </si>
  <si>
    <t>Conservación de especies acuáticas</t>
  </si>
  <si>
    <t>014001</t>
  </si>
  <si>
    <t>Elaboración de aceites y grasas origen vegetal y animal</t>
  </si>
  <si>
    <t>015001</t>
  </si>
  <si>
    <t>Elaboración de productos lácteos</t>
  </si>
  <si>
    <t>016001</t>
  </si>
  <si>
    <t>Elaboración de productos de molinería</t>
  </si>
  <si>
    <t>016002</t>
  </si>
  <si>
    <t>Elaboración de productos de la panadería</t>
  </si>
  <si>
    <t>016003</t>
  </si>
  <si>
    <t>Elaboración de  fideos y de otros productos farináceos</t>
  </si>
  <si>
    <t>017001</t>
  </si>
  <si>
    <t>Elaboración y refinación de azúcar</t>
  </si>
  <si>
    <t>018001</t>
  </si>
  <si>
    <t>Elaboración de cacao, chocolate y productos de confitería</t>
  </si>
  <si>
    <t>019001</t>
  </si>
  <si>
    <t>Elaboración de alimentos preparados para animales</t>
  </si>
  <si>
    <t>019002</t>
  </si>
  <si>
    <t>Elaboración de café</t>
  </si>
  <si>
    <t>019003</t>
  </si>
  <si>
    <t>Elaboración de otros productos alimenticios diversos</t>
  </si>
  <si>
    <t>020001</t>
  </si>
  <si>
    <t>Elaboración bebidas alcohólicas</t>
  </si>
  <si>
    <t>020002</t>
  </si>
  <si>
    <t>Elaboración bebidas no alcohólicas</t>
  </si>
  <si>
    <t>020003</t>
  </si>
  <si>
    <t>Elaboración de productos de tabaco</t>
  </si>
  <si>
    <t>021001</t>
  </si>
  <si>
    <t>Fabricación de hilos, hilados; tejidos y confecciones</t>
  </si>
  <si>
    <t>021002</t>
  </si>
  <si>
    <t>Fabricación de prendas de vestir</t>
  </si>
  <si>
    <t>021003</t>
  </si>
  <si>
    <t>Fabricación de cuero, productos de cuero y calzado</t>
  </si>
  <si>
    <t>022001</t>
  </si>
  <si>
    <t>Producción de madera y productos de madera</t>
  </si>
  <si>
    <t>023001</t>
  </si>
  <si>
    <t>Fabricación de papel y productos de papel</t>
  </si>
  <si>
    <t>024001</t>
  </si>
  <si>
    <t>Fabricación de productos refinados de petróleo y de otros</t>
  </si>
  <si>
    <t>025001</t>
  </si>
  <si>
    <t>Fabricación de sustancias químicas básicas, abonos y plásticos primarios</t>
  </si>
  <si>
    <t>025002</t>
  </si>
  <si>
    <t>Fabricación de otros productos químicos</t>
  </si>
  <si>
    <t>026001</t>
  </si>
  <si>
    <t>Fabricación de productos de caucho</t>
  </si>
  <si>
    <t>026002</t>
  </si>
  <si>
    <t>Fabricación de productos de plástico</t>
  </si>
  <si>
    <t>027001</t>
  </si>
  <si>
    <t>Fabricación de vidrio, productos refractarios y de cerámica</t>
  </si>
  <si>
    <t>027002</t>
  </si>
  <si>
    <t>Fabricación de cemento, artículos de hormigón y piedra</t>
  </si>
  <si>
    <t>028001</t>
  </si>
  <si>
    <t>Fabricación de metales comunes</t>
  </si>
  <si>
    <t>028002</t>
  </si>
  <si>
    <t>Fabricación de productos derivados del metal, excepto maquinaria y equipo</t>
  </si>
  <si>
    <t>029001</t>
  </si>
  <si>
    <t>Fabricación de maquinaria y equipo</t>
  </si>
  <si>
    <t>030001</t>
  </si>
  <si>
    <t>Fabricación de equipo de transporte</t>
  </si>
  <si>
    <t>031001</t>
  </si>
  <si>
    <t>Fabricación de muebles</t>
  </si>
  <si>
    <t>032001</t>
  </si>
  <si>
    <t>Industrias manufactureras n.c.p.</t>
  </si>
  <si>
    <t>033001</t>
  </si>
  <si>
    <t>Generación, captación y distribución de energía eléctrica</t>
  </si>
  <si>
    <t>D - E</t>
  </si>
  <si>
    <t>Servicios básicos y agua</t>
  </si>
  <si>
    <t>033002</t>
  </si>
  <si>
    <t>Captación, depuración y distribución de agua; y saneamiento</t>
  </si>
  <si>
    <t>034001</t>
  </si>
  <si>
    <t>Construcción</t>
  </si>
  <si>
    <t>F</t>
  </si>
  <si>
    <t>035001</t>
  </si>
  <si>
    <t>Comercio al por mayor y al por menor; incluido comercio de vehículos automotores y motocicletas</t>
  </si>
  <si>
    <t>G</t>
  </si>
  <si>
    <t>Comercio</t>
  </si>
  <si>
    <t>035002</t>
  </si>
  <si>
    <t>Servicios de reparación y mantenimiento de vehículos de motor y motocicletas</t>
  </si>
  <si>
    <t>036001</t>
  </si>
  <si>
    <t>Alojamiento</t>
  </si>
  <si>
    <t>H - S</t>
  </si>
  <si>
    <t>Otros servicios</t>
  </si>
  <si>
    <t>036002</t>
  </si>
  <si>
    <t>Servicio de alimento y bebida</t>
  </si>
  <si>
    <t>037001</t>
  </si>
  <si>
    <t>Transporte y almacenamiento</t>
  </si>
  <si>
    <t>038001</t>
  </si>
  <si>
    <t>Actividades postales y de correo</t>
  </si>
  <si>
    <t>038002</t>
  </si>
  <si>
    <t>Comunicaciones e información</t>
  </si>
  <si>
    <t>039001</t>
  </si>
  <si>
    <t>Actividades de servicios financieros</t>
  </si>
  <si>
    <t>040001</t>
  </si>
  <si>
    <t>Financiación de planes de seguro, excepto seguridad social</t>
  </si>
  <si>
    <t>041001</t>
  </si>
  <si>
    <t>Actividades inmobiliarias</t>
  </si>
  <si>
    <t>042001</t>
  </si>
  <si>
    <t>Actividades profesionales, técnicas y administrativas</t>
  </si>
  <si>
    <t>043001</t>
  </si>
  <si>
    <t>Administración pública, defensa; planes de seguridad social obligatoria</t>
  </si>
  <si>
    <t>044001</t>
  </si>
  <si>
    <t>Servicios de enseñanza privado</t>
  </si>
  <si>
    <t>044002</t>
  </si>
  <si>
    <t>Servicios de enseñanza público (no de mercado)</t>
  </si>
  <si>
    <t>045001</t>
  </si>
  <si>
    <t>Servicios sociales y de salud privados</t>
  </si>
  <si>
    <t>045002</t>
  </si>
  <si>
    <t>Servicios sociales y de salud no de mercado (públicos)</t>
  </si>
  <si>
    <t>046001</t>
  </si>
  <si>
    <t>Entretenimiento, recreación y otras actividades de servicios</t>
  </si>
  <si>
    <t>CI Bio + Ext</t>
  </si>
  <si>
    <t>CI Total</t>
  </si>
  <si>
    <t>VA Ajustado</t>
  </si>
  <si>
    <t>Sum of VA Ajustado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</si>
</sst>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0.0%"/>
    <numFmt numFmtId="166" formatCode="#,##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6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2" fontId="2" fillId="2" borderId="0" xfId="0" applyNumberFormat="1" applyFont="1" applyFill="1"/>
    <xf numFmtId="0" fontId="2" fillId="2" borderId="0" xfId="0" applyFont="1" applyFill="1" applyAlignment="1">
      <alignment horizontal="left" indent="1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126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Vargas" refreshedDate="45613.25963252315" createdVersion="8" refreshedVersion="8" minRefreshableVersion="3" recordCount="71" xr:uid="{3458997B-8582-4CC5-9C5C-B90C66747041}">
  <cacheSource type="worksheet">
    <worksheetSource ref="A1:I72" sheet="multiplicadores bio"/>
  </cacheSource>
  <cacheFields count="9">
    <cacheField name="Código.Clasificación.Actividades" numFmtId="0">
      <sharedItems count="71">
        <s v="001001"/>
        <s v="002001"/>
        <s v="003001"/>
        <s v="004001"/>
        <s v="004002"/>
        <s v="004003"/>
        <s v="005001"/>
        <s v="006001"/>
        <s v="007001"/>
        <s v="008001"/>
        <s v="008002"/>
        <s v="009001"/>
        <s v="009002"/>
        <s v="010001"/>
        <s v="010002"/>
        <s v="011001"/>
        <s v="012001"/>
        <s v="013001"/>
        <s v="013002"/>
        <s v="014001"/>
        <s v="015001"/>
        <s v="016001"/>
        <s v="016002"/>
        <s v="016003"/>
        <s v="017001"/>
        <s v="018001"/>
        <s v="019001"/>
        <s v="019002"/>
        <s v="019003"/>
        <s v="020001"/>
        <s v="020002"/>
        <s v="020003"/>
        <s v="021001"/>
        <s v="021002"/>
        <s v="021003"/>
        <s v="022001"/>
        <s v="023001"/>
        <s v="024001"/>
        <s v="025001"/>
        <s v="025002"/>
        <s v="026001"/>
        <s v="026002"/>
        <s v="027001"/>
        <s v="027002"/>
        <s v="028001"/>
        <s v="028002"/>
        <s v="029001"/>
        <s v="030001"/>
        <s v="031001"/>
        <s v="032001"/>
        <s v="033001"/>
        <s v="033002"/>
        <s v="034001"/>
        <s v="035001"/>
        <s v="035002"/>
        <s v="036001"/>
        <s v="036002"/>
        <s v="037001"/>
        <s v="038001"/>
        <s v="038002"/>
        <s v="039001"/>
        <s v="040001"/>
        <s v="041001"/>
        <s v="042001"/>
        <s v="043001"/>
        <s v="044001"/>
        <s v="044002"/>
        <s v="045001"/>
        <s v="045002"/>
        <s v="046001"/>
        <s v="047001"/>
      </sharedItems>
    </cacheField>
    <cacheField name="Descripción.Actividades" numFmtId="0">
      <sharedItems count="71">
        <s v="Cultivo de banano, café y cacao"/>
        <s v="Cultivo de cereales"/>
        <s v="Cultivo de flores"/>
        <s v="Cultivo de tubérculos, vegetales, melones y frutas"/>
        <s v="Cultivo oleaginosas e industriales"/>
        <s v="Actividades de apoyo a los cultivos"/>
        <s v="Cría de ganado, otros animales; productos animales; y actividades de apoyo"/>
        <s v="Silvicultura, extracción de madera y actividades relacionadas"/>
        <s v="Acuicultura y pesca de camarón"/>
        <s v="Pesca (excepto camarón)"/>
        <s v="Acuicultura (excepto camarón)"/>
        <s v="Extracción de petróleo crudo y gas natural"/>
        <s v="Actividades de apoyo a la extracción de petróleo y gas natural"/>
        <s v="Explotación de minerales metálicos"/>
        <s v="Explotación de minerales no metálicos y actividades de apoyo a las minas y canteras"/>
        <s v="Procesamiento y conservación de carne"/>
        <s v="Procesamiento y conservación de camarón"/>
        <s v="Procesamiento de pescado y otros productos acuáticos elaborados"/>
        <s v="Conservación de especies acuáticas"/>
        <s v="Elaboración de aceites y grasas origen vegetal y animal"/>
        <s v="Elaboración de productos lácteos"/>
        <s v="Elaboración de productos de molinería"/>
        <s v="Elaboración de productos de la panadería"/>
        <s v="Elaboración de  fideos y de otros productos farináceos"/>
        <s v="Elaboración y refinación de azúcar"/>
        <s v="Elaboración de cacao, chocolate y productos de confitería"/>
        <s v="Elaboración de alimentos preparados para animales"/>
        <s v="Elaboración de café"/>
        <s v="Elaboración de otros productos alimenticios diversos"/>
        <s v="Elaboración bebidas alcohólicas"/>
        <s v="Elaboración bebidas no alcohólicas"/>
        <s v="Elaboración de productos de tabaco"/>
        <s v="Fabricación de hilos, hilados; tejidos y confecciones"/>
        <s v="Fabricación de prendas de vestir"/>
        <s v="Fabricación de cuero, productos de cuero y calzado"/>
        <s v="Producción de madera y productos de madera"/>
        <s v="Fabricación de papel y productos de papel"/>
        <s v="Fabricación de productos refinados de petróleo y de otros"/>
        <s v="Fabricación de sustancias químicas básicas, abonos y plásticos primarios"/>
        <s v="Fabricación de otros productos químicos"/>
        <s v="Fabricación de productos de caucho"/>
        <s v="Fabricación de productos de plástico"/>
        <s v="Fabricación de vidrio, productos refractarios y de cerámica"/>
        <s v="Fabricación de cemento, artículos de hormigón y piedra"/>
        <s v="Fabricación de metales comunes"/>
        <s v="Fabricación de productos derivados del metal, excepto maquinaria y equipo"/>
        <s v="Fabricación de maquinaria y equipo"/>
        <s v="Fabricación de equipo de transporte"/>
        <s v="Fabricación de muebles"/>
        <s v="Industrias manufactureras n.c.p."/>
        <s v="Generación, captación y distribución de energía eléctrica"/>
        <s v="Captación, depuración y distribución de agua; y saneamiento"/>
        <s v="Construcción"/>
        <s v="Comercio al por mayor y al por menor; incluido comercio de vehículos automotores y motocicletas"/>
        <s v="Servicios de reparación y mantenimiento de vehículos de motor y motocicletas"/>
        <s v="Alojamiento"/>
        <s v="Servicio de alimento y bebida"/>
        <s v="Transporte y almacenamiento"/>
        <s v="Actividades postales y de correo"/>
        <s v="Comunicaciones e información"/>
        <s v="Actividades de servicios financieros"/>
        <s v="Financiación de planes de seguro, excepto seguridad social"/>
        <s v="Actividades inmobiliarias"/>
        <s v="Actividades profesionales, técnicas y administrativas"/>
        <s v="Administración pública, defensa; planes de seguridad social obligatoria"/>
        <s v="Servicios de enseñanza privado"/>
        <s v="Servicios de enseñanza público (no de mercado)"/>
        <s v="Servicios sociales y de salud privados"/>
        <s v="Servicios sociales y de salud no de mercado (públicos)"/>
        <s v="Entretenimiento, recreación y otras actividades de servicios"/>
        <s v="Hogares privados con servicio doméstico"/>
      </sharedItems>
    </cacheField>
    <cacheField name="CIIU.Compacto" numFmtId="0">
      <sharedItems count="7">
        <s v="A"/>
        <s v="B"/>
        <s v="C"/>
        <s v="D - E"/>
        <s v="F"/>
        <s v="G"/>
        <s v="H - S"/>
      </sharedItems>
    </cacheField>
    <cacheField name="CIIU.Compacto.Descripción" numFmtId="0">
      <sharedItems count="7">
        <s v="Agricultura"/>
        <s v="Minería"/>
        <s v="Manufacturas"/>
        <s v="Servicios básicos y agua"/>
        <s v="Construcción"/>
        <s v="Comercio"/>
        <s v="Otros servicios"/>
      </sharedItems>
    </cacheField>
    <cacheField name="Correlativo.Bioeconomía.Actividades" numFmtId="0">
      <sharedItems containsSemiMixedTypes="0" containsString="0" containsNumber="1" containsInteger="1" minValue="1" maxValue="3"/>
    </cacheField>
    <cacheField name="Bioeconomía.Actividades" numFmtId="0">
      <sharedItems count="3">
        <s v="Bioeconomía"/>
        <s v="No bioeconomía"/>
        <s v="Bioeconomía extendida"/>
      </sharedItems>
    </cacheField>
    <cacheField name="Bioeconomía" numFmtId="0">
      <sharedItems containsSemiMixedTypes="0" containsString="0" containsNumber="1" minValue="0" maxValue="0.92992849820184698"/>
    </cacheField>
    <cacheField name="Bioeconomía extendida" numFmtId="0">
      <sharedItems containsSemiMixedTypes="0" containsString="0" containsNumber="1" minValue="0" maxValue="0.53208138010525197"/>
    </cacheField>
    <cacheField name="Bioeconomía total" numFmtId="0">
      <sharedItems containsSemiMixedTypes="0" containsString="0" containsNumber="1" minValue="0" maxValue="1.0111902552529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Vargas" refreshedDate="45613.759733217594" createdVersion="8" refreshedVersion="8" minRefreshableVersion="3" recordCount="70" xr:uid="{EEA3E414-0559-4624-B446-5E779F6B6E60}">
  <cacheSource type="worksheet">
    <worksheetSource ref="A1:J71" sheet="multiplicadores bio"/>
  </cacheSource>
  <cacheFields count="11">
    <cacheField name="Código.Clasificación.Actividades" numFmtId="0">
      <sharedItems/>
    </cacheField>
    <cacheField name="Descripción.Actividades" numFmtId="0">
      <sharedItems count="70">
        <s v="Elaboración de cacao, chocolate y productos de confitería"/>
        <s v="Procesamiento y conservación de camarón"/>
        <s v="Procesamiento y conservación de carne"/>
        <s v="Elaboración de productos lácteos"/>
        <s v="Elaboración de alimentos preparados para animales"/>
        <s v="Elaboración y refinación de azúcar"/>
        <s v="Cría de ganado, otros animales; productos animales; y actividades de apoyo"/>
        <s v="Elaboración de aceites y grasas origen vegetal y animal"/>
        <s v="Elaboración de  fideos y de otros productos farináceos"/>
        <s v="Acuicultura y pesca de camarón"/>
        <s v="Fabricación de muebles"/>
        <s v="Elaboración de café"/>
        <s v="Elaboración de productos de la panadería"/>
        <s v="Fabricación de prendas de vestir"/>
        <s v="Elaboración de otros productos alimenticios diversos"/>
        <s v="Conservación de especies acuáticas"/>
        <s v="Producción de madera y productos de madera"/>
        <s v="Elaboración de productos de molinería"/>
        <s v="Fabricación de cuero, productos de cuero y calzado"/>
        <s v="Elaboración bebidas alcohólicas"/>
        <s v="Fabricación de hilos, hilados; tejidos y confecciones"/>
        <s v="Servicio de alimento y bebida"/>
        <s v="Procesamiento de pescado y otros productos acuáticos elaborados"/>
        <s v="Fabricación de papel y productos de papel"/>
        <s v="Alojamiento"/>
        <s v="Elaboración de productos de tabaco"/>
        <s v="Servicios sociales y de salud no de mercado (públicos)"/>
        <s v="Elaboración bebidas no alcohólicas"/>
        <s v="Pesca (excepto camarón)"/>
        <s v="Cultivo de flores"/>
        <s v="Acuicultura (excepto camarón)"/>
        <s v="Cultivo de banano, café y cacao"/>
        <s v="Entretenimiento, recreación y otras actividades de servicios"/>
        <s v="Construcción"/>
        <s v="Fabricación de otros productos químicos"/>
        <s v="Explotación de minerales no metálicos y actividades de apoyo a las minas y canteras"/>
        <s v="Cultivo oleaginosas e industriales"/>
        <s v="Fabricación de productos de caucho"/>
        <s v="Servicios sociales y de salud privados"/>
        <s v="Cultivo de cereales"/>
        <s v="Administración pública, defensa; planes de seguridad social obligatoria"/>
        <s v="Fabricación de maquinaria y equipo"/>
        <s v="Comunicaciones e información"/>
        <s v="Cultivo de tubérculos, vegetales, melones y frutas"/>
        <s v="Servicios de enseñanza privado"/>
        <s v="Actividades de apoyo a la extracción de petróleo y gas natural"/>
        <s v="Servicios de reparación y mantenimiento de vehículos de motor y motocicletas"/>
        <s v="Fabricación de cemento, artículos de hormigón y piedra"/>
        <s v="Extracción de petróleo crudo y gas natural"/>
        <s v="Generación, captación y distribución de energía eléctrica"/>
        <s v="Servicios de enseñanza público (no de mercado)"/>
        <s v="Industrias manufactureras n.c.p."/>
        <s v="Actividades de servicios financieros"/>
        <s v="Explotación de minerales metálicos"/>
        <s v="Fabricación de productos derivados del metal, excepto maquinaria y equipo"/>
        <s v="Comercio al por mayor y al por menor; incluido comercio de vehículos automotores y motocicletas"/>
        <s v="Financiación de planes de seguro, excepto seguridad social"/>
        <s v="Fabricación de metales comunes"/>
        <s v="Transporte y almacenamiento"/>
        <s v="Captación, depuración y distribución de agua; y saneamiento"/>
        <s v="Silvicultura, extracción de madera y actividades relacionadas"/>
        <s v="Actividades postales y de correo"/>
        <s v="Fabricación de productos de plástico"/>
        <s v="Fabricación de vidrio, productos refractarios y de cerámica"/>
        <s v="Actividades inmobiliarias"/>
        <s v="Actividades de apoyo a los cultivos"/>
        <s v="Actividades profesionales, técnicas y administrativas"/>
        <s v="Fabricación de sustancias químicas básicas, abonos y plásticos primarios"/>
        <s v="Fabricación de equipo de transporte"/>
        <s v="Fabricación de productos refinados de petróleo y de otros"/>
      </sharedItems>
    </cacheField>
    <cacheField name="CIIU.Compacto" numFmtId="0">
      <sharedItems count="7">
        <s v="C"/>
        <s v="A"/>
        <s v="H - S"/>
        <s v="F"/>
        <s v="B"/>
        <s v="G"/>
        <s v="D - E"/>
      </sharedItems>
    </cacheField>
    <cacheField name="CIIU.Compacto.Descripción" numFmtId="0">
      <sharedItems count="7">
        <s v="Manufacturas"/>
        <s v="Agricultura"/>
        <s v="Otros servicios"/>
        <s v="Construcción"/>
        <s v="Minería"/>
        <s v="Comercio"/>
        <s v="Servicios básicos y agua"/>
      </sharedItems>
    </cacheField>
    <cacheField name="Correlativo.Bioeconomía.Actividades" numFmtId="0">
      <sharedItems containsSemiMixedTypes="0" containsString="0" containsNumber="1" containsInteger="1" minValue="1" maxValue="3"/>
    </cacheField>
    <cacheField name="Bioeconomía.Actividades" numFmtId="0">
      <sharedItems count="3">
        <s v="Bioeconomía"/>
        <s v="No bioeconomía"/>
        <s v="Bioeconomía extendida"/>
      </sharedItems>
    </cacheField>
    <cacheField name="Bioeconomía" numFmtId="0">
      <sharedItems containsSemiMixedTypes="0" containsString="0" containsNumber="1" minValue="2.44827986200456E-3" maxValue="0.92992849820184698"/>
    </cacheField>
    <cacheField name="Bioeconomía extendida" numFmtId="0">
      <sharedItems containsSemiMixedTypes="0" containsString="0" containsNumber="1" minValue="1.0315155565786801E-2" maxValue="0.53208138010525197"/>
    </cacheField>
    <cacheField name="Bioeconomía total" numFmtId="0">
      <sharedItems containsSemiMixedTypes="0" containsString="0" containsNumber="1" minValue="1.71464517297189E-2" maxValue="1.0111902552529299"/>
    </cacheField>
    <cacheField name="Jenks_Category" numFmtId="0">
      <sharedItems/>
    </cacheField>
    <cacheField name="Deviation_Category" numFmtId="0">
      <sharedItems count="4">
        <s v="1. Muy alta"/>
        <s v="2. Alta"/>
        <s v="3. Sobre la mediana"/>
        <s v="4. Mediana o abaj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Vargas" refreshedDate="45614.403511574077" createdVersion="8" refreshedVersion="8" minRefreshableVersion="3" recordCount="71" xr:uid="{C667F420-8FF0-493C-9598-E662B16C8B58}">
  <cacheSource type="worksheet">
    <worksheetSource ref="A1:K72" sheet="multiplicadores bio"/>
  </cacheSource>
  <cacheFields count="12">
    <cacheField name="Código.Clasificación.Actividades" numFmtId="0">
      <sharedItems containsBlank="1"/>
    </cacheField>
    <cacheField name="Descripción.Actividades" numFmtId="0">
      <sharedItems containsBlank="1"/>
    </cacheField>
    <cacheField name="CIIU.Compacto" numFmtId="0">
      <sharedItems containsBlank="1"/>
    </cacheField>
    <cacheField name="CIIU.Compacto.Descripción" numFmtId="0">
      <sharedItems containsBlank="1"/>
    </cacheField>
    <cacheField name="Correlativo.Bioeconomía.Actividades" numFmtId="0">
      <sharedItems containsString="0" containsBlank="1" containsNumber="1" containsInteger="1" minValue="1" maxValue="3"/>
    </cacheField>
    <cacheField name="Bioeconomía.Actividades" numFmtId="0">
      <sharedItems containsBlank="1"/>
    </cacheField>
    <cacheField name="Bioeconomía" numFmtId="0">
      <sharedItems containsString="0" containsBlank="1" containsNumber="1" minValue="2.44827986200456E-3" maxValue="0.92992849820184698"/>
    </cacheField>
    <cacheField name="Bioeconomía extendida" numFmtId="0">
      <sharedItems containsString="0" containsBlank="1" containsNumber="1" minValue="1.0315155565786801E-2" maxValue="0.53208138010525197"/>
    </cacheField>
    <cacheField name="Bioeconomía total" numFmtId="0">
      <sharedItems containsString="0" containsBlank="1" containsNumber="1" minValue="1.71464517297189E-2" maxValue="1.0111902552529299"/>
    </cacheField>
    <cacheField name="Jenks_Category" numFmtId="0">
      <sharedItems containsBlank="1"/>
    </cacheField>
    <cacheField name="Deviation_Category" numFmtId="0">
      <sharedItems containsBlank="1" count="5">
        <s v="3. Sobre la mediana"/>
        <s v="4. Mediana o abajo"/>
        <s v="1. Muy alta"/>
        <s v="2. Alta"/>
        <m u="1"/>
      </sharedItems>
    </cacheField>
    <cacheField name="VA" numFmtId="0">
      <sharedItems containsSemiMixedTypes="0" containsString="0" containsNumber="1" containsInteger="1" minValue="42899" maxValue="118166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Vargas" refreshedDate="45622.55260185185" createdVersion="8" refreshedVersion="8" minRefreshableVersion="3" recordCount="70" xr:uid="{5EEB291F-83B9-4B7F-B0E8-64BF98E6AC23}">
  <cacheSource type="worksheet">
    <worksheetSource ref="A1:N71" sheet="multiplicadores bio"/>
  </cacheSource>
  <cacheFields count="14">
    <cacheField name="Código.Clasificación.Actividades" numFmtId="0">
      <sharedItems/>
    </cacheField>
    <cacheField name="Descripción.Actividades" numFmtId="0">
      <sharedItems/>
    </cacheField>
    <cacheField name="CIIU.Compacto" numFmtId="0">
      <sharedItems/>
    </cacheField>
    <cacheField name="CIIU.Compacto.Descripción" numFmtId="0">
      <sharedItems/>
    </cacheField>
    <cacheField name="Correlativo.Bioeconomía.Actividades" numFmtId="0">
      <sharedItems containsSemiMixedTypes="0" containsString="0" containsNumber="1" containsInteger="1" minValue="1" maxValue="3"/>
    </cacheField>
    <cacheField name="Bioeconomía.Actividades" numFmtId="0">
      <sharedItems/>
    </cacheField>
    <cacheField name="Bioeconomía" numFmtId="0">
      <sharedItems containsSemiMixedTypes="0" containsString="0" containsNumber="1" minValue="2.44827986200456E-3" maxValue="0.92992849820184698"/>
    </cacheField>
    <cacheField name="Bioeconomía extendida" numFmtId="0">
      <sharedItems containsSemiMixedTypes="0" containsString="0" containsNumber="1" minValue="1.0315155565786801E-2" maxValue="0.53208138010525197"/>
    </cacheField>
    <cacheField name="Bioeconomía total" numFmtId="0">
      <sharedItems containsSemiMixedTypes="0" containsString="0" containsNumber="1" minValue="1.71464517297189E-2" maxValue="1.0111902552529299"/>
    </cacheField>
    <cacheField name="Deviation_Category" numFmtId="0">
      <sharedItems count="4">
        <s v="3. Sobre la mediana"/>
        <s v="4. Mediana o abajo"/>
        <s v="1. Muy alta"/>
        <s v="2. Alta"/>
      </sharedItems>
    </cacheField>
    <cacheField name="VA" numFmtId="0">
      <sharedItems containsSemiMixedTypes="0" containsString="0" containsNumber="1" containsInteger="1" minValue="42899" maxValue="11816602"/>
    </cacheField>
    <cacheField name="CI Bio + Ext" numFmtId="0">
      <sharedItems containsSemiMixedTypes="0" containsString="0" containsNumber="1" containsInteger="1" minValue="3294" maxValue="2879027"/>
    </cacheField>
    <cacheField name="CI Total" numFmtId="0">
      <sharedItems containsSemiMixedTypes="0" containsString="0" containsNumber="1" containsInteger="1" minValue="38342" maxValue="7913825"/>
    </cacheField>
    <cacheField name="VA Ajustado" numFmtId="0">
      <sharedItems containsSemiMixedTypes="0" containsString="0" containsNumber="1" minValue="1980.10864033705" maxValue="2522740.54711394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x v="0"/>
    <x v="0"/>
    <x v="0"/>
    <n v="1"/>
    <x v="0"/>
    <n v="6.73103686187803E-2"/>
    <n v="0.104288299745372"/>
    <n v="0.171598668364152"/>
  </r>
  <r>
    <x v="1"/>
    <x v="1"/>
    <x v="0"/>
    <x v="0"/>
    <n v="1"/>
    <x v="0"/>
    <n v="1.8308292184278999E-2"/>
    <n v="5.7053349023956999E-2"/>
    <n v="7.5361641208236005E-2"/>
  </r>
  <r>
    <x v="2"/>
    <x v="2"/>
    <x v="0"/>
    <x v="0"/>
    <n v="1"/>
    <x v="0"/>
    <n v="9.5186717710753696E-2"/>
    <n v="9.4116670919867002E-2"/>
    <n v="0.18930338863062099"/>
  </r>
  <r>
    <x v="3"/>
    <x v="3"/>
    <x v="0"/>
    <x v="0"/>
    <n v="1"/>
    <x v="0"/>
    <n v="3.7528426883041199E-2"/>
    <n v="2.7215538187062401E-2"/>
    <n v="6.4743965070103701E-2"/>
  </r>
  <r>
    <x v="4"/>
    <x v="4"/>
    <x v="0"/>
    <x v="0"/>
    <n v="1"/>
    <x v="0"/>
    <n v="2.1826396179302501E-2"/>
    <n v="7.8375354585573598E-2"/>
    <n v="0.100201750764876"/>
  </r>
  <r>
    <x v="5"/>
    <x v="5"/>
    <x v="0"/>
    <x v="0"/>
    <n v="1"/>
    <x v="0"/>
    <n v="9.74101553707858E-3"/>
    <n v="1.4822799483215699E-2"/>
    <n v="2.45638150202943E-2"/>
  </r>
  <r>
    <x v="6"/>
    <x v="6"/>
    <x v="0"/>
    <x v="0"/>
    <n v="1"/>
    <x v="0"/>
    <n v="0.61662074673339995"/>
    <n v="0.13669193588976999"/>
    <n v="0.75331268262317097"/>
  </r>
  <r>
    <x v="7"/>
    <x v="7"/>
    <x v="0"/>
    <x v="0"/>
    <n v="1"/>
    <x v="0"/>
    <n v="1.9175113769940001E-2"/>
    <n v="1.19170469156696E-2"/>
    <n v="3.1092160685609601E-2"/>
  </r>
  <r>
    <x v="8"/>
    <x v="8"/>
    <x v="0"/>
    <x v="0"/>
    <n v="1"/>
    <x v="0"/>
    <n v="0.55681895931276104"/>
    <n v="9.9241994618962007E-2"/>
    <n v="0.65606095393172303"/>
  </r>
  <r>
    <x v="9"/>
    <x v="9"/>
    <x v="0"/>
    <x v="0"/>
    <n v="1"/>
    <x v="0"/>
    <n v="0.174984298238751"/>
    <n v="1.47442566502661E-2"/>
    <n v="0.18972855488901699"/>
  </r>
  <r>
    <x v="10"/>
    <x v="10"/>
    <x v="0"/>
    <x v="0"/>
    <n v="1"/>
    <x v="0"/>
    <n v="9.4098677034403694E-2"/>
    <n v="7.8426453160216805E-2"/>
    <n v="0.17252513019462101"/>
  </r>
  <r>
    <x v="11"/>
    <x v="11"/>
    <x v="1"/>
    <x v="1"/>
    <n v="3"/>
    <x v="1"/>
    <n v="1.49162549587311E-2"/>
    <n v="3.7900345636396701E-2"/>
    <n v="5.2816600595127897E-2"/>
  </r>
  <r>
    <x v="12"/>
    <x v="12"/>
    <x v="1"/>
    <x v="1"/>
    <n v="3"/>
    <x v="1"/>
    <n v="6.6870840181478099E-3"/>
    <n v="5.5968965501155703E-2"/>
    <n v="6.2656049519303494E-2"/>
  </r>
  <r>
    <x v="13"/>
    <x v="13"/>
    <x v="1"/>
    <x v="1"/>
    <n v="3"/>
    <x v="1"/>
    <n v="3.5462189220425502E-2"/>
    <n v="1.06900787613304E-2"/>
    <n v="4.6152267981755903E-2"/>
  </r>
  <r>
    <x v="14"/>
    <x v="14"/>
    <x v="1"/>
    <x v="1"/>
    <n v="3"/>
    <x v="1"/>
    <n v="9.5121943807709206E-2"/>
    <n v="1.0315155565786801E-2"/>
    <n v="0.105437099373496"/>
  </r>
  <r>
    <x v="15"/>
    <x v="15"/>
    <x v="2"/>
    <x v="2"/>
    <n v="1"/>
    <x v="0"/>
    <n v="0.84513809830417597"/>
    <n v="6.6324225052871194E-2"/>
    <n v="0.91146232335704702"/>
  </r>
  <r>
    <x v="16"/>
    <x v="16"/>
    <x v="2"/>
    <x v="2"/>
    <n v="1"/>
    <x v="0"/>
    <n v="0.86019262504554195"/>
    <n v="6.4007460486409207E-2"/>
    <n v="0.92420008553195199"/>
  </r>
  <r>
    <x v="17"/>
    <x v="17"/>
    <x v="2"/>
    <x v="2"/>
    <n v="1"/>
    <x v="0"/>
    <n v="0.39535598690697499"/>
    <n v="2.2855565829256401E-2"/>
    <n v="0.41821155273623201"/>
  </r>
  <r>
    <x v="18"/>
    <x v="18"/>
    <x v="2"/>
    <x v="2"/>
    <n v="1"/>
    <x v="0"/>
    <n v="0.54650278254607199"/>
    <n v="3.56279703813722E-2"/>
    <n v="0.58213075292744398"/>
  </r>
  <r>
    <x v="19"/>
    <x v="19"/>
    <x v="2"/>
    <x v="2"/>
    <n v="1"/>
    <x v="0"/>
    <n v="0.68174512288129097"/>
    <n v="3.3518158395342598E-2"/>
    <n v="0.71526328127663297"/>
  </r>
  <r>
    <x v="20"/>
    <x v="20"/>
    <x v="2"/>
    <x v="2"/>
    <n v="1"/>
    <x v="0"/>
    <n v="0.82540074618445902"/>
    <n v="8.10768909414087E-2"/>
    <n v="0.90647763712586704"/>
  </r>
  <r>
    <x v="21"/>
    <x v="21"/>
    <x v="2"/>
    <x v="2"/>
    <n v="1"/>
    <x v="0"/>
    <n v="0.48994296553786898"/>
    <n v="2.6133305271574502E-2"/>
    <n v="0.51607627080944396"/>
  </r>
  <r>
    <x v="22"/>
    <x v="22"/>
    <x v="2"/>
    <x v="2"/>
    <n v="1"/>
    <x v="0"/>
    <n v="0.595481328194163"/>
    <n v="4.2632823742460503E-2"/>
    <n v="0.63811415193662402"/>
  </r>
  <r>
    <x v="23"/>
    <x v="23"/>
    <x v="2"/>
    <x v="2"/>
    <n v="1"/>
    <x v="0"/>
    <n v="0.61775510673130796"/>
    <n v="4.9227318711107297E-2"/>
    <n v="0.66698242544241604"/>
  </r>
  <r>
    <x v="24"/>
    <x v="24"/>
    <x v="2"/>
    <x v="2"/>
    <n v="1"/>
    <x v="0"/>
    <n v="0.70493791498815495"/>
    <n v="7.8980256772958599E-2"/>
    <n v="0.783918171761114"/>
  </r>
  <r>
    <x v="25"/>
    <x v="25"/>
    <x v="2"/>
    <x v="2"/>
    <n v="1"/>
    <x v="0"/>
    <n v="0.92992849820184698"/>
    <n v="8.1261757051081698E-2"/>
    <n v="1.0111902552529299"/>
  </r>
  <r>
    <x v="26"/>
    <x v="26"/>
    <x v="2"/>
    <x v="2"/>
    <n v="1"/>
    <x v="0"/>
    <n v="0.79995703802294904"/>
    <n v="2.3966044902411301E-2"/>
    <n v="0.82392308292535998"/>
  </r>
  <r>
    <x v="27"/>
    <x v="27"/>
    <x v="2"/>
    <x v="2"/>
    <n v="1"/>
    <x v="0"/>
    <n v="0.562821811008682"/>
    <n v="8.1643805045618204E-2"/>
    <n v="0.64446561605429997"/>
  </r>
  <r>
    <x v="28"/>
    <x v="28"/>
    <x v="2"/>
    <x v="2"/>
    <n v="1"/>
    <x v="0"/>
    <n v="0.53589686795103397"/>
    <n v="4.7836688618766103E-2"/>
    <n v="0.58373355656980097"/>
  </r>
  <r>
    <x v="29"/>
    <x v="29"/>
    <x v="2"/>
    <x v="2"/>
    <n v="1"/>
    <x v="0"/>
    <n v="0.42276757756239702"/>
    <n v="3.4144884184736803E-2"/>
    <n v="0.45691246174713401"/>
  </r>
  <r>
    <x v="30"/>
    <x v="30"/>
    <x v="2"/>
    <x v="2"/>
    <n v="1"/>
    <x v="0"/>
    <n v="0.23436709908953099"/>
    <n v="3.0759112169046501E-2"/>
    <n v="0.26512621125857799"/>
  </r>
  <r>
    <x v="31"/>
    <x v="31"/>
    <x v="2"/>
    <x v="2"/>
    <n v="1"/>
    <x v="0"/>
    <n v="0.19304590139884001"/>
    <n v="8.0545936202189305E-2"/>
    <n v="0.27359183760102901"/>
  </r>
  <r>
    <x v="32"/>
    <x v="32"/>
    <x v="2"/>
    <x v="2"/>
    <n v="2"/>
    <x v="2"/>
    <n v="0.13969580000707499"/>
    <n v="0.31279049286599098"/>
    <n v="0.45248629287306602"/>
  </r>
  <r>
    <x v="33"/>
    <x v="33"/>
    <x v="2"/>
    <x v="2"/>
    <n v="2"/>
    <x v="2"/>
    <n v="5.8722362465348801E-2"/>
    <n v="0.53208138010525197"/>
    <n v="0.59080374257060098"/>
  </r>
  <r>
    <x v="34"/>
    <x v="34"/>
    <x v="2"/>
    <x v="2"/>
    <n v="2"/>
    <x v="2"/>
    <n v="0.34018622658200298"/>
    <n v="0.13026263876114499"/>
    <n v="0.470448865343147"/>
  </r>
  <r>
    <x v="35"/>
    <x v="35"/>
    <x v="2"/>
    <x v="2"/>
    <n v="1"/>
    <x v="0"/>
    <n v="0.503713675201649"/>
    <n v="2.47945701181994E-2"/>
    <n v="0.52850824531984797"/>
  </r>
  <r>
    <x v="36"/>
    <x v="36"/>
    <x v="2"/>
    <x v="2"/>
    <n v="2"/>
    <x v="2"/>
    <n v="5.4338187564845998E-3"/>
    <n v="0.40518410257360299"/>
    <n v="0.41061792133008801"/>
  </r>
  <r>
    <x v="37"/>
    <x v="37"/>
    <x v="2"/>
    <x v="2"/>
    <n v="3"/>
    <x v="1"/>
    <n v="6.13771896506998E-3"/>
    <n v="1.10087327646489E-2"/>
    <n v="1.71464517297189E-2"/>
  </r>
  <r>
    <x v="38"/>
    <x v="38"/>
    <x v="2"/>
    <x v="2"/>
    <n v="2"/>
    <x v="2"/>
    <n v="5.18863402932585E-3"/>
    <n v="1.6230294784945799E-2"/>
    <n v="2.1418928814271598E-2"/>
  </r>
  <r>
    <x v="39"/>
    <x v="39"/>
    <x v="2"/>
    <x v="2"/>
    <n v="3"/>
    <x v="1"/>
    <n v="3.9368189154198499E-2"/>
    <n v="8.1638737285657195E-2"/>
    <n v="0.121006926439856"/>
  </r>
  <r>
    <x v="40"/>
    <x v="40"/>
    <x v="2"/>
    <x v="2"/>
    <n v="3"/>
    <x v="1"/>
    <n v="7.3294980342371599E-2"/>
    <n v="2.6059070931428101E-2"/>
    <n v="9.9354051273799801E-2"/>
  </r>
  <r>
    <x v="41"/>
    <x v="41"/>
    <x v="2"/>
    <x v="2"/>
    <n v="3"/>
    <x v="1"/>
    <n v="2.86554278777338E-3"/>
    <n v="2.4168180024161899E-2"/>
    <n v="2.70337228119353E-2"/>
  </r>
  <r>
    <x v="42"/>
    <x v="42"/>
    <x v="2"/>
    <x v="2"/>
    <n v="3"/>
    <x v="1"/>
    <n v="5.3670784204023197E-3"/>
    <n v="2.1340409243412701E-2"/>
    <n v="2.6707487663815001E-2"/>
  </r>
  <r>
    <x v="43"/>
    <x v="43"/>
    <x v="2"/>
    <x v="2"/>
    <n v="3"/>
    <x v="1"/>
    <n v="1.33877246987069E-2"/>
    <n v="4.5107487156403003E-2"/>
    <n v="5.8495211855109898E-2"/>
  </r>
  <r>
    <x v="44"/>
    <x v="44"/>
    <x v="2"/>
    <x v="2"/>
    <n v="3"/>
    <x v="1"/>
    <n v="1.12951285949997E-2"/>
    <n v="2.4517380721220099E-2"/>
    <n v="3.58125093162198E-2"/>
  </r>
  <r>
    <x v="45"/>
    <x v="45"/>
    <x v="2"/>
    <x v="2"/>
    <n v="3"/>
    <x v="1"/>
    <n v="5.8917965447084402E-3"/>
    <n v="3.9094832154887002E-2"/>
    <n v="4.49866286995955E-2"/>
  </r>
  <r>
    <x v="46"/>
    <x v="46"/>
    <x v="2"/>
    <x v="2"/>
    <n v="3"/>
    <x v="1"/>
    <n v="4.7938488790868601E-2"/>
    <n v="2.29844839136602E-2"/>
    <n v="7.0922972704528797E-2"/>
  </r>
  <r>
    <x v="47"/>
    <x v="47"/>
    <x v="2"/>
    <x v="2"/>
    <n v="3"/>
    <x v="1"/>
    <n v="7.6252571272006301E-3"/>
    <n v="1.03442912442668E-2"/>
    <n v="1.79695483714674E-2"/>
  </r>
  <r>
    <x v="48"/>
    <x v="48"/>
    <x v="2"/>
    <x v="2"/>
    <n v="3"/>
    <x v="1"/>
    <n v="0.57128426814746702"/>
    <n v="7.5151152708335001E-2"/>
    <n v="0.64643542085580297"/>
  </r>
  <r>
    <x v="49"/>
    <x v="49"/>
    <x v="2"/>
    <x v="2"/>
    <n v="3"/>
    <x v="1"/>
    <n v="3.6683454502929903E-2"/>
    <n v="1.20761881374632E-2"/>
    <n v="4.8759642640393099E-2"/>
  </r>
  <r>
    <x v="50"/>
    <x v="50"/>
    <x v="3"/>
    <x v="3"/>
    <n v="3"/>
    <x v="1"/>
    <n v="5.3256862746272303E-3"/>
    <n v="4.5299465160828598E-2"/>
    <n v="5.0625151435455797E-2"/>
  </r>
  <r>
    <x v="51"/>
    <x v="51"/>
    <x v="3"/>
    <x v="3"/>
    <n v="2"/>
    <x v="2"/>
    <n v="2.44827986200456E-3"/>
    <n v="3.1662406147749303E-2"/>
    <n v="3.41106860097539E-2"/>
  </r>
  <r>
    <x v="52"/>
    <x v="52"/>
    <x v="4"/>
    <x v="4"/>
    <n v="3"/>
    <x v="1"/>
    <n v="0.101898439344035"/>
    <n v="1.950306950465E-2"/>
    <n v="0.121401508848685"/>
  </r>
  <r>
    <x v="53"/>
    <x v="53"/>
    <x v="5"/>
    <x v="5"/>
    <n v="3"/>
    <x v="1"/>
    <n v="4.8750258962405998E-3"/>
    <n v="3.6674176755096301E-2"/>
    <n v="4.1549202651336901E-2"/>
  </r>
  <r>
    <x v="54"/>
    <x v="54"/>
    <x v="5"/>
    <x v="5"/>
    <n v="3"/>
    <x v="1"/>
    <n v="3.6996180263541801E-3"/>
    <n v="5.5804200841037599E-2"/>
    <n v="5.9503818867391797E-2"/>
  </r>
  <r>
    <x v="55"/>
    <x v="55"/>
    <x v="6"/>
    <x v="6"/>
    <n v="3"/>
    <x v="1"/>
    <n v="0.253483796028732"/>
    <n v="7.1340030582808397E-2"/>
    <n v="0.32482382661154102"/>
  </r>
  <r>
    <x v="56"/>
    <x v="56"/>
    <x v="6"/>
    <x v="6"/>
    <n v="2"/>
    <x v="2"/>
    <n v="0.40007680517003402"/>
    <n v="2.4889693770093299E-2"/>
    <n v="0.424966498940127"/>
  </r>
  <r>
    <x v="57"/>
    <x v="57"/>
    <x v="6"/>
    <x v="6"/>
    <n v="3"/>
    <x v="1"/>
    <n v="9.5736316256659296E-3"/>
    <n v="2.5838756363189899E-2"/>
    <n v="3.5412387988855799E-2"/>
  </r>
  <r>
    <x v="58"/>
    <x v="58"/>
    <x v="6"/>
    <x v="6"/>
    <n v="3"/>
    <x v="1"/>
    <n v="3.9898839630747697E-3"/>
    <n v="2.6646854400351801E-2"/>
    <n v="3.0636738363426501E-2"/>
  </r>
  <r>
    <x v="59"/>
    <x v="59"/>
    <x v="6"/>
    <x v="6"/>
    <n v="3"/>
    <x v="1"/>
    <n v="1.37270462700317E-2"/>
    <n v="5.2815846320670698E-2"/>
    <n v="6.6542892590702396E-2"/>
  </r>
  <r>
    <x v="60"/>
    <x v="60"/>
    <x v="6"/>
    <x v="6"/>
    <n v="3"/>
    <x v="1"/>
    <n v="8.7655979032731594E-3"/>
    <n v="3.8771204315285697E-2"/>
    <n v="4.7536802218558799E-2"/>
  </r>
  <r>
    <x v="61"/>
    <x v="61"/>
    <x v="6"/>
    <x v="6"/>
    <n v="3"/>
    <x v="1"/>
    <n v="7.5004336869039399E-3"/>
    <n v="2.8961889385858999E-2"/>
    <n v="3.6462323072763002E-2"/>
  </r>
  <r>
    <x v="62"/>
    <x v="62"/>
    <x v="6"/>
    <x v="6"/>
    <n v="3"/>
    <x v="1"/>
    <n v="1.6188801758380601E-2"/>
    <n v="1.04312596138065E-2"/>
    <n v="2.6620061372187101E-2"/>
  </r>
  <r>
    <x v="63"/>
    <x v="63"/>
    <x v="6"/>
    <x v="6"/>
    <n v="2"/>
    <x v="2"/>
    <n v="2.9342043381049201E-3"/>
    <n v="1.9835182624253999E-2"/>
    <n v="2.27693869623589E-2"/>
  </r>
  <r>
    <x v="64"/>
    <x v="64"/>
    <x v="6"/>
    <x v="6"/>
    <n v="3"/>
    <x v="1"/>
    <n v="3.2375496322091198E-2"/>
    <n v="4.03402634268114E-2"/>
    <n v="7.27157597489025E-2"/>
  </r>
  <r>
    <x v="65"/>
    <x v="65"/>
    <x v="6"/>
    <x v="6"/>
    <n v="3"/>
    <x v="1"/>
    <n v="3.7430546681806502E-2"/>
    <n v="2.5316227699649099E-2"/>
    <n v="6.2746774381455594E-2"/>
  </r>
  <r>
    <x v="66"/>
    <x v="66"/>
    <x v="6"/>
    <x v="6"/>
    <n v="3"/>
    <x v="1"/>
    <n v="1.0231516921265499E-2"/>
    <n v="4.0148235238121298E-2"/>
    <n v="5.0379752159386802E-2"/>
  </r>
  <r>
    <x v="67"/>
    <x v="67"/>
    <x v="6"/>
    <x v="6"/>
    <n v="3"/>
    <x v="1"/>
    <n v="2.3598834573120901E-2"/>
    <n v="6.9446178470511905E-2"/>
    <n v="9.3045013043632802E-2"/>
  </r>
  <r>
    <x v="68"/>
    <x v="68"/>
    <x v="6"/>
    <x v="6"/>
    <n v="3"/>
    <x v="1"/>
    <n v="2.1543923276585102E-2"/>
    <n v="0.24436780585349599"/>
    <n v="0.26591172913008099"/>
  </r>
  <r>
    <x v="69"/>
    <x v="69"/>
    <x v="6"/>
    <x v="6"/>
    <n v="3"/>
    <x v="1"/>
    <n v="8.2845941117346694E-2"/>
    <n v="6.7276613659828302E-2"/>
    <n v="0.15012255477717501"/>
  </r>
  <r>
    <x v="70"/>
    <x v="70"/>
    <x v="6"/>
    <x v="6"/>
    <n v="3"/>
    <x v="1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018001"/>
    <x v="0"/>
    <x v="0"/>
    <x v="0"/>
    <n v="1"/>
    <x v="0"/>
    <n v="0.92992849820184698"/>
    <n v="8.1261757051081698E-2"/>
    <n v="1.0111902552529299"/>
    <s v="Class 3"/>
    <x v="0"/>
  </r>
  <r>
    <s v="012001"/>
    <x v="1"/>
    <x v="0"/>
    <x v="0"/>
    <n v="1"/>
    <x v="0"/>
    <n v="0.86019262504554195"/>
    <n v="6.4007460486409207E-2"/>
    <n v="0.92420008553195199"/>
    <s v="Class 3"/>
    <x v="0"/>
  </r>
  <r>
    <s v="011001"/>
    <x v="2"/>
    <x v="0"/>
    <x v="0"/>
    <n v="1"/>
    <x v="0"/>
    <n v="0.84513809830417597"/>
    <n v="6.6324225052871194E-2"/>
    <n v="0.91146232335704702"/>
    <s v="Class 3"/>
    <x v="0"/>
  </r>
  <r>
    <s v="015001"/>
    <x v="3"/>
    <x v="0"/>
    <x v="0"/>
    <n v="1"/>
    <x v="0"/>
    <n v="0.82540074618445902"/>
    <n v="8.10768909414087E-2"/>
    <n v="0.90647763712586704"/>
    <s v="Class 3"/>
    <x v="0"/>
  </r>
  <r>
    <s v="019001"/>
    <x v="4"/>
    <x v="0"/>
    <x v="0"/>
    <n v="1"/>
    <x v="0"/>
    <n v="0.79995703802294904"/>
    <n v="2.3966044902411301E-2"/>
    <n v="0.82392308292535998"/>
    <s v="Class 3"/>
    <x v="0"/>
  </r>
  <r>
    <s v="017001"/>
    <x v="5"/>
    <x v="0"/>
    <x v="0"/>
    <n v="1"/>
    <x v="0"/>
    <n v="0.70493791498815495"/>
    <n v="7.8980256772958599E-2"/>
    <n v="0.783918171761114"/>
    <s v="Class 3"/>
    <x v="0"/>
  </r>
  <r>
    <s v="005001"/>
    <x v="6"/>
    <x v="1"/>
    <x v="1"/>
    <n v="1"/>
    <x v="0"/>
    <n v="0.61662074673339995"/>
    <n v="0.13669193588976999"/>
    <n v="0.75331268262317097"/>
    <s v="Class 3"/>
    <x v="0"/>
  </r>
  <r>
    <s v="014001"/>
    <x v="7"/>
    <x v="0"/>
    <x v="0"/>
    <n v="1"/>
    <x v="0"/>
    <n v="0.68174512288129097"/>
    <n v="3.3518158395342598E-2"/>
    <n v="0.71526328127663297"/>
    <s v="Class 3"/>
    <x v="0"/>
  </r>
  <r>
    <s v="016003"/>
    <x v="8"/>
    <x v="0"/>
    <x v="0"/>
    <n v="1"/>
    <x v="0"/>
    <n v="0.61775510673130796"/>
    <n v="4.9227318711107297E-2"/>
    <n v="0.66698242544241604"/>
    <s v="Class 2"/>
    <x v="0"/>
  </r>
  <r>
    <s v="007001"/>
    <x v="9"/>
    <x v="1"/>
    <x v="1"/>
    <n v="1"/>
    <x v="0"/>
    <n v="0.55681895931276104"/>
    <n v="9.9241994618962007E-2"/>
    <n v="0.65606095393172303"/>
    <s v="Class 2"/>
    <x v="0"/>
  </r>
  <r>
    <s v="031001"/>
    <x v="10"/>
    <x v="0"/>
    <x v="0"/>
    <n v="3"/>
    <x v="1"/>
    <n v="0.57128426814746702"/>
    <n v="7.5151152708335001E-2"/>
    <n v="0.64643542085580297"/>
    <s v="Class 2"/>
    <x v="0"/>
  </r>
  <r>
    <s v="019002"/>
    <x v="11"/>
    <x v="0"/>
    <x v="0"/>
    <n v="1"/>
    <x v="0"/>
    <n v="0.562821811008682"/>
    <n v="8.1643805045618204E-2"/>
    <n v="0.64446561605429997"/>
    <s v="Class 2"/>
    <x v="0"/>
  </r>
  <r>
    <s v="016002"/>
    <x v="12"/>
    <x v="0"/>
    <x v="0"/>
    <n v="1"/>
    <x v="0"/>
    <n v="0.595481328194163"/>
    <n v="4.2632823742460503E-2"/>
    <n v="0.63811415193662402"/>
    <s v="Class 2"/>
    <x v="0"/>
  </r>
  <r>
    <s v="021002"/>
    <x v="13"/>
    <x v="0"/>
    <x v="0"/>
    <n v="2"/>
    <x v="2"/>
    <n v="5.8722362465348801E-2"/>
    <n v="0.53208138010525197"/>
    <n v="0.59080374257060098"/>
    <s v="Class 2"/>
    <x v="0"/>
  </r>
  <r>
    <s v="019003"/>
    <x v="14"/>
    <x v="0"/>
    <x v="0"/>
    <n v="1"/>
    <x v="0"/>
    <n v="0.53589686795103397"/>
    <n v="4.7836688618766103E-2"/>
    <n v="0.58373355656980097"/>
    <s v="Class 2"/>
    <x v="0"/>
  </r>
  <r>
    <s v="013002"/>
    <x v="15"/>
    <x v="0"/>
    <x v="0"/>
    <n v="1"/>
    <x v="0"/>
    <n v="0.54650278254607199"/>
    <n v="3.56279703813722E-2"/>
    <n v="0.58213075292744398"/>
    <s v="Class 2"/>
    <x v="0"/>
  </r>
  <r>
    <s v="022001"/>
    <x v="16"/>
    <x v="0"/>
    <x v="0"/>
    <n v="1"/>
    <x v="0"/>
    <n v="0.503713675201649"/>
    <n v="2.47945701181994E-2"/>
    <n v="0.52850824531984797"/>
    <s v="Class 2"/>
    <x v="0"/>
  </r>
  <r>
    <s v="016001"/>
    <x v="17"/>
    <x v="0"/>
    <x v="0"/>
    <n v="1"/>
    <x v="0"/>
    <n v="0.48994296553786898"/>
    <n v="2.6133305271574502E-2"/>
    <n v="0.51607627080944396"/>
    <s v="Class 2"/>
    <x v="0"/>
  </r>
  <r>
    <s v="021003"/>
    <x v="18"/>
    <x v="0"/>
    <x v="0"/>
    <n v="2"/>
    <x v="2"/>
    <n v="0.34018622658200298"/>
    <n v="0.13026263876114499"/>
    <n v="0.470448865343147"/>
    <s v="Class 2"/>
    <x v="0"/>
  </r>
  <r>
    <s v="020001"/>
    <x v="19"/>
    <x v="0"/>
    <x v="0"/>
    <n v="1"/>
    <x v="0"/>
    <n v="0.42276757756239702"/>
    <n v="3.4144884184736803E-2"/>
    <n v="0.45691246174713401"/>
    <s v="Class 2"/>
    <x v="0"/>
  </r>
  <r>
    <s v="021001"/>
    <x v="20"/>
    <x v="0"/>
    <x v="0"/>
    <n v="2"/>
    <x v="2"/>
    <n v="0.13969580000707499"/>
    <n v="0.31279049286599098"/>
    <n v="0.45248629287306602"/>
    <s v="Class 2"/>
    <x v="0"/>
  </r>
  <r>
    <s v="036002"/>
    <x v="21"/>
    <x v="2"/>
    <x v="2"/>
    <n v="2"/>
    <x v="2"/>
    <n v="0.40007680517003402"/>
    <n v="2.4889693770093299E-2"/>
    <n v="0.424966498940127"/>
    <s v="Class 2"/>
    <x v="0"/>
  </r>
  <r>
    <s v="013001"/>
    <x v="22"/>
    <x v="0"/>
    <x v="0"/>
    <n v="1"/>
    <x v="0"/>
    <n v="0.39535598690697499"/>
    <n v="2.2855565829256401E-2"/>
    <n v="0.41821155273623201"/>
    <s v="Class 2"/>
    <x v="0"/>
  </r>
  <r>
    <s v="023001"/>
    <x v="23"/>
    <x v="0"/>
    <x v="0"/>
    <n v="2"/>
    <x v="2"/>
    <n v="5.4338187564845998E-3"/>
    <n v="0.40518410257360299"/>
    <n v="0.41061792133008801"/>
    <s v="Class 2"/>
    <x v="0"/>
  </r>
  <r>
    <s v="036001"/>
    <x v="24"/>
    <x v="2"/>
    <x v="2"/>
    <n v="3"/>
    <x v="1"/>
    <n v="0.253483796028732"/>
    <n v="7.1340030582808397E-2"/>
    <n v="0.32482382661154102"/>
    <s v="Class 2"/>
    <x v="1"/>
  </r>
  <r>
    <s v="020003"/>
    <x v="25"/>
    <x v="0"/>
    <x v="0"/>
    <n v="1"/>
    <x v="0"/>
    <n v="0.19304590139884001"/>
    <n v="8.0545936202189305E-2"/>
    <n v="0.27359183760102901"/>
    <s v="Class 1"/>
    <x v="1"/>
  </r>
  <r>
    <s v="045002"/>
    <x v="26"/>
    <x v="2"/>
    <x v="2"/>
    <n v="3"/>
    <x v="1"/>
    <n v="2.1543923276585102E-2"/>
    <n v="0.24436780585349599"/>
    <n v="0.26591172913008099"/>
    <s v="Class 1"/>
    <x v="1"/>
  </r>
  <r>
    <s v="020002"/>
    <x v="27"/>
    <x v="0"/>
    <x v="0"/>
    <n v="1"/>
    <x v="0"/>
    <n v="0.23436709908953099"/>
    <n v="3.0759112169046501E-2"/>
    <n v="0.26512621125857799"/>
    <s v="Class 1"/>
    <x v="1"/>
  </r>
  <r>
    <s v="008001"/>
    <x v="28"/>
    <x v="1"/>
    <x v="1"/>
    <n v="1"/>
    <x v="0"/>
    <n v="0.174984298238751"/>
    <n v="1.47442566502661E-2"/>
    <n v="0.18972855488901699"/>
    <s v="Class 1"/>
    <x v="2"/>
  </r>
  <r>
    <s v="003001"/>
    <x v="29"/>
    <x v="1"/>
    <x v="1"/>
    <n v="1"/>
    <x v="0"/>
    <n v="9.5186717710753696E-2"/>
    <n v="9.4116670919867002E-2"/>
    <n v="0.18930338863062099"/>
    <s v="Class 1"/>
    <x v="2"/>
  </r>
  <r>
    <s v="008002"/>
    <x v="30"/>
    <x v="1"/>
    <x v="1"/>
    <n v="1"/>
    <x v="0"/>
    <n v="9.4098677034403694E-2"/>
    <n v="7.8426453160216805E-2"/>
    <n v="0.17252513019462101"/>
    <s v="Class 1"/>
    <x v="2"/>
  </r>
  <r>
    <s v="001001"/>
    <x v="31"/>
    <x v="1"/>
    <x v="1"/>
    <n v="1"/>
    <x v="0"/>
    <n v="6.73103686187803E-2"/>
    <n v="0.104288299745372"/>
    <n v="0.171598668364152"/>
    <s v="Class 1"/>
    <x v="2"/>
  </r>
  <r>
    <s v="046001"/>
    <x v="32"/>
    <x v="2"/>
    <x v="2"/>
    <n v="3"/>
    <x v="1"/>
    <n v="8.2845941117346694E-2"/>
    <n v="6.7276613659828302E-2"/>
    <n v="0.15012255477717501"/>
    <s v="Class 1"/>
    <x v="2"/>
  </r>
  <r>
    <s v="034001"/>
    <x v="33"/>
    <x v="3"/>
    <x v="3"/>
    <n v="3"/>
    <x v="1"/>
    <n v="0.101898439344035"/>
    <n v="1.950306950465E-2"/>
    <n v="0.121401508848685"/>
    <s v="Class 1"/>
    <x v="2"/>
  </r>
  <r>
    <s v="025002"/>
    <x v="34"/>
    <x v="0"/>
    <x v="0"/>
    <n v="3"/>
    <x v="1"/>
    <n v="3.9368189154198499E-2"/>
    <n v="8.1638737285657195E-2"/>
    <n v="0.121006926439856"/>
    <s v="Class 1"/>
    <x v="2"/>
  </r>
  <r>
    <s v="010002"/>
    <x v="35"/>
    <x v="4"/>
    <x v="4"/>
    <n v="3"/>
    <x v="1"/>
    <n v="9.5121943807709206E-2"/>
    <n v="1.0315155565786801E-2"/>
    <n v="0.105437099373496"/>
    <s v="Class 1"/>
    <x v="3"/>
  </r>
  <r>
    <s v="004002"/>
    <x v="36"/>
    <x v="1"/>
    <x v="1"/>
    <n v="1"/>
    <x v="0"/>
    <n v="2.1826396179302501E-2"/>
    <n v="7.8375354585573598E-2"/>
    <n v="0.100201750764876"/>
    <s v="Class 1"/>
    <x v="3"/>
  </r>
  <r>
    <s v="026001"/>
    <x v="37"/>
    <x v="0"/>
    <x v="0"/>
    <n v="3"/>
    <x v="1"/>
    <n v="7.3294980342371599E-2"/>
    <n v="2.6059070931428101E-2"/>
    <n v="9.9354051273799801E-2"/>
    <s v="Class 1"/>
    <x v="3"/>
  </r>
  <r>
    <s v="045001"/>
    <x v="38"/>
    <x v="2"/>
    <x v="2"/>
    <n v="3"/>
    <x v="1"/>
    <n v="2.3598834573120901E-2"/>
    <n v="6.9446178470511905E-2"/>
    <n v="9.3045013043632802E-2"/>
    <s v="Class 1"/>
    <x v="3"/>
  </r>
  <r>
    <s v="002001"/>
    <x v="39"/>
    <x v="1"/>
    <x v="1"/>
    <n v="1"/>
    <x v="0"/>
    <n v="1.8308292184278999E-2"/>
    <n v="5.7053349023956999E-2"/>
    <n v="7.5361641208236005E-2"/>
    <s v="Class 1"/>
    <x v="3"/>
  </r>
  <r>
    <s v="043001"/>
    <x v="40"/>
    <x v="2"/>
    <x v="2"/>
    <n v="3"/>
    <x v="1"/>
    <n v="3.2375496322091198E-2"/>
    <n v="4.03402634268114E-2"/>
    <n v="7.27157597489025E-2"/>
    <s v="Class 1"/>
    <x v="3"/>
  </r>
  <r>
    <s v="029001"/>
    <x v="41"/>
    <x v="0"/>
    <x v="0"/>
    <n v="3"/>
    <x v="1"/>
    <n v="4.7938488790868601E-2"/>
    <n v="2.29844839136602E-2"/>
    <n v="7.0922972704528797E-2"/>
    <s v="Class 1"/>
    <x v="3"/>
  </r>
  <r>
    <s v="038002"/>
    <x v="42"/>
    <x v="2"/>
    <x v="2"/>
    <n v="3"/>
    <x v="1"/>
    <n v="1.37270462700317E-2"/>
    <n v="5.2815846320670698E-2"/>
    <n v="6.6542892590702396E-2"/>
    <s v="Class 1"/>
    <x v="3"/>
  </r>
  <r>
    <s v="004001"/>
    <x v="43"/>
    <x v="1"/>
    <x v="1"/>
    <n v="1"/>
    <x v="0"/>
    <n v="3.7528426883041199E-2"/>
    <n v="2.7215538187062401E-2"/>
    <n v="6.4743965070103701E-2"/>
    <s v="Class 1"/>
    <x v="3"/>
  </r>
  <r>
    <s v="044001"/>
    <x v="44"/>
    <x v="2"/>
    <x v="2"/>
    <n v="3"/>
    <x v="1"/>
    <n v="3.7430546681806502E-2"/>
    <n v="2.5316227699649099E-2"/>
    <n v="6.2746774381455594E-2"/>
    <s v="Class 1"/>
    <x v="3"/>
  </r>
  <r>
    <s v="009002"/>
    <x v="45"/>
    <x v="4"/>
    <x v="4"/>
    <n v="3"/>
    <x v="1"/>
    <n v="6.6870840181478099E-3"/>
    <n v="5.5968965501155703E-2"/>
    <n v="6.2656049519303494E-2"/>
    <s v="Class 1"/>
    <x v="3"/>
  </r>
  <r>
    <s v="035002"/>
    <x v="46"/>
    <x v="5"/>
    <x v="5"/>
    <n v="3"/>
    <x v="1"/>
    <n v="3.6996180263541801E-3"/>
    <n v="5.5804200841037599E-2"/>
    <n v="5.9503818867391797E-2"/>
    <s v="Class 1"/>
    <x v="3"/>
  </r>
  <r>
    <s v="027002"/>
    <x v="47"/>
    <x v="0"/>
    <x v="0"/>
    <n v="3"/>
    <x v="1"/>
    <n v="1.33877246987069E-2"/>
    <n v="4.5107487156403003E-2"/>
    <n v="5.8495211855109898E-2"/>
    <s v="Class 1"/>
    <x v="3"/>
  </r>
  <r>
    <s v="009001"/>
    <x v="48"/>
    <x v="4"/>
    <x v="4"/>
    <n v="3"/>
    <x v="1"/>
    <n v="1.49162549587311E-2"/>
    <n v="3.7900345636396701E-2"/>
    <n v="5.2816600595127897E-2"/>
    <s v="Class 1"/>
    <x v="3"/>
  </r>
  <r>
    <s v="033001"/>
    <x v="49"/>
    <x v="6"/>
    <x v="6"/>
    <n v="3"/>
    <x v="1"/>
    <n v="5.3256862746272303E-3"/>
    <n v="4.5299465160828598E-2"/>
    <n v="5.0625151435455797E-2"/>
    <s v="Class 1"/>
    <x v="3"/>
  </r>
  <r>
    <s v="044002"/>
    <x v="50"/>
    <x v="2"/>
    <x v="2"/>
    <n v="3"/>
    <x v="1"/>
    <n v="1.0231516921265499E-2"/>
    <n v="4.0148235238121298E-2"/>
    <n v="5.0379752159386802E-2"/>
    <s v="Class 1"/>
    <x v="3"/>
  </r>
  <r>
    <s v="032001"/>
    <x v="51"/>
    <x v="0"/>
    <x v="0"/>
    <n v="3"/>
    <x v="1"/>
    <n v="3.6683454502929903E-2"/>
    <n v="1.20761881374632E-2"/>
    <n v="4.8759642640393099E-2"/>
    <s v="Class 1"/>
    <x v="3"/>
  </r>
  <r>
    <s v="039001"/>
    <x v="52"/>
    <x v="2"/>
    <x v="2"/>
    <n v="3"/>
    <x v="1"/>
    <n v="8.7655979032731594E-3"/>
    <n v="3.8771204315285697E-2"/>
    <n v="4.7536802218558799E-2"/>
    <s v="Class 1"/>
    <x v="3"/>
  </r>
  <r>
    <s v="010001"/>
    <x v="53"/>
    <x v="4"/>
    <x v="4"/>
    <n v="3"/>
    <x v="1"/>
    <n v="3.5462189220425502E-2"/>
    <n v="1.06900787613304E-2"/>
    <n v="4.6152267981755903E-2"/>
    <s v="Class 1"/>
    <x v="3"/>
  </r>
  <r>
    <s v="028002"/>
    <x v="54"/>
    <x v="0"/>
    <x v="0"/>
    <n v="3"/>
    <x v="1"/>
    <n v="5.8917965447084402E-3"/>
    <n v="3.9094832154887002E-2"/>
    <n v="4.49866286995955E-2"/>
    <s v="Class 1"/>
    <x v="3"/>
  </r>
  <r>
    <s v="035001"/>
    <x v="55"/>
    <x v="5"/>
    <x v="5"/>
    <n v="3"/>
    <x v="1"/>
    <n v="4.8750258962405998E-3"/>
    <n v="3.6674176755096301E-2"/>
    <n v="4.1549202651336901E-2"/>
    <s v="Class 1"/>
    <x v="3"/>
  </r>
  <r>
    <s v="040001"/>
    <x v="56"/>
    <x v="2"/>
    <x v="2"/>
    <n v="3"/>
    <x v="1"/>
    <n v="7.5004336869039399E-3"/>
    <n v="2.8961889385858999E-2"/>
    <n v="3.6462323072763002E-2"/>
    <s v="Class 1"/>
    <x v="3"/>
  </r>
  <r>
    <s v="028001"/>
    <x v="57"/>
    <x v="0"/>
    <x v="0"/>
    <n v="3"/>
    <x v="1"/>
    <n v="1.12951285949997E-2"/>
    <n v="2.4517380721220099E-2"/>
    <n v="3.58125093162198E-2"/>
    <s v="Class 1"/>
    <x v="3"/>
  </r>
  <r>
    <s v="037001"/>
    <x v="58"/>
    <x v="2"/>
    <x v="2"/>
    <n v="3"/>
    <x v="1"/>
    <n v="9.5736316256659296E-3"/>
    <n v="2.5838756363189899E-2"/>
    <n v="3.5412387988855799E-2"/>
    <s v="Class 1"/>
    <x v="3"/>
  </r>
  <r>
    <s v="033002"/>
    <x v="59"/>
    <x v="6"/>
    <x v="6"/>
    <n v="2"/>
    <x v="2"/>
    <n v="2.44827986200456E-3"/>
    <n v="3.1662406147749303E-2"/>
    <n v="3.41106860097539E-2"/>
    <s v="Class 1"/>
    <x v="3"/>
  </r>
  <r>
    <s v="006001"/>
    <x v="60"/>
    <x v="1"/>
    <x v="1"/>
    <n v="1"/>
    <x v="0"/>
    <n v="1.9175113769940001E-2"/>
    <n v="1.19170469156696E-2"/>
    <n v="3.1092160685609601E-2"/>
    <s v="Class 1"/>
    <x v="3"/>
  </r>
  <r>
    <s v="038001"/>
    <x v="61"/>
    <x v="2"/>
    <x v="2"/>
    <n v="3"/>
    <x v="1"/>
    <n v="3.9898839630747697E-3"/>
    <n v="2.6646854400351801E-2"/>
    <n v="3.0636738363426501E-2"/>
    <s v="Class 1"/>
    <x v="3"/>
  </r>
  <r>
    <s v="026002"/>
    <x v="62"/>
    <x v="0"/>
    <x v="0"/>
    <n v="3"/>
    <x v="1"/>
    <n v="2.86554278777338E-3"/>
    <n v="2.4168180024161899E-2"/>
    <n v="2.70337228119353E-2"/>
    <s v="Class 1"/>
    <x v="3"/>
  </r>
  <r>
    <s v="027001"/>
    <x v="63"/>
    <x v="0"/>
    <x v="0"/>
    <n v="3"/>
    <x v="1"/>
    <n v="5.3670784204023197E-3"/>
    <n v="2.1340409243412701E-2"/>
    <n v="2.6707487663815001E-2"/>
    <s v="Class 1"/>
    <x v="3"/>
  </r>
  <r>
    <s v="041001"/>
    <x v="64"/>
    <x v="2"/>
    <x v="2"/>
    <n v="3"/>
    <x v="1"/>
    <n v="1.6188801758380601E-2"/>
    <n v="1.04312596138065E-2"/>
    <n v="2.6620061372187101E-2"/>
    <s v="Class 1"/>
    <x v="3"/>
  </r>
  <r>
    <s v="004003"/>
    <x v="65"/>
    <x v="1"/>
    <x v="1"/>
    <n v="1"/>
    <x v="0"/>
    <n v="9.74101553707858E-3"/>
    <n v="1.4822799483215699E-2"/>
    <n v="2.45638150202943E-2"/>
    <s v="Class 1"/>
    <x v="3"/>
  </r>
  <r>
    <s v="042001"/>
    <x v="66"/>
    <x v="2"/>
    <x v="2"/>
    <n v="2"/>
    <x v="2"/>
    <n v="2.9342043381049201E-3"/>
    <n v="1.9835182624253999E-2"/>
    <n v="2.27693869623589E-2"/>
    <s v="Class 1"/>
    <x v="3"/>
  </r>
  <r>
    <s v="025001"/>
    <x v="67"/>
    <x v="0"/>
    <x v="0"/>
    <n v="2"/>
    <x v="2"/>
    <n v="5.18863402932585E-3"/>
    <n v="1.6230294784945799E-2"/>
    <n v="2.1418928814271598E-2"/>
    <s v="Class 1"/>
    <x v="3"/>
  </r>
  <r>
    <s v="030001"/>
    <x v="68"/>
    <x v="0"/>
    <x v="0"/>
    <n v="3"/>
    <x v="1"/>
    <n v="7.6252571272006301E-3"/>
    <n v="1.03442912442668E-2"/>
    <n v="1.79695483714674E-2"/>
    <s v="Class 1"/>
    <x v="3"/>
  </r>
  <r>
    <s v="024001"/>
    <x v="69"/>
    <x v="0"/>
    <x v="0"/>
    <n v="3"/>
    <x v="1"/>
    <n v="6.13771896506998E-3"/>
    <n v="1.10087327646489E-2"/>
    <n v="1.71464517297189E-2"/>
    <s v="Class 1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001001"/>
    <s v="Cultivo de banano, café y cacao"/>
    <s v="A"/>
    <s v="Agricultura"/>
    <n v="1"/>
    <s v="Bioeconomía"/>
    <n v="6.73103686187803E-2"/>
    <n v="0.104288299745372"/>
    <n v="0.171598668364152"/>
    <s v="Class 1"/>
    <x v="0"/>
    <n v="2603843"/>
  </r>
  <r>
    <s v="002001"/>
    <s v="Cultivo de cereales"/>
    <s v="A"/>
    <s v="Agricultura"/>
    <n v="1"/>
    <s v="Bioeconomía"/>
    <n v="1.8308292184278999E-2"/>
    <n v="5.7053349023956999E-2"/>
    <n v="7.5361641208236005E-2"/>
    <s v="Class 1"/>
    <x v="1"/>
    <n v="550602"/>
  </r>
  <r>
    <s v="003001"/>
    <s v="Cultivo de flores"/>
    <s v="A"/>
    <s v="Agricultura"/>
    <n v="1"/>
    <s v="Bioeconomía"/>
    <n v="9.5186717710753696E-2"/>
    <n v="9.4116670919867002E-2"/>
    <n v="0.18930338863062099"/>
    <s v="Class 1"/>
    <x v="0"/>
    <n v="787574"/>
  </r>
  <r>
    <s v="004001"/>
    <s v="Cultivo de tubérculos, vegetales, melones y frutas"/>
    <s v="A"/>
    <s v="Agricultura"/>
    <n v="1"/>
    <s v="Bioeconomía"/>
    <n v="3.7528426883041199E-2"/>
    <n v="2.7215538187062401E-2"/>
    <n v="6.4743965070103701E-2"/>
    <s v="Class 1"/>
    <x v="1"/>
    <n v="860637"/>
  </r>
  <r>
    <s v="004002"/>
    <s v="Cultivo oleaginosas e industriales"/>
    <s v="A"/>
    <s v="Agricultura"/>
    <n v="1"/>
    <s v="Bioeconomía"/>
    <n v="2.1826396179302501E-2"/>
    <n v="7.8375354585573598E-2"/>
    <n v="0.100201750764876"/>
    <s v="Class 1"/>
    <x v="1"/>
    <n v="1390034"/>
  </r>
  <r>
    <s v="004003"/>
    <s v="Actividades de apoyo a los cultivos"/>
    <s v="A"/>
    <s v="Agricultura"/>
    <n v="1"/>
    <s v="Bioeconomía"/>
    <n v="9.74101553707858E-3"/>
    <n v="1.4822799483215699E-2"/>
    <n v="2.45638150202943E-2"/>
    <s v="Class 1"/>
    <x v="1"/>
    <n v="254554"/>
  </r>
  <r>
    <s v="005001"/>
    <s v="Cría de ganado, otros animales; productos animales; y actividades de apoyo"/>
    <s v="A"/>
    <s v="Agricultura"/>
    <n v="1"/>
    <s v="Bioeconomía"/>
    <n v="0.61662074673339995"/>
    <n v="0.13669193588976999"/>
    <n v="0.75331268262317097"/>
    <s v="Class 3"/>
    <x v="2"/>
    <n v="653178"/>
  </r>
  <r>
    <s v="006001"/>
    <s v="Silvicultura, extracción de madera y actividades relacionadas"/>
    <s v="A"/>
    <s v="Agricultura"/>
    <n v="1"/>
    <s v="Bioeconomía"/>
    <n v="1.9175113769940001E-2"/>
    <n v="1.19170469156696E-2"/>
    <n v="3.1092160685609601E-2"/>
    <s v="Class 1"/>
    <x v="1"/>
    <n v="1270254"/>
  </r>
  <r>
    <s v="007001"/>
    <s v="Acuicultura y pesca de camarón"/>
    <s v="A"/>
    <s v="Agricultura"/>
    <n v="1"/>
    <s v="Bioeconomía"/>
    <n v="0.55681895931276104"/>
    <n v="9.9241994618962007E-2"/>
    <n v="0.65606095393172303"/>
    <s v="Class 2"/>
    <x v="2"/>
    <n v="635209"/>
  </r>
  <r>
    <s v="008001"/>
    <s v="Pesca (excepto camarón)"/>
    <s v="A"/>
    <s v="Agricultura"/>
    <n v="1"/>
    <s v="Bioeconomía"/>
    <n v="0.174984298238751"/>
    <n v="1.47442566502661E-2"/>
    <n v="0.18972855488901699"/>
    <s v="Class 1"/>
    <x v="0"/>
    <n v="404786"/>
  </r>
  <r>
    <s v="008002"/>
    <s v="Acuicultura (excepto camarón)"/>
    <s v="A"/>
    <s v="Agricultura"/>
    <n v="1"/>
    <s v="Bioeconomía"/>
    <n v="9.4098677034403694E-2"/>
    <n v="7.8426453160216805E-2"/>
    <n v="0.17252513019462101"/>
    <s v="Class 1"/>
    <x v="0"/>
    <n v="103408"/>
  </r>
  <r>
    <s v="009001"/>
    <s v="Extracción de petróleo crudo y gas natural"/>
    <s v="B"/>
    <s v="Minería"/>
    <n v="3"/>
    <s v="No bioeconomía"/>
    <n v="1.49162549587311E-2"/>
    <n v="3.7900345636396701E-2"/>
    <n v="5.2816600595127897E-2"/>
    <s v="Class 1"/>
    <x v="1"/>
    <n v="4695438"/>
  </r>
  <r>
    <s v="009002"/>
    <s v="Actividades de apoyo a la extracción de petróleo y gas natural"/>
    <s v="B"/>
    <s v="Minería"/>
    <n v="3"/>
    <s v="No bioeconomía"/>
    <n v="6.6870840181478099E-3"/>
    <n v="5.5968965501155703E-2"/>
    <n v="6.2656049519303494E-2"/>
    <s v="Class 1"/>
    <x v="1"/>
    <n v="706808"/>
  </r>
  <r>
    <s v="010001"/>
    <s v="Explotación de minerales metálicos"/>
    <s v="B"/>
    <s v="Minería"/>
    <n v="3"/>
    <s v="No bioeconomía"/>
    <n v="3.5462189220425502E-2"/>
    <n v="1.06900787613304E-2"/>
    <n v="4.6152267981755903E-2"/>
    <s v="Class 1"/>
    <x v="1"/>
    <n v="243604"/>
  </r>
  <r>
    <s v="010002"/>
    <s v="Explotación de minerales no metálicos y actividades de apoyo a las minas y canteras"/>
    <s v="B"/>
    <s v="Minería"/>
    <n v="3"/>
    <s v="No bioeconomía"/>
    <n v="9.5121943807709206E-2"/>
    <n v="1.0315155565786801E-2"/>
    <n v="0.105437099373496"/>
    <s v="Class 1"/>
    <x v="1"/>
    <n v="218047"/>
  </r>
  <r>
    <s v="011001"/>
    <s v="Procesamiento y conservación de carne"/>
    <s v="C"/>
    <s v="Manufacturas"/>
    <n v="1"/>
    <s v="Bioeconomía"/>
    <n v="0.84513809830417597"/>
    <n v="6.6324225052871194E-2"/>
    <n v="0.91146232335704702"/>
    <s v="Class 3"/>
    <x v="2"/>
    <n v="1176521"/>
  </r>
  <r>
    <s v="012001"/>
    <s v="Procesamiento y conservación de camarón"/>
    <s v="C"/>
    <s v="Manufacturas"/>
    <n v="1"/>
    <s v="Bioeconomía"/>
    <n v="0.86019262504554195"/>
    <n v="6.4007460486409207E-2"/>
    <n v="0.92420008553195199"/>
    <s v="Class 3"/>
    <x v="2"/>
    <n v="1500757"/>
  </r>
  <r>
    <s v="013001"/>
    <s v="Procesamiento de pescado y otros productos acuáticos elaborados"/>
    <s v="C"/>
    <s v="Manufacturas"/>
    <n v="1"/>
    <s v="Bioeconomía"/>
    <n v="0.39535598690697499"/>
    <n v="2.2855565829256401E-2"/>
    <n v="0.41821155273623201"/>
    <s v="Class 2"/>
    <x v="2"/>
    <n v="538331"/>
  </r>
  <r>
    <s v="013002"/>
    <s v="Conservación de especies acuáticas"/>
    <s v="C"/>
    <s v="Manufacturas"/>
    <n v="1"/>
    <s v="Bioeconomía"/>
    <n v="0.54650278254607199"/>
    <n v="3.56279703813722E-2"/>
    <n v="0.58213075292744398"/>
    <s v="Class 2"/>
    <x v="2"/>
    <n v="368720"/>
  </r>
  <r>
    <s v="014001"/>
    <s v="Elaboración de aceites y grasas origen vegetal y animal"/>
    <s v="C"/>
    <s v="Manufacturas"/>
    <n v="1"/>
    <s v="Bioeconomía"/>
    <n v="0.68174512288129097"/>
    <n v="3.3518158395342598E-2"/>
    <n v="0.71526328127663297"/>
    <s v="Class 3"/>
    <x v="2"/>
    <n v="303821"/>
  </r>
  <r>
    <s v="015001"/>
    <s v="Elaboración de productos lácteos"/>
    <s v="C"/>
    <s v="Manufacturas"/>
    <n v="1"/>
    <s v="Bioeconomía"/>
    <n v="0.82540074618445902"/>
    <n v="8.10768909414087E-2"/>
    <n v="0.90647763712586704"/>
    <s v="Class 3"/>
    <x v="2"/>
    <n v="316964"/>
  </r>
  <r>
    <s v="016001"/>
    <s v="Elaboración de productos de molinería"/>
    <s v="C"/>
    <s v="Manufacturas"/>
    <n v="1"/>
    <s v="Bioeconomía"/>
    <n v="0.48994296553786898"/>
    <n v="2.6133305271574502E-2"/>
    <n v="0.51607627080944396"/>
    <s v="Class 2"/>
    <x v="2"/>
    <n v="528915"/>
  </r>
  <r>
    <s v="016002"/>
    <s v="Elaboración de productos de la panadería"/>
    <s v="C"/>
    <s v="Manufacturas"/>
    <n v="1"/>
    <s v="Bioeconomía"/>
    <n v="0.595481328194163"/>
    <n v="4.2632823742460503E-2"/>
    <n v="0.63811415193662402"/>
    <s v="Class 2"/>
    <x v="2"/>
    <n v="445662"/>
  </r>
  <r>
    <s v="016003"/>
    <s v="Elaboración de  fideos y de otros productos farináceos"/>
    <s v="C"/>
    <s v="Manufacturas"/>
    <n v="1"/>
    <s v="Bioeconomía"/>
    <n v="0.61775510673130796"/>
    <n v="4.9227318711107297E-2"/>
    <n v="0.66698242544241604"/>
    <s v="Class 2"/>
    <x v="2"/>
    <n v="50671"/>
  </r>
  <r>
    <s v="017001"/>
    <s v="Elaboración y refinación de azúcar"/>
    <s v="C"/>
    <s v="Manufacturas"/>
    <n v="1"/>
    <s v="Bioeconomía"/>
    <n v="0.70493791498815495"/>
    <n v="7.8980256772958599E-2"/>
    <n v="0.783918171761114"/>
    <s v="Class 3"/>
    <x v="2"/>
    <n v="42899"/>
  </r>
  <r>
    <s v="018001"/>
    <s v="Elaboración de cacao, chocolate y productos de confitería"/>
    <s v="C"/>
    <s v="Manufacturas"/>
    <n v="1"/>
    <s v="Bioeconomía"/>
    <n v="0.92992849820184698"/>
    <n v="8.1261757051081698E-2"/>
    <n v="1.0111902552529299"/>
    <s v="Class 3"/>
    <x v="2"/>
    <n v="84821"/>
  </r>
  <r>
    <s v="019001"/>
    <s v="Elaboración de alimentos preparados para animales"/>
    <s v="C"/>
    <s v="Manufacturas"/>
    <n v="1"/>
    <s v="Bioeconomía"/>
    <n v="0.79995703802294904"/>
    <n v="2.3966044902411301E-2"/>
    <n v="0.82392308292535998"/>
    <s v="Class 3"/>
    <x v="2"/>
    <n v="126482"/>
  </r>
  <r>
    <s v="019002"/>
    <s v="Elaboración de café"/>
    <s v="C"/>
    <s v="Manufacturas"/>
    <n v="1"/>
    <s v="Bioeconomía"/>
    <n v="0.562821811008682"/>
    <n v="8.1643805045618204E-2"/>
    <n v="0.64446561605429997"/>
    <s v="Class 2"/>
    <x v="2"/>
    <n v="98862"/>
  </r>
  <r>
    <s v="019003"/>
    <s v="Elaboración de otros productos alimenticios diversos"/>
    <s v="C"/>
    <s v="Manufacturas"/>
    <n v="1"/>
    <s v="Bioeconomía"/>
    <n v="0.53589686795103397"/>
    <n v="4.7836688618766103E-2"/>
    <n v="0.58373355656980097"/>
    <s v="Class 2"/>
    <x v="2"/>
    <n v="216643"/>
  </r>
  <r>
    <s v="020001"/>
    <s v="Elaboración bebidas alcohólicas"/>
    <s v="C"/>
    <s v="Manufacturas"/>
    <n v="1"/>
    <s v="Bioeconomía"/>
    <n v="0.42276757756239702"/>
    <n v="3.4144884184736803E-2"/>
    <n v="0.45691246174713401"/>
    <s v="Class 2"/>
    <x v="2"/>
    <n v="654514"/>
  </r>
  <r>
    <s v="020002"/>
    <s v="Elaboración bebidas no alcohólicas"/>
    <s v="C"/>
    <s v="Manufacturas"/>
    <n v="1"/>
    <s v="Bioeconomía"/>
    <n v="0.23436709908953099"/>
    <n v="3.0759112169046501E-2"/>
    <n v="0.26512621125857799"/>
    <s v="Class 1"/>
    <x v="3"/>
    <n v="359859"/>
  </r>
  <r>
    <s v="020003"/>
    <s v="Elaboración de productos de tabaco"/>
    <s v="C"/>
    <s v="Manufacturas"/>
    <n v="1"/>
    <s v="Bioeconomía"/>
    <n v="0.19304590139884001"/>
    <n v="8.0545936202189305E-2"/>
    <n v="0.27359183760102901"/>
    <s v="Class 1"/>
    <x v="3"/>
    <n v="48108"/>
  </r>
  <r>
    <s v="021001"/>
    <s v="Fabricación de hilos, hilados; tejidos y confecciones"/>
    <s v="C"/>
    <s v="Manufacturas"/>
    <n v="2"/>
    <s v="Bioeconomía extendida"/>
    <n v="0.13969580000707499"/>
    <n v="0.31279049286599098"/>
    <n v="0.45248629287306602"/>
    <s v="Class 2"/>
    <x v="2"/>
    <n v="319287"/>
  </r>
  <r>
    <s v="021002"/>
    <s v="Fabricación de prendas de vestir"/>
    <s v="C"/>
    <s v="Manufacturas"/>
    <n v="2"/>
    <s v="Bioeconomía extendida"/>
    <n v="5.8722362465348801E-2"/>
    <n v="0.53208138010525197"/>
    <n v="0.59080374257060098"/>
    <s v="Class 2"/>
    <x v="2"/>
    <n v="386756"/>
  </r>
  <r>
    <s v="021003"/>
    <s v="Fabricación de cuero, productos de cuero y calzado"/>
    <s v="C"/>
    <s v="Manufacturas"/>
    <n v="2"/>
    <s v="Bioeconomía extendida"/>
    <n v="0.34018622658200298"/>
    <n v="0.13026263876114499"/>
    <n v="0.470448865343147"/>
    <s v="Class 2"/>
    <x v="2"/>
    <n v="158877"/>
  </r>
  <r>
    <s v="022001"/>
    <s v="Producción de madera y productos de madera"/>
    <s v="C"/>
    <s v="Manufacturas"/>
    <n v="1"/>
    <s v="Bioeconomía"/>
    <n v="0.503713675201649"/>
    <n v="2.47945701181994E-2"/>
    <n v="0.52850824531984797"/>
    <s v="Class 2"/>
    <x v="2"/>
    <n v="701969"/>
  </r>
  <r>
    <s v="023001"/>
    <s v="Fabricación de papel y productos de papel"/>
    <s v="C"/>
    <s v="Manufacturas"/>
    <n v="2"/>
    <s v="Bioeconomía extendida"/>
    <n v="5.4338187564845998E-3"/>
    <n v="0.40518410257360299"/>
    <n v="0.41061792133008801"/>
    <s v="Class 2"/>
    <x v="2"/>
    <n v="593551"/>
  </r>
  <r>
    <s v="024001"/>
    <s v="Fabricación de productos refinados de petróleo y de otros"/>
    <s v="C"/>
    <s v="Manufacturas"/>
    <n v="3"/>
    <s v="No bioeconomía"/>
    <n v="6.13771896506998E-3"/>
    <n v="1.10087327646489E-2"/>
    <n v="1.71464517297189E-2"/>
    <s v="Class 1"/>
    <x v="1"/>
    <n v="1117747"/>
  </r>
  <r>
    <s v="025001"/>
    <s v="Fabricación de sustancias químicas básicas, abonos y plásticos primarios"/>
    <s v="C"/>
    <s v="Manufacturas"/>
    <n v="2"/>
    <s v="Bioeconomía extendida"/>
    <n v="5.18863402932585E-3"/>
    <n v="1.6230294784945799E-2"/>
    <n v="2.1418928814271598E-2"/>
    <s v="Class 1"/>
    <x v="1"/>
    <n v="239353"/>
  </r>
  <r>
    <s v="025002"/>
    <s v="Fabricación de otros productos químicos"/>
    <s v="C"/>
    <s v="Manufacturas"/>
    <n v="3"/>
    <s v="No bioeconomía"/>
    <n v="3.9368189154198499E-2"/>
    <n v="8.1638737285657195E-2"/>
    <n v="0.121006926439856"/>
    <s v="Class 1"/>
    <x v="0"/>
    <n v="1085996"/>
  </r>
  <r>
    <s v="026001"/>
    <s v="Fabricación de productos de caucho"/>
    <s v="C"/>
    <s v="Manufacturas"/>
    <n v="3"/>
    <s v="No bioeconomía"/>
    <n v="7.3294980342371599E-2"/>
    <n v="2.6059070931428101E-2"/>
    <n v="9.9354051273799801E-2"/>
    <s v="Class 1"/>
    <x v="1"/>
    <n v="84011"/>
  </r>
  <r>
    <s v="026002"/>
    <s v="Fabricación de productos de plástico"/>
    <s v="C"/>
    <s v="Manufacturas"/>
    <n v="3"/>
    <s v="No bioeconomía"/>
    <n v="2.86554278777338E-3"/>
    <n v="2.4168180024161899E-2"/>
    <n v="2.70337228119353E-2"/>
    <s v="Class 1"/>
    <x v="1"/>
    <n v="635918"/>
  </r>
  <r>
    <s v="027001"/>
    <s v="Fabricación de vidrio, productos refractarios y de cerámica"/>
    <s v="C"/>
    <s v="Manufacturas"/>
    <n v="3"/>
    <s v="No bioeconomía"/>
    <n v="5.3670784204023197E-3"/>
    <n v="2.1340409243412701E-2"/>
    <n v="2.6707487663815001E-2"/>
    <s v="Class 1"/>
    <x v="1"/>
    <n v="296778"/>
  </r>
  <r>
    <s v="027002"/>
    <s v="Fabricación de cemento, artículos de hormigón y piedra"/>
    <s v="C"/>
    <s v="Manufacturas"/>
    <n v="3"/>
    <s v="No bioeconomía"/>
    <n v="1.33877246987069E-2"/>
    <n v="4.5107487156403003E-2"/>
    <n v="5.8495211855109898E-2"/>
    <s v="Class 1"/>
    <x v="1"/>
    <n v="697350"/>
  </r>
  <r>
    <s v="028001"/>
    <s v="Fabricación de metales comunes"/>
    <s v="C"/>
    <s v="Manufacturas"/>
    <n v="3"/>
    <s v="No bioeconomía"/>
    <n v="1.12951285949997E-2"/>
    <n v="2.4517380721220099E-2"/>
    <n v="3.58125093162198E-2"/>
    <s v="Class 1"/>
    <x v="1"/>
    <n v="394182"/>
  </r>
  <r>
    <s v="028002"/>
    <s v="Fabricación de productos derivados del metal, excepto maquinaria y equipo"/>
    <s v="C"/>
    <s v="Manufacturas"/>
    <n v="3"/>
    <s v="No bioeconomía"/>
    <n v="5.8917965447084402E-3"/>
    <n v="3.9094832154887002E-2"/>
    <n v="4.49866286995955E-2"/>
    <s v="Class 1"/>
    <x v="1"/>
    <n v="533340"/>
  </r>
  <r>
    <s v="029001"/>
    <s v="Fabricación de maquinaria y equipo"/>
    <s v="C"/>
    <s v="Manufacturas"/>
    <n v="3"/>
    <s v="No bioeconomía"/>
    <n v="4.7938488790868601E-2"/>
    <n v="2.29844839136602E-2"/>
    <n v="7.0922972704528797E-2"/>
    <s v="Class 1"/>
    <x v="1"/>
    <n v="473959"/>
  </r>
  <r>
    <s v="030001"/>
    <s v="Fabricación de equipo de transporte"/>
    <s v="C"/>
    <s v="Manufacturas"/>
    <n v="3"/>
    <s v="No bioeconomía"/>
    <n v="7.6252571272006301E-3"/>
    <n v="1.03442912442668E-2"/>
    <n v="1.79695483714674E-2"/>
    <s v="Class 1"/>
    <x v="1"/>
    <n v="340834"/>
  </r>
  <r>
    <s v="031001"/>
    <s v="Fabricación de muebles"/>
    <s v="C"/>
    <s v="Manufacturas"/>
    <n v="3"/>
    <s v="No bioeconomía"/>
    <n v="0.57128426814746702"/>
    <n v="7.5151152708335001E-2"/>
    <n v="0.64643542085580297"/>
    <s v="Class 2"/>
    <x v="2"/>
    <n v="345359"/>
  </r>
  <r>
    <s v="032001"/>
    <s v="Industrias manufactureras n.c.p."/>
    <s v="C"/>
    <s v="Manufacturas"/>
    <n v="3"/>
    <s v="No bioeconomía"/>
    <n v="3.6683454502929903E-2"/>
    <n v="1.20761881374632E-2"/>
    <n v="4.8759642640393099E-2"/>
    <s v="Class 1"/>
    <x v="1"/>
    <n v="590391"/>
  </r>
  <r>
    <s v="033001"/>
    <s v="Generación, captación y distribución de energía eléctrica"/>
    <s v="D - E"/>
    <s v="Servicios básicos y agua"/>
    <n v="3"/>
    <s v="No bioeconomía"/>
    <n v="5.3256862746272303E-3"/>
    <n v="4.5299465160828598E-2"/>
    <n v="5.0625151435455797E-2"/>
    <s v="Class 1"/>
    <x v="1"/>
    <n v="1386478"/>
  </r>
  <r>
    <s v="033002"/>
    <s v="Captación, depuración y distribución de agua; y saneamiento"/>
    <s v="D - E"/>
    <s v="Servicios básicos y agua"/>
    <n v="2"/>
    <s v="Bioeconomía extendida"/>
    <n v="2.44827986200456E-3"/>
    <n v="3.1662406147749303E-2"/>
    <n v="3.41106860097539E-2"/>
    <s v="Class 1"/>
    <x v="1"/>
    <n v="428643"/>
  </r>
  <r>
    <s v="034001"/>
    <s v="Construcción"/>
    <s v="F"/>
    <s v="Construcción"/>
    <n v="3"/>
    <s v="No bioeconomía"/>
    <n v="0.101898439344035"/>
    <n v="1.950306950465E-2"/>
    <n v="0.121401508848685"/>
    <s v="Class 1"/>
    <x v="0"/>
    <n v="11816602"/>
  </r>
  <r>
    <s v="035001"/>
    <s v="Comercio al por mayor y al por menor; incluido comercio de vehículos automotores y motocicletas"/>
    <s v="G"/>
    <s v="Comercio"/>
    <n v="3"/>
    <s v="No bioeconomía"/>
    <n v="4.8750258962405998E-3"/>
    <n v="3.6674176755096301E-2"/>
    <n v="4.1549202651336901E-2"/>
    <s v="Class 1"/>
    <x v="1"/>
    <n v="8822467"/>
  </r>
  <r>
    <s v="035002"/>
    <s v="Servicios de reparación y mantenimiento de vehículos de motor y motocicletas"/>
    <s v="G"/>
    <s v="Comercio"/>
    <n v="3"/>
    <s v="No bioeconomía"/>
    <n v="3.6996180263541801E-3"/>
    <n v="5.5804200841037599E-2"/>
    <n v="5.9503818867391797E-2"/>
    <s v="Class 1"/>
    <x v="1"/>
    <n v="1089055"/>
  </r>
  <r>
    <s v="036001"/>
    <s v="Alojamiento"/>
    <s v="H - S"/>
    <s v="Otros servicios"/>
    <n v="3"/>
    <s v="No bioeconomía"/>
    <n v="0.253483796028732"/>
    <n v="7.1340030582808397E-2"/>
    <n v="0.32482382661154102"/>
    <s v="Class 2"/>
    <x v="3"/>
    <n v="295074"/>
  </r>
  <r>
    <s v="036002"/>
    <s v="Servicio de alimento y bebida"/>
    <s v="H - S"/>
    <s v="Otros servicios"/>
    <n v="2"/>
    <s v="Bioeconomía extendida"/>
    <n v="0.40007680517003402"/>
    <n v="2.4889693770093299E-2"/>
    <n v="0.424966498940127"/>
    <s v="Class 2"/>
    <x v="2"/>
    <n v="2127517"/>
  </r>
  <r>
    <s v="037001"/>
    <s v="Transporte y almacenamiento"/>
    <s v="H - S"/>
    <s v="Otros servicios"/>
    <n v="3"/>
    <s v="No bioeconomía"/>
    <n v="9.5736316256659296E-3"/>
    <n v="2.5838756363189899E-2"/>
    <n v="3.5412387988855799E-2"/>
    <s v="Class 1"/>
    <x v="1"/>
    <n v="5980414"/>
  </r>
  <r>
    <s v="038001"/>
    <s v="Actividades postales y de correo"/>
    <s v="H - S"/>
    <s v="Otros servicios"/>
    <n v="3"/>
    <s v="No bioeconomía"/>
    <n v="3.9898839630747697E-3"/>
    <n v="2.6646854400351801E-2"/>
    <n v="3.0636738363426501E-2"/>
    <s v="Class 1"/>
    <x v="1"/>
    <n v="120440"/>
  </r>
  <r>
    <s v="038002"/>
    <s v="Comunicaciones e información"/>
    <s v="H - S"/>
    <s v="Otros servicios"/>
    <n v="3"/>
    <s v="No bioeconomía"/>
    <n v="1.37270462700317E-2"/>
    <n v="5.2815846320670698E-2"/>
    <n v="6.6542892590702396E-2"/>
    <s v="Class 1"/>
    <x v="1"/>
    <n v="1775204"/>
  </r>
  <r>
    <s v="039001"/>
    <s v="Actividades de servicios financieros"/>
    <s v="H - S"/>
    <s v="Otros servicios"/>
    <n v="3"/>
    <s v="No bioeconomía"/>
    <n v="8.7655979032731594E-3"/>
    <n v="3.8771204315285697E-2"/>
    <n v="4.7536802218558799E-2"/>
    <s v="Class 1"/>
    <x v="1"/>
    <n v="3451004"/>
  </r>
  <r>
    <s v="040001"/>
    <s v="Financiación de planes de seguro, excepto seguridad social"/>
    <s v="H - S"/>
    <s v="Otros servicios"/>
    <n v="3"/>
    <s v="No bioeconomía"/>
    <n v="7.5004336869039399E-3"/>
    <n v="2.8961889385858999E-2"/>
    <n v="3.6462323072763002E-2"/>
    <s v="Class 1"/>
    <x v="1"/>
    <n v="431298"/>
  </r>
  <r>
    <s v="041001"/>
    <s v="Actividades inmobiliarias"/>
    <s v="H - S"/>
    <s v="Otros servicios"/>
    <n v="3"/>
    <s v="No bioeconomía"/>
    <n v="1.6188801758380601E-2"/>
    <n v="1.04312596138065E-2"/>
    <n v="2.6620061372187101E-2"/>
    <s v="Class 1"/>
    <x v="1"/>
    <n v="4864427"/>
  </r>
  <r>
    <s v="042001"/>
    <s v="Actividades profesionales, técnicas y administrativas"/>
    <s v="H - S"/>
    <s v="Otros servicios"/>
    <n v="2"/>
    <s v="Bioeconomía extendida"/>
    <n v="2.9342043381049201E-3"/>
    <n v="1.9835182624253999E-2"/>
    <n v="2.27693869623589E-2"/>
    <s v="Class 1"/>
    <x v="1"/>
    <n v="8104943"/>
  </r>
  <r>
    <s v="043001"/>
    <s v="Administración pública, defensa; planes de seguridad social obligatoria"/>
    <s v="H - S"/>
    <s v="Otros servicios"/>
    <n v="3"/>
    <s v="No bioeconomía"/>
    <n v="3.2375496322091198E-2"/>
    <n v="4.03402634268114E-2"/>
    <n v="7.27157597489025E-2"/>
    <s v="Class 1"/>
    <x v="1"/>
    <n v="6984034"/>
  </r>
  <r>
    <s v="044001"/>
    <s v="Servicios de enseñanza privado"/>
    <s v="H - S"/>
    <s v="Otros servicios"/>
    <n v="3"/>
    <s v="No bioeconomía"/>
    <n v="3.7430546681806502E-2"/>
    <n v="2.5316227699649099E-2"/>
    <n v="6.2746774381455594E-2"/>
    <s v="Class 1"/>
    <x v="1"/>
    <n v="1751976"/>
  </r>
  <r>
    <s v="044002"/>
    <s v="Servicios de enseñanza público (no de mercado)"/>
    <s v="H - S"/>
    <s v="Otros servicios"/>
    <n v="3"/>
    <s v="No bioeconomía"/>
    <n v="1.0231516921265499E-2"/>
    <n v="4.0148235238121298E-2"/>
    <n v="5.0379752159386802E-2"/>
    <s v="Class 1"/>
    <x v="1"/>
    <n v="4224803"/>
  </r>
  <r>
    <s v="045001"/>
    <s v="Servicios sociales y de salud privados"/>
    <s v="H - S"/>
    <s v="Otros servicios"/>
    <n v="3"/>
    <s v="No bioeconomía"/>
    <n v="2.3598834573120901E-2"/>
    <n v="6.9446178470511905E-2"/>
    <n v="9.3045013043632802E-2"/>
    <s v="Class 1"/>
    <x v="1"/>
    <n v="1037764"/>
  </r>
  <r>
    <s v="045002"/>
    <s v="Servicios sociales y de salud no de mercado (públicos)"/>
    <s v="H - S"/>
    <s v="Otros servicios"/>
    <n v="3"/>
    <s v="No bioeconomía"/>
    <n v="2.1543923276585102E-2"/>
    <n v="0.24436780585349599"/>
    <n v="0.26591172913008099"/>
    <s v="Class 1"/>
    <x v="3"/>
    <n v="2750042"/>
  </r>
  <r>
    <s v="046001"/>
    <s v="Entretenimiento, recreación y otras actividades de servicios"/>
    <s v="H - S"/>
    <s v="Otros servicios"/>
    <n v="3"/>
    <s v="No bioeconomía"/>
    <n v="8.2845941117346694E-2"/>
    <n v="6.7276613659828302E-2"/>
    <n v="0.15012255477717501"/>
    <s v="Class 1"/>
    <x v="0"/>
    <n v="1618521"/>
  </r>
  <r>
    <m/>
    <m/>
    <m/>
    <m/>
    <m/>
    <m/>
    <m/>
    <m/>
    <m/>
    <m/>
    <x v="1"/>
    <n v="57468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001001"/>
    <s v="Cultivo de banano, café y cacao"/>
    <s v="A"/>
    <s v="Agricultura"/>
    <n v="1"/>
    <s v="Bioeconomía"/>
    <n v="6.73103686187803E-2"/>
    <n v="0.104288299745372"/>
    <n v="0.171598668364152"/>
    <x v="0"/>
    <n v="2603843"/>
    <n v="610048"/>
    <n v="1292476"/>
    <n v="1229012.5421779591"/>
  </r>
  <r>
    <s v="002001"/>
    <s v="Cultivo de cereales"/>
    <s v="A"/>
    <s v="Agricultura"/>
    <n v="1"/>
    <s v="Bioeconomía"/>
    <n v="1.8308292184278999E-2"/>
    <n v="5.7053349023956999E-2"/>
    <n v="7.5361641208236005E-2"/>
    <x v="1"/>
    <n v="550602"/>
    <n v="51033"/>
    <n v="210464"/>
    <n v="133509.16007488215"/>
  </r>
  <r>
    <s v="003001"/>
    <s v="Cultivo de flores"/>
    <s v="A"/>
    <s v="Agricultura"/>
    <n v="1"/>
    <s v="Bioeconomía"/>
    <n v="9.5186717710753696E-2"/>
    <n v="9.4116670919867002E-2"/>
    <n v="0.18930338863062099"/>
    <x v="0"/>
    <n v="787574"/>
    <n v="214890"/>
    <n v="471307"/>
    <n v="359090.31026485923"/>
  </r>
  <r>
    <s v="004001"/>
    <s v="Cultivo de tubérculos, vegetales, melones y frutas"/>
    <s v="A"/>
    <s v="Agricultura"/>
    <n v="1"/>
    <s v="Bioeconomía"/>
    <n v="3.7528426883041199E-2"/>
    <n v="2.7215538187062401E-2"/>
    <n v="6.4743965070103701E-2"/>
    <x v="1"/>
    <n v="860637"/>
    <n v="66179"/>
    <n v="286333"/>
    <n v="198915.58438251965"/>
  </r>
  <r>
    <s v="004002"/>
    <s v="Cultivo oleaginosas e industriales"/>
    <s v="A"/>
    <s v="Agricultura"/>
    <n v="1"/>
    <s v="Bioeconomía"/>
    <n v="2.1826396179302501E-2"/>
    <n v="7.8375354585573598E-2"/>
    <n v="0.100201750764876"/>
    <x v="1"/>
    <n v="1390034"/>
    <n v="173561"/>
    <n v="455694"/>
    <n v="529424.76985433209"/>
  </r>
  <r>
    <s v="004003"/>
    <s v="Actividades de apoyo a los cultivos"/>
    <s v="A"/>
    <s v="Agricultura"/>
    <n v="1"/>
    <s v="Bioeconomía"/>
    <n v="9.74101553707858E-3"/>
    <n v="1.4822799483215699E-2"/>
    <n v="2.45638150202943E-2"/>
    <x v="1"/>
    <n v="254554"/>
    <n v="4851"/>
    <n v="112672"/>
    <n v="10959.612450298211"/>
  </r>
  <r>
    <s v="005001"/>
    <s v="Cría de ganado, otros animales; productos animales; y actividades de apoyo"/>
    <s v="A"/>
    <s v="Agricultura"/>
    <n v="1"/>
    <s v="Bioeconomía"/>
    <n v="0.61662074673339995"/>
    <n v="0.13669193588976999"/>
    <n v="0.75331268262317097"/>
    <x v="2"/>
    <n v="653178"/>
    <n v="1602278"/>
    <n v="1968873"/>
    <n v="531559.29279542156"/>
  </r>
  <r>
    <s v="006001"/>
    <s v="Silvicultura, extracción de madera y actividades relacionadas"/>
    <s v="A"/>
    <s v="Agricultura"/>
    <n v="1"/>
    <s v="Bioeconomía"/>
    <n v="1.9175113769940001E-2"/>
    <n v="1.19170469156696E-2"/>
    <n v="3.1092160685609601E-2"/>
    <x v="1"/>
    <n v="1270254"/>
    <n v="39554"/>
    <n v="232349"/>
    <n v="216242.06136458518"/>
  </r>
  <r>
    <s v="007001"/>
    <s v="Acuicultura y pesca de camarón"/>
    <s v="A"/>
    <s v="Agricultura"/>
    <n v="1"/>
    <s v="Bioeconomía"/>
    <n v="0.55681895931276104"/>
    <n v="9.9241994618962007E-2"/>
    <n v="0.65606095393172303"/>
    <x v="2"/>
    <n v="635209"/>
    <n v="867688"/>
    <n v="1390326"/>
    <n v="396427.33200127166"/>
  </r>
  <r>
    <s v="008001"/>
    <s v="Pesca (excepto camarón)"/>
    <s v="A"/>
    <s v="Agricultura"/>
    <n v="1"/>
    <s v="Bioeconomía"/>
    <n v="0.174984298238751"/>
    <n v="1.47442566502661E-2"/>
    <n v="0.18972855488901699"/>
    <x v="0"/>
    <n v="404786"/>
    <n v="72070"/>
    <n v="257718"/>
    <n v="113197.08759186398"/>
  </r>
  <r>
    <s v="008002"/>
    <s v="Acuicultura (excepto camarón)"/>
    <s v="A"/>
    <s v="Agricultura"/>
    <n v="1"/>
    <s v="Bioeconomía"/>
    <n v="9.4098677034403694E-2"/>
    <n v="7.8426453160216805E-2"/>
    <n v="0.17252513019462101"/>
    <x v="0"/>
    <n v="103408"/>
    <n v="35157"/>
    <n v="138080"/>
    <n v="26329.048783314021"/>
  </r>
  <r>
    <s v="009001"/>
    <s v="Extracción de petróleo crudo y gas natural"/>
    <s v="B"/>
    <s v="Minería"/>
    <n v="3"/>
    <s v="No bioeconomía"/>
    <n v="1.49162549587311E-2"/>
    <n v="3.7900345636396701E-2"/>
    <n v="5.2816600595127897E-2"/>
    <x v="1"/>
    <n v="4695438"/>
    <n v="226394"/>
    <n v="4262968"/>
    <n v="249361.24094105329"/>
  </r>
  <r>
    <s v="009002"/>
    <s v="Actividades de apoyo a la extracción de petróleo y gas natural"/>
    <s v="B"/>
    <s v="Minería"/>
    <n v="3"/>
    <s v="No bioeconomía"/>
    <n v="6.6870840181478099E-3"/>
    <n v="5.5968965501155703E-2"/>
    <n v="6.2656049519303494E-2"/>
    <x v="1"/>
    <n v="706808"/>
    <n v="59580"/>
    <n v="766329"/>
    <n v="54952.403784797389"/>
  </r>
  <r>
    <s v="010001"/>
    <s v="Explotación de minerales metálicos"/>
    <s v="B"/>
    <s v="Minería"/>
    <n v="3"/>
    <s v="No bioeconomía"/>
    <n v="3.5462189220425502E-2"/>
    <n v="1.06900787613304E-2"/>
    <n v="4.6152267981755903E-2"/>
    <x v="1"/>
    <n v="243604"/>
    <n v="11200"/>
    <n v="115273"/>
    <n v="23668.723812167638"/>
  </r>
  <r>
    <s v="010002"/>
    <s v="Explotación de minerales no metálicos y actividades de apoyo a las minas y canteras"/>
    <s v="B"/>
    <s v="Minería"/>
    <n v="3"/>
    <s v="No bioeconomía"/>
    <n v="9.5121943807709206E-2"/>
    <n v="1.0315155565786801E-2"/>
    <n v="0.105437099373496"/>
    <x v="1"/>
    <n v="218047"/>
    <n v="31145"/>
    <n v="113764"/>
    <n v="59694.400820997856"/>
  </r>
  <r>
    <s v="011001"/>
    <s v="Procesamiento y conservación de carne"/>
    <s v="C"/>
    <s v="Manufacturas"/>
    <n v="1"/>
    <s v="Bioeconomía"/>
    <n v="0.84513809830417597"/>
    <n v="6.6324225052871194E-2"/>
    <n v="0.91146232335704702"/>
    <x v="2"/>
    <n v="1176521"/>
    <n v="2017470"/>
    <n v="2189028"/>
    <n v="1084314.9662178829"/>
  </r>
  <r>
    <s v="012001"/>
    <s v="Procesamiento y conservación de camarón"/>
    <s v="C"/>
    <s v="Manufacturas"/>
    <n v="1"/>
    <s v="Bioeconomía"/>
    <n v="0.86019262504554195"/>
    <n v="6.4007460486409207E-2"/>
    <n v="0.92420008553195199"/>
    <x v="2"/>
    <n v="1500757"/>
    <n v="2879027"/>
    <n v="3229986"/>
    <n v="1337689.9848603059"/>
  </r>
  <r>
    <s v="013001"/>
    <s v="Procesamiento de pescado y otros productos acuáticos elaborados"/>
    <s v="C"/>
    <s v="Manufacturas"/>
    <n v="1"/>
    <s v="Bioeconomía"/>
    <n v="0.39535598690697499"/>
    <n v="2.2855565829256401E-2"/>
    <n v="0.41821155273623201"/>
    <x v="2"/>
    <n v="538331"/>
    <n v="337581"/>
    <n v="430625"/>
    <n v="422015.25064963714"/>
  </r>
  <r>
    <s v="013002"/>
    <s v="Conservación de especies acuáticas"/>
    <s v="C"/>
    <s v="Manufacturas"/>
    <n v="1"/>
    <s v="Bioeconomía"/>
    <n v="0.54650278254607199"/>
    <n v="3.56279703813722E-2"/>
    <n v="0.58213075292744398"/>
    <x v="2"/>
    <n v="368720"/>
    <n v="529615"/>
    <n v="733615"/>
    <n v="266188.18153936329"/>
  </r>
  <r>
    <s v="014001"/>
    <s v="Elaboración de aceites y grasas origen vegetal y animal"/>
    <s v="C"/>
    <s v="Manufacturas"/>
    <n v="1"/>
    <s v="Bioeconomía"/>
    <n v="0.68174512288129097"/>
    <n v="3.3518158395342598E-2"/>
    <n v="0.71526328127663297"/>
    <x v="2"/>
    <n v="303821"/>
    <n v="631902"/>
    <n v="808820"/>
    <n v="237364.42909670877"/>
  </r>
  <r>
    <s v="015001"/>
    <s v="Elaboración de productos lácteos"/>
    <s v="C"/>
    <s v="Manufacturas"/>
    <n v="1"/>
    <s v="Bioeconomía"/>
    <n v="0.82540074618445902"/>
    <n v="8.10768909414087E-2"/>
    <n v="0.90647763712586704"/>
    <x v="2"/>
    <n v="316964"/>
    <n v="738126"/>
    <n v="961712"/>
    <n v="243273.83818024522"/>
  </r>
  <r>
    <s v="016001"/>
    <s v="Elaboración de productos de molinería"/>
    <s v="C"/>
    <s v="Manufacturas"/>
    <n v="1"/>
    <s v="Bioeconomía"/>
    <n v="0.48994296553786898"/>
    <n v="2.6133305271574502E-2"/>
    <n v="0.51607627080944396"/>
    <x v="2"/>
    <n v="528915"/>
    <n v="534384"/>
    <n v="578142"/>
    <n v="488882.85812136118"/>
  </r>
  <r>
    <s v="016002"/>
    <s v="Elaboración de productos de la panadería"/>
    <s v="C"/>
    <s v="Manufacturas"/>
    <n v="1"/>
    <s v="Bioeconomía"/>
    <n v="0.595481328194163"/>
    <n v="4.2632823742460503E-2"/>
    <n v="0.63811415193662402"/>
    <x v="2"/>
    <n v="445662"/>
    <n v="464098"/>
    <n v="585837"/>
    <n v="353051.86063017527"/>
  </r>
  <r>
    <s v="016003"/>
    <s v="Elaboración de  fideos y de otros productos farináceos"/>
    <s v="C"/>
    <s v="Manufacturas"/>
    <n v="1"/>
    <s v="Bioeconomía"/>
    <n v="0.61775510673130796"/>
    <n v="4.9227318711107297E-2"/>
    <n v="0.66698242544241604"/>
    <x v="2"/>
    <n v="50671"/>
    <n v="72806"/>
    <n v="103679"/>
    <n v="35582.449927179085"/>
  </r>
  <r>
    <s v="017001"/>
    <s v="Elaboración y refinación de azúcar"/>
    <s v="C"/>
    <s v="Manufacturas"/>
    <n v="1"/>
    <s v="Bioeconomía"/>
    <n v="0.70493791498815495"/>
    <n v="7.8980256772958599E-2"/>
    <n v="0.783918171761114"/>
    <x v="2"/>
    <n v="42899"/>
    <n v="315152"/>
    <n v="405340"/>
    <n v="33353.988375191198"/>
  </r>
  <r>
    <s v="018001"/>
    <s v="Elaboración de cacao, chocolate y productos de confitería"/>
    <s v="C"/>
    <s v="Manufacturas"/>
    <n v="1"/>
    <s v="Bioeconomía"/>
    <n v="0.92992849820184698"/>
    <n v="8.1261757051081698E-2"/>
    <n v="1.0111902552529299"/>
    <x v="2"/>
    <n v="84821"/>
    <n v="522952"/>
    <n v="690873"/>
    <n v="64204.725893181523"/>
  </r>
  <r>
    <s v="019001"/>
    <s v="Elaboración de alimentos preparados para animales"/>
    <s v="C"/>
    <s v="Manufacturas"/>
    <n v="1"/>
    <s v="Bioeconomía"/>
    <n v="0.79995703802294904"/>
    <n v="2.3966044902411301E-2"/>
    <n v="0.82392308292535998"/>
    <x v="2"/>
    <n v="126482"/>
    <n v="458600"/>
    <n v="483573"/>
    <n v="119950.13203797565"/>
  </r>
  <r>
    <s v="019002"/>
    <s v="Elaboración de café"/>
    <s v="C"/>
    <s v="Manufacturas"/>
    <n v="1"/>
    <s v="Bioeconomía"/>
    <n v="0.562821811008682"/>
    <n v="8.1643805045618204E-2"/>
    <n v="0.64446561605429997"/>
    <x v="2"/>
    <n v="98862"/>
    <n v="129435"/>
    <n v="148168"/>
    <n v="86362.797432644031"/>
  </r>
  <r>
    <s v="019003"/>
    <s v="Elaboración de otros productos alimenticios diversos"/>
    <s v="C"/>
    <s v="Manufacturas"/>
    <n v="1"/>
    <s v="Bioeconomía"/>
    <n v="0.53589686795103397"/>
    <n v="4.7836688618766103E-2"/>
    <n v="0.58373355656980097"/>
    <x v="2"/>
    <n v="216643"/>
    <n v="400866"/>
    <n v="656157"/>
    <n v="132353.70930737612"/>
  </r>
  <r>
    <s v="020001"/>
    <s v="Elaboración bebidas alcohólicas"/>
    <s v="C"/>
    <s v="Manufacturas"/>
    <n v="1"/>
    <s v="Bioeconomía"/>
    <n v="0.42276757756239702"/>
    <n v="3.4144884184736803E-2"/>
    <n v="0.45691246174713401"/>
    <x v="2"/>
    <n v="654514"/>
    <n v="498952"/>
    <n v="575505"/>
    <n v="567451.31550203729"/>
  </r>
  <r>
    <s v="020002"/>
    <s v="Elaboración bebidas no alcohólicas"/>
    <s v="C"/>
    <s v="Manufacturas"/>
    <n v="1"/>
    <s v="Bioeconomía"/>
    <n v="0.23436709908953099"/>
    <n v="3.0759112169046501E-2"/>
    <n v="0.26512621125857799"/>
    <x v="3"/>
    <n v="359859"/>
    <n v="165788"/>
    <n v="454366"/>
    <n v="131304.50758199338"/>
  </r>
  <r>
    <s v="020003"/>
    <s v="Elaboración de productos de tabaco"/>
    <s v="C"/>
    <s v="Manufacturas"/>
    <n v="1"/>
    <s v="Bioeconomía"/>
    <n v="0.19304590139884001"/>
    <n v="8.0545936202189305E-2"/>
    <n v="0.27359183760102901"/>
    <x v="3"/>
    <n v="48108"/>
    <n v="20733"/>
    <n v="38342"/>
    <n v="26013.853320118931"/>
  </r>
  <r>
    <s v="021001"/>
    <s v="Fabricación de hilos, hilados; tejidos y confecciones"/>
    <s v="C"/>
    <s v="Manufacturas"/>
    <n v="2"/>
    <s v="Bioeconomía extendida"/>
    <n v="0.13969580000707499"/>
    <n v="0.31279049286599098"/>
    <n v="0.45248629287306602"/>
    <x v="2"/>
    <n v="319287"/>
    <n v="263865"/>
    <n v="404477"/>
    <n v="208290.37066384492"/>
  </r>
  <r>
    <s v="021002"/>
    <s v="Fabricación de prendas de vestir"/>
    <s v="C"/>
    <s v="Manufacturas"/>
    <n v="2"/>
    <s v="Bioeconomía extendida"/>
    <n v="5.8722362465348801E-2"/>
    <n v="0.53208138010525197"/>
    <n v="0.59080374257060098"/>
    <x v="2"/>
    <n v="386756"/>
    <n v="392442"/>
    <n v="451592"/>
    <n v="336098.28817162395"/>
  </r>
  <r>
    <s v="021003"/>
    <s v="Fabricación de cuero, productos de cuero y calzado"/>
    <s v="C"/>
    <s v="Manufacturas"/>
    <n v="2"/>
    <s v="Bioeconomía extendida"/>
    <n v="0.34018622658200298"/>
    <n v="0.13026263876114499"/>
    <n v="0.470448865343147"/>
    <x v="2"/>
    <n v="158877"/>
    <n v="135895"/>
    <n v="258265"/>
    <n v="83598.59026581225"/>
  </r>
  <r>
    <s v="022001"/>
    <s v="Producción de madera y productos de madera"/>
    <s v="C"/>
    <s v="Manufacturas"/>
    <n v="1"/>
    <s v="Bioeconomía"/>
    <n v="0.503713675201649"/>
    <n v="2.47945701181994E-2"/>
    <n v="0.52850824531984797"/>
    <x v="2"/>
    <n v="701969"/>
    <n v="801856"/>
    <n v="1044050"/>
    <n v="539129.40420861065"/>
  </r>
  <r>
    <s v="023001"/>
    <s v="Fabricación de papel y productos de papel"/>
    <s v="C"/>
    <s v="Manufacturas"/>
    <n v="2"/>
    <s v="Bioeconomía extendida"/>
    <n v="5.4338187564845998E-3"/>
    <n v="0.40518410257360299"/>
    <n v="0.41061792133008801"/>
    <x v="2"/>
    <n v="593551"/>
    <n v="492704"/>
    <n v="779851"/>
    <n v="375001.06033588469"/>
  </r>
  <r>
    <s v="024001"/>
    <s v="Fabricación de productos refinados de petróleo y de otros"/>
    <s v="C"/>
    <s v="Manufacturas"/>
    <n v="3"/>
    <s v="No bioeconomía"/>
    <n v="6.13771896506998E-3"/>
    <n v="1.10087327646489E-2"/>
    <n v="1.71464517297189E-2"/>
    <x v="1"/>
    <n v="1117747"/>
    <n v="5372"/>
    <n v="3032428"/>
    <n v="1980.10864033705"/>
  </r>
  <r>
    <s v="025001"/>
    <s v="Fabricación de sustancias químicas básicas, abonos y plásticos primarios"/>
    <s v="C"/>
    <s v="Manufacturas"/>
    <n v="2"/>
    <s v="Bioeconomía extendida"/>
    <n v="5.18863402932585E-3"/>
    <n v="1.6230294784945799E-2"/>
    <n v="2.1418928814271598E-2"/>
    <x v="1"/>
    <n v="239353"/>
    <n v="3294"/>
    <n v="293264"/>
    <n v="2688.4608475639698"/>
  </r>
  <r>
    <s v="025002"/>
    <s v="Fabricación de otros productos químicos"/>
    <s v="C"/>
    <s v="Manufacturas"/>
    <n v="3"/>
    <s v="No bioeconomía"/>
    <n v="3.9368189154198499E-2"/>
    <n v="8.1638737285657195E-2"/>
    <n v="0.121006926439856"/>
    <x v="0"/>
    <n v="1085996"/>
    <n v="213713"/>
    <n v="974178"/>
    <n v="238243.38380460243"/>
  </r>
  <r>
    <s v="026001"/>
    <s v="Fabricación de productos de caucho"/>
    <s v="C"/>
    <s v="Manufacturas"/>
    <n v="3"/>
    <s v="No bioeconomía"/>
    <n v="7.3294980342371599E-2"/>
    <n v="2.6059070931428101E-2"/>
    <n v="9.9354051273799801E-2"/>
    <x v="1"/>
    <n v="84011"/>
    <n v="14918"/>
    <n v="94756"/>
    <n v="13226.350816834818"/>
  </r>
  <r>
    <s v="026002"/>
    <s v="Fabricación de productos de plástico"/>
    <s v="C"/>
    <s v="Manufacturas"/>
    <n v="3"/>
    <s v="No bioeconomía"/>
    <n v="2.86554278777338E-3"/>
    <n v="2.4168180024161899E-2"/>
    <n v="2.70337228119353E-2"/>
    <x v="1"/>
    <n v="635918"/>
    <n v="23808"/>
    <n v="744572"/>
    <n v="20333.743068501099"/>
  </r>
  <r>
    <s v="027001"/>
    <s v="Fabricación de vidrio, productos refractarios y de cerámica"/>
    <s v="C"/>
    <s v="Manufacturas"/>
    <n v="3"/>
    <s v="No bioeconomía"/>
    <n v="5.3670784204023197E-3"/>
    <n v="2.1340409243412701E-2"/>
    <n v="2.6707487663815001E-2"/>
    <x v="1"/>
    <n v="296778"/>
    <n v="4883"/>
    <n v="186527"/>
    <n v="7769.207535638272"/>
  </r>
  <r>
    <s v="027002"/>
    <s v="Fabricación de cemento, artículos de hormigón y piedra"/>
    <s v="C"/>
    <s v="Manufacturas"/>
    <n v="3"/>
    <s v="No bioeconomía"/>
    <n v="1.33877246987069E-2"/>
    <n v="4.5107487156403003E-2"/>
    <n v="5.8495211855109898E-2"/>
    <x v="1"/>
    <n v="697350"/>
    <n v="48412"/>
    <n v="961344"/>
    <n v="35117.614714399839"/>
  </r>
  <r>
    <s v="028001"/>
    <s v="Fabricación de metales comunes"/>
    <s v="C"/>
    <s v="Manufacturas"/>
    <n v="3"/>
    <s v="No bioeconomía"/>
    <n v="1.12951285949997E-2"/>
    <n v="2.4517380721220099E-2"/>
    <n v="3.58125093162198E-2"/>
    <x v="1"/>
    <n v="394182"/>
    <n v="14217"/>
    <n v="938953"/>
    <n v="5968.4409059878399"/>
  </r>
  <r>
    <s v="028002"/>
    <s v="Fabricación de productos derivados del metal, excepto maquinaria y equipo"/>
    <s v="C"/>
    <s v="Manufacturas"/>
    <n v="3"/>
    <s v="No bioeconomía"/>
    <n v="5.8917965447084402E-3"/>
    <n v="3.9094832154887002E-2"/>
    <n v="4.49866286995955E-2"/>
    <x v="1"/>
    <n v="533340"/>
    <n v="38634"/>
    <n v="1004990"/>
    <n v="20502.748843272071"/>
  </r>
  <r>
    <s v="029001"/>
    <s v="Fabricación de maquinaria y equipo"/>
    <s v="C"/>
    <s v="Manufacturas"/>
    <n v="3"/>
    <s v="No bioeconomía"/>
    <n v="4.7938488790868601E-2"/>
    <n v="2.29844839136602E-2"/>
    <n v="7.0922972704528797E-2"/>
    <x v="1"/>
    <n v="473959"/>
    <n v="45981"/>
    <n v="878759"/>
    <n v="24799.869792514215"/>
  </r>
  <r>
    <s v="030001"/>
    <s v="Fabricación de equipo de transporte"/>
    <s v="C"/>
    <s v="Manufacturas"/>
    <n v="3"/>
    <s v="No bioeconomía"/>
    <n v="7.6252571272006301E-3"/>
    <n v="1.03442912442668E-2"/>
    <n v="1.79695483714674E-2"/>
    <x v="1"/>
    <n v="340834"/>
    <n v="5175"/>
    <n v="711723"/>
    <n v="2478.2337370016144"/>
  </r>
  <r>
    <s v="031001"/>
    <s v="Fabricación de muebles"/>
    <s v="C"/>
    <s v="Manufacturas"/>
    <n v="3"/>
    <s v="No bioeconomía"/>
    <n v="0.57128426814746702"/>
    <n v="7.5151152708335001E-2"/>
    <n v="0.64643542085580297"/>
    <x v="2"/>
    <n v="345359"/>
    <n v="460948"/>
    <n v="687080"/>
    <n v="231694.33011003086"/>
  </r>
  <r>
    <s v="032001"/>
    <s v="Industrias manufactureras n.c.p."/>
    <s v="C"/>
    <s v="Manufacturas"/>
    <n v="3"/>
    <s v="No bioeconomía"/>
    <n v="3.6683454502929903E-2"/>
    <n v="1.20761881374632E-2"/>
    <n v="4.8759642640393099E-2"/>
    <x v="1"/>
    <n v="590391"/>
    <n v="28861"/>
    <n v="433831"/>
    <n v="39276.295725754957"/>
  </r>
  <r>
    <s v="033001"/>
    <s v="Generación, captación y distribución de energía eléctrica"/>
    <s v="D - E"/>
    <s v="Servicios básicos y agua"/>
    <n v="3"/>
    <s v="No bioeconomía"/>
    <n v="5.3256862746272303E-3"/>
    <n v="4.5299465160828598E-2"/>
    <n v="5.0625151435455797E-2"/>
    <x v="1"/>
    <n v="1386478"/>
    <n v="51538"/>
    <n v="2474557"/>
    <n v="28876.402185926614"/>
  </r>
  <r>
    <s v="033002"/>
    <s v="Captación, depuración y distribución de agua; y saneamiento"/>
    <s v="D - E"/>
    <s v="Servicios básicos y agua"/>
    <n v="2"/>
    <s v="Bioeconomía extendida"/>
    <n v="2.44827986200456E-3"/>
    <n v="3.1662406147749303E-2"/>
    <n v="3.41106860097539E-2"/>
    <x v="1"/>
    <n v="428643"/>
    <n v="8375"/>
    <n v="172470"/>
    <n v="20814.548182292572"/>
  </r>
  <r>
    <s v="034001"/>
    <s v="Construcción"/>
    <s v="F"/>
    <s v="Construcción"/>
    <n v="3"/>
    <s v="No bioeconomía"/>
    <n v="0.101898439344035"/>
    <n v="1.950306950465E-2"/>
    <n v="0.121401508848685"/>
    <x v="0"/>
    <n v="11816602"/>
    <n v="1689532"/>
    <n v="7913825"/>
    <n v="2522740.5471139429"/>
  </r>
  <r>
    <s v="035001"/>
    <s v="Comercio al por mayor y al por menor; incluido comercio de vehículos automotores y motocicletas"/>
    <s v="G"/>
    <s v="Comercio"/>
    <n v="3"/>
    <s v="No bioeconomía"/>
    <n v="4.8750258962405998E-3"/>
    <n v="3.6674176755096301E-2"/>
    <n v="4.1549202651336901E-2"/>
    <x v="1"/>
    <n v="8822467"/>
    <n v="376359"/>
    <n v="5401598"/>
    <n v="614709.73175956449"/>
  </r>
  <r>
    <s v="035002"/>
    <s v="Servicios de reparación y mantenimiento de vehículos de motor y motocicletas"/>
    <s v="G"/>
    <s v="Comercio"/>
    <n v="3"/>
    <s v="No bioeconomía"/>
    <n v="3.6996180263541801E-3"/>
    <n v="5.5804200841037599E-2"/>
    <n v="5.9503818867391797E-2"/>
    <x v="1"/>
    <n v="1089055"/>
    <n v="59141"/>
    <n v="168305"/>
    <n v="382685.01681471139"/>
  </r>
  <r>
    <s v="036001"/>
    <s v="Alojamiento"/>
    <s v="H - S"/>
    <s v="Otros servicios"/>
    <n v="3"/>
    <s v="No bioeconomía"/>
    <n v="0.253483796028732"/>
    <n v="7.1340030582808397E-2"/>
    <n v="0.32482382661154102"/>
    <x v="3"/>
    <n v="295074"/>
    <n v="144067"/>
    <n v="330827"/>
    <n v="128497.45020206936"/>
  </r>
  <r>
    <s v="036002"/>
    <s v="Servicio de alimento y bebida"/>
    <s v="H - S"/>
    <s v="Otros servicios"/>
    <n v="2"/>
    <s v="Bioeconomía extendida"/>
    <n v="0.40007680517003402"/>
    <n v="2.4889693770093299E-2"/>
    <n v="0.424966498940127"/>
    <x v="2"/>
    <n v="2127517"/>
    <n v="1045396"/>
    <n v="1557642"/>
    <n v="1427861.9616908121"/>
  </r>
  <r>
    <s v="037001"/>
    <s v="Transporte y almacenamiento"/>
    <s v="H - S"/>
    <s v="Otros servicios"/>
    <n v="3"/>
    <s v="No bioeconomía"/>
    <n v="9.5736316256659296E-3"/>
    <n v="2.5838756363189899E-2"/>
    <n v="3.5412387988855799E-2"/>
    <x v="1"/>
    <n v="5980414"/>
    <n v="192297"/>
    <n v="4989169"/>
    <n v="230502.44859574811"/>
  </r>
  <r>
    <s v="038001"/>
    <s v="Actividades postales y de correo"/>
    <s v="H - S"/>
    <s v="Otros servicios"/>
    <n v="3"/>
    <s v="No bioeconomía"/>
    <n v="3.9898839630747697E-3"/>
    <n v="2.6646854400351801E-2"/>
    <n v="3.0636738363426501E-2"/>
    <x v="1"/>
    <n v="120440"/>
    <n v="3335"/>
    <n v="167890"/>
    <n v="2392.4438620525343"/>
  </r>
  <r>
    <s v="038002"/>
    <s v="Comunicaciones e información"/>
    <s v="H - S"/>
    <s v="Otros servicios"/>
    <n v="3"/>
    <s v="No bioeconomía"/>
    <n v="1.37270462700317E-2"/>
    <n v="5.2815846320670698E-2"/>
    <n v="6.6542892590702396E-2"/>
    <x v="1"/>
    <n v="1775204"/>
    <n v="123809"/>
    <n v="2045562"/>
    <n v="107445.40230802097"/>
  </r>
  <r>
    <s v="039001"/>
    <s v="Actividades de servicios financieros"/>
    <s v="H - S"/>
    <s v="Otros servicios"/>
    <n v="3"/>
    <s v="No bioeconomía"/>
    <n v="8.7655979032731594E-3"/>
    <n v="3.8771204315285697E-2"/>
    <n v="4.7536802218558799E-2"/>
    <x v="1"/>
    <n v="3451004"/>
    <n v="147486"/>
    <n v="1923144"/>
    <n v="264657.65223197016"/>
  </r>
  <r>
    <s v="040001"/>
    <s v="Financiación de planes de seguro, excepto seguridad social"/>
    <s v="H - S"/>
    <s v="Otros servicios"/>
    <n v="3"/>
    <s v="No bioeconomía"/>
    <n v="7.5004336869039399E-3"/>
    <n v="2.8961889385858999E-2"/>
    <n v="3.6462323072763002E-2"/>
    <x v="1"/>
    <n v="431298"/>
    <n v="6518"/>
    <n v="1034328"/>
    <n v="2717.9002830823492"/>
  </r>
  <r>
    <s v="041001"/>
    <s v="Actividades inmobiliarias"/>
    <s v="H - S"/>
    <s v="Otros servicios"/>
    <n v="3"/>
    <s v="No bioeconomía"/>
    <n v="1.6188801758380601E-2"/>
    <n v="1.04312596138065E-2"/>
    <n v="2.6620061372187101E-2"/>
    <x v="1"/>
    <n v="4864427"/>
    <n v="46387"/>
    <n v="2192697"/>
    <n v="102908.05124875894"/>
  </r>
  <r>
    <s v="042001"/>
    <s v="Actividades profesionales, técnicas y administrativas"/>
    <s v="H - S"/>
    <s v="Otros servicios"/>
    <n v="2"/>
    <s v="Bioeconomía extendida"/>
    <n v="2.9342043381049201E-3"/>
    <n v="1.9835182624253999E-2"/>
    <n v="2.27693869623589E-2"/>
    <x v="1"/>
    <n v="8104943"/>
    <n v="130569"/>
    <n v="2427798"/>
    <n v="435890.58997783175"/>
  </r>
  <r>
    <s v="043001"/>
    <s v="Administración pública, defensa; planes de seguridad social obligatoria"/>
    <s v="H - S"/>
    <s v="Otros servicios"/>
    <n v="3"/>
    <s v="No bioeconomía"/>
    <n v="3.2375496322091198E-2"/>
    <n v="4.03402634268114E-2"/>
    <n v="7.27157597489025E-2"/>
    <x v="1"/>
    <n v="6984034"/>
    <n v="369791"/>
    <n v="1517176"/>
    <n v="1702263.2291138272"/>
  </r>
  <r>
    <s v="044001"/>
    <s v="Servicios de enseñanza privado"/>
    <s v="H - S"/>
    <s v="Otros servicios"/>
    <n v="3"/>
    <s v="No bioeconomía"/>
    <n v="3.7430546681806502E-2"/>
    <n v="2.5316227699649099E-2"/>
    <n v="6.2746774381455594E-2"/>
    <x v="1"/>
    <n v="1751976"/>
    <n v="98393"/>
    <n v="635183"/>
    <n v="271389.77990279964"/>
  </r>
  <r>
    <s v="044002"/>
    <s v="Servicios de enseñanza público (no de mercado)"/>
    <s v="H - S"/>
    <s v="Otros servicios"/>
    <n v="3"/>
    <s v="No bioeconomía"/>
    <n v="1.0231516921265499E-2"/>
    <n v="4.0148235238121298E-2"/>
    <n v="5.0379752159386802E-2"/>
    <x v="1"/>
    <n v="4224803"/>
    <n v="143762"/>
    <n v="666933"/>
    <n v="910685.37452187855"/>
  </r>
  <r>
    <s v="045001"/>
    <s v="Servicios sociales y de salud privados"/>
    <s v="H - S"/>
    <s v="Otros servicios"/>
    <n v="3"/>
    <s v="No bioeconomía"/>
    <n v="2.3598834573120901E-2"/>
    <n v="6.9446178470511905E-2"/>
    <n v="9.3045013043632802E-2"/>
    <x v="1"/>
    <n v="1037764"/>
    <n v="110932"/>
    <n v="461315"/>
    <n v="249550.16864398512"/>
  </r>
  <r>
    <s v="045002"/>
    <s v="Servicios sociales y de salud no de mercado (públicos)"/>
    <s v="H - S"/>
    <s v="Otros servicios"/>
    <n v="3"/>
    <s v="No bioeconomía"/>
    <n v="2.1543923276585102E-2"/>
    <n v="0.24436780585349599"/>
    <n v="0.26591172913008099"/>
    <x v="3"/>
    <n v="2750042"/>
    <n v="926953"/>
    <n v="1291231"/>
    <n v="1974208.8611766601"/>
  </r>
  <r>
    <s v="046001"/>
    <s v="Entretenimiento, recreación y otras actividades de servicios"/>
    <s v="H - S"/>
    <s v="Otros servicios"/>
    <n v="3"/>
    <s v="No bioeconomía"/>
    <n v="8.2845941117346694E-2"/>
    <n v="6.7276613659828302E-2"/>
    <n v="0.15012255477717501"/>
    <x v="0"/>
    <n v="1618521"/>
    <n v="290936"/>
    <n v="1149137"/>
    <n v="409773.617641760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F15C1-75AD-4441-86A0-AD7070005A0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E74" firstHeaderRow="1" firstDataRow="1" firstDataCol="4"/>
  <pivotFields count="9">
    <pivotField axis="axisRow" compact="0" outline="0" showAll="0" defaultSubtota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</pivotField>
    <pivotField axis="axisRow" compact="0" outline="0" showAll="0" sortType="descending" defaultSubtotal="0">
      <items count="71">
        <item x="12"/>
        <item x="5"/>
        <item x="60"/>
        <item x="62"/>
        <item x="58"/>
        <item x="63"/>
        <item x="10"/>
        <item x="8"/>
        <item x="64"/>
        <item x="55"/>
        <item x="51"/>
        <item x="53"/>
        <item x="59"/>
        <item x="18"/>
        <item x="52"/>
        <item x="6"/>
        <item x="0"/>
        <item x="1"/>
        <item x="2"/>
        <item x="3"/>
        <item x="4"/>
        <item x="29"/>
        <item x="30"/>
        <item x="23"/>
        <item x="19"/>
        <item x="26"/>
        <item x="25"/>
        <item x="27"/>
        <item x="28"/>
        <item x="22"/>
        <item x="21"/>
        <item x="31"/>
        <item x="20"/>
        <item x="24"/>
        <item x="69"/>
        <item x="13"/>
        <item x="14"/>
        <item x="11"/>
        <item x="43"/>
        <item x="34"/>
        <item x="47"/>
        <item x="32"/>
        <item x="46"/>
        <item x="44"/>
        <item x="48"/>
        <item x="39"/>
        <item x="36"/>
        <item x="33"/>
        <item x="40"/>
        <item x="41"/>
        <item x="45"/>
        <item x="37"/>
        <item x="38"/>
        <item x="42"/>
        <item x="61"/>
        <item x="50"/>
        <item x="70"/>
        <item x="49"/>
        <item x="9"/>
        <item x="17"/>
        <item x="16"/>
        <item x="15"/>
        <item x="35"/>
        <item x="56"/>
        <item x="65"/>
        <item x="66"/>
        <item x="54"/>
        <item x="68"/>
        <item x="67"/>
        <item x="7"/>
        <item x="5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7">
        <item x="0"/>
        <item x="5"/>
        <item x="4"/>
        <item x="2"/>
        <item x="1"/>
        <item x="6"/>
        <item x="3"/>
      </items>
    </pivotField>
    <pivotField compact="0" outline="0" showAll="0" defaultSubtotal="0"/>
    <pivotField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dataField="1" compact="0" outline="0" showAll="0" defaultSubtotal="0"/>
  </pivotFields>
  <rowFields count="4">
    <field x="2"/>
    <field x="3"/>
    <field x="0"/>
    <field x="1"/>
  </rowFields>
  <rowItems count="71">
    <i>
      <x/>
      <x/>
      <x/>
      <x v="16"/>
    </i>
    <i r="2">
      <x v="1"/>
      <x v="17"/>
    </i>
    <i r="2">
      <x v="2"/>
      <x v="18"/>
    </i>
    <i r="2">
      <x v="3"/>
      <x v="19"/>
    </i>
    <i r="2">
      <x v="4"/>
      <x v="20"/>
    </i>
    <i r="2">
      <x v="5"/>
      <x v="1"/>
    </i>
    <i r="2">
      <x v="6"/>
      <x v="15"/>
    </i>
    <i r="2">
      <x v="7"/>
      <x v="69"/>
    </i>
    <i r="2">
      <x v="8"/>
      <x v="7"/>
    </i>
    <i r="2">
      <x v="9"/>
      <x v="58"/>
    </i>
    <i r="2">
      <x v="10"/>
      <x v="6"/>
    </i>
    <i>
      <x v="1"/>
      <x v="4"/>
      <x v="11"/>
      <x v="37"/>
    </i>
    <i r="2">
      <x v="12"/>
      <x/>
    </i>
    <i r="2">
      <x v="13"/>
      <x v="35"/>
    </i>
    <i r="2">
      <x v="14"/>
      <x v="36"/>
    </i>
    <i>
      <x v="2"/>
      <x v="3"/>
      <x v="15"/>
      <x v="61"/>
    </i>
    <i r="2">
      <x v="16"/>
      <x v="60"/>
    </i>
    <i r="2">
      <x v="17"/>
      <x v="59"/>
    </i>
    <i r="2">
      <x v="18"/>
      <x v="13"/>
    </i>
    <i r="2">
      <x v="19"/>
      <x v="24"/>
    </i>
    <i r="2">
      <x v="20"/>
      <x v="32"/>
    </i>
    <i r="2">
      <x v="21"/>
      <x v="30"/>
    </i>
    <i r="2">
      <x v="22"/>
      <x v="29"/>
    </i>
    <i r="2">
      <x v="23"/>
      <x v="23"/>
    </i>
    <i r="2">
      <x v="24"/>
      <x v="33"/>
    </i>
    <i r="2">
      <x v="25"/>
      <x v="26"/>
    </i>
    <i r="2">
      <x v="26"/>
      <x v="25"/>
    </i>
    <i r="2">
      <x v="27"/>
      <x v="27"/>
    </i>
    <i r="2">
      <x v="28"/>
      <x v="28"/>
    </i>
    <i r="2">
      <x v="29"/>
      <x v="21"/>
    </i>
    <i r="2">
      <x v="30"/>
      <x v="22"/>
    </i>
    <i r="2">
      <x v="31"/>
      <x v="31"/>
    </i>
    <i r="2">
      <x v="32"/>
      <x v="41"/>
    </i>
    <i r="2">
      <x v="33"/>
      <x v="47"/>
    </i>
    <i r="2">
      <x v="34"/>
      <x v="39"/>
    </i>
    <i r="2">
      <x v="35"/>
      <x v="62"/>
    </i>
    <i r="2">
      <x v="36"/>
      <x v="46"/>
    </i>
    <i r="2">
      <x v="37"/>
      <x v="51"/>
    </i>
    <i r="2">
      <x v="38"/>
      <x v="52"/>
    </i>
    <i r="2">
      <x v="39"/>
      <x v="45"/>
    </i>
    <i r="2">
      <x v="40"/>
      <x v="48"/>
    </i>
    <i r="2">
      <x v="41"/>
      <x v="49"/>
    </i>
    <i r="2">
      <x v="42"/>
      <x v="53"/>
    </i>
    <i r="2">
      <x v="43"/>
      <x v="38"/>
    </i>
    <i r="2">
      <x v="44"/>
      <x v="43"/>
    </i>
    <i r="2">
      <x v="45"/>
      <x v="50"/>
    </i>
    <i r="2">
      <x v="46"/>
      <x v="42"/>
    </i>
    <i r="2">
      <x v="47"/>
      <x v="40"/>
    </i>
    <i r="2">
      <x v="48"/>
      <x v="44"/>
    </i>
    <i r="2">
      <x v="49"/>
      <x v="57"/>
    </i>
    <i>
      <x v="3"/>
      <x v="6"/>
      <x v="50"/>
      <x v="55"/>
    </i>
    <i r="2">
      <x v="51"/>
      <x v="10"/>
    </i>
    <i>
      <x v="4"/>
      <x v="2"/>
      <x v="52"/>
      <x v="14"/>
    </i>
    <i>
      <x v="5"/>
      <x v="1"/>
      <x v="53"/>
      <x v="11"/>
    </i>
    <i r="2">
      <x v="54"/>
      <x v="66"/>
    </i>
    <i>
      <x v="6"/>
      <x v="5"/>
      <x v="55"/>
      <x v="9"/>
    </i>
    <i r="2">
      <x v="56"/>
      <x v="63"/>
    </i>
    <i r="2">
      <x v="57"/>
      <x v="70"/>
    </i>
    <i r="2">
      <x v="58"/>
      <x v="4"/>
    </i>
    <i r="2">
      <x v="59"/>
      <x v="12"/>
    </i>
    <i r="2">
      <x v="60"/>
      <x v="2"/>
    </i>
    <i r="2">
      <x v="61"/>
      <x v="54"/>
    </i>
    <i r="2">
      <x v="62"/>
      <x v="3"/>
    </i>
    <i r="2">
      <x v="63"/>
      <x v="5"/>
    </i>
    <i r="2">
      <x v="64"/>
      <x v="8"/>
    </i>
    <i r="2">
      <x v="65"/>
      <x v="64"/>
    </i>
    <i r="2">
      <x v="66"/>
      <x v="65"/>
    </i>
    <i r="2">
      <x v="67"/>
      <x v="68"/>
    </i>
    <i r="2">
      <x v="68"/>
      <x v="67"/>
    </i>
    <i r="2">
      <x v="69"/>
      <x v="34"/>
    </i>
    <i r="2">
      <x v="70"/>
      <x v="56"/>
    </i>
  </rowItems>
  <colItems count="1">
    <i/>
  </colItems>
  <dataFields count="1">
    <dataField name="Sum of Bioeconomía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32F6F-438D-4CBA-A0C2-3CE5F2D4917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8" firstHeaderRow="1" firstDataRow="1" firstDataCol="3"/>
  <pivotFields count="11">
    <pivotField showAll="0"/>
    <pivotField axis="axisRow" showAll="0" sortType="descending">
      <items count="71">
        <item x="45"/>
        <item x="65"/>
        <item x="52"/>
        <item x="64"/>
        <item x="61"/>
        <item x="66"/>
        <item x="30"/>
        <item x="9"/>
        <item x="40"/>
        <item x="24"/>
        <item x="59"/>
        <item x="55"/>
        <item x="42"/>
        <item x="15"/>
        <item x="33"/>
        <item x="6"/>
        <item x="31"/>
        <item x="39"/>
        <item x="29"/>
        <item x="43"/>
        <item x="36"/>
        <item x="19"/>
        <item x="27"/>
        <item x="8"/>
        <item x="7"/>
        <item x="4"/>
        <item x="0"/>
        <item x="11"/>
        <item x="14"/>
        <item x="12"/>
        <item x="17"/>
        <item x="25"/>
        <item x="3"/>
        <item x="5"/>
        <item x="32"/>
        <item x="53"/>
        <item x="35"/>
        <item x="48"/>
        <item x="47"/>
        <item x="18"/>
        <item x="68"/>
        <item x="20"/>
        <item x="41"/>
        <item x="57"/>
        <item x="10"/>
        <item x="34"/>
        <item x="23"/>
        <item x="13"/>
        <item x="37"/>
        <item x="62"/>
        <item x="54"/>
        <item x="69"/>
        <item x="67"/>
        <item x="63"/>
        <item x="56"/>
        <item x="49"/>
        <item x="51"/>
        <item x="28"/>
        <item x="22"/>
        <item x="1"/>
        <item x="2"/>
        <item x="16"/>
        <item x="21"/>
        <item x="44"/>
        <item x="50"/>
        <item x="46"/>
        <item x="26"/>
        <item x="38"/>
        <item x="60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outline="0" showAll="0" defaultSubtotal="0">
      <items count="7">
        <item x="1"/>
        <item x="4"/>
        <item x="0"/>
        <item x="6"/>
        <item x="3"/>
        <item x="5"/>
        <item x="2"/>
      </items>
    </pivotField>
    <pivotField axis="axisRow" outline="0" showAll="0" defaultSubtotal="0">
      <items count="7">
        <item x="1"/>
        <item x="5"/>
        <item x="3"/>
        <item x="0"/>
        <item x="4"/>
        <item x="2"/>
        <item x="6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4">
    <field x="10"/>
    <field x="2"/>
    <field x="3"/>
    <field x="1"/>
  </rowFields>
  <rowItems count="75">
    <i>
      <x/>
    </i>
    <i r="1">
      <x/>
      <x/>
      <x v="15"/>
    </i>
    <i r="3">
      <x v="7"/>
    </i>
    <i r="1">
      <x v="2"/>
      <x v="3"/>
      <x v="26"/>
    </i>
    <i r="3">
      <x v="59"/>
    </i>
    <i r="3">
      <x v="60"/>
    </i>
    <i r="3">
      <x v="32"/>
    </i>
    <i r="3">
      <x v="25"/>
    </i>
    <i r="3">
      <x v="33"/>
    </i>
    <i r="3">
      <x v="24"/>
    </i>
    <i r="3">
      <x v="23"/>
    </i>
    <i r="3">
      <x v="44"/>
    </i>
    <i r="3">
      <x v="27"/>
    </i>
    <i r="3">
      <x v="29"/>
    </i>
    <i r="3">
      <x v="47"/>
    </i>
    <i r="3">
      <x v="28"/>
    </i>
    <i r="3">
      <x v="13"/>
    </i>
    <i r="3">
      <x v="61"/>
    </i>
    <i r="3">
      <x v="30"/>
    </i>
    <i r="3">
      <x v="39"/>
    </i>
    <i r="3">
      <x v="21"/>
    </i>
    <i r="3">
      <x v="41"/>
    </i>
    <i r="3">
      <x v="58"/>
    </i>
    <i r="3">
      <x v="46"/>
    </i>
    <i r="1">
      <x v="6"/>
      <x v="5"/>
      <x v="62"/>
    </i>
    <i>
      <x v="1"/>
    </i>
    <i r="1">
      <x v="2"/>
      <x v="3"/>
      <x v="31"/>
    </i>
    <i r="3">
      <x v="22"/>
    </i>
    <i r="1">
      <x v="6"/>
      <x v="5"/>
      <x v="9"/>
    </i>
    <i r="3">
      <x v="66"/>
    </i>
    <i>
      <x v="2"/>
    </i>
    <i r="1">
      <x/>
      <x/>
      <x v="57"/>
    </i>
    <i r="3">
      <x v="18"/>
    </i>
    <i r="3">
      <x v="6"/>
    </i>
    <i r="3">
      <x v="16"/>
    </i>
    <i r="1">
      <x v="2"/>
      <x v="3"/>
      <x v="45"/>
    </i>
    <i r="1">
      <x v="4"/>
      <x v="2"/>
      <x v="14"/>
    </i>
    <i r="1">
      <x v="6"/>
      <x v="5"/>
      <x v="34"/>
    </i>
    <i>
      <x v="3"/>
    </i>
    <i r="1">
      <x/>
      <x/>
      <x v="20"/>
    </i>
    <i r="3">
      <x v="17"/>
    </i>
    <i r="3">
      <x v="19"/>
    </i>
    <i r="3">
      <x v="68"/>
    </i>
    <i r="3">
      <x v="1"/>
    </i>
    <i r="1">
      <x v="1"/>
      <x v="4"/>
      <x v="36"/>
    </i>
    <i r="3">
      <x/>
    </i>
    <i r="3">
      <x v="37"/>
    </i>
    <i r="3">
      <x v="35"/>
    </i>
    <i r="1">
      <x v="2"/>
      <x v="3"/>
      <x v="48"/>
    </i>
    <i r="3">
      <x v="42"/>
    </i>
    <i r="3">
      <x v="38"/>
    </i>
    <i r="3">
      <x v="56"/>
    </i>
    <i r="3">
      <x v="50"/>
    </i>
    <i r="3">
      <x v="43"/>
    </i>
    <i r="3">
      <x v="49"/>
    </i>
    <i r="3">
      <x v="53"/>
    </i>
    <i r="3">
      <x v="52"/>
    </i>
    <i r="3">
      <x v="40"/>
    </i>
    <i r="3">
      <x v="51"/>
    </i>
    <i r="1">
      <x v="3"/>
      <x v="6"/>
      <x v="55"/>
    </i>
    <i r="3">
      <x v="10"/>
    </i>
    <i r="1">
      <x v="5"/>
      <x v="1"/>
      <x v="65"/>
    </i>
    <i r="3">
      <x v="11"/>
    </i>
    <i r="1">
      <x v="6"/>
      <x v="5"/>
      <x v="67"/>
    </i>
    <i r="3">
      <x v="8"/>
    </i>
    <i r="3">
      <x v="12"/>
    </i>
    <i r="3">
      <x v="63"/>
    </i>
    <i r="3">
      <x v="64"/>
    </i>
    <i r="3">
      <x v="2"/>
    </i>
    <i r="3">
      <x v="54"/>
    </i>
    <i r="3">
      <x v="69"/>
    </i>
    <i r="3">
      <x v="4"/>
    </i>
    <i r="3">
      <x v="3"/>
    </i>
    <i r="3">
      <x v="5"/>
    </i>
    <i t="grand">
      <x/>
    </i>
  </rowItems>
  <colItems count="1">
    <i/>
  </colItems>
  <dataFields count="1">
    <dataField name="Average of Bioeconomía total" fld="8" subtotal="average" baseField="1" baseItem="59" numFmtId="2"/>
  </dataFields>
  <formats count="126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0" type="button" dataOnly="0" labelOnly="1" outline="0" axis="axisRow" fieldPosition="0"/>
    </format>
    <format dxfId="122">
      <pivotArea field="3" type="button" dataOnly="0" labelOnly="1" outline="0" axis="axisRow" fieldPosition="2"/>
    </format>
    <format dxfId="121">
      <pivotArea field="1" type="button" dataOnly="0" labelOnly="1" outline="0" axis="axisRow" fieldPosition="3"/>
    </format>
    <format dxfId="120">
      <pivotArea dataOnly="0" labelOnly="1" fieldPosition="0">
        <references count="1">
          <reference field="10" count="0"/>
        </references>
      </pivotArea>
    </format>
    <format dxfId="119">
      <pivotArea dataOnly="0" labelOnly="1" grandRow="1" outline="0" fieldPosition="0"/>
    </format>
    <format dxfId="118">
      <pivotArea dataOnly="0" labelOnly="1" fieldPosition="0">
        <references count="2">
          <reference field="2" count="3">
            <x v="0"/>
            <x v="2"/>
            <x v="6"/>
          </reference>
          <reference field="10" count="1" selected="0">
            <x v="0"/>
          </reference>
        </references>
      </pivotArea>
    </format>
    <format dxfId="117">
      <pivotArea dataOnly="0" labelOnly="1" fieldPosition="0">
        <references count="2">
          <reference field="2" count="2">
            <x v="2"/>
            <x v="6"/>
          </reference>
          <reference field="10" count="1" selected="0">
            <x v="1"/>
          </reference>
        </references>
      </pivotArea>
    </format>
    <format dxfId="116">
      <pivotArea dataOnly="0" labelOnly="1" fieldPosition="0">
        <references count="2">
          <reference field="2" count="4">
            <x v="0"/>
            <x v="2"/>
            <x v="4"/>
            <x v="6"/>
          </reference>
          <reference field="10" count="1" selected="0">
            <x v="2"/>
          </reference>
        </references>
      </pivotArea>
    </format>
    <format dxfId="115">
      <pivotArea dataOnly="0" labelOnly="1" fieldPosition="0">
        <references count="2">
          <reference field="2" count="6">
            <x v="0"/>
            <x v="1"/>
            <x v="2"/>
            <x v="3"/>
            <x v="5"/>
            <x v="6"/>
          </reference>
          <reference field="10" count="1" selected="0">
            <x v="3"/>
          </reference>
        </references>
      </pivotArea>
    </format>
    <format dxfId="114">
      <pivotArea dataOnly="0" labelOnly="1" fieldPosition="0">
        <references count="3">
          <reference field="2" count="1" selected="0">
            <x v="0"/>
          </reference>
          <reference field="3" count="1">
            <x v="0"/>
          </reference>
          <reference field="10" count="1" selected="0">
            <x v="0"/>
          </reference>
        </references>
      </pivotArea>
    </format>
    <format dxfId="113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0"/>
          </reference>
        </references>
      </pivotArea>
    </format>
    <format dxfId="112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0"/>
          </reference>
        </references>
      </pivotArea>
    </format>
    <format dxfId="111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1"/>
          </reference>
        </references>
      </pivotArea>
    </format>
    <format dxfId="110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1"/>
          </reference>
        </references>
      </pivotArea>
    </format>
    <format dxfId="109">
      <pivotArea dataOnly="0" labelOnly="1" fieldPosition="0">
        <references count="3">
          <reference field="2" count="1" selected="0">
            <x v="0"/>
          </reference>
          <reference field="3" count="1">
            <x v="0"/>
          </reference>
          <reference field="10" count="1" selected="0">
            <x v="2"/>
          </reference>
        </references>
      </pivotArea>
    </format>
    <format dxfId="108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2"/>
          </reference>
        </references>
      </pivotArea>
    </format>
    <format dxfId="107">
      <pivotArea dataOnly="0" labelOnly="1" fieldPosition="0">
        <references count="3">
          <reference field="2" count="1" selected="0">
            <x v="4"/>
          </reference>
          <reference field="3" count="1">
            <x v="2"/>
          </reference>
          <reference field="10" count="1" selected="0">
            <x v="2"/>
          </reference>
        </references>
      </pivotArea>
    </format>
    <format dxfId="106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2"/>
          </reference>
        </references>
      </pivotArea>
    </format>
    <format dxfId="105">
      <pivotArea dataOnly="0" labelOnly="1" fieldPosition="0">
        <references count="3">
          <reference field="2" count="1" selected="0">
            <x v="0"/>
          </reference>
          <reference field="3" count="1">
            <x v="0"/>
          </reference>
          <reference field="10" count="1" selected="0">
            <x v="3"/>
          </reference>
        </references>
      </pivotArea>
    </format>
    <format dxfId="104">
      <pivotArea dataOnly="0" labelOnly="1" fieldPosition="0">
        <references count="3">
          <reference field="2" count="1" selected="0">
            <x v="1"/>
          </reference>
          <reference field="3" count="1">
            <x v="4"/>
          </reference>
          <reference field="10" count="1" selected="0">
            <x v="3"/>
          </reference>
        </references>
      </pivotArea>
    </format>
    <format dxfId="103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3"/>
          </reference>
        </references>
      </pivotArea>
    </format>
    <format dxfId="102">
      <pivotArea dataOnly="0" labelOnly="1" fieldPosition="0">
        <references count="3">
          <reference field="2" count="1" selected="0">
            <x v="3"/>
          </reference>
          <reference field="3" count="1">
            <x v="6"/>
          </reference>
          <reference field="10" count="1" selected="0">
            <x v="3"/>
          </reference>
        </references>
      </pivotArea>
    </format>
    <format dxfId="101">
      <pivotArea dataOnly="0" labelOnly="1" fieldPosition="0">
        <references count="3">
          <reference field="2" count="1" selected="0">
            <x v="5"/>
          </reference>
          <reference field="3" count="1">
            <x v="1"/>
          </reference>
          <reference field="10" count="1" selected="0">
            <x v="3"/>
          </reference>
        </references>
      </pivotArea>
    </format>
    <format dxfId="100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3"/>
          </reference>
        </references>
      </pivotArea>
    </format>
    <format dxfId="99">
      <pivotArea dataOnly="0" labelOnly="1" fieldPosition="0">
        <references count="4">
          <reference field="1" count="2">
            <x v="7"/>
            <x v="15"/>
          </reference>
          <reference field="2" count="1" selected="0">
            <x v="0"/>
          </reference>
          <reference field="3" count="1" selected="0">
            <x v="0"/>
          </reference>
          <reference field="10" count="1" selected="0">
            <x v="0"/>
          </reference>
        </references>
      </pivotArea>
    </format>
    <format dxfId="98">
      <pivotArea dataOnly="0" labelOnly="1" fieldPosition="0">
        <references count="4">
          <reference field="1" count="21">
            <x v="13"/>
            <x v="21"/>
            <x v="23"/>
            <x v="24"/>
            <x v="25"/>
            <x v="26"/>
            <x v="27"/>
            <x v="28"/>
            <x v="29"/>
            <x v="30"/>
            <x v="32"/>
            <x v="33"/>
            <x v="39"/>
            <x v="41"/>
            <x v="44"/>
            <x v="46"/>
            <x v="47"/>
            <x v="58"/>
            <x v="59"/>
            <x v="60"/>
            <x v="61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0"/>
          </reference>
        </references>
      </pivotArea>
    </format>
    <format dxfId="97">
      <pivotArea dataOnly="0" labelOnly="1" fieldPosition="0">
        <references count="4">
          <reference field="1" count="1">
            <x v="62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0"/>
          </reference>
        </references>
      </pivotArea>
    </format>
    <format dxfId="96">
      <pivotArea dataOnly="0" labelOnly="1" fieldPosition="0">
        <references count="4">
          <reference field="1" count="2">
            <x v="22"/>
            <x v="31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1"/>
          </reference>
        </references>
      </pivotArea>
    </format>
    <format dxfId="95">
      <pivotArea dataOnly="0" labelOnly="1" fieldPosition="0">
        <references count="4">
          <reference field="1" count="2">
            <x v="9"/>
            <x v="66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1"/>
          </reference>
        </references>
      </pivotArea>
    </format>
    <format dxfId="94">
      <pivotArea dataOnly="0" labelOnly="1" fieldPosition="0">
        <references count="4">
          <reference field="1" count="4">
            <x v="6"/>
            <x v="16"/>
            <x v="18"/>
            <x v="57"/>
          </reference>
          <reference field="2" count="1" selected="0">
            <x v="0"/>
          </reference>
          <reference field="3" count="1" selected="0">
            <x v="0"/>
          </reference>
          <reference field="10" count="1" selected="0">
            <x v="2"/>
          </reference>
        </references>
      </pivotArea>
    </format>
    <format dxfId="93">
      <pivotArea dataOnly="0" labelOnly="1" fieldPosition="0">
        <references count="4">
          <reference field="1" count="1">
            <x v="45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2"/>
          </reference>
        </references>
      </pivotArea>
    </format>
    <format dxfId="92">
      <pivotArea dataOnly="0" labelOnly="1" fieldPosition="0">
        <references count="4">
          <reference field="1" count="1">
            <x v="14"/>
          </reference>
          <reference field="2" count="1" selected="0">
            <x v="4"/>
          </reference>
          <reference field="3" count="1" selected="0">
            <x v="2"/>
          </reference>
          <reference field="10" count="1" selected="0">
            <x v="2"/>
          </reference>
        </references>
      </pivotArea>
    </format>
    <format dxfId="91">
      <pivotArea dataOnly="0" labelOnly="1" fieldPosition="0">
        <references count="4">
          <reference field="1" count="1">
            <x v="34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2"/>
          </reference>
        </references>
      </pivotArea>
    </format>
    <format dxfId="90">
      <pivotArea dataOnly="0" labelOnly="1" fieldPosition="0">
        <references count="4">
          <reference field="1" count="5">
            <x v="1"/>
            <x v="17"/>
            <x v="19"/>
            <x v="20"/>
            <x v="68"/>
          </reference>
          <reference field="2" count="1" selected="0">
            <x v="0"/>
          </reference>
          <reference field="3" count="1" selected="0">
            <x v="0"/>
          </reference>
          <reference field="10" count="1" selected="0">
            <x v="3"/>
          </reference>
        </references>
      </pivotArea>
    </format>
    <format dxfId="89">
      <pivotArea dataOnly="0" labelOnly="1" fieldPosition="0">
        <references count="4">
          <reference field="1" count="4">
            <x v="0"/>
            <x v="35"/>
            <x v="36"/>
            <x v="37"/>
          </reference>
          <reference field="2" count="1" selected="0">
            <x v="1"/>
          </reference>
          <reference field="3" count="1" selected="0">
            <x v="4"/>
          </reference>
          <reference field="10" count="1" selected="0">
            <x v="3"/>
          </reference>
        </references>
      </pivotArea>
    </format>
    <format dxfId="88">
      <pivotArea dataOnly="0" labelOnly="1" fieldPosition="0">
        <references count="4">
          <reference field="1" count="11">
            <x v="38"/>
            <x v="40"/>
            <x v="42"/>
            <x v="43"/>
            <x v="48"/>
            <x v="49"/>
            <x v="50"/>
            <x v="51"/>
            <x v="52"/>
            <x v="53"/>
            <x v="56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3"/>
          </reference>
        </references>
      </pivotArea>
    </format>
    <format dxfId="87">
      <pivotArea dataOnly="0" labelOnly="1" fieldPosition="0">
        <references count="4">
          <reference field="1" count="2">
            <x v="10"/>
            <x v="55"/>
          </reference>
          <reference field="2" count="1" selected="0">
            <x v="3"/>
          </reference>
          <reference field="3" count="1" selected="0">
            <x v="6"/>
          </reference>
          <reference field="10" count="1" selected="0">
            <x v="3"/>
          </reference>
        </references>
      </pivotArea>
    </format>
    <format dxfId="86">
      <pivotArea dataOnly="0" labelOnly="1" fieldPosition="0">
        <references count="4">
          <reference field="1" count="2">
            <x v="11"/>
            <x v="65"/>
          </reference>
          <reference field="2" count="1" selected="0">
            <x v="5"/>
          </reference>
          <reference field="3" count="1" selected="0">
            <x v="1"/>
          </reference>
          <reference field="10" count="1" selected="0">
            <x v="3"/>
          </reference>
        </references>
      </pivotArea>
    </format>
    <format dxfId="85">
      <pivotArea dataOnly="0" labelOnly="1" fieldPosition="0">
        <references count="4">
          <reference field="1" count="11">
            <x v="2"/>
            <x v="3"/>
            <x v="4"/>
            <x v="5"/>
            <x v="8"/>
            <x v="12"/>
            <x v="54"/>
            <x v="63"/>
            <x v="64"/>
            <x v="67"/>
            <x v="69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3"/>
          </reference>
        </references>
      </pivotArea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0" type="button" dataOnly="0" labelOnly="1" outline="0" axis="axisRow" fieldPosition="0"/>
    </format>
    <format dxfId="80">
      <pivotArea field="3" type="button" dataOnly="0" labelOnly="1" outline="0" axis="axisRow" fieldPosition="2"/>
    </format>
    <format dxfId="79">
      <pivotArea field="1" type="button" dataOnly="0" labelOnly="1" outline="0" axis="axisRow" fieldPosition="3"/>
    </format>
    <format dxfId="78">
      <pivotArea dataOnly="0" labelOnly="1" fieldPosition="0">
        <references count="1">
          <reference field="10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2">
          <reference field="2" count="3">
            <x v="0"/>
            <x v="2"/>
            <x v="6"/>
          </reference>
          <reference field="10" count="1" selected="0">
            <x v="0"/>
          </reference>
        </references>
      </pivotArea>
    </format>
    <format dxfId="75">
      <pivotArea dataOnly="0" labelOnly="1" fieldPosition="0">
        <references count="2">
          <reference field="2" count="2">
            <x v="2"/>
            <x v="6"/>
          </reference>
          <reference field="10" count="1" selected="0">
            <x v="1"/>
          </reference>
        </references>
      </pivotArea>
    </format>
    <format dxfId="74">
      <pivotArea dataOnly="0" labelOnly="1" fieldPosition="0">
        <references count="2">
          <reference field="2" count="4">
            <x v="0"/>
            <x v="2"/>
            <x v="4"/>
            <x v="6"/>
          </reference>
          <reference field="10" count="1" selected="0">
            <x v="2"/>
          </reference>
        </references>
      </pivotArea>
    </format>
    <format dxfId="73">
      <pivotArea dataOnly="0" labelOnly="1" fieldPosition="0">
        <references count="2">
          <reference field="2" count="6">
            <x v="0"/>
            <x v="1"/>
            <x v="2"/>
            <x v="3"/>
            <x v="5"/>
            <x v="6"/>
          </reference>
          <reference field="10" count="1" selected="0">
            <x v="3"/>
          </reference>
        </references>
      </pivotArea>
    </format>
    <format dxfId="72">
      <pivotArea dataOnly="0" labelOnly="1" fieldPosition="0">
        <references count="3">
          <reference field="2" count="1" selected="0">
            <x v="0"/>
          </reference>
          <reference field="3" count="1">
            <x v="0"/>
          </reference>
          <reference field="10" count="1" selected="0">
            <x v="0"/>
          </reference>
        </references>
      </pivotArea>
    </format>
    <format dxfId="71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0"/>
          </reference>
        </references>
      </pivotArea>
    </format>
    <format dxfId="70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0"/>
          </reference>
        </references>
      </pivotArea>
    </format>
    <format dxfId="69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1"/>
          </reference>
        </references>
      </pivotArea>
    </format>
    <format dxfId="68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1"/>
          </reference>
        </references>
      </pivotArea>
    </format>
    <format dxfId="67">
      <pivotArea dataOnly="0" labelOnly="1" fieldPosition="0">
        <references count="3">
          <reference field="2" count="1" selected="0">
            <x v="0"/>
          </reference>
          <reference field="3" count="1">
            <x v="0"/>
          </reference>
          <reference field="10" count="1" selected="0">
            <x v="2"/>
          </reference>
        </references>
      </pivotArea>
    </format>
    <format dxfId="66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2"/>
          </reference>
        </references>
      </pivotArea>
    </format>
    <format dxfId="65">
      <pivotArea dataOnly="0" labelOnly="1" fieldPosition="0">
        <references count="3">
          <reference field="2" count="1" selected="0">
            <x v="4"/>
          </reference>
          <reference field="3" count="1">
            <x v="2"/>
          </reference>
          <reference field="10" count="1" selected="0">
            <x v="2"/>
          </reference>
        </references>
      </pivotArea>
    </format>
    <format dxfId="64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2"/>
          </reference>
        </references>
      </pivotArea>
    </format>
    <format dxfId="63">
      <pivotArea dataOnly="0" labelOnly="1" fieldPosition="0">
        <references count="3">
          <reference field="2" count="1" selected="0">
            <x v="0"/>
          </reference>
          <reference field="3" count="1">
            <x v="0"/>
          </reference>
          <reference field="10" count="1" selected="0">
            <x v="3"/>
          </reference>
        </references>
      </pivotArea>
    </format>
    <format dxfId="62">
      <pivotArea dataOnly="0" labelOnly="1" fieldPosition="0">
        <references count="3">
          <reference field="2" count="1" selected="0">
            <x v="1"/>
          </reference>
          <reference field="3" count="1">
            <x v="4"/>
          </reference>
          <reference field="10" count="1" selected="0">
            <x v="3"/>
          </reference>
        </references>
      </pivotArea>
    </format>
    <format dxfId="61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3"/>
          </reference>
        </references>
      </pivotArea>
    </format>
    <format dxfId="60">
      <pivotArea dataOnly="0" labelOnly="1" fieldPosition="0">
        <references count="3">
          <reference field="2" count="1" selected="0">
            <x v="3"/>
          </reference>
          <reference field="3" count="1">
            <x v="6"/>
          </reference>
          <reference field="10" count="1" selected="0">
            <x v="3"/>
          </reference>
        </references>
      </pivotArea>
    </format>
    <format dxfId="59">
      <pivotArea dataOnly="0" labelOnly="1" fieldPosition="0">
        <references count="3">
          <reference field="2" count="1" selected="0">
            <x v="5"/>
          </reference>
          <reference field="3" count="1">
            <x v="1"/>
          </reference>
          <reference field="10" count="1" selected="0">
            <x v="3"/>
          </reference>
        </references>
      </pivotArea>
    </format>
    <format dxfId="58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3"/>
          </reference>
        </references>
      </pivotArea>
    </format>
    <format dxfId="57">
      <pivotArea dataOnly="0" labelOnly="1" fieldPosition="0">
        <references count="4">
          <reference field="1" count="2">
            <x v="7"/>
            <x v="15"/>
          </reference>
          <reference field="2" count="1" selected="0">
            <x v="0"/>
          </reference>
          <reference field="3" count="1" selected="0">
            <x v="0"/>
          </reference>
          <reference field="10" count="1" selected="0">
            <x v="0"/>
          </reference>
        </references>
      </pivotArea>
    </format>
    <format dxfId="56">
      <pivotArea dataOnly="0" labelOnly="1" fieldPosition="0">
        <references count="4">
          <reference field="1" count="21">
            <x v="13"/>
            <x v="21"/>
            <x v="23"/>
            <x v="24"/>
            <x v="25"/>
            <x v="26"/>
            <x v="27"/>
            <x v="28"/>
            <x v="29"/>
            <x v="30"/>
            <x v="32"/>
            <x v="33"/>
            <x v="39"/>
            <x v="41"/>
            <x v="44"/>
            <x v="46"/>
            <x v="47"/>
            <x v="58"/>
            <x v="59"/>
            <x v="60"/>
            <x v="61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0"/>
          </reference>
        </references>
      </pivotArea>
    </format>
    <format dxfId="55">
      <pivotArea dataOnly="0" labelOnly="1" fieldPosition="0">
        <references count="4">
          <reference field="1" count="1">
            <x v="62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0"/>
          </reference>
        </references>
      </pivotArea>
    </format>
    <format dxfId="54">
      <pivotArea dataOnly="0" labelOnly="1" fieldPosition="0">
        <references count="4">
          <reference field="1" count="2">
            <x v="22"/>
            <x v="31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1"/>
          </reference>
        </references>
      </pivotArea>
    </format>
    <format dxfId="53">
      <pivotArea dataOnly="0" labelOnly="1" fieldPosition="0">
        <references count="4">
          <reference field="1" count="2">
            <x v="9"/>
            <x v="66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1"/>
          </reference>
        </references>
      </pivotArea>
    </format>
    <format dxfId="52">
      <pivotArea dataOnly="0" labelOnly="1" fieldPosition="0">
        <references count="4">
          <reference field="1" count="4">
            <x v="6"/>
            <x v="16"/>
            <x v="18"/>
            <x v="57"/>
          </reference>
          <reference field="2" count="1" selected="0">
            <x v="0"/>
          </reference>
          <reference field="3" count="1" selected="0">
            <x v="0"/>
          </reference>
          <reference field="10" count="1" selected="0">
            <x v="2"/>
          </reference>
        </references>
      </pivotArea>
    </format>
    <format dxfId="51">
      <pivotArea dataOnly="0" labelOnly="1" fieldPosition="0">
        <references count="4">
          <reference field="1" count="1">
            <x v="45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2"/>
          </reference>
        </references>
      </pivotArea>
    </format>
    <format dxfId="50">
      <pivotArea dataOnly="0" labelOnly="1" fieldPosition="0">
        <references count="4">
          <reference field="1" count="1">
            <x v="14"/>
          </reference>
          <reference field="2" count="1" selected="0">
            <x v="4"/>
          </reference>
          <reference field="3" count="1" selected="0">
            <x v="2"/>
          </reference>
          <reference field="10" count="1" selected="0">
            <x v="2"/>
          </reference>
        </references>
      </pivotArea>
    </format>
    <format dxfId="49">
      <pivotArea dataOnly="0" labelOnly="1" fieldPosition="0">
        <references count="4">
          <reference field="1" count="1">
            <x v="34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2"/>
          </reference>
        </references>
      </pivotArea>
    </format>
    <format dxfId="48">
      <pivotArea dataOnly="0" labelOnly="1" fieldPosition="0">
        <references count="4">
          <reference field="1" count="5">
            <x v="1"/>
            <x v="17"/>
            <x v="19"/>
            <x v="20"/>
            <x v="68"/>
          </reference>
          <reference field="2" count="1" selected="0">
            <x v="0"/>
          </reference>
          <reference field="3" count="1" selected="0">
            <x v="0"/>
          </reference>
          <reference field="10" count="1" selected="0">
            <x v="3"/>
          </reference>
        </references>
      </pivotArea>
    </format>
    <format dxfId="47">
      <pivotArea dataOnly="0" labelOnly="1" fieldPosition="0">
        <references count="4">
          <reference field="1" count="4">
            <x v="0"/>
            <x v="35"/>
            <x v="36"/>
            <x v="37"/>
          </reference>
          <reference field="2" count="1" selected="0">
            <x v="1"/>
          </reference>
          <reference field="3" count="1" selected="0">
            <x v="4"/>
          </reference>
          <reference field="10" count="1" selected="0">
            <x v="3"/>
          </reference>
        </references>
      </pivotArea>
    </format>
    <format dxfId="46">
      <pivotArea dataOnly="0" labelOnly="1" fieldPosition="0">
        <references count="4">
          <reference field="1" count="11">
            <x v="38"/>
            <x v="40"/>
            <x v="42"/>
            <x v="43"/>
            <x v="48"/>
            <x v="49"/>
            <x v="50"/>
            <x v="51"/>
            <x v="52"/>
            <x v="53"/>
            <x v="56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3"/>
          </reference>
        </references>
      </pivotArea>
    </format>
    <format dxfId="45">
      <pivotArea dataOnly="0" labelOnly="1" fieldPosition="0">
        <references count="4">
          <reference field="1" count="2">
            <x v="10"/>
            <x v="55"/>
          </reference>
          <reference field="2" count="1" selected="0">
            <x v="3"/>
          </reference>
          <reference field="3" count="1" selected="0">
            <x v="6"/>
          </reference>
          <reference field="10" count="1" selected="0">
            <x v="3"/>
          </reference>
        </references>
      </pivotArea>
    </format>
    <format dxfId="44">
      <pivotArea dataOnly="0" labelOnly="1" fieldPosition="0">
        <references count="4">
          <reference field="1" count="2">
            <x v="11"/>
            <x v="65"/>
          </reference>
          <reference field="2" count="1" selected="0">
            <x v="5"/>
          </reference>
          <reference field="3" count="1" selected="0">
            <x v="1"/>
          </reference>
          <reference field="10" count="1" selected="0">
            <x v="3"/>
          </reference>
        </references>
      </pivotArea>
    </format>
    <format dxfId="43">
      <pivotArea dataOnly="0" labelOnly="1" fieldPosition="0">
        <references count="4">
          <reference field="1" count="11">
            <x v="2"/>
            <x v="3"/>
            <x v="4"/>
            <x v="5"/>
            <x v="8"/>
            <x v="12"/>
            <x v="54"/>
            <x v="63"/>
            <x v="64"/>
            <x v="67"/>
            <x v="69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3"/>
          </reference>
        </references>
      </pivotArea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0" type="button" dataOnly="0" labelOnly="1" outline="0" axis="axisRow" fieldPosition="0"/>
    </format>
    <format dxfId="38">
      <pivotArea field="3" type="button" dataOnly="0" labelOnly="1" outline="0" axis="axisRow" fieldPosition="2"/>
    </format>
    <format dxfId="37">
      <pivotArea field="1" type="button" dataOnly="0" labelOnly="1" outline="0" axis="axisRow" fieldPosition="3"/>
    </format>
    <format dxfId="36">
      <pivotArea dataOnly="0" labelOnly="1" fieldPosition="0">
        <references count="1">
          <reference field="10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2">
          <reference field="2" count="3">
            <x v="0"/>
            <x v="2"/>
            <x v="6"/>
          </reference>
          <reference field="10" count="1" selected="0">
            <x v="0"/>
          </reference>
        </references>
      </pivotArea>
    </format>
    <format dxfId="33">
      <pivotArea dataOnly="0" labelOnly="1" fieldPosition="0">
        <references count="2">
          <reference field="2" count="2">
            <x v="2"/>
            <x v="6"/>
          </reference>
          <reference field="10" count="1" selected="0">
            <x v="1"/>
          </reference>
        </references>
      </pivotArea>
    </format>
    <format dxfId="32">
      <pivotArea dataOnly="0" labelOnly="1" fieldPosition="0">
        <references count="2">
          <reference field="2" count="4">
            <x v="0"/>
            <x v="2"/>
            <x v="4"/>
            <x v="6"/>
          </reference>
          <reference field="10" count="1" selected="0">
            <x v="2"/>
          </reference>
        </references>
      </pivotArea>
    </format>
    <format dxfId="31">
      <pivotArea dataOnly="0" labelOnly="1" fieldPosition="0">
        <references count="2">
          <reference field="2" count="6">
            <x v="0"/>
            <x v="1"/>
            <x v="2"/>
            <x v="3"/>
            <x v="5"/>
            <x v="6"/>
          </reference>
          <reference field="10" count="1" selected="0">
            <x v="3"/>
          </reference>
        </references>
      </pivotArea>
    </format>
    <format dxfId="30">
      <pivotArea dataOnly="0" labelOnly="1" fieldPosition="0">
        <references count="3">
          <reference field="2" count="1" selected="0">
            <x v="0"/>
          </reference>
          <reference field="3" count="1">
            <x v="0"/>
          </reference>
          <reference field="10" count="1" selected="0">
            <x v="0"/>
          </reference>
        </references>
      </pivotArea>
    </format>
    <format dxfId="29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0"/>
          </reference>
        </references>
      </pivotArea>
    </format>
    <format dxfId="28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0"/>
          </reference>
        </references>
      </pivotArea>
    </format>
    <format dxfId="27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1"/>
          </reference>
        </references>
      </pivotArea>
    </format>
    <format dxfId="26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1"/>
          </reference>
        </references>
      </pivotArea>
    </format>
    <format dxfId="25">
      <pivotArea dataOnly="0" labelOnly="1" fieldPosition="0">
        <references count="3">
          <reference field="2" count="1" selected="0">
            <x v="0"/>
          </reference>
          <reference field="3" count="1">
            <x v="0"/>
          </reference>
          <reference field="10" count="1" selected="0">
            <x v="2"/>
          </reference>
        </references>
      </pivotArea>
    </format>
    <format dxfId="24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2"/>
          </reference>
        </references>
      </pivotArea>
    </format>
    <format dxfId="23">
      <pivotArea dataOnly="0" labelOnly="1" fieldPosition="0">
        <references count="3">
          <reference field="2" count="1" selected="0">
            <x v="4"/>
          </reference>
          <reference field="3" count="1">
            <x v="2"/>
          </reference>
          <reference field="10" count="1" selected="0">
            <x v="2"/>
          </reference>
        </references>
      </pivotArea>
    </format>
    <format dxfId="22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2"/>
          </reference>
        </references>
      </pivotArea>
    </format>
    <format dxfId="21">
      <pivotArea dataOnly="0" labelOnly="1" fieldPosition="0">
        <references count="3">
          <reference field="2" count="1" selected="0">
            <x v="0"/>
          </reference>
          <reference field="3" count="1">
            <x v="0"/>
          </reference>
          <reference field="10" count="1" selected="0">
            <x v="3"/>
          </reference>
        </references>
      </pivotArea>
    </format>
    <format dxfId="20">
      <pivotArea dataOnly="0" labelOnly="1" fieldPosition="0">
        <references count="3">
          <reference field="2" count="1" selected="0">
            <x v="1"/>
          </reference>
          <reference field="3" count="1">
            <x v="4"/>
          </reference>
          <reference field="10" count="1" selected="0">
            <x v="3"/>
          </reference>
        </references>
      </pivotArea>
    </format>
    <format dxfId="19">
      <pivotArea dataOnly="0" labelOnly="1" fieldPosition="0">
        <references count="3">
          <reference field="2" count="1" selected="0">
            <x v="2"/>
          </reference>
          <reference field="3" count="1">
            <x v="3"/>
          </reference>
          <reference field="10" count="1" selected="0">
            <x v="3"/>
          </reference>
        </references>
      </pivotArea>
    </format>
    <format dxfId="18">
      <pivotArea dataOnly="0" labelOnly="1" fieldPosition="0">
        <references count="3">
          <reference field="2" count="1" selected="0">
            <x v="3"/>
          </reference>
          <reference field="3" count="1">
            <x v="6"/>
          </reference>
          <reference field="10" count="1" selected="0">
            <x v="3"/>
          </reference>
        </references>
      </pivotArea>
    </format>
    <format dxfId="17">
      <pivotArea dataOnly="0" labelOnly="1" fieldPosition="0">
        <references count="3">
          <reference field="2" count="1" selected="0">
            <x v="5"/>
          </reference>
          <reference field="3" count="1">
            <x v="1"/>
          </reference>
          <reference field="10" count="1" selected="0">
            <x v="3"/>
          </reference>
        </references>
      </pivotArea>
    </format>
    <format dxfId="16">
      <pivotArea dataOnly="0" labelOnly="1" fieldPosition="0">
        <references count="3">
          <reference field="2" count="1" selected="0">
            <x v="6"/>
          </reference>
          <reference field="3" count="1">
            <x v="5"/>
          </reference>
          <reference field="10" count="1" selected="0">
            <x v="3"/>
          </reference>
        </references>
      </pivotArea>
    </format>
    <format dxfId="15">
      <pivotArea dataOnly="0" labelOnly="1" fieldPosition="0">
        <references count="4">
          <reference field="1" count="2">
            <x v="7"/>
            <x v="15"/>
          </reference>
          <reference field="2" count="1" selected="0">
            <x v="0"/>
          </reference>
          <reference field="3" count="1" selected="0">
            <x v="0"/>
          </reference>
          <reference field="10" count="1" selected="0">
            <x v="0"/>
          </reference>
        </references>
      </pivotArea>
    </format>
    <format dxfId="14">
      <pivotArea dataOnly="0" labelOnly="1" fieldPosition="0">
        <references count="4">
          <reference field="1" count="21">
            <x v="13"/>
            <x v="21"/>
            <x v="23"/>
            <x v="24"/>
            <x v="25"/>
            <x v="26"/>
            <x v="27"/>
            <x v="28"/>
            <x v="29"/>
            <x v="30"/>
            <x v="32"/>
            <x v="33"/>
            <x v="39"/>
            <x v="41"/>
            <x v="44"/>
            <x v="46"/>
            <x v="47"/>
            <x v="58"/>
            <x v="59"/>
            <x v="60"/>
            <x v="61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0"/>
          </reference>
        </references>
      </pivotArea>
    </format>
    <format dxfId="13">
      <pivotArea dataOnly="0" labelOnly="1" fieldPosition="0">
        <references count="4">
          <reference field="1" count="1">
            <x v="62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0"/>
          </reference>
        </references>
      </pivotArea>
    </format>
    <format dxfId="12">
      <pivotArea dataOnly="0" labelOnly="1" fieldPosition="0">
        <references count="4">
          <reference field="1" count="2">
            <x v="22"/>
            <x v="31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1"/>
          </reference>
        </references>
      </pivotArea>
    </format>
    <format dxfId="11">
      <pivotArea dataOnly="0" labelOnly="1" fieldPosition="0">
        <references count="4">
          <reference field="1" count="2">
            <x v="9"/>
            <x v="66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1"/>
          </reference>
        </references>
      </pivotArea>
    </format>
    <format dxfId="10">
      <pivotArea dataOnly="0" labelOnly="1" fieldPosition="0">
        <references count="4">
          <reference field="1" count="4">
            <x v="6"/>
            <x v="16"/>
            <x v="18"/>
            <x v="57"/>
          </reference>
          <reference field="2" count="1" selected="0">
            <x v="0"/>
          </reference>
          <reference field="3" count="1" selected="0">
            <x v="0"/>
          </reference>
          <reference field="10" count="1" selected="0">
            <x v="2"/>
          </reference>
        </references>
      </pivotArea>
    </format>
    <format dxfId="9">
      <pivotArea dataOnly="0" labelOnly="1" fieldPosition="0">
        <references count="4">
          <reference field="1" count="1">
            <x v="45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2"/>
          </reference>
        </references>
      </pivotArea>
    </format>
    <format dxfId="8">
      <pivotArea dataOnly="0" labelOnly="1" fieldPosition="0">
        <references count="4">
          <reference field="1" count="1">
            <x v="14"/>
          </reference>
          <reference field="2" count="1" selected="0">
            <x v="4"/>
          </reference>
          <reference field="3" count="1" selected="0">
            <x v="2"/>
          </reference>
          <reference field="10" count="1" selected="0">
            <x v="2"/>
          </reference>
        </references>
      </pivotArea>
    </format>
    <format dxfId="7">
      <pivotArea dataOnly="0" labelOnly="1" fieldPosition="0">
        <references count="4">
          <reference field="1" count="1">
            <x v="34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2"/>
          </reference>
        </references>
      </pivotArea>
    </format>
    <format dxfId="6">
      <pivotArea dataOnly="0" labelOnly="1" fieldPosition="0">
        <references count="4">
          <reference field="1" count="5">
            <x v="1"/>
            <x v="17"/>
            <x v="19"/>
            <x v="20"/>
            <x v="68"/>
          </reference>
          <reference field="2" count="1" selected="0">
            <x v="0"/>
          </reference>
          <reference field="3" count="1" selected="0">
            <x v="0"/>
          </reference>
          <reference field="10" count="1" selected="0">
            <x v="3"/>
          </reference>
        </references>
      </pivotArea>
    </format>
    <format dxfId="5">
      <pivotArea dataOnly="0" labelOnly="1" fieldPosition="0">
        <references count="4">
          <reference field="1" count="4">
            <x v="0"/>
            <x v="35"/>
            <x v="36"/>
            <x v="37"/>
          </reference>
          <reference field="2" count="1" selected="0">
            <x v="1"/>
          </reference>
          <reference field="3" count="1" selected="0">
            <x v="4"/>
          </reference>
          <reference field="10" count="1" selected="0">
            <x v="3"/>
          </reference>
        </references>
      </pivotArea>
    </format>
    <format dxfId="4">
      <pivotArea dataOnly="0" labelOnly="1" fieldPosition="0">
        <references count="4">
          <reference field="1" count="11">
            <x v="38"/>
            <x v="40"/>
            <x v="42"/>
            <x v="43"/>
            <x v="48"/>
            <x v="49"/>
            <x v="50"/>
            <x v="51"/>
            <x v="52"/>
            <x v="53"/>
            <x v="56"/>
          </reference>
          <reference field="2" count="1" selected="0">
            <x v="2"/>
          </reference>
          <reference field="3" count="1" selected="0">
            <x v="3"/>
          </reference>
          <reference field="10" count="1" selected="0">
            <x v="3"/>
          </reference>
        </references>
      </pivotArea>
    </format>
    <format dxfId="3">
      <pivotArea dataOnly="0" labelOnly="1" fieldPosition="0">
        <references count="4">
          <reference field="1" count="2">
            <x v="10"/>
            <x v="55"/>
          </reference>
          <reference field="2" count="1" selected="0">
            <x v="3"/>
          </reference>
          <reference field="3" count="1" selected="0">
            <x v="6"/>
          </reference>
          <reference field="10" count="1" selected="0">
            <x v="3"/>
          </reference>
        </references>
      </pivotArea>
    </format>
    <format dxfId="2">
      <pivotArea dataOnly="0" labelOnly="1" fieldPosition="0">
        <references count="4">
          <reference field="1" count="2">
            <x v="11"/>
            <x v="65"/>
          </reference>
          <reference field="2" count="1" selected="0">
            <x v="5"/>
          </reference>
          <reference field="3" count="1" selected="0">
            <x v="1"/>
          </reference>
          <reference field="10" count="1" selected="0">
            <x v="3"/>
          </reference>
        </references>
      </pivotArea>
    </format>
    <format dxfId="1">
      <pivotArea dataOnly="0" labelOnly="1" fieldPosition="0">
        <references count="4">
          <reference field="1" count="11">
            <x v="2"/>
            <x v="3"/>
            <x v="4"/>
            <x v="5"/>
            <x v="8"/>
            <x v="12"/>
            <x v="54"/>
            <x v="63"/>
            <x v="64"/>
            <x v="67"/>
            <x v="69"/>
          </reference>
          <reference field="2" count="1" selected="0">
            <x v="6"/>
          </reference>
          <reference field="3" count="1" selected="0">
            <x v="5"/>
          </reference>
          <reference field="10" count="1" selected="0">
            <x v="3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16E42-5E15-4D2B-85F4-D66EADA4946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m="1" x="4"/>
        <item t="default"/>
      </items>
    </pivotField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FCD82-214D-4A89-9D91-C48BC9C6503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  <pivotField showAll="0"/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 Ajustado" fld="13" baseField="9" baseItem="0" numFmtId="166"/>
    <dataField name="Sum of VA" fld="10" baseField="9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74"/>
  <sheetViews>
    <sheetView topLeftCell="D1" workbookViewId="0">
      <selection activeCell="E72" sqref="E72"/>
    </sheetView>
  </sheetViews>
  <sheetFormatPr defaultColWidth="11.42578125" defaultRowHeight="15" x14ac:dyDescent="0.25"/>
  <cols>
    <col min="1" max="1" width="15.140625" customWidth="1"/>
    <col min="2" max="2" width="25.42578125" customWidth="1"/>
    <col min="3" max="3" width="29.28515625" customWidth="1"/>
    <col min="4" max="4" width="77.7109375" customWidth="1"/>
    <col min="5" max="5" width="21.140625" customWidth="1"/>
  </cols>
  <sheetData>
    <row r="3" spans="1:5" x14ac:dyDescent="0.25">
      <c r="A3" s="1" t="s">
        <v>2</v>
      </c>
      <c r="B3" s="1" t="s">
        <v>3</v>
      </c>
      <c r="C3" s="1" t="s">
        <v>0</v>
      </c>
      <c r="D3" s="1" t="s">
        <v>1</v>
      </c>
      <c r="E3" t="s">
        <v>159</v>
      </c>
    </row>
    <row r="4" spans="1:5" x14ac:dyDescent="0.25">
      <c r="A4" t="s">
        <v>6</v>
      </c>
      <c r="B4" t="s">
        <v>7</v>
      </c>
      <c r="C4" t="s">
        <v>4</v>
      </c>
      <c r="D4" t="s">
        <v>5</v>
      </c>
      <c r="E4" s="1">
        <v>0.171598668364152</v>
      </c>
    </row>
    <row r="5" spans="1:5" x14ac:dyDescent="0.25">
      <c r="C5" t="s">
        <v>8</v>
      </c>
      <c r="D5" t="s">
        <v>9</v>
      </c>
      <c r="E5" s="1">
        <v>7.5361641208236005E-2</v>
      </c>
    </row>
    <row r="6" spans="1:5" x14ac:dyDescent="0.25">
      <c r="C6" t="s">
        <v>10</v>
      </c>
      <c r="D6" t="s">
        <v>11</v>
      </c>
      <c r="E6" s="1">
        <v>0.18930338863062099</v>
      </c>
    </row>
    <row r="7" spans="1:5" x14ac:dyDescent="0.25">
      <c r="C7" t="s">
        <v>12</v>
      </c>
      <c r="D7" t="s">
        <v>13</v>
      </c>
      <c r="E7" s="1">
        <v>6.4743965070103701E-2</v>
      </c>
    </row>
    <row r="8" spans="1:5" x14ac:dyDescent="0.25">
      <c r="C8" t="s">
        <v>14</v>
      </c>
      <c r="D8" t="s">
        <v>15</v>
      </c>
      <c r="E8" s="1">
        <v>0.100201750764876</v>
      </c>
    </row>
    <row r="9" spans="1:5" x14ac:dyDescent="0.25">
      <c r="C9" t="s">
        <v>16</v>
      </c>
      <c r="D9" t="s">
        <v>17</v>
      </c>
      <c r="E9" s="1">
        <v>2.45638150202943E-2</v>
      </c>
    </row>
    <row r="10" spans="1:5" x14ac:dyDescent="0.25">
      <c r="C10" t="s">
        <v>18</v>
      </c>
      <c r="D10" t="s">
        <v>19</v>
      </c>
      <c r="E10" s="1">
        <v>0.75331268262317097</v>
      </c>
    </row>
    <row r="11" spans="1:5" x14ac:dyDescent="0.25">
      <c r="C11" t="s">
        <v>20</v>
      </c>
      <c r="D11" t="s">
        <v>21</v>
      </c>
      <c r="E11" s="1">
        <v>3.1092160685609601E-2</v>
      </c>
    </row>
    <row r="12" spans="1:5" x14ac:dyDescent="0.25">
      <c r="C12" t="s">
        <v>22</v>
      </c>
      <c r="D12" t="s">
        <v>23</v>
      </c>
      <c r="E12" s="1">
        <v>0.65606095393172303</v>
      </c>
    </row>
    <row r="13" spans="1:5" x14ac:dyDescent="0.25">
      <c r="C13" t="s">
        <v>24</v>
      </c>
      <c r="D13" t="s">
        <v>25</v>
      </c>
      <c r="E13" s="1">
        <v>0.18972855488901699</v>
      </c>
    </row>
    <row r="14" spans="1:5" x14ac:dyDescent="0.25">
      <c r="C14" t="s">
        <v>26</v>
      </c>
      <c r="D14" t="s">
        <v>27</v>
      </c>
      <c r="E14" s="1">
        <v>0.17252513019462101</v>
      </c>
    </row>
    <row r="15" spans="1:5" x14ac:dyDescent="0.25">
      <c r="A15" t="s">
        <v>30</v>
      </c>
      <c r="B15" t="s">
        <v>31</v>
      </c>
      <c r="C15" t="s">
        <v>28</v>
      </c>
      <c r="D15" t="s">
        <v>29</v>
      </c>
      <c r="E15" s="1">
        <v>5.2816600595127897E-2</v>
      </c>
    </row>
    <row r="16" spans="1:5" x14ac:dyDescent="0.25">
      <c r="C16" t="s">
        <v>32</v>
      </c>
      <c r="D16" t="s">
        <v>33</v>
      </c>
      <c r="E16" s="1">
        <v>6.2656049519303494E-2</v>
      </c>
    </row>
    <row r="17" spans="1:5" x14ac:dyDescent="0.25">
      <c r="C17" t="s">
        <v>34</v>
      </c>
      <c r="D17" t="s">
        <v>35</v>
      </c>
      <c r="E17" s="1">
        <v>4.6152267981755903E-2</v>
      </c>
    </row>
    <row r="18" spans="1:5" x14ac:dyDescent="0.25">
      <c r="C18" t="s">
        <v>36</v>
      </c>
      <c r="D18" t="s">
        <v>37</v>
      </c>
      <c r="E18" s="1">
        <v>0.105437099373496</v>
      </c>
    </row>
    <row r="19" spans="1:5" x14ac:dyDescent="0.25">
      <c r="A19" t="s">
        <v>40</v>
      </c>
      <c r="B19" t="s">
        <v>41</v>
      </c>
      <c r="C19" t="s">
        <v>38</v>
      </c>
      <c r="D19" t="s">
        <v>39</v>
      </c>
      <c r="E19" s="1">
        <v>0.91146232335704702</v>
      </c>
    </row>
    <row r="20" spans="1:5" x14ac:dyDescent="0.25">
      <c r="C20" t="s">
        <v>42</v>
      </c>
      <c r="D20" t="s">
        <v>43</v>
      </c>
      <c r="E20" s="1">
        <v>0.92420008553195199</v>
      </c>
    </row>
    <row r="21" spans="1:5" x14ac:dyDescent="0.25">
      <c r="C21" t="s">
        <v>44</v>
      </c>
      <c r="D21" t="s">
        <v>45</v>
      </c>
      <c r="E21" s="1">
        <v>0.41821155273623201</v>
      </c>
    </row>
    <row r="22" spans="1:5" x14ac:dyDescent="0.25">
      <c r="C22" t="s">
        <v>46</v>
      </c>
      <c r="D22" t="s">
        <v>47</v>
      </c>
      <c r="E22" s="1">
        <v>0.58213075292744398</v>
      </c>
    </row>
    <row r="23" spans="1:5" x14ac:dyDescent="0.25">
      <c r="C23" t="s">
        <v>48</v>
      </c>
      <c r="D23" t="s">
        <v>49</v>
      </c>
      <c r="E23" s="1">
        <v>0.71526328127663297</v>
      </c>
    </row>
    <row r="24" spans="1:5" x14ac:dyDescent="0.25">
      <c r="C24" t="s">
        <v>50</v>
      </c>
      <c r="D24" t="s">
        <v>51</v>
      </c>
      <c r="E24" s="1">
        <v>0.90647763712586704</v>
      </c>
    </row>
    <row r="25" spans="1:5" x14ac:dyDescent="0.25">
      <c r="C25" t="s">
        <v>52</v>
      </c>
      <c r="D25" t="s">
        <v>53</v>
      </c>
      <c r="E25" s="1">
        <v>0.51607627080944396</v>
      </c>
    </row>
    <row r="26" spans="1:5" x14ac:dyDescent="0.25">
      <c r="C26" t="s">
        <v>54</v>
      </c>
      <c r="D26" t="s">
        <v>55</v>
      </c>
      <c r="E26" s="1">
        <v>0.63811415193662402</v>
      </c>
    </row>
    <row r="27" spans="1:5" x14ac:dyDescent="0.25">
      <c r="C27" t="s">
        <v>56</v>
      </c>
      <c r="D27" t="s">
        <v>57</v>
      </c>
      <c r="E27" s="1">
        <v>0.66698242544241604</v>
      </c>
    </row>
    <row r="28" spans="1:5" x14ac:dyDescent="0.25">
      <c r="C28" t="s">
        <v>58</v>
      </c>
      <c r="D28" t="s">
        <v>59</v>
      </c>
      <c r="E28" s="1">
        <v>0.783918171761114</v>
      </c>
    </row>
    <row r="29" spans="1:5" x14ac:dyDescent="0.25">
      <c r="C29" t="s">
        <v>60</v>
      </c>
      <c r="D29" t="s">
        <v>61</v>
      </c>
      <c r="E29" s="1">
        <v>1.0111902552529299</v>
      </c>
    </row>
    <row r="30" spans="1:5" x14ac:dyDescent="0.25">
      <c r="C30" t="s">
        <v>62</v>
      </c>
      <c r="D30" t="s">
        <v>63</v>
      </c>
      <c r="E30" s="1">
        <v>0.82392308292535998</v>
      </c>
    </row>
    <row r="31" spans="1:5" x14ac:dyDescent="0.25">
      <c r="C31" t="s">
        <v>64</v>
      </c>
      <c r="D31" t="s">
        <v>65</v>
      </c>
      <c r="E31" s="1">
        <v>0.64446561605429997</v>
      </c>
    </row>
    <row r="32" spans="1:5" x14ac:dyDescent="0.25">
      <c r="C32" t="s">
        <v>66</v>
      </c>
      <c r="D32" t="s">
        <v>67</v>
      </c>
      <c r="E32" s="1">
        <v>0.58373355656980097</v>
      </c>
    </row>
    <row r="33" spans="3:5" x14ac:dyDescent="0.25">
      <c r="C33" t="s">
        <v>68</v>
      </c>
      <c r="D33" t="s">
        <v>69</v>
      </c>
      <c r="E33" s="1">
        <v>0.45691246174713401</v>
      </c>
    </row>
    <row r="34" spans="3:5" x14ac:dyDescent="0.25">
      <c r="C34" t="s">
        <v>70</v>
      </c>
      <c r="D34" t="s">
        <v>71</v>
      </c>
      <c r="E34" s="1">
        <v>0.26512621125857799</v>
      </c>
    </row>
    <row r="35" spans="3:5" x14ac:dyDescent="0.25">
      <c r="C35" t="s">
        <v>72</v>
      </c>
      <c r="D35" t="s">
        <v>73</v>
      </c>
      <c r="E35" s="1">
        <v>0.27359183760102901</v>
      </c>
    </row>
    <row r="36" spans="3:5" x14ac:dyDescent="0.25">
      <c r="C36" t="s">
        <v>74</v>
      </c>
      <c r="D36" t="s">
        <v>75</v>
      </c>
      <c r="E36" s="1">
        <v>0.45248629287306602</v>
      </c>
    </row>
    <row r="37" spans="3:5" x14ac:dyDescent="0.25">
      <c r="C37" t="s">
        <v>76</v>
      </c>
      <c r="D37" t="s">
        <v>77</v>
      </c>
      <c r="E37" s="1">
        <v>0.59080374257060098</v>
      </c>
    </row>
    <row r="38" spans="3:5" x14ac:dyDescent="0.25">
      <c r="C38" t="s">
        <v>78</v>
      </c>
      <c r="D38" t="s">
        <v>79</v>
      </c>
      <c r="E38" s="1">
        <v>0.470448865343147</v>
      </c>
    </row>
    <row r="39" spans="3:5" x14ac:dyDescent="0.25">
      <c r="C39" t="s">
        <v>80</v>
      </c>
      <c r="D39" t="s">
        <v>81</v>
      </c>
      <c r="E39" s="1">
        <v>0.52850824531984797</v>
      </c>
    </row>
    <row r="40" spans="3:5" x14ac:dyDescent="0.25">
      <c r="C40" t="s">
        <v>82</v>
      </c>
      <c r="D40" t="s">
        <v>83</v>
      </c>
      <c r="E40" s="1">
        <v>0.41061792133008801</v>
      </c>
    </row>
    <row r="41" spans="3:5" x14ac:dyDescent="0.25">
      <c r="C41" t="s">
        <v>84</v>
      </c>
      <c r="D41" t="s">
        <v>85</v>
      </c>
      <c r="E41" s="1">
        <v>1.71464517297189E-2</v>
      </c>
    </row>
    <row r="42" spans="3:5" x14ac:dyDescent="0.25">
      <c r="C42" t="s">
        <v>86</v>
      </c>
      <c r="D42" t="s">
        <v>87</v>
      </c>
      <c r="E42" s="1">
        <v>2.1418928814271598E-2</v>
      </c>
    </row>
    <row r="43" spans="3:5" x14ac:dyDescent="0.25">
      <c r="C43" t="s">
        <v>88</v>
      </c>
      <c r="D43" t="s">
        <v>89</v>
      </c>
      <c r="E43" s="1">
        <v>0.121006926439856</v>
      </c>
    </row>
    <row r="44" spans="3:5" x14ac:dyDescent="0.25">
      <c r="C44" t="s">
        <v>90</v>
      </c>
      <c r="D44" t="s">
        <v>91</v>
      </c>
      <c r="E44" s="1">
        <v>9.9354051273799801E-2</v>
      </c>
    </row>
    <row r="45" spans="3:5" x14ac:dyDescent="0.25">
      <c r="C45" t="s">
        <v>92</v>
      </c>
      <c r="D45" t="s">
        <v>93</v>
      </c>
      <c r="E45" s="1">
        <v>2.70337228119353E-2</v>
      </c>
    </row>
    <row r="46" spans="3:5" x14ac:dyDescent="0.25">
      <c r="C46" t="s">
        <v>94</v>
      </c>
      <c r="D46" t="s">
        <v>95</v>
      </c>
      <c r="E46" s="1">
        <v>2.6707487663815001E-2</v>
      </c>
    </row>
    <row r="47" spans="3:5" x14ac:dyDescent="0.25">
      <c r="C47" t="s">
        <v>96</v>
      </c>
      <c r="D47" t="s">
        <v>97</v>
      </c>
      <c r="E47" s="1">
        <v>5.8495211855109898E-2</v>
      </c>
    </row>
    <row r="48" spans="3:5" x14ac:dyDescent="0.25">
      <c r="C48" t="s">
        <v>98</v>
      </c>
      <c r="D48" t="s">
        <v>99</v>
      </c>
      <c r="E48" s="1">
        <v>3.58125093162198E-2</v>
      </c>
    </row>
    <row r="49" spans="1:5" x14ac:dyDescent="0.25">
      <c r="C49" t="s">
        <v>100</v>
      </c>
      <c r="D49" t="s">
        <v>101</v>
      </c>
      <c r="E49" s="1">
        <v>4.49866286995955E-2</v>
      </c>
    </row>
    <row r="50" spans="1:5" x14ac:dyDescent="0.25">
      <c r="C50" t="s">
        <v>102</v>
      </c>
      <c r="D50" t="s">
        <v>103</v>
      </c>
      <c r="E50" s="1">
        <v>7.0922972704528797E-2</v>
      </c>
    </row>
    <row r="51" spans="1:5" x14ac:dyDescent="0.25">
      <c r="C51" t="s">
        <v>104</v>
      </c>
      <c r="D51" t="s">
        <v>105</v>
      </c>
      <c r="E51" s="1">
        <v>1.79695483714674E-2</v>
      </c>
    </row>
    <row r="52" spans="1:5" x14ac:dyDescent="0.25">
      <c r="C52" t="s">
        <v>106</v>
      </c>
      <c r="D52" t="s">
        <v>107</v>
      </c>
      <c r="E52" s="1">
        <v>0.64643542085580297</v>
      </c>
    </row>
    <row r="53" spans="1:5" x14ac:dyDescent="0.25">
      <c r="C53" t="s">
        <v>108</v>
      </c>
      <c r="D53" t="s">
        <v>109</v>
      </c>
      <c r="E53" s="1">
        <v>4.8759642640393099E-2</v>
      </c>
    </row>
    <row r="54" spans="1:5" x14ac:dyDescent="0.25">
      <c r="A54" t="s">
        <v>112</v>
      </c>
      <c r="B54" t="s">
        <v>113</v>
      </c>
      <c r="C54" t="s">
        <v>110</v>
      </c>
      <c r="D54" t="s">
        <v>111</v>
      </c>
      <c r="E54" s="1">
        <v>5.0625151435455797E-2</v>
      </c>
    </row>
    <row r="55" spans="1:5" x14ac:dyDescent="0.25">
      <c r="C55" t="s">
        <v>114</v>
      </c>
      <c r="D55" t="s">
        <v>115</v>
      </c>
      <c r="E55" s="1">
        <v>3.41106860097539E-2</v>
      </c>
    </row>
    <row r="56" spans="1:5" x14ac:dyDescent="0.25">
      <c r="A56" t="s">
        <v>118</v>
      </c>
      <c r="B56" t="s">
        <v>117</v>
      </c>
      <c r="C56" t="s">
        <v>116</v>
      </c>
      <c r="D56" t="s">
        <v>117</v>
      </c>
      <c r="E56" s="1">
        <v>0.121401508848685</v>
      </c>
    </row>
    <row r="57" spans="1:5" x14ac:dyDescent="0.25">
      <c r="A57" t="s">
        <v>121</v>
      </c>
      <c r="B57" t="s">
        <v>122</v>
      </c>
      <c r="C57" t="s">
        <v>119</v>
      </c>
      <c r="D57" t="s">
        <v>120</v>
      </c>
      <c r="E57" s="1">
        <v>4.1549202651336901E-2</v>
      </c>
    </row>
    <row r="58" spans="1:5" x14ac:dyDescent="0.25">
      <c r="C58" t="s">
        <v>123</v>
      </c>
      <c r="D58" t="s">
        <v>124</v>
      </c>
      <c r="E58" s="1">
        <v>5.9503818867391797E-2</v>
      </c>
    </row>
    <row r="59" spans="1:5" x14ac:dyDescent="0.25">
      <c r="A59" t="s">
        <v>127</v>
      </c>
      <c r="B59" t="s">
        <v>128</v>
      </c>
      <c r="C59" t="s">
        <v>125</v>
      </c>
      <c r="D59" t="s">
        <v>126</v>
      </c>
      <c r="E59" s="1">
        <v>0.32482382661154102</v>
      </c>
    </row>
    <row r="60" spans="1:5" x14ac:dyDescent="0.25">
      <c r="C60" t="s">
        <v>129</v>
      </c>
      <c r="D60" t="s">
        <v>130</v>
      </c>
      <c r="E60" s="1">
        <v>0.424966498940127</v>
      </c>
    </row>
    <row r="61" spans="1:5" x14ac:dyDescent="0.25">
      <c r="C61" t="s">
        <v>131</v>
      </c>
      <c r="D61" t="s">
        <v>132</v>
      </c>
      <c r="E61" s="1">
        <v>3.5412387988855799E-2</v>
      </c>
    </row>
    <row r="62" spans="1:5" x14ac:dyDescent="0.25">
      <c r="C62" t="s">
        <v>133</v>
      </c>
      <c r="D62" t="s">
        <v>134</v>
      </c>
      <c r="E62" s="1">
        <v>3.0636738363426501E-2</v>
      </c>
    </row>
    <row r="63" spans="1:5" x14ac:dyDescent="0.25">
      <c r="C63" t="s">
        <v>135</v>
      </c>
      <c r="D63" t="s">
        <v>136</v>
      </c>
      <c r="E63" s="1">
        <v>6.6542892590702396E-2</v>
      </c>
    </row>
    <row r="64" spans="1:5" x14ac:dyDescent="0.25">
      <c r="C64" t="s">
        <v>137</v>
      </c>
      <c r="D64" t="s">
        <v>138</v>
      </c>
      <c r="E64" s="1">
        <v>4.7536802218558799E-2</v>
      </c>
    </row>
    <row r="65" spans="3:5" x14ac:dyDescent="0.25">
      <c r="C65" t="s">
        <v>139</v>
      </c>
      <c r="D65" t="s">
        <v>140</v>
      </c>
      <c r="E65" s="1">
        <v>3.6462323072763002E-2</v>
      </c>
    </row>
    <row r="66" spans="3:5" x14ac:dyDescent="0.25">
      <c r="C66" t="s">
        <v>141</v>
      </c>
      <c r="D66" t="s">
        <v>142</v>
      </c>
      <c r="E66" s="1">
        <v>2.6620061372187101E-2</v>
      </c>
    </row>
    <row r="67" spans="3:5" x14ac:dyDescent="0.25">
      <c r="C67" t="s">
        <v>143</v>
      </c>
      <c r="D67" t="s">
        <v>144</v>
      </c>
      <c r="E67" s="1">
        <v>2.27693869623589E-2</v>
      </c>
    </row>
    <row r="68" spans="3:5" x14ac:dyDescent="0.25">
      <c r="C68" t="s">
        <v>145</v>
      </c>
      <c r="D68" t="s">
        <v>146</v>
      </c>
      <c r="E68" s="1">
        <v>7.27157597489025E-2</v>
      </c>
    </row>
    <row r="69" spans="3:5" x14ac:dyDescent="0.25">
      <c r="C69" t="s">
        <v>147</v>
      </c>
      <c r="D69" t="s">
        <v>148</v>
      </c>
      <c r="E69" s="1">
        <v>6.2746774381455594E-2</v>
      </c>
    </row>
    <row r="70" spans="3:5" x14ac:dyDescent="0.25">
      <c r="C70" t="s">
        <v>149</v>
      </c>
      <c r="D70" t="s">
        <v>150</v>
      </c>
      <c r="E70" s="1">
        <v>5.0379752159386802E-2</v>
      </c>
    </row>
    <row r="71" spans="3:5" x14ac:dyDescent="0.25">
      <c r="C71" t="s">
        <v>151</v>
      </c>
      <c r="D71" t="s">
        <v>152</v>
      </c>
      <c r="E71" s="1">
        <v>9.3045013043632802E-2</v>
      </c>
    </row>
    <row r="72" spans="3:5" x14ac:dyDescent="0.25">
      <c r="C72" t="s">
        <v>153</v>
      </c>
      <c r="D72" t="s">
        <v>154</v>
      </c>
      <c r="E72" s="1">
        <v>0.26591172913008099</v>
      </c>
    </row>
    <row r="73" spans="3:5" x14ac:dyDescent="0.25">
      <c r="C73" t="s">
        <v>155</v>
      </c>
      <c r="D73" t="s">
        <v>156</v>
      </c>
      <c r="E73" s="1">
        <v>0.15012255477717501</v>
      </c>
    </row>
    <row r="74" spans="3:5" x14ac:dyDescent="0.25">
      <c r="C74" t="s">
        <v>157</v>
      </c>
      <c r="D74" t="s">
        <v>158</v>
      </c>
      <c r="E74" s="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78"/>
  <sheetViews>
    <sheetView topLeftCell="A20" zoomScale="70" zoomScaleNormal="70" workbookViewId="0">
      <selection activeCell="E15" sqref="E15"/>
    </sheetView>
  </sheetViews>
  <sheetFormatPr defaultColWidth="11.42578125" defaultRowHeight="15" x14ac:dyDescent="0.25"/>
  <cols>
    <col min="1" max="1" width="10.7109375" customWidth="1"/>
    <col min="2" max="2" width="33" customWidth="1"/>
    <col min="3" max="3" width="62.85546875" customWidth="1"/>
    <col min="4" max="4" width="11.7109375" customWidth="1"/>
    <col min="5" max="6" width="24" customWidth="1"/>
  </cols>
  <sheetData>
    <row r="3" spans="1:4" ht="21" x14ac:dyDescent="0.35">
      <c r="A3" s="3" t="s">
        <v>165</v>
      </c>
      <c r="B3" s="3" t="s">
        <v>3</v>
      </c>
      <c r="C3" s="3" t="s">
        <v>1</v>
      </c>
      <c r="D3" s="3" t="s">
        <v>167</v>
      </c>
    </row>
    <row r="4" spans="1:4" ht="21" x14ac:dyDescent="0.35">
      <c r="A4" s="2" t="s">
        <v>163</v>
      </c>
      <c r="D4" s="4">
        <v>0.64652926038507808</v>
      </c>
    </row>
    <row r="5" spans="1:4" ht="21" x14ac:dyDescent="0.35">
      <c r="A5" s="5" t="s">
        <v>6</v>
      </c>
      <c r="B5" s="2" t="s">
        <v>7</v>
      </c>
      <c r="C5" s="2" t="s">
        <v>19</v>
      </c>
      <c r="D5" s="4">
        <v>0.75331268262317097</v>
      </c>
    </row>
    <row r="6" spans="1:4" ht="21" x14ac:dyDescent="0.35">
      <c r="C6" s="2" t="s">
        <v>23</v>
      </c>
      <c r="D6" s="4">
        <v>0.65606095393172303</v>
      </c>
    </row>
    <row r="7" spans="1:4" ht="21" x14ac:dyDescent="0.35">
      <c r="A7" s="5" t="s">
        <v>40</v>
      </c>
      <c r="B7" s="2" t="s">
        <v>41</v>
      </c>
      <c r="C7" s="2" t="s">
        <v>61</v>
      </c>
      <c r="D7" s="4">
        <v>1.0111902552529299</v>
      </c>
    </row>
    <row r="8" spans="1:4" ht="21" x14ac:dyDescent="0.35">
      <c r="C8" s="2" t="s">
        <v>43</v>
      </c>
      <c r="D8" s="4">
        <v>0.92420008553195199</v>
      </c>
    </row>
    <row r="9" spans="1:4" ht="21" x14ac:dyDescent="0.35">
      <c r="C9" s="2" t="s">
        <v>39</v>
      </c>
      <c r="D9" s="4">
        <v>0.91146232335704702</v>
      </c>
    </row>
    <row r="10" spans="1:4" ht="21" x14ac:dyDescent="0.35">
      <c r="C10" s="2" t="s">
        <v>51</v>
      </c>
      <c r="D10" s="4">
        <v>0.90647763712586704</v>
      </c>
    </row>
    <row r="11" spans="1:4" ht="21" x14ac:dyDescent="0.35">
      <c r="C11" s="2" t="s">
        <v>63</v>
      </c>
      <c r="D11" s="4">
        <v>0.82392308292535998</v>
      </c>
    </row>
    <row r="12" spans="1:4" ht="21" x14ac:dyDescent="0.35">
      <c r="C12" s="2" t="s">
        <v>59</v>
      </c>
      <c r="D12" s="4">
        <v>0.783918171761114</v>
      </c>
    </row>
    <row r="13" spans="1:4" ht="21" x14ac:dyDescent="0.35">
      <c r="C13" s="2" t="s">
        <v>49</v>
      </c>
      <c r="D13" s="4">
        <v>0.71526328127663297</v>
      </c>
    </row>
    <row r="14" spans="1:4" ht="21" x14ac:dyDescent="0.35">
      <c r="C14" s="2" t="s">
        <v>57</v>
      </c>
      <c r="D14" s="4">
        <v>0.66698242544241604</v>
      </c>
    </row>
    <row r="15" spans="1:4" ht="21" x14ac:dyDescent="0.35">
      <c r="C15" s="2" t="s">
        <v>107</v>
      </c>
      <c r="D15" s="4">
        <v>0.64643542085580297</v>
      </c>
    </row>
    <row r="16" spans="1:4" ht="21" x14ac:dyDescent="0.35">
      <c r="C16" s="2" t="s">
        <v>65</v>
      </c>
      <c r="D16" s="4">
        <v>0.64446561605429997</v>
      </c>
    </row>
    <row r="17" spans="1:4" ht="21" x14ac:dyDescent="0.35">
      <c r="C17" s="2" t="s">
        <v>55</v>
      </c>
      <c r="D17" s="4">
        <v>0.63811415193662402</v>
      </c>
    </row>
    <row r="18" spans="1:4" ht="21" x14ac:dyDescent="0.35">
      <c r="C18" s="2" t="s">
        <v>77</v>
      </c>
      <c r="D18" s="4">
        <v>0.59080374257060098</v>
      </c>
    </row>
    <row r="19" spans="1:4" ht="21" x14ac:dyDescent="0.35">
      <c r="C19" s="2" t="s">
        <v>67</v>
      </c>
      <c r="D19" s="4">
        <v>0.58373355656980097</v>
      </c>
    </row>
    <row r="20" spans="1:4" ht="21" x14ac:dyDescent="0.35">
      <c r="C20" s="2" t="s">
        <v>47</v>
      </c>
      <c r="D20" s="4">
        <v>0.58213075292744398</v>
      </c>
    </row>
    <row r="21" spans="1:4" ht="21" x14ac:dyDescent="0.35">
      <c r="C21" s="2" t="s">
        <v>81</v>
      </c>
      <c r="D21" s="4">
        <v>0.52850824531984797</v>
      </c>
    </row>
    <row r="22" spans="1:4" ht="21" x14ac:dyDescent="0.35">
      <c r="C22" s="2" t="s">
        <v>53</v>
      </c>
      <c r="D22" s="4">
        <v>0.51607627080944396</v>
      </c>
    </row>
    <row r="23" spans="1:4" ht="21" x14ac:dyDescent="0.35">
      <c r="C23" s="2" t="s">
        <v>79</v>
      </c>
      <c r="D23" s="4">
        <v>0.470448865343147</v>
      </c>
    </row>
    <row r="24" spans="1:4" ht="21" x14ac:dyDescent="0.35">
      <c r="C24" s="2" t="s">
        <v>69</v>
      </c>
      <c r="D24" s="4">
        <v>0.45691246174713401</v>
      </c>
    </row>
    <row r="25" spans="1:4" ht="21" x14ac:dyDescent="0.35">
      <c r="C25" s="2" t="s">
        <v>75</v>
      </c>
      <c r="D25" s="4">
        <v>0.45248629287306602</v>
      </c>
    </row>
    <row r="26" spans="1:4" ht="21" x14ac:dyDescent="0.35">
      <c r="C26" s="2" t="s">
        <v>45</v>
      </c>
      <c r="D26" s="4">
        <v>0.41821155273623201</v>
      </c>
    </row>
    <row r="27" spans="1:4" ht="21" x14ac:dyDescent="0.35">
      <c r="C27" s="2" t="s">
        <v>83</v>
      </c>
      <c r="D27" s="4">
        <v>0.41061792133008801</v>
      </c>
    </row>
    <row r="28" spans="1:4" ht="21" x14ac:dyDescent="0.35">
      <c r="A28" s="5" t="s">
        <v>127</v>
      </c>
      <c r="B28" s="2" t="s">
        <v>128</v>
      </c>
      <c r="C28" s="2" t="s">
        <v>130</v>
      </c>
      <c r="D28" s="4">
        <v>0.424966498940127</v>
      </c>
    </row>
    <row r="29" spans="1:4" ht="21" x14ac:dyDescent="0.35">
      <c r="A29" s="2" t="s">
        <v>164</v>
      </c>
      <c r="D29" s="4">
        <v>0.28236340115030728</v>
      </c>
    </row>
    <row r="30" spans="1:4" ht="21" x14ac:dyDescent="0.35">
      <c r="A30" s="5" t="s">
        <v>40</v>
      </c>
      <c r="B30" s="2" t="s">
        <v>41</v>
      </c>
      <c r="C30" s="2" t="s">
        <v>73</v>
      </c>
      <c r="D30" s="4">
        <v>0.27359183760102901</v>
      </c>
    </row>
    <row r="31" spans="1:4" ht="21" x14ac:dyDescent="0.35">
      <c r="C31" s="2" t="s">
        <v>71</v>
      </c>
      <c r="D31" s="4">
        <v>0.26512621125857799</v>
      </c>
    </row>
    <row r="32" spans="1:4" ht="21" x14ac:dyDescent="0.35">
      <c r="A32" s="5" t="s">
        <v>127</v>
      </c>
      <c r="B32" s="2" t="s">
        <v>128</v>
      </c>
      <c r="C32" s="2" t="s">
        <v>126</v>
      </c>
      <c r="D32" s="4">
        <v>0.32482382661154102</v>
      </c>
    </row>
    <row r="33" spans="1:4" ht="21" x14ac:dyDescent="0.35">
      <c r="C33" s="2" t="s">
        <v>154</v>
      </c>
      <c r="D33" s="4">
        <v>0.26591172913008099</v>
      </c>
    </row>
    <row r="34" spans="1:4" ht="21" x14ac:dyDescent="0.35">
      <c r="A34" s="2" t="s">
        <v>161</v>
      </c>
      <c r="D34" s="4">
        <v>0.1593838188777324</v>
      </c>
    </row>
    <row r="35" spans="1:4" ht="21" x14ac:dyDescent="0.35">
      <c r="A35" s="5" t="s">
        <v>6</v>
      </c>
      <c r="B35" s="2" t="s">
        <v>7</v>
      </c>
      <c r="C35" s="2" t="s">
        <v>25</v>
      </c>
      <c r="D35" s="4">
        <v>0.18972855488901699</v>
      </c>
    </row>
    <row r="36" spans="1:4" ht="21" x14ac:dyDescent="0.35">
      <c r="C36" s="2" t="s">
        <v>11</v>
      </c>
      <c r="D36" s="4">
        <v>0.18930338863062099</v>
      </c>
    </row>
    <row r="37" spans="1:4" ht="21" x14ac:dyDescent="0.35">
      <c r="C37" s="2" t="s">
        <v>27</v>
      </c>
      <c r="D37" s="4">
        <v>0.17252513019462101</v>
      </c>
    </row>
    <row r="38" spans="1:4" ht="21" x14ac:dyDescent="0.35">
      <c r="C38" s="2" t="s">
        <v>5</v>
      </c>
      <c r="D38" s="4">
        <v>0.171598668364152</v>
      </c>
    </row>
    <row r="39" spans="1:4" ht="21" x14ac:dyDescent="0.35">
      <c r="A39" s="5" t="s">
        <v>40</v>
      </c>
      <c r="B39" s="2" t="s">
        <v>41</v>
      </c>
      <c r="C39" s="2" t="s">
        <v>89</v>
      </c>
      <c r="D39" s="4">
        <v>0.121006926439856</v>
      </c>
    </row>
    <row r="40" spans="1:4" ht="21" x14ac:dyDescent="0.35">
      <c r="A40" s="5" t="s">
        <v>118</v>
      </c>
      <c r="B40" s="2" t="s">
        <v>117</v>
      </c>
      <c r="C40" s="2" t="s">
        <v>117</v>
      </c>
      <c r="D40" s="4">
        <v>0.121401508848685</v>
      </c>
    </row>
    <row r="41" spans="1:4" ht="21" x14ac:dyDescent="0.35">
      <c r="A41" s="5" t="s">
        <v>127</v>
      </c>
      <c r="B41" s="2" t="s">
        <v>128</v>
      </c>
      <c r="C41" s="2" t="s">
        <v>156</v>
      </c>
      <c r="D41" s="4">
        <v>0.15012255477717501</v>
      </c>
    </row>
    <row r="42" spans="1:4" ht="21" x14ac:dyDescent="0.35">
      <c r="A42" s="2" t="s">
        <v>162</v>
      </c>
      <c r="D42" s="4">
        <v>5.0351121627595037E-2</v>
      </c>
    </row>
    <row r="43" spans="1:4" ht="21" x14ac:dyDescent="0.35">
      <c r="A43" s="5" t="s">
        <v>6</v>
      </c>
      <c r="B43" s="2" t="s">
        <v>7</v>
      </c>
      <c r="C43" s="2" t="s">
        <v>15</v>
      </c>
      <c r="D43" s="4">
        <v>0.100201750764876</v>
      </c>
    </row>
    <row r="44" spans="1:4" ht="21" x14ac:dyDescent="0.35">
      <c r="C44" s="2" t="s">
        <v>9</v>
      </c>
      <c r="D44" s="4">
        <v>7.5361641208236005E-2</v>
      </c>
    </row>
    <row r="45" spans="1:4" ht="21" x14ac:dyDescent="0.35">
      <c r="C45" s="2" t="s">
        <v>13</v>
      </c>
      <c r="D45" s="4">
        <v>6.4743965070103701E-2</v>
      </c>
    </row>
    <row r="46" spans="1:4" ht="21" x14ac:dyDescent="0.35">
      <c r="C46" s="2" t="s">
        <v>21</v>
      </c>
      <c r="D46" s="4">
        <v>3.1092160685609601E-2</v>
      </c>
    </row>
    <row r="47" spans="1:4" ht="21" x14ac:dyDescent="0.35">
      <c r="C47" s="2" t="s">
        <v>17</v>
      </c>
      <c r="D47" s="4">
        <v>2.45638150202943E-2</v>
      </c>
    </row>
    <row r="48" spans="1:4" ht="21" x14ac:dyDescent="0.35">
      <c r="A48" s="5" t="s">
        <v>30</v>
      </c>
      <c r="B48" s="2" t="s">
        <v>31</v>
      </c>
      <c r="C48" s="2" t="s">
        <v>37</v>
      </c>
      <c r="D48" s="4">
        <v>0.105437099373496</v>
      </c>
    </row>
    <row r="49" spans="1:4" ht="21" x14ac:dyDescent="0.35">
      <c r="C49" s="2" t="s">
        <v>33</v>
      </c>
      <c r="D49" s="4">
        <v>6.2656049519303494E-2</v>
      </c>
    </row>
    <row r="50" spans="1:4" ht="21" x14ac:dyDescent="0.35">
      <c r="C50" s="2" t="s">
        <v>29</v>
      </c>
      <c r="D50" s="4">
        <v>5.2816600595127897E-2</v>
      </c>
    </row>
    <row r="51" spans="1:4" ht="21" x14ac:dyDescent="0.35">
      <c r="C51" s="2" t="s">
        <v>35</v>
      </c>
      <c r="D51" s="4">
        <v>4.6152267981755903E-2</v>
      </c>
    </row>
    <row r="52" spans="1:4" ht="21" x14ac:dyDescent="0.35">
      <c r="A52" s="5" t="s">
        <v>40</v>
      </c>
      <c r="B52" s="2" t="s">
        <v>41</v>
      </c>
      <c r="C52" s="2" t="s">
        <v>91</v>
      </c>
      <c r="D52" s="4">
        <v>9.9354051273799801E-2</v>
      </c>
    </row>
    <row r="53" spans="1:4" ht="21" x14ac:dyDescent="0.35">
      <c r="C53" s="2" t="s">
        <v>103</v>
      </c>
      <c r="D53" s="4">
        <v>7.0922972704528797E-2</v>
      </c>
    </row>
    <row r="54" spans="1:4" ht="21" x14ac:dyDescent="0.35">
      <c r="C54" s="2" t="s">
        <v>97</v>
      </c>
      <c r="D54" s="4">
        <v>5.8495211855109898E-2</v>
      </c>
    </row>
    <row r="55" spans="1:4" ht="21" x14ac:dyDescent="0.35">
      <c r="C55" s="2" t="s">
        <v>109</v>
      </c>
      <c r="D55" s="4">
        <v>4.8759642640393099E-2</v>
      </c>
    </row>
    <row r="56" spans="1:4" ht="21" x14ac:dyDescent="0.35">
      <c r="C56" s="2" t="s">
        <v>101</v>
      </c>
      <c r="D56" s="4">
        <v>4.49866286995955E-2</v>
      </c>
    </row>
    <row r="57" spans="1:4" ht="21" x14ac:dyDescent="0.35">
      <c r="C57" s="2" t="s">
        <v>99</v>
      </c>
      <c r="D57" s="4">
        <v>3.58125093162198E-2</v>
      </c>
    </row>
    <row r="58" spans="1:4" ht="21" x14ac:dyDescent="0.35">
      <c r="C58" s="2" t="s">
        <v>93</v>
      </c>
      <c r="D58" s="4">
        <v>2.70337228119353E-2</v>
      </c>
    </row>
    <row r="59" spans="1:4" ht="21" x14ac:dyDescent="0.35">
      <c r="C59" s="2" t="s">
        <v>95</v>
      </c>
      <c r="D59" s="4">
        <v>2.6707487663815001E-2</v>
      </c>
    </row>
    <row r="60" spans="1:4" ht="21" x14ac:dyDescent="0.35">
      <c r="C60" s="2" t="s">
        <v>87</v>
      </c>
      <c r="D60" s="4">
        <v>2.1418928814271598E-2</v>
      </c>
    </row>
    <row r="61" spans="1:4" ht="21" x14ac:dyDescent="0.35">
      <c r="C61" s="2" t="s">
        <v>105</v>
      </c>
      <c r="D61" s="4">
        <v>1.79695483714674E-2</v>
      </c>
    </row>
    <row r="62" spans="1:4" ht="21" x14ac:dyDescent="0.35">
      <c r="C62" s="2" t="s">
        <v>85</v>
      </c>
      <c r="D62" s="4">
        <v>1.71464517297189E-2</v>
      </c>
    </row>
    <row r="63" spans="1:4" ht="21" x14ac:dyDescent="0.35">
      <c r="A63" s="5" t="s">
        <v>112</v>
      </c>
      <c r="B63" s="2" t="s">
        <v>113</v>
      </c>
      <c r="C63" s="2" t="s">
        <v>111</v>
      </c>
      <c r="D63" s="4">
        <v>5.0625151435455797E-2</v>
      </c>
    </row>
    <row r="64" spans="1:4" ht="21" x14ac:dyDescent="0.35">
      <c r="C64" s="2" t="s">
        <v>115</v>
      </c>
      <c r="D64" s="4">
        <v>3.41106860097539E-2</v>
      </c>
    </row>
    <row r="65" spans="1:4" ht="21" x14ac:dyDescent="0.35">
      <c r="A65" s="5" t="s">
        <v>121</v>
      </c>
      <c r="B65" s="2" t="s">
        <v>122</v>
      </c>
      <c r="C65" s="2" t="s">
        <v>124</v>
      </c>
      <c r="D65" s="4">
        <v>5.9503818867391797E-2</v>
      </c>
    </row>
    <row r="66" spans="1:4" ht="21" x14ac:dyDescent="0.35">
      <c r="C66" s="2" t="s">
        <v>120</v>
      </c>
      <c r="D66" s="4">
        <v>4.1549202651336901E-2</v>
      </c>
    </row>
    <row r="67" spans="1:4" ht="21" x14ac:dyDescent="0.35">
      <c r="A67" s="5" t="s">
        <v>127</v>
      </c>
      <c r="B67" s="2" t="s">
        <v>128</v>
      </c>
      <c r="C67" s="2" t="s">
        <v>152</v>
      </c>
      <c r="D67" s="4">
        <v>9.3045013043632802E-2</v>
      </c>
    </row>
    <row r="68" spans="1:4" ht="21" x14ac:dyDescent="0.35">
      <c r="C68" s="2" t="s">
        <v>146</v>
      </c>
      <c r="D68" s="4">
        <v>7.27157597489025E-2</v>
      </c>
    </row>
    <row r="69" spans="1:4" ht="21" x14ac:dyDescent="0.35">
      <c r="C69" s="2" t="s">
        <v>136</v>
      </c>
      <c r="D69" s="4">
        <v>6.6542892590702396E-2</v>
      </c>
    </row>
    <row r="70" spans="1:4" ht="21" x14ac:dyDescent="0.35">
      <c r="C70" s="2" t="s">
        <v>148</v>
      </c>
      <c r="D70" s="4">
        <v>6.2746774381455594E-2</v>
      </c>
    </row>
    <row r="71" spans="1:4" ht="21" x14ac:dyDescent="0.35">
      <c r="C71" s="2" t="s">
        <v>150</v>
      </c>
      <c r="D71" s="4">
        <v>5.0379752159386802E-2</v>
      </c>
    </row>
    <row r="72" spans="1:4" ht="21" x14ac:dyDescent="0.35">
      <c r="C72" s="2" t="s">
        <v>138</v>
      </c>
      <c r="D72" s="4">
        <v>4.7536802218558799E-2</v>
      </c>
    </row>
    <row r="73" spans="1:4" ht="21" x14ac:dyDescent="0.35">
      <c r="C73" s="2" t="s">
        <v>140</v>
      </c>
      <c r="D73" s="4">
        <v>3.6462323072763002E-2</v>
      </c>
    </row>
    <row r="74" spans="1:4" ht="21" x14ac:dyDescent="0.35">
      <c r="C74" s="2" t="s">
        <v>132</v>
      </c>
      <c r="D74" s="4">
        <v>3.5412387988855799E-2</v>
      </c>
    </row>
    <row r="75" spans="1:4" ht="21" x14ac:dyDescent="0.35">
      <c r="C75" s="2" t="s">
        <v>134</v>
      </c>
      <c r="D75" s="4">
        <v>3.0636738363426501E-2</v>
      </c>
    </row>
    <row r="76" spans="1:4" ht="21" x14ac:dyDescent="0.35">
      <c r="C76" s="2" t="s">
        <v>142</v>
      </c>
      <c r="D76" s="4">
        <v>2.6620061372187101E-2</v>
      </c>
    </row>
    <row r="77" spans="1:4" ht="21" x14ac:dyDescent="0.35">
      <c r="C77" s="2" t="s">
        <v>144</v>
      </c>
      <c r="D77" s="4">
        <v>2.27693869623589E-2</v>
      </c>
    </row>
    <row r="78" spans="1:4" ht="21" x14ac:dyDescent="0.35">
      <c r="A78" s="2" t="s">
        <v>166</v>
      </c>
      <c r="D78" s="4">
        <v>0.27891616918504375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8"/>
  <sheetViews>
    <sheetView workbookViewId="0">
      <selection activeCell="K11" sqref="K11"/>
    </sheetView>
  </sheetViews>
  <sheetFormatPr defaultColWidth="11.42578125" defaultRowHeight="15" x14ac:dyDescent="0.25"/>
  <cols>
    <col min="1" max="1" width="16" customWidth="1"/>
    <col min="2" max="2" width="9.7109375" customWidth="1"/>
    <col min="5" max="5" width="16" customWidth="1"/>
    <col min="6" max="6" width="17" customWidth="1"/>
  </cols>
  <sheetData>
    <row r="3" spans="1:7" x14ac:dyDescent="0.25">
      <c r="A3" s="1" t="s">
        <v>165</v>
      </c>
      <c r="B3" t="s">
        <v>169</v>
      </c>
      <c r="F3" t="s">
        <v>170</v>
      </c>
      <c r="G3" t="s">
        <v>171</v>
      </c>
    </row>
    <row r="4" spans="1:7" x14ac:dyDescent="0.25">
      <c r="A4" s="7" t="s">
        <v>163</v>
      </c>
      <c r="B4" s="1">
        <v>12376286</v>
      </c>
      <c r="E4" t="s">
        <v>163</v>
      </c>
      <c r="F4" s="6">
        <v>12376286</v>
      </c>
      <c r="G4" s="8">
        <f>F4/$F$8</f>
        <v>0.12269349174544976</v>
      </c>
    </row>
    <row r="5" spans="1:7" x14ac:dyDescent="0.25">
      <c r="A5" s="7" t="s">
        <v>164</v>
      </c>
      <c r="B5" s="1">
        <v>3453083</v>
      </c>
      <c r="E5" t="s">
        <v>164</v>
      </c>
      <c r="F5" s="6">
        <v>3453083</v>
      </c>
      <c r="G5" s="8">
        <f t="shared" ref="G5:G8" si="0">F5/$F$8</f>
        <v>3.4232467685124029E-2</v>
      </c>
    </row>
    <row r="6" spans="1:7" x14ac:dyDescent="0.25">
      <c r="A6" s="7" t="s">
        <v>161</v>
      </c>
      <c r="B6" s="1">
        <v>18420730</v>
      </c>
      <c r="E6" t="s">
        <v>161</v>
      </c>
      <c r="F6" s="6">
        <v>18420730</v>
      </c>
      <c r="G6" s="8">
        <f t="shared" si="0"/>
        <v>0.18261566387526587</v>
      </c>
    </row>
    <row r="7" spans="1:7" x14ac:dyDescent="0.25">
      <c r="A7" s="7" t="s">
        <v>162</v>
      </c>
      <c r="B7" s="1">
        <v>66621478</v>
      </c>
      <c r="E7" t="s">
        <v>162</v>
      </c>
      <c r="F7" s="6">
        <v>66621478</v>
      </c>
      <c r="G7" s="8">
        <f t="shared" si="0"/>
        <v>0.6604583766941603</v>
      </c>
    </row>
    <row r="8" spans="1:7" x14ac:dyDescent="0.25">
      <c r="A8" s="7" t="s">
        <v>166</v>
      </c>
      <c r="B8" s="1">
        <v>100871577</v>
      </c>
      <c r="E8" t="s">
        <v>166</v>
      </c>
      <c r="F8" s="6">
        <v>100871577</v>
      </c>
      <c r="G8" s="8">
        <f t="shared" si="0"/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5CB5-732B-47E0-B544-8F6C0F95CF42}">
  <dimension ref="A3:C8"/>
  <sheetViews>
    <sheetView workbookViewId="0">
      <selection activeCell="H8" sqref="H8"/>
    </sheetView>
  </sheetViews>
  <sheetFormatPr defaultRowHeight="15" x14ac:dyDescent="0.25"/>
  <cols>
    <col min="1" max="1" width="18.7109375" bestFit="1" customWidth="1"/>
    <col min="2" max="2" width="18.5703125" bestFit="1" customWidth="1"/>
    <col min="3" max="3" width="12.7109375" bestFit="1" customWidth="1"/>
  </cols>
  <sheetData>
    <row r="3" spans="1:3" x14ac:dyDescent="0.25">
      <c r="A3" s="9" t="s">
        <v>165</v>
      </c>
      <c r="B3" t="s">
        <v>338</v>
      </c>
      <c r="C3" t="s">
        <v>169</v>
      </c>
    </row>
    <row r="4" spans="1:3" x14ac:dyDescent="0.25">
      <c r="A4" s="10" t="s">
        <v>163</v>
      </c>
      <c r="B4" s="11">
        <v>9601701.1180145778</v>
      </c>
      <c r="C4" s="11">
        <v>12376286</v>
      </c>
    </row>
    <row r="5" spans="1:3" x14ac:dyDescent="0.25">
      <c r="A5" s="10" t="s">
        <v>164</v>
      </c>
      <c r="B5" s="11">
        <v>2260024.6722808415</v>
      </c>
      <c r="C5" s="11">
        <v>3453083</v>
      </c>
    </row>
    <row r="6" spans="1:3" x14ac:dyDescent="0.25">
      <c r="A6" s="10" t="s">
        <v>161</v>
      </c>
      <c r="B6" s="11">
        <v>4898386.5373783028</v>
      </c>
      <c r="C6" s="11">
        <v>18420730</v>
      </c>
    </row>
    <row r="7" spans="1:3" x14ac:dyDescent="0.25">
      <c r="A7" s="10" t="s">
        <v>162</v>
      </c>
      <c r="B7" s="11">
        <v>6978357.7717458894</v>
      </c>
      <c r="C7" s="11">
        <v>66046791</v>
      </c>
    </row>
    <row r="8" spans="1:3" x14ac:dyDescent="0.25">
      <c r="A8" s="10" t="s">
        <v>166</v>
      </c>
      <c r="B8" s="11">
        <v>23738470.099419612</v>
      </c>
      <c r="C8" s="11">
        <v>100296890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1"/>
  <sheetViews>
    <sheetView tabSelected="1" workbookViewId="0">
      <selection activeCell="O1" sqref="O1"/>
    </sheetView>
  </sheetViews>
  <sheetFormatPr defaultColWidth="11.42578125" defaultRowHeight="15" x14ac:dyDescent="0.25"/>
  <cols>
    <col min="2" max="2" width="52.140625" customWidth="1"/>
  </cols>
  <sheetData>
    <row r="1" spans="1:14" x14ac:dyDescent="0.25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160</v>
      </c>
      <c r="K1" t="s">
        <v>168</v>
      </c>
      <c r="L1" t="s">
        <v>335</v>
      </c>
      <c r="M1" t="s">
        <v>336</v>
      </c>
      <c r="N1" t="s">
        <v>337</v>
      </c>
    </row>
    <row r="2" spans="1:14" x14ac:dyDescent="0.25">
      <c r="A2" t="s">
        <v>181</v>
      </c>
      <c r="B2" t="s">
        <v>182</v>
      </c>
      <c r="C2" t="s">
        <v>183</v>
      </c>
      <c r="D2" t="s">
        <v>184</v>
      </c>
      <c r="E2">
        <v>1</v>
      </c>
      <c r="F2" t="s">
        <v>178</v>
      </c>
      <c r="G2">
        <v>6.73103686187803E-2</v>
      </c>
      <c r="H2">
        <v>0.104288299745372</v>
      </c>
      <c r="I2">
        <v>0.171598668364152</v>
      </c>
      <c r="J2" t="s">
        <v>161</v>
      </c>
      <c r="K2">
        <v>2603843</v>
      </c>
      <c r="L2">
        <v>610048</v>
      </c>
      <c r="M2">
        <v>1292476</v>
      </c>
      <c r="N2">
        <f>K2*L2/M2</f>
        <v>1229012.5421779591</v>
      </c>
    </row>
    <row r="3" spans="1:14" x14ac:dyDescent="0.25">
      <c r="A3" t="s">
        <v>185</v>
      </c>
      <c r="B3" t="s">
        <v>186</v>
      </c>
      <c r="C3" t="s">
        <v>183</v>
      </c>
      <c r="D3" t="s">
        <v>184</v>
      </c>
      <c r="E3">
        <v>1</v>
      </c>
      <c r="F3" t="s">
        <v>178</v>
      </c>
      <c r="G3">
        <v>1.8308292184278999E-2</v>
      </c>
      <c r="H3">
        <v>5.7053349023956999E-2</v>
      </c>
      <c r="I3">
        <v>7.5361641208236005E-2</v>
      </c>
      <c r="J3" t="s">
        <v>162</v>
      </c>
      <c r="K3">
        <v>550602</v>
      </c>
      <c r="L3">
        <v>51033</v>
      </c>
      <c r="M3">
        <v>210464</v>
      </c>
      <c r="N3">
        <f t="shared" ref="N3:N66" si="0">K3*L3/M3</f>
        <v>133509.16007488215</v>
      </c>
    </row>
    <row r="4" spans="1:14" x14ac:dyDescent="0.25">
      <c r="A4" t="s">
        <v>187</v>
      </c>
      <c r="B4" t="s">
        <v>188</v>
      </c>
      <c r="C4" t="s">
        <v>183</v>
      </c>
      <c r="D4" t="s">
        <v>184</v>
      </c>
      <c r="E4">
        <v>1</v>
      </c>
      <c r="F4" t="s">
        <v>178</v>
      </c>
      <c r="G4">
        <v>9.5186717710753696E-2</v>
      </c>
      <c r="H4">
        <v>9.4116670919867002E-2</v>
      </c>
      <c r="I4">
        <v>0.18930338863062099</v>
      </c>
      <c r="J4" t="s">
        <v>161</v>
      </c>
      <c r="K4">
        <v>787574</v>
      </c>
      <c r="L4">
        <v>214890</v>
      </c>
      <c r="M4">
        <v>471307</v>
      </c>
      <c r="N4">
        <f t="shared" si="0"/>
        <v>359090.31026485923</v>
      </c>
    </row>
    <row r="5" spans="1:14" x14ac:dyDescent="0.25">
      <c r="A5" t="s">
        <v>189</v>
      </c>
      <c r="B5" t="s">
        <v>190</v>
      </c>
      <c r="C5" t="s">
        <v>183</v>
      </c>
      <c r="D5" t="s">
        <v>184</v>
      </c>
      <c r="E5">
        <v>1</v>
      </c>
      <c r="F5" t="s">
        <v>178</v>
      </c>
      <c r="G5">
        <v>3.7528426883041199E-2</v>
      </c>
      <c r="H5">
        <v>2.7215538187062401E-2</v>
      </c>
      <c r="I5">
        <v>6.4743965070103701E-2</v>
      </c>
      <c r="J5" t="s">
        <v>162</v>
      </c>
      <c r="K5">
        <v>860637</v>
      </c>
      <c r="L5">
        <v>66179</v>
      </c>
      <c r="M5">
        <v>286333</v>
      </c>
      <c r="N5">
        <f t="shared" si="0"/>
        <v>198915.58438251965</v>
      </c>
    </row>
    <row r="6" spans="1:14" x14ac:dyDescent="0.25">
      <c r="A6" t="s">
        <v>191</v>
      </c>
      <c r="B6" t="s">
        <v>192</v>
      </c>
      <c r="C6" t="s">
        <v>183</v>
      </c>
      <c r="D6" t="s">
        <v>184</v>
      </c>
      <c r="E6">
        <v>1</v>
      </c>
      <c r="F6" t="s">
        <v>178</v>
      </c>
      <c r="G6">
        <v>2.1826396179302501E-2</v>
      </c>
      <c r="H6">
        <v>7.8375354585573598E-2</v>
      </c>
      <c r="I6">
        <v>0.100201750764876</v>
      </c>
      <c r="J6" t="s">
        <v>162</v>
      </c>
      <c r="K6">
        <v>1390034</v>
      </c>
      <c r="L6">
        <v>173561</v>
      </c>
      <c r="M6">
        <v>455694</v>
      </c>
      <c r="N6">
        <f t="shared" si="0"/>
        <v>529424.76985433209</v>
      </c>
    </row>
    <row r="7" spans="1:14" x14ac:dyDescent="0.25">
      <c r="A7" t="s">
        <v>193</v>
      </c>
      <c r="B7" t="s">
        <v>194</v>
      </c>
      <c r="C7" t="s">
        <v>183</v>
      </c>
      <c r="D7" t="s">
        <v>184</v>
      </c>
      <c r="E7">
        <v>1</v>
      </c>
      <c r="F7" t="s">
        <v>178</v>
      </c>
      <c r="G7">
        <v>9.74101553707858E-3</v>
      </c>
      <c r="H7">
        <v>1.4822799483215699E-2</v>
      </c>
      <c r="I7">
        <v>2.45638150202943E-2</v>
      </c>
      <c r="J7" t="s">
        <v>162</v>
      </c>
      <c r="K7">
        <v>254554</v>
      </c>
      <c r="L7">
        <v>4851</v>
      </c>
      <c r="M7">
        <v>112672</v>
      </c>
      <c r="N7">
        <f t="shared" si="0"/>
        <v>10959.612450298211</v>
      </c>
    </row>
    <row r="8" spans="1:14" x14ac:dyDescent="0.25">
      <c r="A8" t="s">
        <v>195</v>
      </c>
      <c r="B8" t="s">
        <v>196</v>
      </c>
      <c r="C8" t="s">
        <v>183</v>
      </c>
      <c r="D8" t="s">
        <v>184</v>
      </c>
      <c r="E8">
        <v>1</v>
      </c>
      <c r="F8" t="s">
        <v>178</v>
      </c>
      <c r="G8">
        <v>0.61662074673339995</v>
      </c>
      <c r="H8">
        <v>0.13669193588976999</v>
      </c>
      <c r="I8">
        <v>0.75331268262317097</v>
      </c>
      <c r="J8" t="s">
        <v>163</v>
      </c>
      <c r="K8">
        <v>653178</v>
      </c>
      <c r="L8">
        <v>1602278</v>
      </c>
      <c r="M8">
        <v>1968873</v>
      </c>
      <c r="N8">
        <f t="shared" si="0"/>
        <v>531559.29279542156</v>
      </c>
    </row>
    <row r="9" spans="1:14" x14ac:dyDescent="0.25">
      <c r="A9" t="s">
        <v>197</v>
      </c>
      <c r="B9" t="s">
        <v>198</v>
      </c>
      <c r="C9" t="s">
        <v>183</v>
      </c>
      <c r="D9" t="s">
        <v>184</v>
      </c>
      <c r="E9">
        <v>1</v>
      </c>
      <c r="F9" t="s">
        <v>178</v>
      </c>
      <c r="G9">
        <v>1.9175113769940001E-2</v>
      </c>
      <c r="H9">
        <v>1.19170469156696E-2</v>
      </c>
      <c r="I9">
        <v>3.1092160685609601E-2</v>
      </c>
      <c r="J9" t="s">
        <v>162</v>
      </c>
      <c r="K9">
        <v>1270254</v>
      </c>
      <c r="L9">
        <v>39554</v>
      </c>
      <c r="M9">
        <v>232349</v>
      </c>
      <c r="N9">
        <f t="shared" si="0"/>
        <v>216242.06136458518</v>
      </c>
    </row>
    <row r="10" spans="1:14" x14ac:dyDescent="0.25">
      <c r="A10" t="s">
        <v>199</v>
      </c>
      <c r="B10" t="s">
        <v>200</v>
      </c>
      <c r="C10" t="s">
        <v>183</v>
      </c>
      <c r="D10" t="s">
        <v>184</v>
      </c>
      <c r="E10">
        <v>1</v>
      </c>
      <c r="F10" t="s">
        <v>178</v>
      </c>
      <c r="G10">
        <v>0.55681895931276104</v>
      </c>
      <c r="H10">
        <v>9.9241994618962007E-2</v>
      </c>
      <c r="I10">
        <v>0.65606095393172303</v>
      </c>
      <c r="J10" t="s">
        <v>163</v>
      </c>
      <c r="K10">
        <v>635209</v>
      </c>
      <c r="L10">
        <v>867688</v>
      </c>
      <c r="M10">
        <v>1390326</v>
      </c>
      <c r="N10">
        <f t="shared" si="0"/>
        <v>396427.33200127166</v>
      </c>
    </row>
    <row r="11" spans="1:14" x14ac:dyDescent="0.25">
      <c r="A11" t="s">
        <v>201</v>
      </c>
      <c r="B11" t="s">
        <v>202</v>
      </c>
      <c r="C11" t="s">
        <v>183</v>
      </c>
      <c r="D11" t="s">
        <v>184</v>
      </c>
      <c r="E11">
        <v>1</v>
      </c>
      <c r="F11" t="s">
        <v>178</v>
      </c>
      <c r="G11">
        <v>0.174984298238751</v>
      </c>
      <c r="H11">
        <v>1.47442566502661E-2</v>
      </c>
      <c r="I11">
        <v>0.18972855488901699</v>
      </c>
      <c r="J11" t="s">
        <v>161</v>
      </c>
      <c r="K11">
        <v>404786</v>
      </c>
      <c r="L11">
        <v>72070</v>
      </c>
      <c r="M11">
        <v>257718</v>
      </c>
      <c r="N11">
        <f t="shared" si="0"/>
        <v>113197.08759186398</v>
      </c>
    </row>
    <row r="12" spans="1:14" x14ac:dyDescent="0.25">
      <c r="A12" t="s">
        <v>203</v>
      </c>
      <c r="B12" t="s">
        <v>204</v>
      </c>
      <c r="C12" t="s">
        <v>183</v>
      </c>
      <c r="D12" t="s">
        <v>184</v>
      </c>
      <c r="E12">
        <v>1</v>
      </c>
      <c r="F12" t="s">
        <v>178</v>
      </c>
      <c r="G12">
        <v>9.4098677034403694E-2</v>
      </c>
      <c r="H12">
        <v>7.8426453160216805E-2</v>
      </c>
      <c r="I12">
        <v>0.17252513019462101</v>
      </c>
      <c r="J12" t="s">
        <v>161</v>
      </c>
      <c r="K12">
        <v>103408</v>
      </c>
      <c r="L12">
        <v>35157</v>
      </c>
      <c r="M12">
        <v>138080</v>
      </c>
      <c r="N12">
        <f t="shared" si="0"/>
        <v>26329.048783314021</v>
      </c>
    </row>
    <row r="13" spans="1:14" x14ac:dyDescent="0.25">
      <c r="A13" t="s">
        <v>205</v>
      </c>
      <c r="B13" t="s">
        <v>206</v>
      </c>
      <c r="C13" t="s">
        <v>207</v>
      </c>
      <c r="D13" t="s">
        <v>208</v>
      </c>
      <c r="E13">
        <v>3</v>
      </c>
      <c r="F13" t="s">
        <v>209</v>
      </c>
      <c r="G13">
        <v>1.49162549587311E-2</v>
      </c>
      <c r="H13">
        <v>3.7900345636396701E-2</v>
      </c>
      <c r="I13">
        <v>5.2816600595127897E-2</v>
      </c>
      <c r="J13" t="s">
        <v>162</v>
      </c>
      <c r="K13">
        <v>4695438</v>
      </c>
      <c r="L13">
        <v>226394</v>
      </c>
      <c r="M13">
        <v>4262968</v>
      </c>
      <c r="N13">
        <f t="shared" si="0"/>
        <v>249361.24094105329</v>
      </c>
    </row>
    <row r="14" spans="1:14" x14ac:dyDescent="0.25">
      <c r="A14" t="s">
        <v>210</v>
      </c>
      <c r="B14" t="s">
        <v>211</v>
      </c>
      <c r="C14" t="s">
        <v>207</v>
      </c>
      <c r="D14" t="s">
        <v>208</v>
      </c>
      <c r="E14">
        <v>3</v>
      </c>
      <c r="F14" t="s">
        <v>209</v>
      </c>
      <c r="G14">
        <v>6.6870840181478099E-3</v>
      </c>
      <c r="H14">
        <v>5.5968965501155703E-2</v>
      </c>
      <c r="I14">
        <v>6.2656049519303494E-2</v>
      </c>
      <c r="J14" t="s">
        <v>162</v>
      </c>
      <c r="K14">
        <v>706808</v>
      </c>
      <c r="L14">
        <v>59580</v>
      </c>
      <c r="M14">
        <v>766329</v>
      </c>
      <c r="N14">
        <f t="shared" si="0"/>
        <v>54952.403784797389</v>
      </c>
    </row>
    <row r="15" spans="1:14" x14ac:dyDescent="0.25">
      <c r="A15" t="s">
        <v>212</v>
      </c>
      <c r="B15" t="s">
        <v>213</v>
      </c>
      <c r="C15" t="s">
        <v>207</v>
      </c>
      <c r="D15" t="s">
        <v>208</v>
      </c>
      <c r="E15">
        <v>3</v>
      </c>
      <c r="F15" t="s">
        <v>209</v>
      </c>
      <c r="G15">
        <v>3.5462189220425502E-2</v>
      </c>
      <c r="H15">
        <v>1.06900787613304E-2</v>
      </c>
      <c r="I15">
        <v>4.6152267981755903E-2</v>
      </c>
      <c r="J15" t="s">
        <v>162</v>
      </c>
      <c r="K15">
        <v>243604</v>
      </c>
      <c r="L15">
        <v>11200</v>
      </c>
      <c r="M15">
        <v>115273</v>
      </c>
      <c r="N15">
        <f t="shared" si="0"/>
        <v>23668.723812167638</v>
      </c>
    </row>
    <row r="16" spans="1:14" x14ac:dyDescent="0.25">
      <c r="A16" t="s">
        <v>214</v>
      </c>
      <c r="B16" t="s">
        <v>215</v>
      </c>
      <c r="C16" t="s">
        <v>207</v>
      </c>
      <c r="D16" t="s">
        <v>208</v>
      </c>
      <c r="E16">
        <v>3</v>
      </c>
      <c r="F16" t="s">
        <v>209</v>
      </c>
      <c r="G16">
        <v>9.5121943807709206E-2</v>
      </c>
      <c r="H16">
        <v>1.0315155565786801E-2</v>
      </c>
      <c r="I16">
        <v>0.105437099373496</v>
      </c>
      <c r="J16" t="s">
        <v>162</v>
      </c>
      <c r="K16">
        <v>218047</v>
      </c>
      <c r="L16">
        <v>31145</v>
      </c>
      <c r="M16">
        <v>113764</v>
      </c>
      <c r="N16">
        <f t="shared" si="0"/>
        <v>59694.400820997856</v>
      </c>
    </row>
    <row r="17" spans="1:14" x14ac:dyDescent="0.25">
      <c r="A17" t="s">
        <v>216</v>
      </c>
      <c r="B17" t="s">
        <v>217</v>
      </c>
      <c r="C17" t="s">
        <v>218</v>
      </c>
      <c r="D17" t="s">
        <v>219</v>
      </c>
      <c r="E17">
        <v>1</v>
      </c>
      <c r="F17" t="s">
        <v>178</v>
      </c>
      <c r="G17">
        <v>0.84513809830417597</v>
      </c>
      <c r="H17">
        <v>6.6324225052871194E-2</v>
      </c>
      <c r="I17">
        <v>0.91146232335704702</v>
      </c>
      <c r="J17" t="s">
        <v>163</v>
      </c>
      <c r="K17">
        <v>1176521</v>
      </c>
      <c r="L17">
        <v>2017470</v>
      </c>
      <c r="M17">
        <v>2189028</v>
      </c>
      <c r="N17">
        <f t="shared" si="0"/>
        <v>1084314.9662178829</v>
      </c>
    </row>
    <row r="18" spans="1:14" x14ac:dyDescent="0.25">
      <c r="A18" t="s">
        <v>220</v>
      </c>
      <c r="B18" t="s">
        <v>221</v>
      </c>
      <c r="C18" t="s">
        <v>218</v>
      </c>
      <c r="D18" t="s">
        <v>219</v>
      </c>
      <c r="E18">
        <v>1</v>
      </c>
      <c r="F18" t="s">
        <v>178</v>
      </c>
      <c r="G18">
        <v>0.86019262504554195</v>
      </c>
      <c r="H18">
        <v>6.4007460486409207E-2</v>
      </c>
      <c r="I18">
        <v>0.92420008553195199</v>
      </c>
      <c r="J18" t="s">
        <v>163</v>
      </c>
      <c r="K18">
        <v>1500757</v>
      </c>
      <c r="L18">
        <v>2879027</v>
      </c>
      <c r="M18">
        <v>3229986</v>
      </c>
      <c r="N18">
        <f t="shared" si="0"/>
        <v>1337689.9848603059</v>
      </c>
    </row>
    <row r="19" spans="1:14" x14ac:dyDescent="0.25">
      <c r="A19" t="s">
        <v>222</v>
      </c>
      <c r="B19" t="s">
        <v>223</v>
      </c>
      <c r="C19" t="s">
        <v>218</v>
      </c>
      <c r="D19" t="s">
        <v>219</v>
      </c>
      <c r="E19">
        <v>1</v>
      </c>
      <c r="F19" t="s">
        <v>178</v>
      </c>
      <c r="G19">
        <v>0.39535598690697499</v>
      </c>
      <c r="H19">
        <v>2.2855565829256401E-2</v>
      </c>
      <c r="I19">
        <v>0.41821155273623201</v>
      </c>
      <c r="J19" t="s">
        <v>163</v>
      </c>
      <c r="K19">
        <v>538331</v>
      </c>
      <c r="L19">
        <v>337581</v>
      </c>
      <c r="M19">
        <v>430625</v>
      </c>
      <c r="N19">
        <f t="shared" si="0"/>
        <v>422015.25064963714</v>
      </c>
    </row>
    <row r="20" spans="1:14" x14ac:dyDescent="0.25">
      <c r="A20" t="s">
        <v>224</v>
      </c>
      <c r="B20" t="s">
        <v>225</v>
      </c>
      <c r="C20" t="s">
        <v>218</v>
      </c>
      <c r="D20" t="s">
        <v>219</v>
      </c>
      <c r="E20">
        <v>1</v>
      </c>
      <c r="F20" t="s">
        <v>178</v>
      </c>
      <c r="G20">
        <v>0.54650278254607199</v>
      </c>
      <c r="H20">
        <v>3.56279703813722E-2</v>
      </c>
      <c r="I20">
        <v>0.58213075292744398</v>
      </c>
      <c r="J20" t="s">
        <v>163</v>
      </c>
      <c r="K20">
        <v>368720</v>
      </c>
      <c r="L20">
        <v>529615</v>
      </c>
      <c r="M20">
        <v>733615</v>
      </c>
      <c r="N20">
        <f t="shared" si="0"/>
        <v>266188.18153936329</v>
      </c>
    </row>
    <row r="21" spans="1:14" x14ac:dyDescent="0.25">
      <c r="A21" t="s">
        <v>226</v>
      </c>
      <c r="B21" t="s">
        <v>227</v>
      </c>
      <c r="C21" t="s">
        <v>218</v>
      </c>
      <c r="D21" t="s">
        <v>219</v>
      </c>
      <c r="E21">
        <v>1</v>
      </c>
      <c r="F21" t="s">
        <v>178</v>
      </c>
      <c r="G21">
        <v>0.68174512288129097</v>
      </c>
      <c r="H21">
        <v>3.3518158395342598E-2</v>
      </c>
      <c r="I21">
        <v>0.71526328127663297</v>
      </c>
      <c r="J21" t="s">
        <v>163</v>
      </c>
      <c r="K21">
        <v>303821</v>
      </c>
      <c r="L21">
        <v>631902</v>
      </c>
      <c r="M21">
        <v>808820</v>
      </c>
      <c r="N21">
        <f t="shared" si="0"/>
        <v>237364.42909670877</v>
      </c>
    </row>
    <row r="22" spans="1:14" x14ac:dyDescent="0.25">
      <c r="A22" t="s">
        <v>228</v>
      </c>
      <c r="B22" t="s">
        <v>229</v>
      </c>
      <c r="C22" t="s">
        <v>218</v>
      </c>
      <c r="D22" t="s">
        <v>219</v>
      </c>
      <c r="E22">
        <v>1</v>
      </c>
      <c r="F22" t="s">
        <v>178</v>
      </c>
      <c r="G22">
        <v>0.82540074618445902</v>
      </c>
      <c r="H22">
        <v>8.10768909414087E-2</v>
      </c>
      <c r="I22">
        <v>0.90647763712586704</v>
      </c>
      <c r="J22" t="s">
        <v>163</v>
      </c>
      <c r="K22">
        <v>316964</v>
      </c>
      <c r="L22">
        <v>738126</v>
      </c>
      <c r="M22">
        <v>961712</v>
      </c>
      <c r="N22">
        <f t="shared" si="0"/>
        <v>243273.83818024522</v>
      </c>
    </row>
    <row r="23" spans="1:14" x14ac:dyDescent="0.25">
      <c r="A23" t="s">
        <v>230</v>
      </c>
      <c r="B23" t="s">
        <v>231</v>
      </c>
      <c r="C23" t="s">
        <v>218</v>
      </c>
      <c r="D23" t="s">
        <v>219</v>
      </c>
      <c r="E23">
        <v>1</v>
      </c>
      <c r="F23" t="s">
        <v>178</v>
      </c>
      <c r="G23">
        <v>0.48994296553786898</v>
      </c>
      <c r="H23">
        <v>2.6133305271574502E-2</v>
      </c>
      <c r="I23">
        <v>0.51607627080944396</v>
      </c>
      <c r="J23" t="s">
        <v>163</v>
      </c>
      <c r="K23">
        <v>528915</v>
      </c>
      <c r="L23">
        <v>534384</v>
      </c>
      <c r="M23">
        <v>578142</v>
      </c>
      <c r="N23">
        <f t="shared" si="0"/>
        <v>488882.85812136118</v>
      </c>
    </row>
    <row r="24" spans="1:14" x14ac:dyDescent="0.25">
      <c r="A24" t="s">
        <v>232</v>
      </c>
      <c r="B24" t="s">
        <v>233</v>
      </c>
      <c r="C24" t="s">
        <v>218</v>
      </c>
      <c r="D24" t="s">
        <v>219</v>
      </c>
      <c r="E24">
        <v>1</v>
      </c>
      <c r="F24" t="s">
        <v>178</v>
      </c>
      <c r="G24">
        <v>0.595481328194163</v>
      </c>
      <c r="H24">
        <v>4.2632823742460503E-2</v>
      </c>
      <c r="I24">
        <v>0.63811415193662402</v>
      </c>
      <c r="J24" t="s">
        <v>163</v>
      </c>
      <c r="K24">
        <v>445662</v>
      </c>
      <c r="L24">
        <v>464098</v>
      </c>
      <c r="M24">
        <v>585837</v>
      </c>
      <c r="N24">
        <f t="shared" si="0"/>
        <v>353051.86063017527</v>
      </c>
    </row>
    <row r="25" spans="1:14" x14ac:dyDescent="0.25">
      <c r="A25" t="s">
        <v>234</v>
      </c>
      <c r="B25" t="s">
        <v>235</v>
      </c>
      <c r="C25" t="s">
        <v>218</v>
      </c>
      <c r="D25" t="s">
        <v>219</v>
      </c>
      <c r="E25">
        <v>1</v>
      </c>
      <c r="F25" t="s">
        <v>178</v>
      </c>
      <c r="G25">
        <v>0.61775510673130796</v>
      </c>
      <c r="H25">
        <v>4.9227318711107297E-2</v>
      </c>
      <c r="I25">
        <v>0.66698242544241604</v>
      </c>
      <c r="J25" t="s">
        <v>163</v>
      </c>
      <c r="K25">
        <v>50671</v>
      </c>
      <c r="L25">
        <v>72806</v>
      </c>
      <c r="M25">
        <v>103679</v>
      </c>
      <c r="N25">
        <f t="shared" si="0"/>
        <v>35582.449927179085</v>
      </c>
    </row>
    <row r="26" spans="1:14" x14ac:dyDescent="0.25">
      <c r="A26" t="s">
        <v>236</v>
      </c>
      <c r="B26" t="s">
        <v>237</v>
      </c>
      <c r="C26" t="s">
        <v>218</v>
      </c>
      <c r="D26" t="s">
        <v>219</v>
      </c>
      <c r="E26">
        <v>1</v>
      </c>
      <c r="F26" t="s">
        <v>178</v>
      </c>
      <c r="G26">
        <v>0.70493791498815495</v>
      </c>
      <c r="H26">
        <v>7.8980256772958599E-2</v>
      </c>
      <c r="I26">
        <v>0.783918171761114</v>
      </c>
      <c r="J26" t="s">
        <v>163</v>
      </c>
      <c r="K26">
        <v>42899</v>
      </c>
      <c r="L26">
        <v>315152</v>
      </c>
      <c r="M26">
        <v>405340</v>
      </c>
      <c r="N26">
        <f t="shared" si="0"/>
        <v>33353.988375191198</v>
      </c>
    </row>
    <row r="27" spans="1:14" x14ac:dyDescent="0.25">
      <c r="A27" t="s">
        <v>238</v>
      </c>
      <c r="B27" t="s">
        <v>239</v>
      </c>
      <c r="C27" t="s">
        <v>218</v>
      </c>
      <c r="D27" t="s">
        <v>219</v>
      </c>
      <c r="E27">
        <v>1</v>
      </c>
      <c r="F27" t="s">
        <v>178</v>
      </c>
      <c r="G27">
        <v>0.92992849820184698</v>
      </c>
      <c r="H27">
        <v>8.1261757051081698E-2</v>
      </c>
      <c r="I27">
        <v>1.0111902552529299</v>
      </c>
      <c r="J27" t="s">
        <v>163</v>
      </c>
      <c r="K27">
        <v>84821</v>
      </c>
      <c r="L27">
        <v>522952</v>
      </c>
      <c r="M27">
        <v>690873</v>
      </c>
      <c r="N27">
        <f t="shared" si="0"/>
        <v>64204.725893181523</v>
      </c>
    </row>
    <row r="28" spans="1:14" x14ac:dyDescent="0.25">
      <c r="A28" t="s">
        <v>240</v>
      </c>
      <c r="B28" t="s">
        <v>241</v>
      </c>
      <c r="C28" t="s">
        <v>218</v>
      </c>
      <c r="D28" t="s">
        <v>219</v>
      </c>
      <c r="E28">
        <v>1</v>
      </c>
      <c r="F28" t="s">
        <v>178</v>
      </c>
      <c r="G28">
        <v>0.79995703802294904</v>
      </c>
      <c r="H28">
        <v>2.3966044902411301E-2</v>
      </c>
      <c r="I28">
        <v>0.82392308292535998</v>
      </c>
      <c r="J28" t="s">
        <v>163</v>
      </c>
      <c r="K28">
        <v>126482</v>
      </c>
      <c r="L28">
        <v>458600</v>
      </c>
      <c r="M28">
        <v>483573</v>
      </c>
      <c r="N28">
        <f t="shared" si="0"/>
        <v>119950.13203797565</v>
      </c>
    </row>
    <row r="29" spans="1:14" x14ac:dyDescent="0.25">
      <c r="A29" t="s">
        <v>242</v>
      </c>
      <c r="B29" t="s">
        <v>243</v>
      </c>
      <c r="C29" t="s">
        <v>218</v>
      </c>
      <c r="D29" t="s">
        <v>219</v>
      </c>
      <c r="E29">
        <v>1</v>
      </c>
      <c r="F29" t="s">
        <v>178</v>
      </c>
      <c r="G29">
        <v>0.562821811008682</v>
      </c>
      <c r="H29">
        <v>8.1643805045618204E-2</v>
      </c>
      <c r="I29">
        <v>0.64446561605429997</v>
      </c>
      <c r="J29" t="s">
        <v>163</v>
      </c>
      <c r="K29">
        <v>98862</v>
      </c>
      <c r="L29">
        <v>129435</v>
      </c>
      <c r="M29">
        <v>148168</v>
      </c>
      <c r="N29">
        <f t="shared" si="0"/>
        <v>86362.797432644031</v>
      </c>
    </row>
    <row r="30" spans="1:14" x14ac:dyDescent="0.25">
      <c r="A30" t="s">
        <v>244</v>
      </c>
      <c r="B30" t="s">
        <v>245</v>
      </c>
      <c r="C30" t="s">
        <v>218</v>
      </c>
      <c r="D30" t="s">
        <v>219</v>
      </c>
      <c r="E30">
        <v>1</v>
      </c>
      <c r="F30" t="s">
        <v>178</v>
      </c>
      <c r="G30">
        <v>0.53589686795103397</v>
      </c>
      <c r="H30">
        <v>4.7836688618766103E-2</v>
      </c>
      <c r="I30">
        <v>0.58373355656980097</v>
      </c>
      <c r="J30" t="s">
        <v>163</v>
      </c>
      <c r="K30">
        <v>216643</v>
      </c>
      <c r="L30">
        <v>400866</v>
      </c>
      <c r="M30">
        <v>656157</v>
      </c>
      <c r="N30">
        <f t="shared" si="0"/>
        <v>132353.70930737612</v>
      </c>
    </row>
    <row r="31" spans="1:14" x14ac:dyDescent="0.25">
      <c r="A31" t="s">
        <v>246</v>
      </c>
      <c r="B31" t="s">
        <v>247</v>
      </c>
      <c r="C31" t="s">
        <v>218</v>
      </c>
      <c r="D31" t="s">
        <v>219</v>
      </c>
      <c r="E31">
        <v>1</v>
      </c>
      <c r="F31" t="s">
        <v>178</v>
      </c>
      <c r="G31">
        <v>0.42276757756239702</v>
      </c>
      <c r="H31">
        <v>3.4144884184736803E-2</v>
      </c>
      <c r="I31">
        <v>0.45691246174713401</v>
      </c>
      <c r="J31" t="s">
        <v>163</v>
      </c>
      <c r="K31">
        <v>654514</v>
      </c>
      <c r="L31">
        <v>498952</v>
      </c>
      <c r="M31">
        <v>575505</v>
      </c>
      <c r="N31">
        <f t="shared" si="0"/>
        <v>567451.31550203729</v>
      </c>
    </row>
    <row r="32" spans="1:14" x14ac:dyDescent="0.25">
      <c r="A32" t="s">
        <v>248</v>
      </c>
      <c r="B32" t="s">
        <v>249</v>
      </c>
      <c r="C32" t="s">
        <v>218</v>
      </c>
      <c r="D32" t="s">
        <v>219</v>
      </c>
      <c r="E32">
        <v>1</v>
      </c>
      <c r="F32" t="s">
        <v>178</v>
      </c>
      <c r="G32">
        <v>0.23436709908953099</v>
      </c>
      <c r="H32">
        <v>3.0759112169046501E-2</v>
      </c>
      <c r="I32">
        <v>0.26512621125857799</v>
      </c>
      <c r="J32" t="s">
        <v>164</v>
      </c>
      <c r="K32">
        <v>359859</v>
      </c>
      <c r="L32">
        <v>165788</v>
      </c>
      <c r="M32">
        <v>454366</v>
      </c>
      <c r="N32">
        <f t="shared" si="0"/>
        <v>131304.50758199338</v>
      </c>
    </row>
    <row r="33" spans="1:14" x14ac:dyDescent="0.25">
      <c r="A33" t="s">
        <v>250</v>
      </c>
      <c r="B33" t="s">
        <v>251</v>
      </c>
      <c r="C33" t="s">
        <v>218</v>
      </c>
      <c r="D33" t="s">
        <v>219</v>
      </c>
      <c r="E33">
        <v>1</v>
      </c>
      <c r="F33" t="s">
        <v>178</v>
      </c>
      <c r="G33">
        <v>0.19304590139884001</v>
      </c>
      <c r="H33">
        <v>8.0545936202189305E-2</v>
      </c>
      <c r="I33">
        <v>0.27359183760102901</v>
      </c>
      <c r="J33" t="s">
        <v>164</v>
      </c>
      <c r="K33">
        <v>48108</v>
      </c>
      <c r="L33">
        <v>20733</v>
      </c>
      <c r="M33">
        <v>38342</v>
      </c>
      <c r="N33">
        <f t="shared" si="0"/>
        <v>26013.853320118931</v>
      </c>
    </row>
    <row r="34" spans="1:14" x14ac:dyDescent="0.25">
      <c r="A34" t="s">
        <v>252</v>
      </c>
      <c r="B34" t="s">
        <v>253</v>
      </c>
      <c r="C34" t="s">
        <v>218</v>
      </c>
      <c r="D34" t="s">
        <v>219</v>
      </c>
      <c r="E34">
        <v>2</v>
      </c>
      <c r="F34" t="s">
        <v>179</v>
      </c>
      <c r="G34">
        <v>0.13969580000707499</v>
      </c>
      <c r="H34">
        <v>0.31279049286599098</v>
      </c>
      <c r="I34">
        <v>0.45248629287306602</v>
      </c>
      <c r="J34" t="s">
        <v>163</v>
      </c>
      <c r="K34">
        <v>319287</v>
      </c>
      <c r="L34">
        <v>263865</v>
      </c>
      <c r="M34">
        <v>404477</v>
      </c>
      <c r="N34">
        <f t="shared" si="0"/>
        <v>208290.37066384492</v>
      </c>
    </row>
    <row r="35" spans="1:14" x14ac:dyDescent="0.25">
      <c r="A35" t="s">
        <v>254</v>
      </c>
      <c r="B35" t="s">
        <v>255</v>
      </c>
      <c r="C35" t="s">
        <v>218</v>
      </c>
      <c r="D35" t="s">
        <v>219</v>
      </c>
      <c r="E35">
        <v>2</v>
      </c>
      <c r="F35" t="s">
        <v>179</v>
      </c>
      <c r="G35">
        <v>5.8722362465348801E-2</v>
      </c>
      <c r="H35">
        <v>0.53208138010525197</v>
      </c>
      <c r="I35">
        <v>0.59080374257060098</v>
      </c>
      <c r="J35" t="s">
        <v>163</v>
      </c>
      <c r="K35">
        <v>386756</v>
      </c>
      <c r="L35">
        <v>392442</v>
      </c>
      <c r="M35">
        <v>451592</v>
      </c>
      <c r="N35">
        <f t="shared" si="0"/>
        <v>336098.28817162395</v>
      </c>
    </row>
    <row r="36" spans="1:14" x14ac:dyDescent="0.25">
      <c r="A36" t="s">
        <v>256</v>
      </c>
      <c r="B36" t="s">
        <v>257</v>
      </c>
      <c r="C36" t="s">
        <v>218</v>
      </c>
      <c r="D36" t="s">
        <v>219</v>
      </c>
      <c r="E36">
        <v>2</v>
      </c>
      <c r="F36" t="s">
        <v>179</v>
      </c>
      <c r="G36">
        <v>0.34018622658200298</v>
      </c>
      <c r="H36">
        <v>0.13026263876114499</v>
      </c>
      <c r="I36">
        <v>0.470448865343147</v>
      </c>
      <c r="J36" t="s">
        <v>163</v>
      </c>
      <c r="K36">
        <v>158877</v>
      </c>
      <c r="L36">
        <v>135895</v>
      </c>
      <c r="M36">
        <v>258265</v>
      </c>
      <c r="N36">
        <f t="shared" si="0"/>
        <v>83598.59026581225</v>
      </c>
    </row>
    <row r="37" spans="1:14" x14ac:dyDescent="0.25">
      <c r="A37" t="s">
        <v>258</v>
      </c>
      <c r="B37" t="s">
        <v>259</v>
      </c>
      <c r="C37" t="s">
        <v>218</v>
      </c>
      <c r="D37" t="s">
        <v>219</v>
      </c>
      <c r="E37">
        <v>1</v>
      </c>
      <c r="F37" t="s">
        <v>178</v>
      </c>
      <c r="G37">
        <v>0.503713675201649</v>
      </c>
      <c r="H37">
        <v>2.47945701181994E-2</v>
      </c>
      <c r="I37">
        <v>0.52850824531984797</v>
      </c>
      <c r="J37" t="s">
        <v>163</v>
      </c>
      <c r="K37">
        <v>701969</v>
      </c>
      <c r="L37">
        <v>801856</v>
      </c>
      <c r="M37">
        <v>1044050</v>
      </c>
      <c r="N37">
        <f t="shared" si="0"/>
        <v>539129.40420861065</v>
      </c>
    </row>
    <row r="38" spans="1:14" x14ac:dyDescent="0.25">
      <c r="A38" t="s">
        <v>260</v>
      </c>
      <c r="B38" t="s">
        <v>261</v>
      </c>
      <c r="C38" t="s">
        <v>218</v>
      </c>
      <c r="D38" t="s">
        <v>219</v>
      </c>
      <c r="E38">
        <v>2</v>
      </c>
      <c r="F38" t="s">
        <v>179</v>
      </c>
      <c r="G38">
        <v>5.4338187564845998E-3</v>
      </c>
      <c r="H38">
        <v>0.40518410257360299</v>
      </c>
      <c r="I38">
        <v>0.41061792133008801</v>
      </c>
      <c r="J38" t="s">
        <v>163</v>
      </c>
      <c r="K38">
        <v>593551</v>
      </c>
      <c r="L38">
        <v>492704</v>
      </c>
      <c r="M38">
        <v>779851</v>
      </c>
      <c r="N38">
        <f t="shared" si="0"/>
        <v>375001.06033588469</v>
      </c>
    </row>
    <row r="39" spans="1:14" x14ac:dyDescent="0.25">
      <c r="A39" t="s">
        <v>262</v>
      </c>
      <c r="B39" t="s">
        <v>263</v>
      </c>
      <c r="C39" t="s">
        <v>218</v>
      </c>
      <c r="D39" t="s">
        <v>219</v>
      </c>
      <c r="E39">
        <v>3</v>
      </c>
      <c r="F39" t="s">
        <v>209</v>
      </c>
      <c r="G39">
        <v>6.13771896506998E-3</v>
      </c>
      <c r="H39">
        <v>1.10087327646489E-2</v>
      </c>
      <c r="I39">
        <v>1.71464517297189E-2</v>
      </c>
      <c r="J39" t="s">
        <v>162</v>
      </c>
      <c r="K39">
        <v>1117747</v>
      </c>
      <c r="L39">
        <v>5372</v>
      </c>
      <c r="M39">
        <v>3032428</v>
      </c>
      <c r="N39">
        <f t="shared" si="0"/>
        <v>1980.10864033705</v>
      </c>
    </row>
    <row r="40" spans="1:14" x14ac:dyDescent="0.25">
      <c r="A40" t="s">
        <v>264</v>
      </c>
      <c r="B40" t="s">
        <v>265</v>
      </c>
      <c r="C40" t="s">
        <v>218</v>
      </c>
      <c r="D40" t="s">
        <v>219</v>
      </c>
      <c r="E40">
        <v>2</v>
      </c>
      <c r="F40" t="s">
        <v>179</v>
      </c>
      <c r="G40">
        <v>5.18863402932585E-3</v>
      </c>
      <c r="H40">
        <v>1.6230294784945799E-2</v>
      </c>
      <c r="I40">
        <v>2.1418928814271598E-2</v>
      </c>
      <c r="J40" t="s">
        <v>162</v>
      </c>
      <c r="K40">
        <v>239353</v>
      </c>
      <c r="L40">
        <v>3294</v>
      </c>
      <c r="M40">
        <v>293264</v>
      </c>
      <c r="N40">
        <f t="shared" si="0"/>
        <v>2688.4608475639698</v>
      </c>
    </row>
    <row r="41" spans="1:14" x14ac:dyDescent="0.25">
      <c r="A41" t="s">
        <v>266</v>
      </c>
      <c r="B41" t="s">
        <v>267</v>
      </c>
      <c r="C41" t="s">
        <v>218</v>
      </c>
      <c r="D41" t="s">
        <v>219</v>
      </c>
      <c r="E41">
        <v>3</v>
      </c>
      <c r="F41" t="s">
        <v>209</v>
      </c>
      <c r="G41">
        <v>3.9368189154198499E-2</v>
      </c>
      <c r="H41">
        <v>8.1638737285657195E-2</v>
      </c>
      <c r="I41">
        <v>0.121006926439856</v>
      </c>
      <c r="J41" t="s">
        <v>161</v>
      </c>
      <c r="K41">
        <v>1085996</v>
      </c>
      <c r="L41">
        <v>213713</v>
      </c>
      <c r="M41">
        <v>974178</v>
      </c>
      <c r="N41">
        <f t="shared" si="0"/>
        <v>238243.38380460243</v>
      </c>
    </row>
    <row r="42" spans="1:14" x14ac:dyDescent="0.25">
      <c r="A42" t="s">
        <v>268</v>
      </c>
      <c r="B42" t="s">
        <v>269</v>
      </c>
      <c r="C42" t="s">
        <v>218</v>
      </c>
      <c r="D42" t="s">
        <v>219</v>
      </c>
      <c r="E42">
        <v>3</v>
      </c>
      <c r="F42" t="s">
        <v>209</v>
      </c>
      <c r="G42">
        <v>7.3294980342371599E-2</v>
      </c>
      <c r="H42">
        <v>2.6059070931428101E-2</v>
      </c>
      <c r="I42">
        <v>9.9354051273799801E-2</v>
      </c>
      <c r="J42" t="s">
        <v>162</v>
      </c>
      <c r="K42">
        <v>84011</v>
      </c>
      <c r="L42">
        <v>14918</v>
      </c>
      <c r="M42">
        <v>94756</v>
      </c>
      <c r="N42">
        <f t="shared" si="0"/>
        <v>13226.350816834818</v>
      </c>
    </row>
    <row r="43" spans="1:14" x14ac:dyDescent="0.25">
      <c r="A43" t="s">
        <v>270</v>
      </c>
      <c r="B43" t="s">
        <v>271</v>
      </c>
      <c r="C43" t="s">
        <v>218</v>
      </c>
      <c r="D43" t="s">
        <v>219</v>
      </c>
      <c r="E43">
        <v>3</v>
      </c>
      <c r="F43" t="s">
        <v>209</v>
      </c>
      <c r="G43">
        <v>2.86554278777338E-3</v>
      </c>
      <c r="H43">
        <v>2.4168180024161899E-2</v>
      </c>
      <c r="I43">
        <v>2.70337228119353E-2</v>
      </c>
      <c r="J43" t="s">
        <v>162</v>
      </c>
      <c r="K43">
        <v>635918</v>
      </c>
      <c r="L43">
        <v>23808</v>
      </c>
      <c r="M43">
        <v>744572</v>
      </c>
      <c r="N43">
        <f t="shared" si="0"/>
        <v>20333.743068501099</v>
      </c>
    </row>
    <row r="44" spans="1:14" x14ac:dyDescent="0.25">
      <c r="A44" t="s">
        <v>272</v>
      </c>
      <c r="B44" t="s">
        <v>273</v>
      </c>
      <c r="C44" t="s">
        <v>218</v>
      </c>
      <c r="D44" t="s">
        <v>219</v>
      </c>
      <c r="E44">
        <v>3</v>
      </c>
      <c r="F44" t="s">
        <v>209</v>
      </c>
      <c r="G44">
        <v>5.3670784204023197E-3</v>
      </c>
      <c r="H44">
        <v>2.1340409243412701E-2</v>
      </c>
      <c r="I44">
        <v>2.6707487663815001E-2</v>
      </c>
      <c r="J44" t="s">
        <v>162</v>
      </c>
      <c r="K44">
        <v>296778</v>
      </c>
      <c r="L44">
        <v>4883</v>
      </c>
      <c r="M44">
        <v>186527</v>
      </c>
      <c r="N44">
        <f t="shared" si="0"/>
        <v>7769.207535638272</v>
      </c>
    </row>
    <row r="45" spans="1:14" x14ac:dyDescent="0.25">
      <c r="A45" t="s">
        <v>274</v>
      </c>
      <c r="B45" t="s">
        <v>275</v>
      </c>
      <c r="C45" t="s">
        <v>218</v>
      </c>
      <c r="D45" t="s">
        <v>219</v>
      </c>
      <c r="E45">
        <v>3</v>
      </c>
      <c r="F45" t="s">
        <v>209</v>
      </c>
      <c r="G45">
        <v>1.33877246987069E-2</v>
      </c>
      <c r="H45">
        <v>4.5107487156403003E-2</v>
      </c>
      <c r="I45">
        <v>5.8495211855109898E-2</v>
      </c>
      <c r="J45" t="s">
        <v>162</v>
      </c>
      <c r="K45">
        <v>697350</v>
      </c>
      <c r="L45">
        <v>48412</v>
      </c>
      <c r="M45">
        <v>961344</v>
      </c>
      <c r="N45">
        <f t="shared" si="0"/>
        <v>35117.614714399839</v>
      </c>
    </row>
    <row r="46" spans="1:14" x14ac:dyDescent="0.25">
      <c r="A46" t="s">
        <v>276</v>
      </c>
      <c r="B46" t="s">
        <v>277</v>
      </c>
      <c r="C46" t="s">
        <v>218</v>
      </c>
      <c r="D46" t="s">
        <v>219</v>
      </c>
      <c r="E46">
        <v>3</v>
      </c>
      <c r="F46" t="s">
        <v>209</v>
      </c>
      <c r="G46">
        <v>1.12951285949997E-2</v>
      </c>
      <c r="H46">
        <v>2.4517380721220099E-2</v>
      </c>
      <c r="I46">
        <v>3.58125093162198E-2</v>
      </c>
      <c r="J46" t="s">
        <v>162</v>
      </c>
      <c r="K46">
        <v>394182</v>
      </c>
      <c r="L46">
        <v>14217</v>
      </c>
      <c r="M46">
        <v>938953</v>
      </c>
      <c r="N46">
        <f t="shared" si="0"/>
        <v>5968.4409059878399</v>
      </c>
    </row>
    <row r="47" spans="1:14" x14ac:dyDescent="0.25">
      <c r="A47" t="s">
        <v>278</v>
      </c>
      <c r="B47" t="s">
        <v>279</v>
      </c>
      <c r="C47" t="s">
        <v>218</v>
      </c>
      <c r="D47" t="s">
        <v>219</v>
      </c>
      <c r="E47">
        <v>3</v>
      </c>
      <c r="F47" t="s">
        <v>209</v>
      </c>
      <c r="G47">
        <v>5.8917965447084402E-3</v>
      </c>
      <c r="H47">
        <v>3.9094832154887002E-2</v>
      </c>
      <c r="I47">
        <v>4.49866286995955E-2</v>
      </c>
      <c r="J47" t="s">
        <v>162</v>
      </c>
      <c r="K47">
        <v>533340</v>
      </c>
      <c r="L47">
        <v>38634</v>
      </c>
      <c r="M47">
        <v>1004990</v>
      </c>
      <c r="N47">
        <f t="shared" si="0"/>
        <v>20502.748843272071</v>
      </c>
    </row>
    <row r="48" spans="1:14" x14ac:dyDescent="0.25">
      <c r="A48" t="s">
        <v>280</v>
      </c>
      <c r="B48" t="s">
        <v>281</v>
      </c>
      <c r="C48" t="s">
        <v>218</v>
      </c>
      <c r="D48" t="s">
        <v>219</v>
      </c>
      <c r="E48">
        <v>3</v>
      </c>
      <c r="F48" t="s">
        <v>209</v>
      </c>
      <c r="G48">
        <v>4.7938488790868601E-2</v>
      </c>
      <c r="H48">
        <v>2.29844839136602E-2</v>
      </c>
      <c r="I48">
        <v>7.0922972704528797E-2</v>
      </c>
      <c r="J48" t="s">
        <v>162</v>
      </c>
      <c r="K48">
        <v>473959</v>
      </c>
      <c r="L48">
        <v>45981</v>
      </c>
      <c r="M48">
        <v>878759</v>
      </c>
      <c r="N48">
        <f t="shared" si="0"/>
        <v>24799.869792514215</v>
      </c>
    </row>
    <row r="49" spans="1:14" x14ac:dyDescent="0.25">
      <c r="A49" t="s">
        <v>282</v>
      </c>
      <c r="B49" t="s">
        <v>283</v>
      </c>
      <c r="C49" t="s">
        <v>218</v>
      </c>
      <c r="D49" t="s">
        <v>219</v>
      </c>
      <c r="E49">
        <v>3</v>
      </c>
      <c r="F49" t="s">
        <v>209</v>
      </c>
      <c r="G49">
        <v>7.6252571272006301E-3</v>
      </c>
      <c r="H49">
        <v>1.03442912442668E-2</v>
      </c>
      <c r="I49">
        <v>1.79695483714674E-2</v>
      </c>
      <c r="J49" t="s">
        <v>162</v>
      </c>
      <c r="K49">
        <v>340834</v>
      </c>
      <c r="L49">
        <v>5175</v>
      </c>
      <c r="M49">
        <v>711723</v>
      </c>
      <c r="N49">
        <f t="shared" si="0"/>
        <v>2478.2337370016144</v>
      </c>
    </row>
    <row r="50" spans="1:14" x14ac:dyDescent="0.25">
      <c r="A50" t="s">
        <v>284</v>
      </c>
      <c r="B50" t="s">
        <v>285</v>
      </c>
      <c r="C50" t="s">
        <v>218</v>
      </c>
      <c r="D50" t="s">
        <v>219</v>
      </c>
      <c r="E50">
        <v>3</v>
      </c>
      <c r="F50" t="s">
        <v>209</v>
      </c>
      <c r="G50">
        <v>0.57128426814746702</v>
      </c>
      <c r="H50">
        <v>7.5151152708335001E-2</v>
      </c>
      <c r="I50">
        <v>0.64643542085580297</v>
      </c>
      <c r="J50" t="s">
        <v>163</v>
      </c>
      <c r="K50">
        <v>345359</v>
      </c>
      <c r="L50">
        <v>460948</v>
      </c>
      <c r="M50">
        <v>687080</v>
      </c>
      <c r="N50">
        <f t="shared" si="0"/>
        <v>231694.33011003086</v>
      </c>
    </row>
    <row r="51" spans="1:14" x14ac:dyDescent="0.25">
      <c r="A51" t="s">
        <v>286</v>
      </c>
      <c r="B51" t="s">
        <v>287</v>
      </c>
      <c r="C51" t="s">
        <v>218</v>
      </c>
      <c r="D51" t="s">
        <v>219</v>
      </c>
      <c r="E51">
        <v>3</v>
      </c>
      <c r="F51" t="s">
        <v>209</v>
      </c>
      <c r="G51">
        <v>3.6683454502929903E-2</v>
      </c>
      <c r="H51">
        <v>1.20761881374632E-2</v>
      </c>
      <c r="I51">
        <v>4.8759642640393099E-2</v>
      </c>
      <c r="J51" t="s">
        <v>162</v>
      </c>
      <c r="K51">
        <v>590391</v>
      </c>
      <c r="L51">
        <v>28861</v>
      </c>
      <c r="M51">
        <v>433831</v>
      </c>
      <c r="N51">
        <f t="shared" si="0"/>
        <v>39276.295725754957</v>
      </c>
    </row>
    <row r="52" spans="1:14" x14ac:dyDescent="0.25">
      <c r="A52" t="s">
        <v>288</v>
      </c>
      <c r="B52" t="s">
        <v>289</v>
      </c>
      <c r="C52" t="s">
        <v>290</v>
      </c>
      <c r="D52" t="s">
        <v>291</v>
      </c>
      <c r="E52">
        <v>3</v>
      </c>
      <c r="F52" t="s">
        <v>209</v>
      </c>
      <c r="G52">
        <v>5.3256862746272303E-3</v>
      </c>
      <c r="H52">
        <v>4.5299465160828598E-2</v>
      </c>
      <c r="I52">
        <v>5.0625151435455797E-2</v>
      </c>
      <c r="J52" t="s">
        <v>162</v>
      </c>
      <c r="K52">
        <v>1386478</v>
      </c>
      <c r="L52">
        <v>51538</v>
      </c>
      <c r="M52">
        <v>2474557</v>
      </c>
      <c r="N52">
        <f t="shared" si="0"/>
        <v>28876.402185926614</v>
      </c>
    </row>
    <row r="53" spans="1:14" x14ac:dyDescent="0.25">
      <c r="A53" t="s">
        <v>292</v>
      </c>
      <c r="B53" t="s">
        <v>293</v>
      </c>
      <c r="C53" t="s">
        <v>290</v>
      </c>
      <c r="D53" t="s">
        <v>291</v>
      </c>
      <c r="E53">
        <v>2</v>
      </c>
      <c r="F53" t="s">
        <v>179</v>
      </c>
      <c r="G53">
        <v>2.44827986200456E-3</v>
      </c>
      <c r="H53">
        <v>3.1662406147749303E-2</v>
      </c>
      <c r="I53">
        <v>3.41106860097539E-2</v>
      </c>
      <c r="J53" t="s">
        <v>162</v>
      </c>
      <c r="K53">
        <v>428643</v>
      </c>
      <c r="L53">
        <v>8375</v>
      </c>
      <c r="M53">
        <v>172470</v>
      </c>
      <c r="N53">
        <f t="shared" si="0"/>
        <v>20814.548182292572</v>
      </c>
    </row>
    <row r="54" spans="1:14" x14ac:dyDescent="0.25">
      <c r="A54" t="s">
        <v>294</v>
      </c>
      <c r="B54" t="s">
        <v>295</v>
      </c>
      <c r="C54" t="s">
        <v>296</v>
      </c>
      <c r="D54" t="s">
        <v>295</v>
      </c>
      <c r="E54">
        <v>3</v>
      </c>
      <c r="F54" t="s">
        <v>209</v>
      </c>
      <c r="G54">
        <v>0.101898439344035</v>
      </c>
      <c r="H54">
        <v>1.950306950465E-2</v>
      </c>
      <c r="I54">
        <v>0.121401508848685</v>
      </c>
      <c r="J54" t="s">
        <v>161</v>
      </c>
      <c r="K54">
        <v>11816602</v>
      </c>
      <c r="L54">
        <v>1689532</v>
      </c>
      <c r="M54">
        <v>7913825</v>
      </c>
      <c r="N54">
        <f t="shared" si="0"/>
        <v>2522740.5471139429</v>
      </c>
    </row>
    <row r="55" spans="1:14" x14ac:dyDescent="0.25">
      <c r="A55" t="s">
        <v>297</v>
      </c>
      <c r="B55" t="s">
        <v>298</v>
      </c>
      <c r="C55" t="s">
        <v>299</v>
      </c>
      <c r="D55" t="s">
        <v>300</v>
      </c>
      <c r="E55">
        <v>3</v>
      </c>
      <c r="F55" t="s">
        <v>209</v>
      </c>
      <c r="G55">
        <v>4.8750258962405998E-3</v>
      </c>
      <c r="H55">
        <v>3.6674176755096301E-2</v>
      </c>
      <c r="I55">
        <v>4.1549202651336901E-2</v>
      </c>
      <c r="J55" t="s">
        <v>162</v>
      </c>
      <c r="K55">
        <v>8822467</v>
      </c>
      <c r="L55">
        <v>376359</v>
      </c>
      <c r="M55">
        <v>5401598</v>
      </c>
      <c r="N55">
        <f t="shared" si="0"/>
        <v>614709.73175956449</v>
      </c>
    </row>
    <row r="56" spans="1:14" x14ac:dyDescent="0.25">
      <c r="A56" t="s">
        <v>301</v>
      </c>
      <c r="B56" t="s">
        <v>302</v>
      </c>
      <c r="C56" t="s">
        <v>299</v>
      </c>
      <c r="D56" t="s">
        <v>300</v>
      </c>
      <c r="E56">
        <v>3</v>
      </c>
      <c r="F56" t="s">
        <v>209</v>
      </c>
      <c r="G56">
        <v>3.6996180263541801E-3</v>
      </c>
      <c r="H56">
        <v>5.5804200841037599E-2</v>
      </c>
      <c r="I56">
        <v>5.9503818867391797E-2</v>
      </c>
      <c r="J56" t="s">
        <v>162</v>
      </c>
      <c r="K56">
        <v>1089055</v>
      </c>
      <c r="L56">
        <v>59141</v>
      </c>
      <c r="M56">
        <v>168305</v>
      </c>
      <c r="N56">
        <f t="shared" si="0"/>
        <v>382685.01681471139</v>
      </c>
    </row>
    <row r="57" spans="1:14" x14ac:dyDescent="0.25">
      <c r="A57" t="s">
        <v>303</v>
      </c>
      <c r="B57" t="s">
        <v>304</v>
      </c>
      <c r="C57" t="s">
        <v>305</v>
      </c>
      <c r="D57" t="s">
        <v>306</v>
      </c>
      <c r="E57">
        <v>3</v>
      </c>
      <c r="F57" t="s">
        <v>209</v>
      </c>
      <c r="G57">
        <v>0.253483796028732</v>
      </c>
      <c r="H57">
        <v>7.1340030582808397E-2</v>
      </c>
      <c r="I57">
        <v>0.32482382661154102</v>
      </c>
      <c r="J57" t="s">
        <v>164</v>
      </c>
      <c r="K57">
        <v>295074</v>
      </c>
      <c r="L57">
        <v>144067</v>
      </c>
      <c r="M57">
        <v>330827</v>
      </c>
      <c r="N57">
        <f t="shared" si="0"/>
        <v>128497.45020206936</v>
      </c>
    </row>
    <row r="58" spans="1:14" x14ac:dyDescent="0.25">
      <c r="A58" t="s">
        <v>307</v>
      </c>
      <c r="B58" t="s">
        <v>308</v>
      </c>
      <c r="C58" t="s">
        <v>305</v>
      </c>
      <c r="D58" t="s">
        <v>306</v>
      </c>
      <c r="E58">
        <v>2</v>
      </c>
      <c r="F58" t="s">
        <v>179</v>
      </c>
      <c r="G58">
        <v>0.40007680517003402</v>
      </c>
      <c r="H58">
        <v>2.4889693770093299E-2</v>
      </c>
      <c r="I58">
        <v>0.424966498940127</v>
      </c>
      <c r="J58" t="s">
        <v>163</v>
      </c>
      <c r="K58">
        <v>2127517</v>
      </c>
      <c r="L58">
        <v>1045396</v>
      </c>
      <c r="M58">
        <v>1557642</v>
      </c>
      <c r="N58">
        <f t="shared" si="0"/>
        <v>1427861.9616908121</v>
      </c>
    </row>
    <row r="59" spans="1:14" x14ac:dyDescent="0.25">
      <c r="A59" t="s">
        <v>309</v>
      </c>
      <c r="B59" t="s">
        <v>310</v>
      </c>
      <c r="C59" t="s">
        <v>305</v>
      </c>
      <c r="D59" t="s">
        <v>306</v>
      </c>
      <c r="E59">
        <v>3</v>
      </c>
      <c r="F59" t="s">
        <v>209</v>
      </c>
      <c r="G59">
        <v>9.5736316256659296E-3</v>
      </c>
      <c r="H59">
        <v>2.5838756363189899E-2</v>
      </c>
      <c r="I59">
        <v>3.5412387988855799E-2</v>
      </c>
      <c r="J59" t="s">
        <v>162</v>
      </c>
      <c r="K59">
        <v>5980414</v>
      </c>
      <c r="L59">
        <v>192297</v>
      </c>
      <c r="M59">
        <v>4989169</v>
      </c>
      <c r="N59">
        <f t="shared" si="0"/>
        <v>230502.44859574811</v>
      </c>
    </row>
    <row r="60" spans="1:14" x14ac:dyDescent="0.25">
      <c r="A60" t="s">
        <v>311</v>
      </c>
      <c r="B60" t="s">
        <v>312</v>
      </c>
      <c r="C60" t="s">
        <v>305</v>
      </c>
      <c r="D60" t="s">
        <v>306</v>
      </c>
      <c r="E60">
        <v>3</v>
      </c>
      <c r="F60" t="s">
        <v>209</v>
      </c>
      <c r="G60">
        <v>3.9898839630747697E-3</v>
      </c>
      <c r="H60">
        <v>2.6646854400351801E-2</v>
      </c>
      <c r="I60">
        <v>3.0636738363426501E-2</v>
      </c>
      <c r="J60" t="s">
        <v>162</v>
      </c>
      <c r="K60">
        <v>120440</v>
      </c>
      <c r="L60">
        <v>3335</v>
      </c>
      <c r="M60">
        <v>167890</v>
      </c>
      <c r="N60">
        <f t="shared" si="0"/>
        <v>2392.4438620525343</v>
      </c>
    </row>
    <row r="61" spans="1:14" x14ac:dyDescent="0.25">
      <c r="A61" t="s">
        <v>313</v>
      </c>
      <c r="B61" t="s">
        <v>314</v>
      </c>
      <c r="C61" t="s">
        <v>305</v>
      </c>
      <c r="D61" t="s">
        <v>306</v>
      </c>
      <c r="E61">
        <v>3</v>
      </c>
      <c r="F61" t="s">
        <v>209</v>
      </c>
      <c r="G61">
        <v>1.37270462700317E-2</v>
      </c>
      <c r="H61">
        <v>5.2815846320670698E-2</v>
      </c>
      <c r="I61">
        <v>6.6542892590702396E-2</v>
      </c>
      <c r="J61" t="s">
        <v>162</v>
      </c>
      <c r="K61">
        <v>1775204</v>
      </c>
      <c r="L61">
        <v>123809</v>
      </c>
      <c r="M61">
        <v>2045562</v>
      </c>
      <c r="N61">
        <f t="shared" si="0"/>
        <v>107445.40230802097</v>
      </c>
    </row>
    <row r="62" spans="1:14" x14ac:dyDescent="0.25">
      <c r="A62" t="s">
        <v>315</v>
      </c>
      <c r="B62" t="s">
        <v>316</v>
      </c>
      <c r="C62" t="s">
        <v>305</v>
      </c>
      <c r="D62" t="s">
        <v>306</v>
      </c>
      <c r="E62">
        <v>3</v>
      </c>
      <c r="F62" t="s">
        <v>209</v>
      </c>
      <c r="G62">
        <v>8.7655979032731594E-3</v>
      </c>
      <c r="H62">
        <v>3.8771204315285697E-2</v>
      </c>
      <c r="I62">
        <v>4.7536802218558799E-2</v>
      </c>
      <c r="J62" t="s">
        <v>162</v>
      </c>
      <c r="K62">
        <v>3451004</v>
      </c>
      <c r="L62">
        <v>147486</v>
      </c>
      <c r="M62">
        <v>1923144</v>
      </c>
      <c r="N62">
        <f t="shared" si="0"/>
        <v>264657.65223197016</v>
      </c>
    </row>
    <row r="63" spans="1:14" x14ac:dyDescent="0.25">
      <c r="A63" t="s">
        <v>317</v>
      </c>
      <c r="B63" t="s">
        <v>318</v>
      </c>
      <c r="C63" t="s">
        <v>305</v>
      </c>
      <c r="D63" t="s">
        <v>306</v>
      </c>
      <c r="E63">
        <v>3</v>
      </c>
      <c r="F63" t="s">
        <v>209</v>
      </c>
      <c r="G63">
        <v>7.5004336869039399E-3</v>
      </c>
      <c r="H63">
        <v>2.8961889385858999E-2</v>
      </c>
      <c r="I63">
        <v>3.6462323072763002E-2</v>
      </c>
      <c r="J63" t="s">
        <v>162</v>
      </c>
      <c r="K63">
        <v>431298</v>
      </c>
      <c r="L63">
        <v>6518</v>
      </c>
      <c r="M63">
        <v>1034328</v>
      </c>
      <c r="N63">
        <f t="shared" si="0"/>
        <v>2717.9002830823492</v>
      </c>
    </row>
    <row r="64" spans="1:14" x14ac:dyDescent="0.25">
      <c r="A64" t="s">
        <v>319</v>
      </c>
      <c r="B64" t="s">
        <v>320</v>
      </c>
      <c r="C64" t="s">
        <v>305</v>
      </c>
      <c r="D64" t="s">
        <v>306</v>
      </c>
      <c r="E64">
        <v>3</v>
      </c>
      <c r="F64" t="s">
        <v>209</v>
      </c>
      <c r="G64">
        <v>1.6188801758380601E-2</v>
      </c>
      <c r="H64">
        <v>1.04312596138065E-2</v>
      </c>
      <c r="I64">
        <v>2.6620061372187101E-2</v>
      </c>
      <c r="J64" t="s">
        <v>162</v>
      </c>
      <c r="K64">
        <v>4864427</v>
      </c>
      <c r="L64">
        <v>46387</v>
      </c>
      <c r="M64">
        <v>2192697</v>
      </c>
      <c r="N64">
        <f t="shared" si="0"/>
        <v>102908.05124875894</v>
      </c>
    </row>
    <row r="65" spans="1:14" x14ac:dyDescent="0.25">
      <c r="A65" t="s">
        <v>321</v>
      </c>
      <c r="B65" t="s">
        <v>322</v>
      </c>
      <c r="C65" t="s">
        <v>305</v>
      </c>
      <c r="D65" t="s">
        <v>306</v>
      </c>
      <c r="E65">
        <v>2</v>
      </c>
      <c r="F65" t="s">
        <v>179</v>
      </c>
      <c r="G65">
        <v>2.9342043381049201E-3</v>
      </c>
      <c r="H65">
        <v>1.9835182624253999E-2</v>
      </c>
      <c r="I65">
        <v>2.27693869623589E-2</v>
      </c>
      <c r="J65" t="s">
        <v>162</v>
      </c>
      <c r="K65">
        <v>8104943</v>
      </c>
      <c r="L65">
        <v>130569</v>
      </c>
      <c r="M65">
        <v>2427798</v>
      </c>
      <c r="N65">
        <f t="shared" si="0"/>
        <v>435890.58997783175</v>
      </c>
    </row>
    <row r="66" spans="1:14" x14ac:dyDescent="0.25">
      <c r="A66" t="s">
        <v>323</v>
      </c>
      <c r="B66" t="s">
        <v>324</v>
      </c>
      <c r="C66" t="s">
        <v>305</v>
      </c>
      <c r="D66" t="s">
        <v>306</v>
      </c>
      <c r="E66">
        <v>3</v>
      </c>
      <c r="F66" t="s">
        <v>209</v>
      </c>
      <c r="G66">
        <v>3.2375496322091198E-2</v>
      </c>
      <c r="H66">
        <v>4.03402634268114E-2</v>
      </c>
      <c r="I66">
        <v>7.27157597489025E-2</v>
      </c>
      <c r="J66" t="s">
        <v>162</v>
      </c>
      <c r="K66">
        <v>6984034</v>
      </c>
      <c r="L66">
        <v>369791</v>
      </c>
      <c r="M66">
        <v>1517176</v>
      </c>
      <c r="N66">
        <f t="shared" si="0"/>
        <v>1702263.2291138272</v>
      </c>
    </row>
    <row r="67" spans="1:14" x14ac:dyDescent="0.25">
      <c r="A67" t="s">
        <v>325</v>
      </c>
      <c r="B67" t="s">
        <v>326</v>
      </c>
      <c r="C67" t="s">
        <v>305</v>
      </c>
      <c r="D67" t="s">
        <v>306</v>
      </c>
      <c r="E67">
        <v>3</v>
      </c>
      <c r="F67" t="s">
        <v>209</v>
      </c>
      <c r="G67">
        <v>3.7430546681806502E-2</v>
      </c>
      <c r="H67">
        <v>2.5316227699649099E-2</v>
      </c>
      <c r="I67">
        <v>6.2746774381455594E-2</v>
      </c>
      <c r="J67" t="s">
        <v>162</v>
      </c>
      <c r="K67">
        <v>1751976</v>
      </c>
      <c r="L67">
        <v>98393</v>
      </c>
      <c r="M67">
        <v>635183</v>
      </c>
      <c r="N67">
        <f t="shared" ref="N67:N71" si="1">K67*L67/M67</f>
        <v>271389.77990279964</v>
      </c>
    </row>
    <row r="68" spans="1:14" x14ac:dyDescent="0.25">
      <c r="A68" t="s">
        <v>327</v>
      </c>
      <c r="B68" t="s">
        <v>328</v>
      </c>
      <c r="C68" t="s">
        <v>305</v>
      </c>
      <c r="D68" t="s">
        <v>306</v>
      </c>
      <c r="E68">
        <v>3</v>
      </c>
      <c r="F68" t="s">
        <v>209</v>
      </c>
      <c r="G68">
        <v>1.0231516921265499E-2</v>
      </c>
      <c r="H68">
        <v>4.0148235238121298E-2</v>
      </c>
      <c r="I68">
        <v>5.0379752159386802E-2</v>
      </c>
      <c r="J68" t="s">
        <v>162</v>
      </c>
      <c r="K68">
        <v>4224803</v>
      </c>
      <c r="L68">
        <v>143762</v>
      </c>
      <c r="M68">
        <v>666933</v>
      </c>
      <c r="N68">
        <f t="shared" si="1"/>
        <v>910685.37452187855</v>
      </c>
    </row>
    <row r="69" spans="1:14" x14ac:dyDescent="0.25">
      <c r="A69" t="s">
        <v>329</v>
      </c>
      <c r="B69" t="s">
        <v>330</v>
      </c>
      <c r="C69" t="s">
        <v>305</v>
      </c>
      <c r="D69" t="s">
        <v>306</v>
      </c>
      <c r="E69">
        <v>3</v>
      </c>
      <c r="F69" t="s">
        <v>209</v>
      </c>
      <c r="G69">
        <v>2.3598834573120901E-2</v>
      </c>
      <c r="H69">
        <v>6.9446178470511905E-2</v>
      </c>
      <c r="I69">
        <v>9.3045013043632802E-2</v>
      </c>
      <c r="J69" t="s">
        <v>162</v>
      </c>
      <c r="K69">
        <v>1037764</v>
      </c>
      <c r="L69">
        <v>110932</v>
      </c>
      <c r="M69">
        <v>461315</v>
      </c>
      <c r="N69">
        <f t="shared" si="1"/>
        <v>249550.16864398512</v>
      </c>
    </row>
    <row r="70" spans="1:14" x14ac:dyDescent="0.25">
      <c r="A70" t="s">
        <v>331</v>
      </c>
      <c r="B70" t="s">
        <v>332</v>
      </c>
      <c r="C70" t="s">
        <v>305</v>
      </c>
      <c r="D70" t="s">
        <v>306</v>
      </c>
      <c r="E70">
        <v>3</v>
      </c>
      <c r="F70" t="s">
        <v>209</v>
      </c>
      <c r="G70">
        <v>2.1543923276585102E-2</v>
      </c>
      <c r="H70">
        <v>0.24436780585349599</v>
      </c>
      <c r="I70">
        <v>0.26591172913008099</v>
      </c>
      <c r="J70" t="s">
        <v>164</v>
      </c>
      <c r="K70">
        <v>2750042</v>
      </c>
      <c r="L70">
        <v>926953</v>
      </c>
      <c r="M70">
        <v>1291231</v>
      </c>
      <c r="N70">
        <f t="shared" si="1"/>
        <v>1974208.8611766601</v>
      </c>
    </row>
    <row r="71" spans="1:14" x14ac:dyDescent="0.25">
      <c r="A71" t="s">
        <v>333</v>
      </c>
      <c r="B71" t="s">
        <v>334</v>
      </c>
      <c r="C71" t="s">
        <v>305</v>
      </c>
      <c r="D71" t="s">
        <v>306</v>
      </c>
      <c r="E71">
        <v>3</v>
      </c>
      <c r="F71" t="s">
        <v>209</v>
      </c>
      <c r="G71">
        <v>8.2845941117346694E-2</v>
      </c>
      <c r="H71">
        <v>6.7276613659828302E-2</v>
      </c>
      <c r="I71">
        <v>0.15012255477717501</v>
      </c>
      <c r="J71" t="s">
        <v>161</v>
      </c>
      <c r="K71">
        <v>1618521</v>
      </c>
      <c r="L71">
        <v>290936</v>
      </c>
      <c r="M71">
        <v>1149137</v>
      </c>
      <c r="N71">
        <f t="shared" si="1"/>
        <v>409773.61764176073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multiplicadores 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Vargas</dc:creator>
  <cp:lastModifiedBy>Renato Vargas</cp:lastModifiedBy>
  <dcterms:created xsi:type="dcterms:W3CDTF">2024-11-17T12:10:22Z</dcterms:created>
  <dcterms:modified xsi:type="dcterms:W3CDTF">2024-11-26T19:38:58Z</dcterms:modified>
</cp:coreProperties>
</file>