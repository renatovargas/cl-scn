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amondaini\Desktop\Unidad de Desarrollo Agrícola\Cuenta satelite Bioeconomía\datos\CHL\"/>
    </mc:Choice>
  </mc:AlternateContent>
  <xr:revisionPtr revIDLastSave="0" documentId="13_ncr:1_{79A21E15-8777-442E-AB66-2DF7B56DE53C}" xr6:coauthVersionLast="47" xr6:coauthVersionMax="47" xr10:uidLastSave="{00000000-0000-0000-0000-000000000000}"/>
  <bookViews>
    <workbookView xWindow="28680" yWindow="-5190" windowWidth="29040" windowHeight="15840" xr2:uid="{00000000-000D-0000-FFFF-FFFF00000000}"/>
  </bookViews>
  <sheets>
    <sheet name="columnas" sheetId="1" r:id="rId1"/>
    <sheet name="Correl CIIU" sheetId="5" r:id="rId2"/>
    <sheet name="transacciones " sheetId="6" r:id="rId3"/>
    <sheet name="bio" sheetId="7" r:id="rId4"/>
    <sheet name="at_columnas" sheetId="3" r:id="rId5"/>
    <sheet name="filas" sheetId="2" r:id="rId6"/>
    <sheet name="AT_FILAS" sheetId="4" r:id="rId7"/>
  </sheets>
  <externalReferences>
    <externalReference r:id="rId8"/>
  </externalReferences>
  <definedNames>
    <definedName name="_xlnm._FilterDatabase" localSheetId="0" hidden="1">columnas!$B$1:$P$272</definedName>
    <definedName name="_xlnm._FilterDatabase" localSheetId="5" hidden="1">filas!$B$1:$H$145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4" i="2" l="1"/>
  <c r="C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C3" i="2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4" i="2"/>
  <c r="D164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G356" i="1"/>
  <c r="F356" i="1"/>
  <c r="E356" i="1"/>
  <c r="D356" i="1"/>
  <c r="C356" i="1"/>
  <c r="G355" i="1"/>
  <c r="F355" i="1"/>
  <c r="E355" i="1"/>
  <c r="D355" i="1"/>
  <c r="C355" i="1"/>
  <c r="G354" i="1"/>
  <c r="F354" i="1"/>
  <c r="E354" i="1"/>
  <c r="D354" i="1"/>
  <c r="C354" i="1"/>
  <c r="G353" i="1"/>
  <c r="F353" i="1"/>
  <c r="E353" i="1"/>
  <c r="D353" i="1"/>
  <c r="C353" i="1"/>
  <c r="G352" i="1"/>
  <c r="F352" i="1"/>
  <c r="E352" i="1"/>
  <c r="D352" i="1"/>
  <c r="C352" i="1"/>
  <c r="G351" i="1"/>
  <c r="F351" i="1"/>
  <c r="E351" i="1"/>
  <c r="D351" i="1"/>
  <c r="C351" i="1"/>
  <c r="G350" i="1"/>
  <c r="F350" i="1"/>
  <c r="E350" i="1"/>
  <c r="D350" i="1"/>
  <c r="C350" i="1"/>
  <c r="G349" i="1"/>
  <c r="F349" i="1"/>
  <c r="E349" i="1"/>
  <c r="D349" i="1"/>
  <c r="C349" i="1"/>
  <c r="G348" i="1"/>
  <c r="F348" i="1"/>
  <c r="E348" i="1"/>
  <c r="D348" i="1"/>
  <c r="C348" i="1"/>
  <c r="G347" i="1"/>
  <c r="F347" i="1"/>
  <c r="E347" i="1"/>
  <c r="D347" i="1"/>
  <c r="C347" i="1"/>
  <c r="G346" i="1"/>
  <c r="F346" i="1"/>
  <c r="E346" i="1"/>
  <c r="D346" i="1"/>
  <c r="C346" i="1"/>
  <c r="G345" i="1"/>
  <c r="F345" i="1"/>
  <c r="E345" i="1"/>
  <c r="D345" i="1"/>
  <c r="C345" i="1"/>
  <c r="G344" i="1"/>
  <c r="F344" i="1"/>
  <c r="E344" i="1"/>
  <c r="D344" i="1"/>
  <c r="C344" i="1"/>
  <c r="G343" i="1"/>
  <c r="F343" i="1"/>
  <c r="E343" i="1"/>
  <c r="D343" i="1"/>
  <c r="C343" i="1"/>
  <c r="G342" i="1"/>
  <c r="F342" i="1"/>
  <c r="E342" i="1"/>
  <c r="D342" i="1"/>
  <c r="C342" i="1"/>
  <c r="G341" i="1"/>
  <c r="F341" i="1"/>
  <c r="E341" i="1"/>
  <c r="D341" i="1"/>
  <c r="C341" i="1"/>
  <c r="G340" i="1"/>
  <c r="F340" i="1"/>
  <c r="E340" i="1"/>
  <c r="D340" i="1"/>
  <c r="C340" i="1"/>
  <c r="G339" i="1"/>
  <c r="F339" i="1"/>
  <c r="E339" i="1"/>
  <c r="D339" i="1"/>
  <c r="C339" i="1"/>
  <c r="G338" i="1"/>
  <c r="F338" i="1"/>
  <c r="E338" i="1"/>
  <c r="D338" i="1"/>
  <c r="C338" i="1"/>
  <c r="G337" i="1"/>
  <c r="F337" i="1"/>
  <c r="E337" i="1"/>
  <c r="D337" i="1"/>
  <c r="C337" i="1"/>
  <c r="G336" i="1"/>
  <c r="F336" i="1"/>
  <c r="E336" i="1"/>
  <c r="D336" i="1"/>
  <c r="C336" i="1"/>
  <c r="G335" i="1"/>
  <c r="F335" i="1"/>
  <c r="E335" i="1"/>
  <c r="D335" i="1"/>
  <c r="C335" i="1"/>
  <c r="G334" i="1"/>
  <c r="F334" i="1"/>
  <c r="E334" i="1"/>
  <c r="D334" i="1"/>
  <c r="C334" i="1"/>
  <c r="G333" i="1"/>
  <c r="F333" i="1"/>
  <c r="E333" i="1"/>
  <c r="D333" i="1"/>
  <c r="C333" i="1"/>
  <c r="G332" i="1"/>
  <c r="F332" i="1"/>
  <c r="E332" i="1"/>
  <c r="D332" i="1"/>
  <c r="C332" i="1"/>
  <c r="G331" i="1"/>
  <c r="F331" i="1"/>
  <c r="E331" i="1"/>
  <c r="D331" i="1"/>
  <c r="C331" i="1"/>
  <c r="G330" i="1"/>
  <c r="F330" i="1"/>
  <c r="E330" i="1"/>
  <c r="D330" i="1"/>
  <c r="C330" i="1"/>
  <c r="G329" i="1"/>
  <c r="F329" i="1"/>
  <c r="E329" i="1"/>
  <c r="D329" i="1"/>
  <c r="C329" i="1"/>
  <c r="G328" i="1"/>
  <c r="F328" i="1"/>
  <c r="E328" i="1"/>
  <c r="D328" i="1"/>
  <c r="C328" i="1"/>
  <c r="G327" i="1"/>
  <c r="F327" i="1"/>
  <c r="E327" i="1"/>
  <c r="D327" i="1"/>
  <c r="C327" i="1"/>
  <c r="G326" i="1"/>
  <c r="F326" i="1"/>
  <c r="E326" i="1"/>
  <c r="D326" i="1"/>
  <c r="C326" i="1"/>
  <c r="G325" i="1"/>
  <c r="F325" i="1"/>
  <c r="E325" i="1"/>
  <c r="D325" i="1"/>
  <c r="C325" i="1"/>
  <c r="G324" i="1"/>
  <c r="F324" i="1"/>
  <c r="E324" i="1"/>
  <c r="D324" i="1"/>
  <c r="C324" i="1"/>
  <c r="G323" i="1"/>
  <c r="F323" i="1"/>
  <c r="E323" i="1"/>
  <c r="D323" i="1"/>
  <c r="C323" i="1"/>
  <c r="G322" i="1"/>
  <c r="F322" i="1"/>
  <c r="E322" i="1"/>
  <c r="D322" i="1"/>
  <c r="C322" i="1"/>
  <c r="G321" i="1"/>
  <c r="F321" i="1"/>
  <c r="E321" i="1"/>
  <c r="D321" i="1"/>
  <c r="C321" i="1"/>
  <c r="G320" i="1"/>
  <c r="F320" i="1"/>
  <c r="E320" i="1"/>
  <c r="D320" i="1"/>
  <c r="C320" i="1"/>
  <c r="G319" i="1"/>
  <c r="F319" i="1"/>
  <c r="E319" i="1"/>
  <c r="D319" i="1"/>
  <c r="C319" i="1"/>
  <c r="G318" i="1"/>
  <c r="F318" i="1"/>
  <c r="E318" i="1"/>
  <c r="D318" i="1"/>
  <c r="C318" i="1"/>
  <c r="G317" i="1"/>
  <c r="F317" i="1"/>
  <c r="E317" i="1"/>
  <c r="D317" i="1"/>
  <c r="C317" i="1"/>
  <c r="G316" i="1"/>
  <c r="F316" i="1"/>
  <c r="E316" i="1"/>
  <c r="D316" i="1"/>
  <c r="C316" i="1"/>
  <c r="G315" i="1"/>
  <c r="F315" i="1"/>
  <c r="E315" i="1"/>
  <c r="D315" i="1"/>
  <c r="C315" i="1"/>
  <c r="G314" i="1"/>
  <c r="F314" i="1"/>
  <c r="E314" i="1"/>
  <c r="D314" i="1"/>
  <c r="C314" i="1"/>
  <c r="G313" i="1"/>
  <c r="F313" i="1"/>
  <c r="E313" i="1"/>
  <c r="D313" i="1"/>
  <c r="C313" i="1"/>
  <c r="G312" i="1"/>
  <c r="F312" i="1"/>
  <c r="E312" i="1"/>
  <c r="D312" i="1"/>
  <c r="C312" i="1"/>
  <c r="G311" i="1"/>
  <c r="F311" i="1"/>
  <c r="E311" i="1"/>
  <c r="D311" i="1"/>
  <c r="C311" i="1"/>
  <c r="G310" i="1"/>
  <c r="F310" i="1"/>
  <c r="E310" i="1"/>
  <c r="D310" i="1"/>
  <c r="C310" i="1"/>
  <c r="G309" i="1"/>
  <c r="F309" i="1"/>
  <c r="E309" i="1"/>
  <c r="D309" i="1"/>
  <c r="C309" i="1"/>
  <c r="G308" i="1"/>
  <c r="F308" i="1"/>
  <c r="E308" i="1"/>
  <c r="D308" i="1"/>
  <c r="C308" i="1"/>
  <c r="G307" i="1"/>
  <c r="F307" i="1"/>
  <c r="E307" i="1"/>
  <c r="D307" i="1"/>
  <c r="C307" i="1"/>
  <c r="G306" i="1"/>
  <c r="F306" i="1"/>
  <c r="E306" i="1"/>
  <c r="D306" i="1"/>
  <c r="C306" i="1"/>
  <c r="G305" i="1"/>
  <c r="F305" i="1"/>
  <c r="E305" i="1"/>
  <c r="D305" i="1"/>
  <c r="C305" i="1"/>
  <c r="G304" i="1"/>
  <c r="F304" i="1"/>
  <c r="E304" i="1"/>
  <c r="D304" i="1"/>
  <c r="C304" i="1"/>
  <c r="G303" i="1"/>
  <c r="F303" i="1"/>
  <c r="E303" i="1"/>
  <c r="D303" i="1"/>
  <c r="C303" i="1"/>
  <c r="G302" i="1"/>
  <c r="F302" i="1"/>
  <c r="E302" i="1"/>
  <c r="D302" i="1"/>
  <c r="C302" i="1"/>
  <c r="G301" i="1"/>
  <c r="F301" i="1"/>
  <c r="E301" i="1"/>
  <c r="D301" i="1"/>
  <c r="C301" i="1"/>
  <c r="G300" i="1"/>
  <c r="F300" i="1"/>
  <c r="E300" i="1"/>
  <c r="D300" i="1"/>
  <c r="C300" i="1"/>
  <c r="G299" i="1"/>
  <c r="F299" i="1"/>
  <c r="E299" i="1"/>
  <c r="D299" i="1"/>
  <c r="C299" i="1"/>
  <c r="G298" i="1"/>
  <c r="F298" i="1"/>
  <c r="E298" i="1"/>
  <c r="D298" i="1"/>
  <c r="C298" i="1"/>
  <c r="G297" i="1"/>
  <c r="F297" i="1"/>
  <c r="E297" i="1"/>
  <c r="D297" i="1"/>
  <c r="C297" i="1"/>
  <c r="G296" i="1"/>
  <c r="F296" i="1"/>
  <c r="E296" i="1"/>
  <c r="D296" i="1"/>
  <c r="C296" i="1"/>
  <c r="G295" i="1"/>
  <c r="F295" i="1"/>
  <c r="E295" i="1"/>
  <c r="D295" i="1"/>
  <c r="C295" i="1"/>
  <c r="G294" i="1"/>
  <c r="F294" i="1"/>
  <c r="E294" i="1"/>
  <c r="D294" i="1"/>
  <c r="C294" i="1"/>
  <c r="G293" i="1"/>
  <c r="F293" i="1"/>
  <c r="E293" i="1"/>
  <c r="D293" i="1"/>
  <c r="C293" i="1"/>
  <c r="G292" i="1"/>
  <c r="F292" i="1"/>
  <c r="E292" i="1"/>
  <c r="D292" i="1"/>
  <c r="C292" i="1"/>
  <c r="G291" i="1"/>
  <c r="F291" i="1"/>
  <c r="E291" i="1"/>
  <c r="D291" i="1"/>
  <c r="C291" i="1"/>
  <c r="G290" i="1"/>
  <c r="F290" i="1"/>
  <c r="E290" i="1"/>
  <c r="D290" i="1"/>
  <c r="C290" i="1"/>
  <c r="G289" i="1"/>
  <c r="F289" i="1"/>
  <c r="E289" i="1"/>
  <c r="D289" i="1"/>
  <c r="C289" i="1"/>
  <c r="G288" i="1"/>
  <c r="F288" i="1"/>
  <c r="E288" i="1"/>
  <c r="D288" i="1"/>
  <c r="C288" i="1"/>
  <c r="G287" i="1"/>
  <c r="F287" i="1"/>
  <c r="E287" i="1"/>
  <c r="D287" i="1"/>
  <c r="C287" i="1"/>
  <c r="G286" i="1"/>
  <c r="F286" i="1"/>
  <c r="E286" i="1"/>
  <c r="D286" i="1"/>
  <c r="C286" i="1"/>
  <c r="G285" i="1"/>
  <c r="F285" i="1"/>
  <c r="E285" i="1"/>
  <c r="D285" i="1"/>
  <c r="C285" i="1"/>
  <c r="G284" i="1"/>
  <c r="F284" i="1"/>
  <c r="E284" i="1"/>
  <c r="D284" i="1"/>
  <c r="C284" i="1"/>
  <c r="G283" i="1"/>
  <c r="F283" i="1"/>
  <c r="E283" i="1"/>
  <c r="D283" i="1"/>
  <c r="C283" i="1"/>
  <c r="G282" i="1"/>
  <c r="F282" i="1"/>
  <c r="E282" i="1"/>
  <c r="D282" i="1"/>
  <c r="C282" i="1"/>
  <c r="G281" i="1"/>
  <c r="F281" i="1"/>
  <c r="E281" i="1"/>
  <c r="D281" i="1"/>
  <c r="C281" i="1"/>
  <c r="G280" i="1"/>
  <c r="F280" i="1"/>
  <c r="E280" i="1"/>
  <c r="D280" i="1"/>
  <c r="C280" i="1"/>
  <c r="G279" i="1"/>
  <c r="F279" i="1"/>
  <c r="E279" i="1"/>
  <c r="D279" i="1"/>
  <c r="C279" i="1"/>
  <c r="G278" i="1"/>
  <c r="F278" i="1"/>
  <c r="E278" i="1"/>
  <c r="D278" i="1"/>
  <c r="C278" i="1"/>
  <c r="G277" i="1"/>
  <c r="F277" i="1"/>
  <c r="E277" i="1"/>
  <c r="D277" i="1"/>
  <c r="C277" i="1"/>
  <c r="G276" i="1"/>
  <c r="F276" i="1"/>
  <c r="E276" i="1"/>
  <c r="D276" i="1"/>
  <c r="C276" i="1"/>
  <c r="G275" i="1"/>
  <c r="F275" i="1"/>
  <c r="E275" i="1"/>
  <c r="D275" i="1"/>
  <c r="C275" i="1"/>
  <c r="G274" i="1"/>
  <c r="F274" i="1"/>
  <c r="E274" i="1"/>
  <c r="D274" i="1"/>
  <c r="C274" i="1"/>
  <c r="G273" i="1"/>
  <c r="F273" i="1"/>
  <c r="E273" i="1"/>
  <c r="D273" i="1"/>
  <c r="C273" i="1"/>
  <c r="G272" i="1"/>
  <c r="F272" i="1"/>
  <c r="E272" i="1"/>
  <c r="D272" i="1"/>
  <c r="C272" i="1"/>
  <c r="G271" i="1"/>
  <c r="F271" i="1"/>
  <c r="E271" i="1"/>
  <c r="D271" i="1"/>
  <c r="C271" i="1"/>
  <c r="G270" i="1"/>
  <c r="F270" i="1"/>
  <c r="E270" i="1"/>
  <c r="D270" i="1"/>
  <c r="C270" i="1"/>
  <c r="G269" i="1"/>
  <c r="F269" i="1"/>
  <c r="E269" i="1"/>
  <c r="D269" i="1"/>
  <c r="C269" i="1"/>
  <c r="G268" i="1"/>
  <c r="F268" i="1"/>
  <c r="E268" i="1"/>
  <c r="D268" i="1"/>
  <c r="C268" i="1"/>
  <c r="G267" i="1"/>
  <c r="F267" i="1"/>
  <c r="E267" i="1"/>
  <c r="D267" i="1"/>
  <c r="C267" i="1"/>
  <c r="G266" i="1"/>
  <c r="F266" i="1"/>
  <c r="E266" i="1"/>
  <c r="D266" i="1"/>
  <c r="C266" i="1"/>
  <c r="G265" i="1"/>
  <c r="F265" i="1"/>
  <c r="E265" i="1"/>
  <c r="D265" i="1"/>
  <c r="C265" i="1"/>
  <c r="G264" i="1"/>
  <c r="F264" i="1"/>
  <c r="E264" i="1"/>
  <c r="D264" i="1"/>
  <c r="C264" i="1"/>
  <c r="G263" i="1"/>
  <c r="F263" i="1"/>
  <c r="E263" i="1"/>
  <c r="D263" i="1"/>
  <c r="C263" i="1"/>
  <c r="G262" i="1"/>
  <c r="F262" i="1"/>
  <c r="E262" i="1"/>
  <c r="D262" i="1"/>
  <c r="C262" i="1"/>
  <c r="G261" i="1"/>
  <c r="F261" i="1"/>
  <c r="E261" i="1"/>
  <c r="D261" i="1"/>
  <c r="C261" i="1"/>
  <c r="G260" i="1"/>
  <c r="F260" i="1"/>
  <c r="E260" i="1"/>
  <c r="D260" i="1"/>
  <c r="C260" i="1"/>
  <c r="G259" i="1"/>
  <c r="F259" i="1"/>
  <c r="E259" i="1"/>
  <c r="D259" i="1"/>
  <c r="C259" i="1"/>
  <c r="G258" i="1"/>
  <c r="F258" i="1"/>
  <c r="E258" i="1"/>
  <c r="D258" i="1"/>
  <c r="C258" i="1"/>
  <c r="G257" i="1"/>
  <c r="F257" i="1"/>
  <c r="E257" i="1"/>
  <c r="D257" i="1"/>
  <c r="C257" i="1"/>
  <c r="G256" i="1"/>
  <c r="F256" i="1"/>
  <c r="E256" i="1"/>
  <c r="D256" i="1"/>
  <c r="C256" i="1"/>
  <c r="G255" i="1"/>
  <c r="F255" i="1"/>
  <c r="E255" i="1"/>
  <c r="D255" i="1"/>
  <c r="C255" i="1"/>
  <c r="G254" i="1"/>
  <c r="F254" i="1"/>
  <c r="E254" i="1"/>
  <c r="D254" i="1"/>
  <c r="C254" i="1"/>
  <c r="G253" i="1"/>
  <c r="F253" i="1"/>
  <c r="E253" i="1"/>
  <c r="D253" i="1"/>
  <c r="C253" i="1"/>
  <c r="G252" i="1"/>
  <c r="F252" i="1"/>
  <c r="E252" i="1"/>
  <c r="D252" i="1"/>
  <c r="C252" i="1"/>
  <c r="G251" i="1"/>
  <c r="F251" i="1"/>
  <c r="E251" i="1"/>
  <c r="D251" i="1"/>
  <c r="C251" i="1"/>
  <c r="G250" i="1"/>
  <c r="F250" i="1"/>
  <c r="E250" i="1"/>
  <c r="D250" i="1"/>
  <c r="C250" i="1"/>
  <c r="G249" i="1"/>
  <c r="F249" i="1"/>
  <c r="E249" i="1"/>
  <c r="D249" i="1"/>
  <c r="C249" i="1"/>
  <c r="G248" i="1"/>
  <c r="F248" i="1"/>
  <c r="E248" i="1"/>
  <c r="D248" i="1"/>
  <c r="C248" i="1"/>
  <c r="G247" i="1"/>
  <c r="F247" i="1"/>
  <c r="E247" i="1"/>
  <c r="D247" i="1"/>
  <c r="C247" i="1"/>
  <c r="G246" i="1"/>
  <c r="F246" i="1"/>
  <c r="E246" i="1"/>
  <c r="D246" i="1"/>
  <c r="C246" i="1"/>
  <c r="H243" i="1"/>
  <c r="G243" i="1"/>
  <c r="F243" i="1"/>
  <c r="E243" i="1"/>
  <c r="D243" i="1"/>
  <c r="C243" i="1"/>
  <c r="H242" i="1"/>
  <c r="G242" i="1"/>
  <c r="F242" i="1"/>
  <c r="E242" i="1"/>
  <c r="D242" i="1"/>
  <c r="C242" i="1"/>
  <c r="H241" i="1"/>
  <c r="G241" i="1"/>
  <c r="F241" i="1"/>
  <c r="E241" i="1"/>
  <c r="D241" i="1"/>
  <c r="C241" i="1"/>
  <c r="H240" i="1"/>
  <c r="G240" i="1"/>
  <c r="F240" i="1"/>
  <c r="E240" i="1"/>
  <c r="D240" i="1"/>
  <c r="C240" i="1"/>
  <c r="H239" i="1"/>
  <c r="G239" i="1"/>
  <c r="F239" i="1"/>
  <c r="E239" i="1"/>
  <c r="D239" i="1"/>
  <c r="C239" i="1"/>
  <c r="H238" i="1"/>
  <c r="G238" i="1"/>
  <c r="F238" i="1"/>
  <c r="E238" i="1"/>
  <c r="D238" i="1"/>
  <c r="C238" i="1"/>
  <c r="H234" i="1"/>
  <c r="G234" i="1"/>
  <c r="F234" i="1"/>
  <c r="E234" i="1"/>
  <c r="D234" i="1"/>
  <c r="C234" i="1"/>
  <c r="H233" i="1"/>
  <c r="G233" i="1"/>
  <c r="F233" i="1"/>
  <c r="E233" i="1"/>
  <c r="D233" i="1"/>
  <c r="C233" i="1"/>
  <c r="H232" i="1"/>
  <c r="G232" i="1"/>
  <c r="F232" i="1"/>
  <c r="E232" i="1"/>
  <c r="D232" i="1"/>
  <c r="C232" i="1"/>
  <c r="H231" i="1"/>
  <c r="G231" i="1"/>
  <c r="F231" i="1"/>
  <c r="E231" i="1"/>
  <c r="D231" i="1"/>
  <c r="C231" i="1"/>
  <c r="H230" i="1"/>
  <c r="G230" i="1"/>
  <c r="F230" i="1"/>
  <c r="E230" i="1"/>
  <c r="D230" i="1"/>
  <c r="C230" i="1"/>
  <c r="H229" i="1"/>
  <c r="G229" i="1"/>
  <c r="F229" i="1"/>
  <c r="E229" i="1"/>
  <c r="D229" i="1"/>
  <c r="C229" i="1"/>
  <c r="H228" i="1"/>
  <c r="G228" i="1"/>
  <c r="F228" i="1"/>
  <c r="E228" i="1"/>
  <c r="D228" i="1"/>
  <c r="C228" i="1"/>
  <c r="H227" i="1"/>
  <c r="G227" i="1"/>
  <c r="F227" i="1"/>
  <c r="E227" i="1"/>
  <c r="D227" i="1"/>
  <c r="C227" i="1"/>
  <c r="H226" i="1"/>
  <c r="G226" i="1"/>
  <c r="F226" i="1"/>
  <c r="E226" i="1"/>
  <c r="D226" i="1"/>
  <c r="C226" i="1"/>
  <c r="H225" i="1"/>
  <c r="G225" i="1"/>
  <c r="F225" i="1"/>
  <c r="E225" i="1"/>
  <c r="D225" i="1"/>
  <c r="C225" i="1"/>
  <c r="H224" i="1"/>
  <c r="G224" i="1"/>
  <c r="F224" i="1"/>
  <c r="E224" i="1"/>
  <c r="D224" i="1"/>
  <c r="C224" i="1"/>
  <c r="H223" i="1"/>
  <c r="G223" i="1"/>
  <c r="F223" i="1"/>
  <c r="E223" i="1"/>
  <c r="D223" i="1"/>
  <c r="C223" i="1"/>
  <c r="H222" i="1"/>
  <c r="G222" i="1"/>
  <c r="F222" i="1"/>
  <c r="E222" i="1"/>
  <c r="D222" i="1"/>
  <c r="C222" i="1"/>
  <c r="H221" i="1"/>
  <c r="G221" i="1"/>
  <c r="F221" i="1"/>
  <c r="E221" i="1"/>
  <c r="D221" i="1"/>
  <c r="C221" i="1"/>
  <c r="H220" i="1"/>
  <c r="G220" i="1"/>
  <c r="F220" i="1"/>
  <c r="E220" i="1"/>
  <c r="D220" i="1"/>
  <c r="C220" i="1"/>
  <c r="H219" i="1"/>
  <c r="G219" i="1"/>
  <c r="F219" i="1"/>
  <c r="E219" i="1"/>
  <c r="D219" i="1"/>
  <c r="C219" i="1"/>
  <c r="H218" i="1"/>
  <c r="G218" i="1"/>
  <c r="F218" i="1"/>
  <c r="E218" i="1"/>
  <c r="D218" i="1"/>
  <c r="C218" i="1"/>
  <c r="H217" i="1"/>
  <c r="G217" i="1"/>
  <c r="F217" i="1"/>
  <c r="E217" i="1"/>
  <c r="D217" i="1"/>
  <c r="C217" i="1"/>
  <c r="H216" i="1"/>
  <c r="G216" i="1"/>
  <c r="F216" i="1"/>
  <c r="E216" i="1"/>
  <c r="D216" i="1"/>
  <c r="C216" i="1"/>
  <c r="H215" i="1"/>
  <c r="G215" i="1"/>
  <c r="F215" i="1"/>
  <c r="E215" i="1"/>
  <c r="D215" i="1"/>
  <c r="C215" i="1"/>
  <c r="H214" i="1"/>
  <c r="G214" i="1"/>
  <c r="F214" i="1"/>
  <c r="E214" i="1"/>
  <c r="D214" i="1"/>
  <c r="C214" i="1"/>
  <c r="H213" i="1"/>
  <c r="G213" i="1"/>
  <c r="F213" i="1"/>
  <c r="E213" i="1"/>
  <c r="D213" i="1"/>
  <c r="C213" i="1"/>
  <c r="H212" i="1"/>
  <c r="G212" i="1"/>
  <c r="F212" i="1"/>
  <c r="E212" i="1"/>
  <c r="D212" i="1"/>
  <c r="C212" i="1"/>
  <c r="H211" i="1"/>
  <c r="G211" i="1"/>
  <c r="F211" i="1"/>
  <c r="E211" i="1"/>
  <c r="D211" i="1"/>
  <c r="C211" i="1"/>
  <c r="H210" i="1"/>
  <c r="G210" i="1"/>
  <c r="F210" i="1"/>
  <c r="E210" i="1"/>
  <c r="D210" i="1"/>
  <c r="C210" i="1"/>
  <c r="H209" i="1"/>
  <c r="G209" i="1"/>
  <c r="F209" i="1"/>
  <c r="E209" i="1"/>
  <c r="D209" i="1"/>
  <c r="C209" i="1"/>
  <c r="H208" i="1"/>
  <c r="G208" i="1"/>
  <c r="F208" i="1"/>
  <c r="E208" i="1"/>
  <c r="D208" i="1"/>
  <c r="C208" i="1"/>
  <c r="H207" i="1"/>
  <c r="G207" i="1"/>
  <c r="F207" i="1"/>
  <c r="E207" i="1"/>
  <c r="D207" i="1"/>
  <c r="C207" i="1"/>
  <c r="H206" i="1"/>
  <c r="G206" i="1"/>
  <c r="F206" i="1"/>
  <c r="E206" i="1"/>
  <c r="D206" i="1"/>
  <c r="C206" i="1"/>
  <c r="H205" i="1"/>
  <c r="G205" i="1"/>
  <c r="F205" i="1"/>
  <c r="E205" i="1"/>
  <c r="D205" i="1"/>
  <c r="C205" i="1"/>
  <c r="H204" i="1"/>
  <c r="G204" i="1"/>
  <c r="F204" i="1"/>
  <c r="E204" i="1"/>
  <c r="D204" i="1"/>
  <c r="C204" i="1"/>
  <c r="H203" i="1"/>
  <c r="G203" i="1"/>
  <c r="F203" i="1"/>
  <c r="E203" i="1"/>
  <c r="D203" i="1"/>
  <c r="C203" i="1"/>
  <c r="H202" i="1"/>
  <c r="G202" i="1"/>
  <c r="F202" i="1"/>
  <c r="E202" i="1"/>
  <c r="D202" i="1"/>
  <c r="C202" i="1"/>
  <c r="H201" i="1"/>
  <c r="G201" i="1"/>
  <c r="F201" i="1"/>
  <c r="E201" i="1"/>
  <c r="D201" i="1"/>
  <c r="C201" i="1"/>
  <c r="H200" i="1"/>
  <c r="G200" i="1"/>
  <c r="F200" i="1"/>
  <c r="E200" i="1"/>
  <c r="D200" i="1"/>
  <c r="C200" i="1"/>
  <c r="H199" i="1"/>
  <c r="G199" i="1"/>
  <c r="F199" i="1"/>
  <c r="E199" i="1"/>
  <c r="D199" i="1"/>
  <c r="C199" i="1"/>
  <c r="H198" i="1"/>
  <c r="G198" i="1"/>
  <c r="F198" i="1"/>
  <c r="E198" i="1"/>
  <c r="D198" i="1"/>
  <c r="C198" i="1"/>
  <c r="H197" i="1"/>
  <c r="G197" i="1"/>
  <c r="F197" i="1"/>
  <c r="E197" i="1"/>
  <c r="D197" i="1"/>
  <c r="C197" i="1"/>
  <c r="H196" i="1"/>
  <c r="G196" i="1"/>
  <c r="F196" i="1"/>
  <c r="E196" i="1"/>
  <c r="D196" i="1"/>
  <c r="C196" i="1"/>
  <c r="H195" i="1"/>
  <c r="G195" i="1"/>
  <c r="F195" i="1"/>
  <c r="E195" i="1"/>
  <c r="D195" i="1"/>
  <c r="C195" i="1"/>
  <c r="H194" i="1"/>
  <c r="G194" i="1"/>
  <c r="F194" i="1"/>
  <c r="E194" i="1"/>
  <c r="D194" i="1"/>
  <c r="C194" i="1"/>
  <c r="H193" i="1"/>
  <c r="G193" i="1"/>
  <c r="F193" i="1"/>
  <c r="E193" i="1"/>
  <c r="D193" i="1"/>
  <c r="C193" i="1"/>
  <c r="H192" i="1"/>
  <c r="G192" i="1"/>
  <c r="F192" i="1"/>
  <c r="E192" i="1"/>
  <c r="D192" i="1"/>
  <c r="C192" i="1"/>
  <c r="H191" i="1"/>
  <c r="G191" i="1"/>
  <c r="F191" i="1"/>
  <c r="E191" i="1"/>
  <c r="D191" i="1"/>
  <c r="C191" i="1"/>
  <c r="H190" i="1"/>
  <c r="G190" i="1"/>
  <c r="F190" i="1"/>
  <c r="E190" i="1"/>
  <c r="D190" i="1"/>
  <c r="C190" i="1"/>
  <c r="H189" i="1"/>
  <c r="G189" i="1"/>
  <c r="F189" i="1"/>
  <c r="E189" i="1"/>
  <c r="D189" i="1"/>
  <c r="C189" i="1"/>
  <c r="H188" i="1"/>
  <c r="G188" i="1"/>
  <c r="F188" i="1"/>
  <c r="E188" i="1"/>
  <c r="D188" i="1"/>
  <c r="C188" i="1"/>
  <c r="H187" i="1"/>
  <c r="G187" i="1"/>
  <c r="F187" i="1"/>
  <c r="E187" i="1"/>
  <c r="D187" i="1"/>
  <c r="C187" i="1"/>
  <c r="H186" i="1"/>
  <c r="G186" i="1"/>
  <c r="F186" i="1"/>
  <c r="E186" i="1"/>
  <c r="D186" i="1"/>
  <c r="C186" i="1"/>
  <c r="H185" i="1"/>
  <c r="G185" i="1"/>
  <c r="F185" i="1"/>
  <c r="E185" i="1"/>
  <c r="D185" i="1"/>
  <c r="C185" i="1"/>
  <c r="H184" i="1"/>
  <c r="G184" i="1"/>
  <c r="F184" i="1"/>
  <c r="E184" i="1"/>
  <c r="D184" i="1"/>
  <c r="C184" i="1"/>
  <c r="H183" i="1"/>
  <c r="G183" i="1"/>
  <c r="F183" i="1"/>
  <c r="E183" i="1"/>
  <c r="D183" i="1"/>
  <c r="C183" i="1"/>
  <c r="H182" i="1"/>
  <c r="G182" i="1"/>
  <c r="F182" i="1"/>
  <c r="E182" i="1"/>
  <c r="D182" i="1"/>
  <c r="C182" i="1"/>
  <c r="H181" i="1"/>
  <c r="G181" i="1"/>
  <c r="F181" i="1"/>
  <c r="E181" i="1"/>
  <c r="D181" i="1"/>
  <c r="C181" i="1"/>
  <c r="H180" i="1"/>
  <c r="G180" i="1"/>
  <c r="F180" i="1"/>
  <c r="E180" i="1"/>
  <c r="D180" i="1"/>
  <c r="C180" i="1"/>
  <c r="H179" i="1"/>
  <c r="G179" i="1"/>
  <c r="F179" i="1"/>
  <c r="E179" i="1"/>
  <c r="D179" i="1"/>
  <c r="C179" i="1"/>
  <c r="H178" i="1"/>
  <c r="G178" i="1"/>
  <c r="F178" i="1"/>
  <c r="E178" i="1"/>
  <c r="D178" i="1"/>
  <c r="C178" i="1"/>
  <c r="H177" i="1"/>
  <c r="G177" i="1"/>
  <c r="F177" i="1"/>
  <c r="E177" i="1"/>
  <c r="D177" i="1"/>
  <c r="C177" i="1"/>
  <c r="H176" i="1"/>
  <c r="G176" i="1"/>
  <c r="F176" i="1"/>
  <c r="E176" i="1"/>
  <c r="D176" i="1"/>
  <c r="C176" i="1"/>
  <c r="H175" i="1"/>
  <c r="G175" i="1"/>
  <c r="F175" i="1"/>
  <c r="E175" i="1"/>
  <c r="D175" i="1"/>
  <c r="C175" i="1"/>
  <c r="H174" i="1"/>
  <c r="G174" i="1"/>
  <c r="F174" i="1"/>
  <c r="E174" i="1"/>
  <c r="D174" i="1"/>
  <c r="C174" i="1"/>
  <c r="H173" i="1"/>
  <c r="G173" i="1"/>
  <c r="F173" i="1"/>
  <c r="E173" i="1"/>
  <c r="D173" i="1"/>
  <c r="C173" i="1"/>
  <c r="H172" i="1"/>
  <c r="G172" i="1"/>
  <c r="F172" i="1"/>
  <c r="E172" i="1"/>
  <c r="D172" i="1"/>
  <c r="C172" i="1"/>
  <c r="H171" i="1"/>
  <c r="G171" i="1"/>
  <c r="F171" i="1"/>
  <c r="E171" i="1"/>
  <c r="D171" i="1"/>
  <c r="C171" i="1"/>
  <c r="H170" i="1"/>
  <c r="G170" i="1"/>
  <c r="F170" i="1"/>
  <c r="E170" i="1"/>
  <c r="D170" i="1"/>
  <c r="C170" i="1"/>
  <c r="H169" i="1"/>
  <c r="G169" i="1"/>
  <c r="F169" i="1"/>
  <c r="E169" i="1"/>
  <c r="D169" i="1"/>
  <c r="C169" i="1"/>
  <c r="H168" i="1"/>
  <c r="G168" i="1"/>
  <c r="F168" i="1"/>
  <c r="E168" i="1"/>
  <c r="D168" i="1"/>
  <c r="C168" i="1"/>
  <c r="H167" i="1"/>
  <c r="G167" i="1"/>
  <c r="F167" i="1"/>
  <c r="E167" i="1"/>
  <c r="D167" i="1"/>
  <c r="C167" i="1"/>
  <c r="H166" i="1"/>
  <c r="G166" i="1"/>
  <c r="F166" i="1"/>
  <c r="E166" i="1"/>
  <c r="D166" i="1"/>
  <c r="C166" i="1"/>
  <c r="H165" i="1"/>
  <c r="G165" i="1"/>
  <c r="F165" i="1"/>
  <c r="E165" i="1"/>
  <c r="D165" i="1"/>
  <c r="C165" i="1"/>
  <c r="H164" i="1"/>
  <c r="G164" i="1"/>
  <c r="F164" i="1"/>
  <c r="E164" i="1"/>
  <c r="D164" i="1"/>
  <c r="C164" i="1"/>
  <c r="H163" i="1"/>
  <c r="G163" i="1"/>
  <c r="F163" i="1"/>
  <c r="E163" i="1"/>
  <c r="D163" i="1"/>
  <c r="C163" i="1"/>
  <c r="H162" i="1"/>
  <c r="G162" i="1"/>
  <c r="F162" i="1"/>
  <c r="E162" i="1"/>
  <c r="D162" i="1"/>
  <c r="C162" i="1"/>
  <c r="H161" i="1"/>
  <c r="G161" i="1"/>
  <c r="F161" i="1"/>
  <c r="E161" i="1"/>
  <c r="D161" i="1"/>
  <c r="C161" i="1"/>
  <c r="H160" i="1"/>
  <c r="G160" i="1"/>
  <c r="F160" i="1"/>
  <c r="E160" i="1"/>
  <c r="D160" i="1"/>
  <c r="C160" i="1"/>
  <c r="H159" i="1"/>
  <c r="G159" i="1"/>
  <c r="F159" i="1"/>
  <c r="E159" i="1"/>
  <c r="D159" i="1"/>
  <c r="C159" i="1"/>
  <c r="H158" i="1"/>
  <c r="G158" i="1"/>
  <c r="F158" i="1"/>
  <c r="E158" i="1"/>
  <c r="D158" i="1"/>
  <c r="C158" i="1"/>
  <c r="H157" i="1"/>
  <c r="G157" i="1"/>
  <c r="F157" i="1"/>
  <c r="E157" i="1"/>
  <c r="D157" i="1"/>
  <c r="C157" i="1"/>
  <c r="H156" i="1"/>
  <c r="G156" i="1"/>
  <c r="F156" i="1"/>
  <c r="E156" i="1"/>
  <c r="D156" i="1"/>
  <c r="C156" i="1"/>
  <c r="H155" i="1"/>
  <c r="G155" i="1"/>
  <c r="F155" i="1"/>
  <c r="E155" i="1"/>
  <c r="D155" i="1"/>
  <c r="C155" i="1"/>
  <c r="H154" i="1"/>
  <c r="G154" i="1"/>
  <c r="F154" i="1"/>
  <c r="E154" i="1"/>
  <c r="D154" i="1"/>
  <c r="C154" i="1"/>
  <c r="H153" i="1"/>
  <c r="G153" i="1"/>
  <c r="F153" i="1"/>
  <c r="E153" i="1"/>
  <c r="D153" i="1"/>
  <c r="C153" i="1"/>
  <c r="H152" i="1"/>
  <c r="G152" i="1"/>
  <c r="F152" i="1"/>
  <c r="E152" i="1"/>
  <c r="D152" i="1"/>
  <c r="C152" i="1"/>
  <c r="H151" i="1"/>
  <c r="G151" i="1"/>
  <c r="F151" i="1"/>
  <c r="E151" i="1"/>
  <c r="D151" i="1"/>
  <c r="C151" i="1"/>
  <c r="H150" i="1"/>
  <c r="G150" i="1"/>
  <c r="F150" i="1"/>
  <c r="E150" i="1"/>
  <c r="D150" i="1"/>
  <c r="C150" i="1"/>
  <c r="H149" i="1"/>
  <c r="G149" i="1"/>
  <c r="F149" i="1"/>
  <c r="E149" i="1"/>
  <c r="D149" i="1"/>
  <c r="C149" i="1"/>
  <c r="H148" i="1"/>
  <c r="G148" i="1"/>
  <c r="F148" i="1"/>
  <c r="E148" i="1"/>
  <c r="D148" i="1"/>
  <c r="C148" i="1"/>
  <c r="H147" i="1"/>
  <c r="G147" i="1"/>
  <c r="F147" i="1"/>
  <c r="E147" i="1"/>
  <c r="D147" i="1"/>
  <c r="C147" i="1"/>
  <c r="H146" i="1"/>
  <c r="G146" i="1"/>
  <c r="F146" i="1"/>
  <c r="E146" i="1"/>
  <c r="D146" i="1"/>
  <c r="C146" i="1"/>
  <c r="H145" i="1"/>
  <c r="G145" i="1"/>
  <c r="F145" i="1"/>
  <c r="E145" i="1"/>
  <c r="D145" i="1"/>
  <c r="C145" i="1"/>
  <c r="H144" i="1"/>
  <c r="G144" i="1"/>
  <c r="F144" i="1"/>
  <c r="E144" i="1"/>
  <c r="D144" i="1"/>
  <c r="C144" i="1"/>
  <c r="H143" i="1"/>
  <c r="G143" i="1"/>
  <c r="F143" i="1"/>
  <c r="E143" i="1"/>
  <c r="D143" i="1"/>
  <c r="C143" i="1"/>
  <c r="H142" i="1"/>
  <c r="G142" i="1"/>
  <c r="F142" i="1"/>
  <c r="E142" i="1"/>
  <c r="D142" i="1"/>
  <c r="C142" i="1"/>
  <c r="H141" i="1"/>
  <c r="G141" i="1"/>
  <c r="F141" i="1"/>
  <c r="E141" i="1"/>
  <c r="D141" i="1"/>
  <c r="C141" i="1"/>
  <c r="H140" i="1"/>
  <c r="G140" i="1"/>
  <c r="F140" i="1"/>
  <c r="E140" i="1"/>
  <c r="D140" i="1"/>
  <c r="C140" i="1"/>
  <c r="H139" i="1"/>
  <c r="G139" i="1"/>
  <c r="F139" i="1"/>
  <c r="E139" i="1"/>
  <c r="D139" i="1"/>
  <c r="C139" i="1"/>
  <c r="H138" i="1"/>
  <c r="G138" i="1"/>
  <c r="F138" i="1"/>
  <c r="E138" i="1"/>
  <c r="D138" i="1"/>
  <c r="C138" i="1"/>
  <c r="H137" i="1"/>
  <c r="G137" i="1"/>
  <c r="F137" i="1"/>
  <c r="E137" i="1"/>
  <c r="D137" i="1"/>
  <c r="C137" i="1"/>
  <c r="H136" i="1"/>
  <c r="G136" i="1"/>
  <c r="F136" i="1"/>
  <c r="E136" i="1"/>
  <c r="D136" i="1"/>
  <c r="C136" i="1"/>
  <c r="H135" i="1"/>
  <c r="G135" i="1"/>
  <c r="F135" i="1"/>
  <c r="E135" i="1"/>
  <c r="D135" i="1"/>
  <c r="C135" i="1"/>
  <c r="H134" i="1"/>
  <c r="G134" i="1"/>
  <c r="F134" i="1"/>
  <c r="E134" i="1"/>
  <c r="D134" i="1"/>
  <c r="C134" i="1"/>
  <c r="H133" i="1"/>
  <c r="G133" i="1"/>
  <c r="F133" i="1"/>
  <c r="E133" i="1"/>
  <c r="D133" i="1"/>
  <c r="C133" i="1"/>
  <c r="H132" i="1"/>
  <c r="G132" i="1"/>
  <c r="F132" i="1"/>
  <c r="E132" i="1"/>
  <c r="D132" i="1"/>
  <c r="C132" i="1"/>
  <c r="H131" i="1"/>
  <c r="G131" i="1"/>
  <c r="F131" i="1"/>
  <c r="E131" i="1"/>
  <c r="D131" i="1"/>
  <c r="C131" i="1"/>
  <c r="H130" i="1"/>
  <c r="G130" i="1"/>
  <c r="F130" i="1"/>
  <c r="E130" i="1"/>
  <c r="D130" i="1"/>
  <c r="C130" i="1"/>
  <c r="H129" i="1"/>
  <c r="G129" i="1"/>
  <c r="F129" i="1"/>
  <c r="E129" i="1"/>
  <c r="D129" i="1"/>
  <c r="C129" i="1"/>
  <c r="H128" i="1"/>
  <c r="G128" i="1"/>
  <c r="F128" i="1"/>
  <c r="E128" i="1"/>
  <c r="D128" i="1"/>
  <c r="C128" i="1"/>
  <c r="H127" i="1"/>
  <c r="G127" i="1"/>
  <c r="F127" i="1"/>
  <c r="E127" i="1"/>
  <c r="D127" i="1"/>
  <c r="C127" i="1"/>
  <c r="H126" i="1"/>
  <c r="G126" i="1"/>
  <c r="F126" i="1"/>
  <c r="E126" i="1"/>
  <c r="D126" i="1"/>
  <c r="C126" i="1"/>
  <c r="H125" i="1"/>
  <c r="G125" i="1"/>
  <c r="F125" i="1"/>
  <c r="E125" i="1"/>
  <c r="D125" i="1"/>
  <c r="C125" i="1"/>
  <c r="H124" i="1"/>
  <c r="G124" i="1"/>
  <c r="F124" i="1"/>
  <c r="E124" i="1"/>
  <c r="D124" i="1"/>
  <c r="C124" i="1"/>
  <c r="P356" i="1"/>
  <c r="N356" i="1"/>
  <c r="M356" i="1"/>
  <c r="L356" i="1"/>
  <c r="P355" i="1"/>
  <c r="N355" i="1"/>
  <c r="M355" i="1"/>
  <c r="L355" i="1"/>
  <c r="P354" i="1"/>
  <c r="N354" i="1"/>
  <c r="M354" i="1"/>
  <c r="L354" i="1"/>
  <c r="P353" i="1"/>
  <c r="N353" i="1"/>
  <c r="M353" i="1"/>
  <c r="L353" i="1"/>
  <c r="P352" i="1"/>
  <c r="N352" i="1"/>
  <c r="M352" i="1"/>
  <c r="L352" i="1"/>
  <c r="P351" i="1"/>
  <c r="N351" i="1"/>
  <c r="M351" i="1"/>
  <c r="L351" i="1"/>
  <c r="P350" i="1"/>
  <c r="N350" i="1"/>
  <c r="M350" i="1"/>
  <c r="L350" i="1"/>
  <c r="P349" i="1"/>
  <c r="N349" i="1"/>
  <c r="M349" i="1"/>
  <c r="L349" i="1"/>
  <c r="P348" i="1"/>
  <c r="N348" i="1"/>
  <c r="M348" i="1"/>
  <c r="L348" i="1"/>
  <c r="P347" i="1"/>
  <c r="N347" i="1"/>
  <c r="M347" i="1"/>
  <c r="L347" i="1"/>
  <c r="P346" i="1"/>
  <c r="N346" i="1"/>
  <c r="M346" i="1"/>
  <c r="L346" i="1"/>
  <c r="P345" i="1"/>
  <c r="N345" i="1"/>
  <c r="M345" i="1"/>
  <c r="L345" i="1"/>
  <c r="P344" i="1"/>
  <c r="N344" i="1"/>
  <c r="M344" i="1"/>
  <c r="L344" i="1"/>
  <c r="P343" i="1"/>
  <c r="N343" i="1"/>
  <c r="M343" i="1"/>
  <c r="L343" i="1"/>
  <c r="P342" i="1"/>
  <c r="N342" i="1"/>
  <c r="M342" i="1"/>
  <c r="L342" i="1"/>
  <c r="P341" i="1"/>
  <c r="N341" i="1"/>
  <c r="M341" i="1"/>
  <c r="L341" i="1"/>
  <c r="P340" i="1"/>
  <c r="N340" i="1"/>
  <c r="M340" i="1"/>
  <c r="L340" i="1"/>
  <c r="P339" i="1"/>
  <c r="N339" i="1"/>
  <c r="M339" i="1"/>
  <c r="L339" i="1"/>
  <c r="P338" i="1"/>
  <c r="N338" i="1"/>
  <c r="M338" i="1"/>
  <c r="L338" i="1"/>
  <c r="P337" i="1"/>
  <c r="N337" i="1"/>
  <c r="M337" i="1"/>
  <c r="L337" i="1"/>
  <c r="P336" i="1"/>
  <c r="N336" i="1"/>
  <c r="M336" i="1"/>
  <c r="L336" i="1"/>
  <c r="P335" i="1"/>
  <c r="N335" i="1"/>
  <c r="M335" i="1"/>
  <c r="L335" i="1"/>
  <c r="P334" i="1"/>
  <c r="N334" i="1"/>
  <c r="M334" i="1"/>
  <c r="L334" i="1"/>
  <c r="P333" i="1"/>
  <c r="N333" i="1"/>
  <c r="M333" i="1"/>
  <c r="L333" i="1"/>
  <c r="P332" i="1"/>
  <c r="N332" i="1"/>
  <c r="M332" i="1"/>
  <c r="L332" i="1"/>
  <c r="P331" i="1"/>
  <c r="N331" i="1"/>
  <c r="M331" i="1"/>
  <c r="L331" i="1"/>
  <c r="P330" i="1"/>
  <c r="N330" i="1"/>
  <c r="M330" i="1"/>
  <c r="L330" i="1"/>
  <c r="P329" i="1"/>
  <c r="N329" i="1"/>
  <c r="M329" i="1"/>
  <c r="L329" i="1"/>
  <c r="P328" i="1"/>
  <c r="N328" i="1"/>
  <c r="M328" i="1"/>
  <c r="L328" i="1"/>
  <c r="P327" i="1"/>
  <c r="N327" i="1"/>
  <c r="M327" i="1"/>
  <c r="L327" i="1"/>
  <c r="P326" i="1"/>
  <c r="N326" i="1"/>
  <c r="M326" i="1"/>
  <c r="L326" i="1"/>
  <c r="P325" i="1"/>
  <c r="N325" i="1"/>
  <c r="M325" i="1"/>
  <c r="L325" i="1"/>
  <c r="P324" i="1"/>
  <c r="N324" i="1"/>
  <c r="M324" i="1"/>
  <c r="L324" i="1"/>
  <c r="P323" i="1"/>
  <c r="N323" i="1"/>
  <c r="M323" i="1"/>
  <c r="L323" i="1"/>
  <c r="P322" i="1"/>
  <c r="N322" i="1"/>
  <c r="M322" i="1"/>
  <c r="L322" i="1"/>
  <c r="P321" i="1"/>
  <c r="N321" i="1"/>
  <c r="M321" i="1"/>
  <c r="L321" i="1"/>
  <c r="P320" i="1"/>
  <c r="N320" i="1"/>
  <c r="M320" i="1"/>
  <c r="L320" i="1"/>
  <c r="P319" i="1"/>
  <c r="N319" i="1"/>
  <c r="M319" i="1"/>
  <c r="L319" i="1"/>
  <c r="P318" i="1"/>
  <c r="N318" i="1"/>
  <c r="M318" i="1"/>
  <c r="L318" i="1"/>
  <c r="P317" i="1"/>
  <c r="N317" i="1"/>
  <c r="M317" i="1"/>
  <c r="L317" i="1"/>
  <c r="P316" i="1"/>
  <c r="N316" i="1"/>
  <c r="M316" i="1"/>
  <c r="L316" i="1"/>
  <c r="P315" i="1"/>
  <c r="N315" i="1"/>
  <c r="M315" i="1"/>
  <c r="L315" i="1"/>
  <c r="P314" i="1"/>
  <c r="N314" i="1"/>
  <c r="M314" i="1"/>
  <c r="L314" i="1"/>
  <c r="P313" i="1"/>
  <c r="N313" i="1"/>
  <c r="M313" i="1"/>
  <c r="L313" i="1"/>
  <c r="P312" i="1"/>
  <c r="N312" i="1"/>
  <c r="M312" i="1"/>
  <c r="L312" i="1"/>
  <c r="P311" i="1"/>
  <c r="N311" i="1"/>
  <c r="M311" i="1"/>
  <c r="L311" i="1"/>
  <c r="P310" i="1"/>
  <c r="N310" i="1"/>
  <c r="M310" i="1"/>
  <c r="L310" i="1"/>
  <c r="P309" i="1"/>
  <c r="N309" i="1"/>
  <c r="M309" i="1"/>
  <c r="L309" i="1"/>
  <c r="P308" i="1"/>
  <c r="N308" i="1"/>
  <c r="M308" i="1"/>
  <c r="L308" i="1"/>
  <c r="P307" i="1"/>
  <c r="N307" i="1"/>
  <c r="M307" i="1"/>
  <c r="L307" i="1"/>
  <c r="P306" i="1"/>
  <c r="N306" i="1"/>
  <c r="M306" i="1"/>
  <c r="L306" i="1"/>
  <c r="P305" i="1"/>
  <c r="N305" i="1"/>
  <c r="M305" i="1"/>
  <c r="L305" i="1"/>
  <c r="P304" i="1"/>
  <c r="N304" i="1"/>
  <c r="M304" i="1"/>
  <c r="L304" i="1"/>
  <c r="P303" i="1"/>
  <c r="N303" i="1"/>
  <c r="M303" i="1"/>
  <c r="L303" i="1"/>
  <c r="P302" i="1"/>
  <c r="N302" i="1"/>
  <c r="M302" i="1"/>
  <c r="L302" i="1"/>
  <c r="P301" i="1"/>
  <c r="N301" i="1"/>
  <c r="M301" i="1"/>
  <c r="L301" i="1"/>
  <c r="P300" i="1"/>
  <c r="N300" i="1"/>
  <c r="M300" i="1"/>
  <c r="L300" i="1"/>
  <c r="P299" i="1"/>
  <c r="N299" i="1"/>
  <c r="M299" i="1"/>
  <c r="L299" i="1"/>
  <c r="P298" i="1"/>
  <c r="N298" i="1"/>
  <c r="M298" i="1"/>
  <c r="L298" i="1"/>
  <c r="P297" i="1"/>
  <c r="N297" i="1"/>
  <c r="M297" i="1"/>
  <c r="L297" i="1"/>
  <c r="P296" i="1"/>
  <c r="N296" i="1"/>
  <c r="M296" i="1"/>
  <c r="L296" i="1"/>
  <c r="P295" i="1"/>
  <c r="N295" i="1"/>
  <c r="M295" i="1"/>
  <c r="L295" i="1"/>
  <c r="P294" i="1"/>
  <c r="N294" i="1"/>
  <c r="M294" i="1"/>
  <c r="L294" i="1"/>
  <c r="P293" i="1"/>
  <c r="N293" i="1"/>
  <c r="M293" i="1"/>
  <c r="L293" i="1"/>
  <c r="P292" i="1"/>
  <c r="N292" i="1"/>
  <c r="M292" i="1"/>
  <c r="L292" i="1"/>
  <c r="P291" i="1"/>
  <c r="N291" i="1"/>
  <c r="M291" i="1"/>
  <c r="L291" i="1"/>
  <c r="P290" i="1"/>
  <c r="N290" i="1"/>
  <c r="M290" i="1"/>
  <c r="L290" i="1"/>
  <c r="P289" i="1"/>
  <c r="N289" i="1"/>
  <c r="M289" i="1"/>
  <c r="L289" i="1"/>
  <c r="P288" i="1"/>
  <c r="N288" i="1"/>
  <c r="M288" i="1"/>
  <c r="L288" i="1"/>
  <c r="P287" i="1"/>
  <c r="N287" i="1"/>
  <c r="M287" i="1"/>
  <c r="L287" i="1"/>
  <c r="P286" i="1"/>
  <c r="N286" i="1"/>
  <c r="M286" i="1"/>
  <c r="L286" i="1"/>
  <c r="P285" i="1"/>
  <c r="N285" i="1"/>
  <c r="M285" i="1"/>
  <c r="L285" i="1"/>
  <c r="P284" i="1"/>
  <c r="N284" i="1"/>
  <c r="M284" i="1"/>
  <c r="L284" i="1"/>
  <c r="P283" i="1"/>
  <c r="N283" i="1"/>
  <c r="M283" i="1"/>
  <c r="L283" i="1"/>
  <c r="P282" i="1"/>
  <c r="N282" i="1"/>
  <c r="M282" i="1"/>
  <c r="L282" i="1"/>
  <c r="P281" i="1"/>
  <c r="N281" i="1"/>
  <c r="M281" i="1"/>
  <c r="L281" i="1"/>
  <c r="P280" i="1"/>
  <c r="N280" i="1"/>
  <c r="M280" i="1"/>
  <c r="L280" i="1"/>
  <c r="P279" i="1"/>
  <c r="N279" i="1"/>
  <c r="M279" i="1"/>
  <c r="L279" i="1"/>
  <c r="P278" i="1"/>
  <c r="N278" i="1"/>
  <c r="M278" i="1"/>
  <c r="L278" i="1"/>
  <c r="P277" i="1"/>
  <c r="N277" i="1"/>
  <c r="M277" i="1"/>
  <c r="L277" i="1"/>
  <c r="P276" i="1"/>
  <c r="N276" i="1"/>
  <c r="M276" i="1"/>
  <c r="L276" i="1"/>
  <c r="P275" i="1"/>
  <c r="N275" i="1"/>
  <c r="M275" i="1"/>
  <c r="L275" i="1"/>
  <c r="P274" i="1"/>
  <c r="N274" i="1"/>
  <c r="M274" i="1"/>
  <c r="L274" i="1"/>
  <c r="P273" i="1"/>
  <c r="N273" i="1"/>
  <c r="M273" i="1"/>
  <c r="L273" i="1"/>
  <c r="P272" i="1"/>
  <c r="N272" i="1"/>
  <c r="M272" i="1"/>
  <c r="L272" i="1"/>
  <c r="P271" i="1"/>
  <c r="N271" i="1"/>
  <c r="M271" i="1"/>
  <c r="L271" i="1"/>
  <c r="P270" i="1"/>
  <c r="N270" i="1"/>
  <c r="M270" i="1"/>
  <c r="L270" i="1"/>
  <c r="P269" i="1"/>
  <c r="N269" i="1"/>
  <c r="M269" i="1"/>
  <c r="L269" i="1"/>
  <c r="P268" i="1"/>
  <c r="N268" i="1"/>
  <c r="M268" i="1"/>
  <c r="L268" i="1"/>
  <c r="P267" i="1"/>
  <c r="N267" i="1"/>
  <c r="M267" i="1"/>
  <c r="L267" i="1"/>
  <c r="P266" i="1"/>
  <c r="N266" i="1"/>
  <c r="M266" i="1"/>
  <c r="L266" i="1"/>
  <c r="P265" i="1"/>
  <c r="N265" i="1"/>
  <c r="M265" i="1"/>
  <c r="L265" i="1"/>
  <c r="P264" i="1"/>
  <c r="N264" i="1"/>
  <c r="M264" i="1"/>
  <c r="L264" i="1"/>
  <c r="P263" i="1"/>
  <c r="N263" i="1"/>
  <c r="M263" i="1"/>
  <c r="L263" i="1"/>
  <c r="P262" i="1"/>
  <c r="N262" i="1"/>
  <c r="M262" i="1"/>
  <c r="L262" i="1"/>
  <c r="P261" i="1"/>
  <c r="N261" i="1"/>
  <c r="M261" i="1"/>
  <c r="L261" i="1"/>
  <c r="P260" i="1"/>
  <c r="N260" i="1"/>
  <c r="M260" i="1"/>
  <c r="L260" i="1"/>
  <c r="P259" i="1"/>
  <c r="N259" i="1"/>
  <c r="M259" i="1"/>
  <c r="L259" i="1"/>
  <c r="P258" i="1"/>
  <c r="N258" i="1"/>
  <c r="M258" i="1"/>
  <c r="L258" i="1"/>
  <c r="P257" i="1"/>
  <c r="N257" i="1"/>
  <c r="M257" i="1"/>
  <c r="L257" i="1"/>
  <c r="P256" i="1"/>
  <c r="N256" i="1"/>
  <c r="M256" i="1"/>
  <c r="L256" i="1"/>
  <c r="P255" i="1"/>
  <c r="N255" i="1"/>
  <c r="M255" i="1"/>
  <c r="L255" i="1"/>
  <c r="P254" i="1"/>
  <c r="N254" i="1"/>
  <c r="M254" i="1"/>
  <c r="L254" i="1"/>
  <c r="P253" i="1"/>
  <c r="N253" i="1"/>
  <c r="M253" i="1"/>
  <c r="L253" i="1"/>
  <c r="P252" i="1"/>
  <c r="N252" i="1"/>
  <c r="M252" i="1"/>
  <c r="L252" i="1"/>
  <c r="P251" i="1"/>
  <c r="N251" i="1"/>
  <c r="M251" i="1"/>
  <c r="L251" i="1"/>
  <c r="P250" i="1"/>
  <c r="N250" i="1"/>
  <c r="M250" i="1"/>
  <c r="L250" i="1"/>
  <c r="P249" i="1"/>
  <c r="N249" i="1"/>
  <c r="M249" i="1"/>
  <c r="L249" i="1"/>
  <c r="P248" i="1"/>
  <c r="N248" i="1"/>
  <c r="M248" i="1"/>
  <c r="L248" i="1"/>
  <c r="P247" i="1"/>
  <c r="N247" i="1"/>
  <c r="M247" i="1"/>
  <c r="L247" i="1"/>
  <c r="P246" i="1"/>
  <c r="N246" i="1"/>
  <c r="M246" i="1"/>
  <c r="L246" i="1"/>
  <c r="P234" i="1"/>
  <c r="N234" i="1"/>
  <c r="M234" i="1"/>
  <c r="L234" i="1"/>
  <c r="P233" i="1"/>
  <c r="N233" i="1"/>
  <c r="M233" i="1"/>
  <c r="L233" i="1"/>
  <c r="P232" i="1"/>
  <c r="N232" i="1"/>
  <c r="M232" i="1"/>
  <c r="L232" i="1"/>
  <c r="P231" i="1"/>
  <c r="N231" i="1"/>
  <c r="M231" i="1"/>
  <c r="L231" i="1"/>
  <c r="P230" i="1"/>
  <c r="N230" i="1"/>
  <c r="M230" i="1"/>
  <c r="L230" i="1"/>
  <c r="P229" i="1"/>
  <c r="N229" i="1"/>
  <c r="M229" i="1"/>
  <c r="L229" i="1"/>
  <c r="P228" i="1"/>
  <c r="N228" i="1"/>
  <c r="M228" i="1"/>
  <c r="L228" i="1"/>
  <c r="P227" i="1"/>
  <c r="N227" i="1"/>
  <c r="M227" i="1"/>
  <c r="L227" i="1"/>
  <c r="P226" i="1"/>
  <c r="N226" i="1"/>
  <c r="M226" i="1"/>
  <c r="L226" i="1"/>
  <c r="P225" i="1"/>
  <c r="N225" i="1"/>
  <c r="M225" i="1"/>
  <c r="L225" i="1"/>
  <c r="P224" i="1"/>
  <c r="N224" i="1"/>
  <c r="M224" i="1"/>
  <c r="L224" i="1"/>
  <c r="P223" i="1"/>
  <c r="N223" i="1"/>
  <c r="M223" i="1"/>
  <c r="L223" i="1"/>
  <c r="P222" i="1"/>
  <c r="N222" i="1"/>
  <c r="M222" i="1"/>
  <c r="L222" i="1"/>
  <c r="P221" i="1"/>
  <c r="N221" i="1"/>
  <c r="M221" i="1"/>
  <c r="L221" i="1"/>
  <c r="P220" i="1"/>
  <c r="N220" i="1"/>
  <c r="M220" i="1"/>
  <c r="L220" i="1"/>
  <c r="P219" i="1"/>
  <c r="N219" i="1"/>
  <c r="M219" i="1"/>
  <c r="L219" i="1"/>
  <c r="P218" i="1"/>
  <c r="N218" i="1"/>
  <c r="M218" i="1"/>
  <c r="L218" i="1"/>
  <c r="P217" i="1"/>
  <c r="N217" i="1"/>
  <c r="M217" i="1"/>
  <c r="L217" i="1"/>
  <c r="P216" i="1"/>
  <c r="N216" i="1"/>
  <c r="M216" i="1"/>
  <c r="L216" i="1"/>
  <c r="P215" i="1"/>
  <c r="N215" i="1"/>
  <c r="M215" i="1"/>
  <c r="L215" i="1"/>
  <c r="P214" i="1"/>
  <c r="N214" i="1"/>
  <c r="M214" i="1"/>
  <c r="L214" i="1"/>
  <c r="P213" i="1"/>
  <c r="N213" i="1"/>
  <c r="M213" i="1"/>
  <c r="L213" i="1"/>
  <c r="P212" i="1"/>
  <c r="N212" i="1"/>
  <c r="M212" i="1"/>
  <c r="L212" i="1"/>
  <c r="P211" i="1"/>
  <c r="N211" i="1"/>
  <c r="M211" i="1"/>
  <c r="L211" i="1"/>
  <c r="P210" i="1"/>
  <c r="N210" i="1"/>
  <c r="M210" i="1"/>
  <c r="L210" i="1"/>
  <c r="P209" i="1"/>
  <c r="N209" i="1"/>
  <c r="M209" i="1"/>
  <c r="L209" i="1"/>
  <c r="P208" i="1"/>
  <c r="N208" i="1"/>
  <c r="M208" i="1"/>
  <c r="L208" i="1"/>
  <c r="P207" i="1"/>
  <c r="N207" i="1"/>
  <c r="M207" i="1"/>
  <c r="L207" i="1"/>
  <c r="P206" i="1"/>
  <c r="N206" i="1"/>
  <c r="M206" i="1"/>
  <c r="L206" i="1"/>
  <c r="P205" i="1"/>
  <c r="N205" i="1"/>
  <c r="M205" i="1"/>
  <c r="L205" i="1"/>
  <c r="P204" i="1"/>
  <c r="N204" i="1"/>
  <c r="M204" i="1"/>
  <c r="L204" i="1"/>
  <c r="P203" i="1"/>
  <c r="N203" i="1"/>
  <c r="M203" i="1"/>
  <c r="L203" i="1"/>
  <c r="P202" i="1"/>
  <c r="N202" i="1"/>
  <c r="M202" i="1"/>
  <c r="L202" i="1"/>
  <c r="P201" i="1"/>
  <c r="N201" i="1"/>
  <c r="M201" i="1"/>
  <c r="L201" i="1"/>
  <c r="P200" i="1"/>
  <c r="N200" i="1"/>
  <c r="M200" i="1"/>
  <c r="L200" i="1"/>
  <c r="P199" i="1"/>
  <c r="N199" i="1"/>
  <c r="M199" i="1"/>
  <c r="L199" i="1"/>
  <c r="P198" i="1"/>
  <c r="N198" i="1"/>
  <c r="M198" i="1"/>
  <c r="L198" i="1"/>
  <c r="P197" i="1"/>
  <c r="N197" i="1"/>
  <c r="M197" i="1"/>
  <c r="L197" i="1"/>
  <c r="P196" i="1"/>
  <c r="N196" i="1"/>
  <c r="M196" i="1"/>
  <c r="L196" i="1"/>
  <c r="P195" i="1"/>
  <c r="N195" i="1"/>
  <c r="M195" i="1"/>
  <c r="L195" i="1"/>
  <c r="P194" i="1"/>
  <c r="N194" i="1"/>
  <c r="M194" i="1"/>
  <c r="L194" i="1"/>
  <c r="P193" i="1"/>
  <c r="N193" i="1"/>
  <c r="M193" i="1"/>
  <c r="L193" i="1"/>
  <c r="P192" i="1"/>
  <c r="N192" i="1"/>
  <c r="M192" i="1"/>
  <c r="L192" i="1"/>
  <c r="P191" i="1"/>
  <c r="N191" i="1"/>
  <c r="M191" i="1"/>
  <c r="L191" i="1"/>
  <c r="P190" i="1"/>
  <c r="N190" i="1"/>
  <c r="M190" i="1"/>
  <c r="L190" i="1"/>
  <c r="P189" i="1"/>
  <c r="N189" i="1"/>
  <c r="M189" i="1"/>
  <c r="L189" i="1"/>
  <c r="P188" i="1"/>
  <c r="N188" i="1"/>
  <c r="M188" i="1"/>
  <c r="L188" i="1"/>
  <c r="P187" i="1"/>
  <c r="N187" i="1"/>
  <c r="M187" i="1"/>
  <c r="L187" i="1"/>
  <c r="P186" i="1"/>
  <c r="N186" i="1"/>
  <c r="M186" i="1"/>
  <c r="L186" i="1"/>
  <c r="P185" i="1"/>
  <c r="N185" i="1"/>
  <c r="M185" i="1"/>
  <c r="L185" i="1"/>
  <c r="P184" i="1"/>
  <c r="N184" i="1"/>
  <c r="M184" i="1"/>
  <c r="L184" i="1"/>
  <c r="P183" i="1"/>
  <c r="N183" i="1"/>
  <c r="M183" i="1"/>
  <c r="L183" i="1"/>
  <c r="P182" i="1"/>
  <c r="N182" i="1"/>
  <c r="M182" i="1"/>
  <c r="L182" i="1"/>
  <c r="P181" i="1"/>
  <c r="N181" i="1"/>
  <c r="M181" i="1"/>
  <c r="L181" i="1"/>
  <c r="P180" i="1"/>
  <c r="N180" i="1"/>
  <c r="M180" i="1"/>
  <c r="L180" i="1"/>
  <c r="P179" i="1"/>
  <c r="N179" i="1"/>
  <c r="M179" i="1"/>
  <c r="L179" i="1"/>
  <c r="P178" i="1"/>
  <c r="N178" i="1"/>
  <c r="M178" i="1"/>
  <c r="L178" i="1"/>
  <c r="P177" i="1"/>
  <c r="N177" i="1"/>
  <c r="M177" i="1"/>
  <c r="L177" i="1"/>
  <c r="P176" i="1"/>
  <c r="N176" i="1"/>
  <c r="M176" i="1"/>
  <c r="L176" i="1"/>
  <c r="P175" i="1"/>
  <c r="N175" i="1"/>
  <c r="M175" i="1"/>
  <c r="L175" i="1"/>
  <c r="P174" i="1"/>
  <c r="N174" i="1"/>
  <c r="M174" i="1"/>
  <c r="L174" i="1"/>
  <c r="P173" i="1"/>
  <c r="N173" i="1"/>
  <c r="M173" i="1"/>
  <c r="L173" i="1"/>
  <c r="P172" i="1"/>
  <c r="N172" i="1"/>
  <c r="M172" i="1"/>
  <c r="L172" i="1"/>
  <c r="P171" i="1"/>
  <c r="N171" i="1"/>
  <c r="M171" i="1"/>
  <c r="L171" i="1"/>
  <c r="P170" i="1"/>
  <c r="N170" i="1"/>
  <c r="M170" i="1"/>
  <c r="L170" i="1"/>
  <c r="P169" i="1"/>
  <c r="N169" i="1"/>
  <c r="M169" i="1"/>
  <c r="L169" i="1"/>
  <c r="P168" i="1"/>
  <c r="N168" i="1"/>
  <c r="M168" i="1"/>
  <c r="L168" i="1"/>
  <c r="P167" i="1"/>
  <c r="N167" i="1"/>
  <c r="M167" i="1"/>
  <c r="L167" i="1"/>
  <c r="P166" i="1"/>
  <c r="N166" i="1"/>
  <c r="M166" i="1"/>
  <c r="L166" i="1"/>
  <c r="P165" i="1"/>
  <c r="N165" i="1"/>
  <c r="M165" i="1"/>
  <c r="L165" i="1"/>
  <c r="P164" i="1"/>
  <c r="N164" i="1"/>
  <c r="M164" i="1"/>
  <c r="L164" i="1"/>
  <c r="P163" i="1"/>
  <c r="N163" i="1"/>
  <c r="M163" i="1"/>
  <c r="L163" i="1"/>
  <c r="P162" i="1"/>
  <c r="N162" i="1"/>
  <c r="M162" i="1"/>
  <c r="L162" i="1"/>
  <c r="P161" i="1"/>
  <c r="N161" i="1"/>
  <c r="M161" i="1"/>
  <c r="L161" i="1"/>
  <c r="P160" i="1"/>
  <c r="N160" i="1"/>
  <c r="M160" i="1"/>
  <c r="L160" i="1"/>
  <c r="P159" i="1"/>
  <c r="N159" i="1"/>
  <c r="M159" i="1"/>
  <c r="L159" i="1"/>
  <c r="P158" i="1"/>
  <c r="N158" i="1"/>
  <c r="M158" i="1"/>
  <c r="L158" i="1"/>
  <c r="P157" i="1"/>
  <c r="N157" i="1"/>
  <c r="M157" i="1"/>
  <c r="L157" i="1"/>
  <c r="P156" i="1"/>
  <c r="N156" i="1"/>
  <c r="M156" i="1"/>
  <c r="L156" i="1"/>
  <c r="P155" i="1"/>
  <c r="N155" i="1"/>
  <c r="M155" i="1"/>
  <c r="L155" i="1"/>
  <c r="P154" i="1"/>
  <c r="N154" i="1"/>
  <c r="M154" i="1"/>
  <c r="L154" i="1"/>
  <c r="P153" i="1"/>
  <c r="N153" i="1"/>
  <c r="M153" i="1"/>
  <c r="L153" i="1"/>
  <c r="P152" i="1"/>
  <c r="N152" i="1"/>
  <c r="M152" i="1"/>
  <c r="L152" i="1"/>
  <c r="P151" i="1"/>
  <c r="N151" i="1"/>
  <c r="M151" i="1"/>
  <c r="L151" i="1"/>
  <c r="P150" i="1"/>
  <c r="N150" i="1"/>
  <c r="M150" i="1"/>
  <c r="L150" i="1"/>
  <c r="P149" i="1"/>
  <c r="N149" i="1"/>
  <c r="M149" i="1"/>
  <c r="L149" i="1"/>
  <c r="P148" i="1"/>
  <c r="N148" i="1"/>
  <c r="M148" i="1"/>
  <c r="L148" i="1"/>
  <c r="P147" i="1"/>
  <c r="N147" i="1"/>
  <c r="M147" i="1"/>
  <c r="L147" i="1"/>
  <c r="P146" i="1"/>
  <c r="N146" i="1"/>
  <c r="M146" i="1"/>
  <c r="L146" i="1"/>
  <c r="P145" i="1"/>
  <c r="N145" i="1"/>
  <c r="M145" i="1"/>
  <c r="L145" i="1"/>
  <c r="P144" i="1"/>
  <c r="N144" i="1"/>
  <c r="M144" i="1"/>
  <c r="L144" i="1"/>
  <c r="P143" i="1"/>
  <c r="N143" i="1"/>
  <c r="M143" i="1"/>
  <c r="L143" i="1"/>
  <c r="P142" i="1"/>
  <c r="N142" i="1"/>
  <c r="M142" i="1"/>
  <c r="L142" i="1"/>
  <c r="P141" i="1"/>
  <c r="N141" i="1"/>
  <c r="M141" i="1"/>
  <c r="L141" i="1"/>
  <c r="P140" i="1"/>
  <c r="N140" i="1"/>
  <c r="M140" i="1"/>
  <c r="L140" i="1"/>
  <c r="P139" i="1"/>
  <c r="N139" i="1"/>
  <c r="M139" i="1"/>
  <c r="L139" i="1"/>
  <c r="P138" i="1"/>
  <c r="N138" i="1"/>
  <c r="M138" i="1"/>
  <c r="L138" i="1"/>
  <c r="P137" i="1"/>
  <c r="N137" i="1"/>
  <c r="M137" i="1"/>
  <c r="L137" i="1"/>
  <c r="P136" i="1"/>
  <c r="N136" i="1"/>
  <c r="M136" i="1"/>
  <c r="L136" i="1"/>
  <c r="P135" i="1"/>
  <c r="N135" i="1"/>
  <c r="M135" i="1"/>
  <c r="L135" i="1"/>
  <c r="P134" i="1"/>
  <c r="N134" i="1"/>
  <c r="M134" i="1"/>
  <c r="L134" i="1"/>
  <c r="P133" i="1"/>
  <c r="N133" i="1"/>
  <c r="M133" i="1"/>
  <c r="L133" i="1"/>
  <c r="P132" i="1"/>
  <c r="N132" i="1"/>
  <c r="M132" i="1"/>
  <c r="L132" i="1"/>
  <c r="P131" i="1"/>
  <c r="N131" i="1"/>
  <c r="M131" i="1"/>
  <c r="L131" i="1"/>
  <c r="P130" i="1"/>
  <c r="N130" i="1"/>
  <c r="M130" i="1"/>
  <c r="L130" i="1"/>
  <c r="P129" i="1"/>
  <c r="N129" i="1"/>
  <c r="M129" i="1"/>
  <c r="L129" i="1"/>
  <c r="P128" i="1"/>
  <c r="N128" i="1"/>
  <c r="M128" i="1"/>
  <c r="L128" i="1"/>
  <c r="P127" i="1"/>
  <c r="N127" i="1"/>
  <c r="M127" i="1"/>
  <c r="L127" i="1"/>
  <c r="P126" i="1"/>
  <c r="N126" i="1"/>
  <c r="M126" i="1"/>
  <c r="L126" i="1"/>
  <c r="P125" i="1"/>
  <c r="N125" i="1"/>
  <c r="M125" i="1"/>
  <c r="L125" i="1"/>
  <c r="P124" i="1"/>
  <c r="N124" i="1"/>
  <c r="M124" i="1"/>
  <c r="L124" i="1"/>
  <c r="P112" i="1"/>
  <c r="N112" i="1"/>
  <c r="M112" i="1"/>
  <c r="L112" i="1"/>
  <c r="P111" i="1"/>
  <c r="N111" i="1"/>
  <c r="M111" i="1"/>
  <c r="L111" i="1"/>
  <c r="P110" i="1"/>
  <c r="N110" i="1"/>
  <c r="M110" i="1"/>
  <c r="L110" i="1"/>
  <c r="P109" i="1"/>
  <c r="N109" i="1"/>
  <c r="M109" i="1"/>
  <c r="L109" i="1"/>
  <c r="P108" i="1"/>
  <c r="N108" i="1"/>
  <c r="M108" i="1"/>
  <c r="L108" i="1"/>
  <c r="P107" i="1"/>
  <c r="N107" i="1"/>
  <c r="M107" i="1"/>
  <c r="L107" i="1"/>
  <c r="P106" i="1"/>
  <c r="N106" i="1"/>
  <c r="M106" i="1"/>
  <c r="L106" i="1"/>
  <c r="P105" i="1"/>
  <c r="N105" i="1"/>
  <c r="M105" i="1"/>
  <c r="L105" i="1"/>
  <c r="P104" i="1"/>
  <c r="N104" i="1"/>
  <c r="M104" i="1"/>
  <c r="L104" i="1"/>
  <c r="P103" i="1"/>
  <c r="N103" i="1"/>
  <c r="M103" i="1"/>
  <c r="L103" i="1"/>
  <c r="P102" i="1"/>
  <c r="N102" i="1"/>
  <c r="M102" i="1"/>
  <c r="L102" i="1"/>
  <c r="P101" i="1"/>
  <c r="N101" i="1"/>
  <c r="M101" i="1"/>
  <c r="L101" i="1"/>
  <c r="P100" i="1"/>
  <c r="N100" i="1"/>
  <c r="M100" i="1"/>
  <c r="L100" i="1"/>
  <c r="P99" i="1"/>
  <c r="N99" i="1"/>
  <c r="M99" i="1"/>
  <c r="L99" i="1"/>
  <c r="P98" i="1"/>
  <c r="N98" i="1"/>
  <c r="M98" i="1"/>
  <c r="L98" i="1"/>
  <c r="P97" i="1"/>
  <c r="N97" i="1"/>
  <c r="M97" i="1"/>
  <c r="L97" i="1"/>
  <c r="P96" i="1"/>
  <c r="N96" i="1"/>
  <c r="M96" i="1"/>
  <c r="L96" i="1"/>
  <c r="P95" i="1"/>
  <c r="N95" i="1"/>
  <c r="M95" i="1"/>
  <c r="L95" i="1"/>
  <c r="P94" i="1"/>
  <c r="N94" i="1"/>
  <c r="M94" i="1"/>
  <c r="L94" i="1"/>
  <c r="P93" i="1"/>
  <c r="N93" i="1"/>
  <c r="M93" i="1"/>
  <c r="L93" i="1"/>
  <c r="P92" i="1"/>
  <c r="N92" i="1"/>
  <c r="M92" i="1"/>
  <c r="L92" i="1"/>
  <c r="P91" i="1"/>
  <c r="N91" i="1"/>
  <c r="M91" i="1"/>
  <c r="L91" i="1"/>
  <c r="P90" i="1"/>
  <c r="N90" i="1"/>
  <c r="M90" i="1"/>
  <c r="L90" i="1"/>
  <c r="P89" i="1"/>
  <c r="N89" i="1"/>
  <c r="M89" i="1"/>
  <c r="L89" i="1"/>
  <c r="P88" i="1"/>
  <c r="N88" i="1"/>
  <c r="M88" i="1"/>
  <c r="L88" i="1"/>
  <c r="P87" i="1"/>
  <c r="N87" i="1"/>
  <c r="M87" i="1"/>
  <c r="L87" i="1"/>
  <c r="P86" i="1"/>
  <c r="N86" i="1"/>
  <c r="M86" i="1"/>
  <c r="L86" i="1"/>
  <c r="P85" i="1"/>
  <c r="N85" i="1"/>
  <c r="M85" i="1"/>
  <c r="L85" i="1"/>
  <c r="P84" i="1"/>
  <c r="N84" i="1"/>
  <c r="M84" i="1"/>
  <c r="L84" i="1"/>
  <c r="P83" i="1"/>
  <c r="N83" i="1"/>
  <c r="M83" i="1"/>
  <c r="L83" i="1"/>
  <c r="P82" i="1"/>
  <c r="N82" i="1"/>
  <c r="M82" i="1"/>
  <c r="L82" i="1"/>
  <c r="P81" i="1"/>
  <c r="N81" i="1"/>
  <c r="M81" i="1"/>
  <c r="L81" i="1"/>
  <c r="P80" i="1"/>
  <c r="N80" i="1"/>
  <c r="M80" i="1"/>
  <c r="L80" i="1"/>
  <c r="P79" i="1"/>
  <c r="N79" i="1"/>
  <c r="M79" i="1"/>
  <c r="L79" i="1"/>
  <c r="P78" i="1"/>
  <c r="N78" i="1"/>
  <c r="M78" i="1"/>
  <c r="L78" i="1"/>
  <c r="P77" i="1"/>
  <c r="N77" i="1"/>
  <c r="M77" i="1"/>
  <c r="L77" i="1"/>
  <c r="P76" i="1"/>
  <c r="N76" i="1"/>
  <c r="M76" i="1"/>
  <c r="L76" i="1"/>
  <c r="P75" i="1"/>
  <c r="N75" i="1"/>
  <c r="M75" i="1"/>
  <c r="L75" i="1"/>
  <c r="P74" i="1"/>
  <c r="N74" i="1"/>
  <c r="M74" i="1"/>
  <c r="L74" i="1"/>
  <c r="P73" i="1"/>
  <c r="N73" i="1"/>
  <c r="M73" i="1"/>
  <c r="L73" i="1"/>
  <c r="P72" i="1"/>
  <c r="N72" i="1"/>
  <c r="M72" i="1"/>
  <c r="L72" i="1"/>
  <c r="P71" i="1"/>
  <c r="N71" i="1"/>
  <c r="M71" i="1"/>
  <c r="L71" i="1"/>
  <c r="P70" i="1"/>
  <c r="N70" i="1"/>
  <c r="M70" i="1"/>
  <c r="L70" i="1"/>
  <c r="P69" i="1"/>
  <c r="N69" i="1"/>
  <c r="M69" i="1"/>
  <c r="L69" i="1"/>
  <c r="P68" i="1"/>
  <c r="N68" i="1"/>
  <c r="M68" i="1"/>
  <c r="L68" i="1"/>
  <c r="P67" i="1"/>
  <c r="N67" i="1"/>
  <c r="M67" i="1"/>
  <c r="L67" i="1"/>
  <c r="P66" i="1"/>
  <c r="N66" i="1"/>
  <c r="M66" i="1"/>
  <c r="L66" i="1"/>
  <c r="P65" i="1"/>
  <c r="N65" i="1"/>
  <c r="M65" i="1"/>
  <c r="L65" i="1"/>
  <c r="P64" i="1"/>
  <c r="N64" i="1"/>
  <c r="M64" i="1"/>
  <c r="L64" i="1"/>
  <c r="P63" i="1"/>
  <c r="N63" i="1"/>
  <c r="M63" i="1"/>
  <c r="L63" i="1"/>
  <c r="P62" i="1"/>
  <c r="N62" i="1"/>
  <c r="M62" i="1"/>
  <c r="L62" i="1"/>
  <c r="P61" i="1"/>
  <c r="N61" i="1"/>
  <c r="M61" i="1"/>
  <c r="L61" i="1"/>
  <c r="P60" i="1"/>
  <c r="N60" i="1"/>
  <c r="M60" i="1"/>
  <c r="L60" i="1"/>
  <c r="P59" i="1"/>
  <c r="N59" i="1"/>
  <c r="M59" i="1"/>
  <c r="L59" i="1"/>
  <c r="P58" i="1"/>
  <c r="N58" i="1"/>
  <c r="M58" i="1"/>
  <c r="L58" i="1"/>
  <c r="P57" i="1"/>
  <c r="N57" i="1"/>
  <c r="M57" i="1"/>
  <c r="L57" i="1"/>
  <c r="P56" i="1"/>
  <c r="N56" i="1"/>
  <c r="M56" i="1"/>
  <c r="L56" i="1"/>
  <c r="P55" i="1"/>
  <c r="N55" i="1"/>
  <c r="M55" i="1"/>
  <c r="L55" i="1"/>
  <c r="P54" i="1"/>
  <c r="N54" i="1"/>
  <c r="M54" i="1"/>
  <c r="L54" i="1"/>
  <c r="P53" i="1"/>
  <c r="N53" i="1"/>
  <c r="M53" i="1"/>
  <c r="L53" i="1"/>
  <c r="P52" i="1"/>
  <c r="N52" i="1"/>
  <c r="M52" i="1"/>
  <c r="L52" i="1"/>
  <c r="P51" i="1"/>
  <c r="N51" i="1"/>
  <c r="M51" i="1"/>
  <c r="L51" i="1"/>
  <c r="P50" i="1"/>
  <c r="N50" i="1"/>
  <c r="M50" i="1"/>
  <c r="L50" i="1"/>
  <c r="P49" i="1"/>
  <c r="N49" i="1"/>
  <c r="M49" i="1"/>
  <c r="L49" i="1"/>
  <c r="P48" i="1"/>
  <c r="N48" i="1"/>
  <c r="M48" i="1"/>
  <c r="L48" i="1"/>
  <c r="P47" i="1"/>
  <c r="N47" i="1"/>
  <c r="M47" i="1"/>
  <c r="L47" i="1"/>
  <c r="P46" i="1"/>
  <c r="N46" i="1"/>
  <c r="M46" i="1"/>
  <c r="L46" i="1"/>
  <c r="P45" i="1"/>
  <c r="N45" i="1"/>
  <c r="M45" i="1"/>
  <c r="L45" i="1"/>
  <c r="P44" i="1"/>
  <c r="N44" i="1"/>
  <c r="M44" i="1"/>
  <c r="L44" i="1"/>
  <c r="P43" i="1"/>
  <c r="N43" i="1"/>
  <c r="M43" i="1"/>
  <c r="L43" i="1"/>
  <c r="P42" i="1"/>
  <c r="N42" i="1"/>
  <c r="M42" i="1"/>
  <c r="L42" i="1"/>
  <c r="P41" i="1"/>
  <c r="N41" i="1"/>
  <c r="M41" i="1"/>
  <c r="L41" i="1"/>
  <c r="P40" i="1"/>
  <c r="N40" i="1"/>
  <c r="M40" i="1"/>
  <c r="L40" i="1"/>
  <c r="P39" i="1"/>
  <c r="N39" i="1"/>
  <c r="M39" i="1"/>
  <c r="L39" i="1"/>
  <c r="P38" i="1"/>
  <c r="N38" i="1"/>
  <c r="M38" i="1"/>
  <c r="L38" i="1"/>
  <c r="P37" i="1"/>
  <c r="N37" i="1"/>
  <c r="M37" i="1"/>
  <c r="L37" i="1"/>
  <c r="P36" i="1"/>
  <c r="N36" i="1"/>
  <c r="M36" i="1"/>
  <c r="L36" i="1"/>
  <c r="P35" i="1"/>
  <c r="N35" i="1"/>
  <c r="M35" i="1"/>
  <c r="L35" i="1"/>
  <c r="P34" i="1"/>
  <c r="N34" i="1"/>
  <c r="M34" i="1"/>
  <c r="L34" i="1"/>
  <c r="P33" i="1"/>
  <c r="N33" i="1"/>
  <c r="M33" i="1"/>
  <c r="L33" i="1"/>
  <c r="P32" i="1"/>
  <c r="N32" i="1"/>
  <c r="M32" i="1"/>
  <c r="L32" i="1"/>
  <c r="P31" i="1"/>
  <c r="N31" i="1"/>
  <c r="M31" i="1"/>
  <c r="L31" i="1"/>
  <c r="P30" i="1"/>
  <c r="N30" i="1"/>
  <c r="M30" i="1"/>
  <c r="L30" i="1"/>
  <c r="P29" i="1"/>
  <c r="N29" i="1"/>
  <c r="M29" i="1"/>
  <c r="L29" i="1"/>
  <c r="P28" i="1"/>
  <c r="N28" i="1"/>
  <c r="M28" i="1"/>
  <c r="L28" i="1"/>
  <c r="P27" i="1"/>
  <c r="N27" i="1"/>
  <c r="M27" i="1"/>
  <c r="L27" i="1"/>
  <c r="P26" i="1"/>
  <c r="N26" i="1"/>
  <c r="M26" i="1"/>
  <c r="L26" i="1"/>
  <c r="P25" i="1"/>
  <c r="N25" i="1"/>
  <c r="M25" i="1"/>
  <c r="L25" i="1"/>
  <c r="P24" i="1"/>
  <c r="N24" i="1"/>
  <c r="M24" i="1"/>
  <c r="L24" i="1"/>
  <c r="P23" i="1"/>
  <c r="N23" i="1"/>
  <c r="M23" i="1"/>
  <c r="L23" i="1"/>
  <c r="P22" i="1"/>
  <c r="N22" i="1"/>
  <c r="M22" i="1"/>
  <c r="L22" i="1"/>
  <c r="P21" i="1"/>
  <c r="N21" i="1"/>
  <c r="M21" i="1"/>
  <c r="L21" i="1"/>
  <c r="P20" i="1"/>
  <c r="N20" i="1"/>
  <c r="M20" i="1"/>
  <c r="L20" i="1"/>
  <c r="P19" i="1"/>
  <c r="N19" i="1"/>
  <c r="M19" i="1"/>
  <c r="L19" i="1"/>
  <c r="P18" i="1"/>
  <c r="N18" i="1"/>
  <c r="M18" i="1"/>
  <c r="L18" i="1"/>
  <c r="P17" i="1"/>
  <c r="N17" i="1"/>
  <c r="M17" i="1"/>
  <c r="L17" i="1"/>
  <c r="P16" i="1"/>
  <c r="N16" i="1"/>
  <c r="M16" i="1"/>
  <c r="L16" i="1"/>
  <c r="P15" i="1"/>
  <c r="N15" i="1"/>
  <c r="M15" i="1"/>
  <c r="L15" i="1"/>
  <c r="P14" i="1"/>
  <c r="N14" i="1"/>
  <c r="M14" i="1"/>
  <c r="L14" i="1"/>
  <c r="P13" i="1"/>
  <c r="N13" i="1"/>
  <c r="M13" i="1"/>
  <c r="L13" i="1"/>
  <c r="P12" i="1"/>
  <c r="N12" i="1"/>
  <c r="M12" i="1"/>
  <c r="L12" i="1"/>
  <c r="P11" i="1"/>
  <c r="N11" i="1"/>
  <c r="M11" i="1"/>
  <c r="L11" i="1"/>
  <c r="P10" i="1"/>
  <c r="N10" i="1"/>
  <c r="M10" i="1"/>
  <c r="L10" i="1"/>
  <c r="P9" i="1"/>
  <c r="N9" i="1"/>
  <c r="M9" i="1"/>
  <c r="L9" i="1"/>
  <c r="P8" i="1"/>
  <c r="N8" i="1"/>
  <c r="M8" i="1"/>
  <c r="L8" i="1"/>
  <c r="P7" i="1"/>
  <c r="N7" i="1"/>
  <c r="M7" i="1"/>
  <c r="L7" i="1"/>
  <c r="P6" i="1"/>
  <c r="N6" i="1"/>
  <c r="M6" i="1"/>
  <c r="L6" i="1"/>
  <c r="P5" i="1"/>
  <c r="N5" i="1"/>
  <c r="M5" i="1"/>
  <c r="L5" i="1"/>
  <c r="P4" i="1"/>
  <c r="N4" i="1"/>
  <c r="M4" i="1"/>
  <c r="L4" i="1"/>
  <c r="P3" i="1"/>
  <c r="N3" i="1"/>
  <c r="M3" i="1"/>
  <c r="L3" i="1"/>
  <c r="H122" i="1"/>
  <c r="G122" i="1"/>
  <c r="F122" i="1"/>
  <c r="E122" i="1"/>
  <c r="D122" i="1"/>
  <c r="C122" i="1"/>
  <c r="H121" i="1"/>
  <c r="G121" i="1"/>
  <c r="F121" i="1"/>
  <c r="E121" i="1"/>
  <c r="D121" i="1"/>
  <c r="C121" i="1"/>
  <c r="H119" i="1"/>
  <c r="G119" i="1"/>
  <c r="F119" i="1"/>
  <c r="E119" i="1"/>
  <c r="D119" i="1"/>
  <c r="C119" i="1"/>
  <c r="H118" i="1"/>
  <c r="G118" i="1"/>
  <c r="F118" i="1"/>
  <c r="E118" i="1"/>
  <c r="D118" i="1"/>
  <c r="C118" i="1"/>
  <c r="H116" i="1"/>
  <c r="G116" i="1"/>
  <c r="F116" i="1"/>
  <c r="E116" i="1"/>
  <c r="D116" i="1"/>
  <c r="C116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H3" i="1"/>
  <c r="G3" i="1"/>
  <c r="F3" i="1"/>
  <c r="E3" i="1"/>
  <c r="D3" i="1"/>
  <c r="C3" i="1"/>
  <c r="D2" i="2"/>
  <c r="C2" i="2"/>
  <c r="N2" i="1"/>
  <c r="M2" i="1"/>
  <c r="L2" i="1"/>
  <c r="P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<sst xmlns="http://schemas.openxmlformats.org/spreadsheetml/2006/main" count="3394" uniqueCount="1376">
  <si>
    <t>Columnas</t>
  </si>
  <si>
    <t>Código Transacciones</t>
  </si>
  <si>
    <t>Área transaccional columnas No.</t>
  </si>
  <si>
    <t>Área transaccional</t>
  </si>
  <si>
    <t>Transacciones</t>
  </si>
  <si>
    <t>Correlativo Transacciones Agregadas</t>
  </si>
  <si>
    <t>Código Transacciones Agregadas</t>
  </si>
  <si>
    <t>Transacciones Agregadas</t>
  </si>
  <si>
    <t>Código Clasificación Actividades</t>
  </si>
  <si>
    <t>Descripción Actividades</t>
  </si>
  <si>
    <t>CIIU Secciones</t>
  </si>
  <si>
    <t>CIIU Secciones descripción</t>
  </si>
  <si>
    <t>CIIU Corto</t>
  </si>
  <si>
    <t>CIIU English</t>
  </si>
  <si>
    <t>Correlativo Bioeconomía Actividades</t>
  </si>
  <si>
    <t>Bioeconomía Actividades</t>
  </si>
  <si>
    <t>P11</t>
  </si>
  <si>
    <t>A</t>
  </si>
  <si>
    <t>Explotación de minas y canteras</t>
  </si>
  <si>
    <t>B</t>
  </si>
  <si>
    <t>C</t>
  </si>
  <si>
    <t>Elaboración de productos lácteos</t>
  </si>
  <si>
    <t>10</t>
  </si>
  <si>
    <t>11</t>
  </si>
  <si>
    <t>12</t>
  </si>
  <si>
    <t>15</t>
  </si>
  <si>
    <t>17</t>
  </si>
  <si>
    <t>18</t>
  </si>
  <si>
    <t>19</t>
  </si>
  <si>
    <t>21</t>
  </si>
  <si>
    <t>D</t>
  </si>
  <si>
    <t>22</t>
  </si>
  <si>
    <t>E</t>
  </si>
  <si>
    <t>23</t>
  </si>
  <si>
    <t>Construcción</t>
  </si>
  <si>
    <t>F</t>
  </si>
  <si>
    <t>24</t>
  </si>
  <si>
    <t>Comercio</t>
  </si>
  <si>
    <t>G</t>
  </si>
  <si>
    <t>25</t>
  </si>
  <si>
    <t>Transporte y almacenamiento</t>
  </si>
  <si>
    <t>H</t>
  </si>
  <si>
    <t>26</t>
  </si>
  <si>
    <t>I</t>
  </si>
  <si>
    <t>27</t>
  </si>
  <si>
    <t>J</t>
  </si>
  <si>
    <t>28</t>
  </si>
  <si>
    <t>Actividades financieras y de seguros</t>
  </si>
  <si>
    <t>K</t>
  </si>
  <si>
    <t>29</t>
  </si>
  <si>
    <t>Actividades inmobiliarias</t>
  </si>
  <si>
    <t>L</t>
  </si>
  <si>
    <t>30</t>
  </si>
  <si>
    <t>Actividades profesionales, científicas y técnicas</t>
  </si>
  <si>
    <t>M</t>
  </si>
  <si>
    <t>32</t>
  </si>
  <si>
    <t>Enseñanza</t>
  </si>
  <si>
    <t>P</t>
  </si>
  <si>
    <t>33</t>
  </si>
  <si>
    <t>Salud</t>
  </si>
  <si>
    <t>Q</t>
  </si>
  <si>
    <t>34</t>
  </si>
  <si>
    <t>S</t>
  </si>
  <si>
    <t>P12</t>
  </si>
  <si>
    <t>35</t>
  </si>
  <si>
    <t>P13</t>
  </si>
  <si>
    <t>31</t>
  </si>
  <si>
    <t>O</t>
  </si>
  <si>
    <t>P71</t>
  </si>
  <si>
    <t>P72</t>
  </si>
  <si>
    <t>CIF</t>
  </si>
  <si>
    <t>D211</t>
  </si>
  <si>
    <t>D212</t>
  </si>
  <si>
    <t>D213</t>
  </si>
  <si>
    <t>D214</t>
  </si>
  <si>
    <t>D31</t>
  </si>
  <si>
    <t>M12</t>
  </si>
  <si>
    <t>P21</t>
  </si>
  <si>
    <t>Otras actividades de servicios</t>
  </si>
  <si>
    <t>P22</t>
  </si>
  <si>
    <t>P23</t>
  </si>
  <si>
    <t>P61</t>
  </si>
  <si>
    <t>P62</t>
  </si>
  <si>
    <t>Pa31</t>
  </si>
  <si>
    <t>Pb30</t>
  </si>
  <si>
    <t>Pc31</t>
  </si>
  <si>
    <t>Pc32</t>
  </si>
  <si>
    <t>P51c</t>
  </si>
  <si>
    <t>P52</t>
  </si>
  <si>
    <t>Agricultura, ganadería, silvicultura y pesca</t>
  </si>
  <si>
    <t>Agricultura</t>
  </si>
  <si>
    <t>Agriculture, forestry and fishing</t>
  </si>
  <si>
    <t>Minería</t>
  </si>
  <si>
    <t>Mining and quarrying</t>
  </si>
  <si>
    <t>Industrias manufactureras</t>
  </si>
  <si>
    <t>Manufacturas</t>
  </si>
  <si>
    <t>Manufacturing</t>
  </si>
  <si>
    <t>Suministro de electricidad, gas, vapor y aire acondicionado</t>
  </si>
  <si>
    <t>Servicios básicos</t>
  </si>
  <si>
    <t>Electricity, gas, steam and air conditioning supply</t>
  </si>
  <si>
    <t>Suministro de agua; evacuación de aguas residuales, gestión de desechos y descontaminación</t>
  </si>
  <si>
    <t>Suministro de agua</t>
  </si>
  <si>
    <t>Water supply; sewerage, waste management and remediation activities</t>
  </si>
  <si>
    <t>Construction</t>
  </si>
  <si>
    <t>Comercio al por mayor y al por menor; reparación de vehículos automotores y motocicletas</t>
  </si>
  <si>
    <t>Wholesale and retail trade; repair of motor vehicles and motorcycles</t>
  </si>
  <si>
    <t>Transportation and storage</t>
  </si>
  <si>
    <t>Información y comunicaciones</t>
  </si>
  <si>
    <t>Information and communication</t>
  </si>
  <si>
    <t>Actividades de alojamiento y de servicio de comidas</t>
  </si>
  <si>
    <t>Alojamiento y alimentación</t>
  </si>
  <si>
    <t>Accommodation and food service activities</t>
  </si>
  <si>
    <t>Finanzas y seguros</t>
  </si>
  <si>
    <t>Financial and insurance activities</t>
  </si>
  <si>
    <t>Inmobiliarios</t>
  </si>
  <si>
    <t>Real estate activities</t>
  </si>
  <si>
    <t>Servicios profesionales</t>
  </si>
  <si>
    <t>Professional, scientific and technical activities</t>
  </si>
  <si>
    <t>N</t>
  </si>
  <si>
    <t>Actividades de servicios administrativos y de apoyo</t>
  </si>
  <si>
    <t>Servicios administrativos</t>
  </si>
  <si>
    <t>Administrative and support service activities</t>
  </si>
  <si>
    <t>Education</t>
  </si>
  <si>
    <t>Actividades de atención de la salud humana y de asistencia social</t>
  </si>
  <si>
    <t>Human health and social work activities</t>
  </si>
  <si>
    <t>R</t>
  </si>
  <si>
    <t>Actividades artísticas, de entretenimiento y recreativas</t>
  </si>
  <si>
    <t>Recreación</t>
  </si>
  <si>
    <t>Arts, entertainment and recreation</t>
  </si>
  <si>
    <t>Otros servicios</t>
  </si>
  <si>
    <t>Other service activities</t>
  </si>
  <si>
    <t xml:space="preserve"> - </t>
  </si>
  <si>
    <t>T</t>
  </si>
  <si>
    <t>Actividades de los hogares como empleadores; actividades no diferenciadas de los hogares como productores de bienes y servicios para uso propio</t>
  </si>
  <si>
    <t>Hogares como empleadores</t>
  </si>
  <si>
    <t>Activities of households as employers; undifferentiated goods- and services-producing activities of households for own use</t>
  </si>
  <si>
    <t>Administración pública y defensa; planes de seguridad social de afiliación obligatoria</t>
  </si>
  <si>
    <t>Administración pública</t>
  </si>
  <si>
    <t>Public administration and defence; compulsory social security</t>
  </si>
  <si>
    <t>corr_ntg2</t>
  </si>
  <si>
    <t>id_area_columnas</t>
  </si>
  <si>
    <t>P10</t>
  </si>
  <si>
    <t>ATC01</t>
  </si>
  <si>
    <t>Producción / Consumo intermedio</t>
  </si>
  <si>
    <t>Producción</t>
  </si>
  <si>
    <t>P1</t>
  </si>
  <si>
    <t>Producción de mercado</t>
  </si>
  <si>
    <t>Producción para uso final propio</t>
  </si>
  <si>
    <t>Otra producción no de mercado</t>
  </si>
  <si>
    <t>P20</t>
  </si>
  <si>
    <t>Consumo</t>
  </si>
  <si>
    <t>P2</t>
  </si>
  <si>
    <t>Consumo intermedio</t>
  </si>
  <si>
    <t>Consumo intermedio de mercado</t>
  </si>
  <si>
    <t>Consumo intermedio para uso final propio</t>
  </si>
  <si>
    <t>Consumo intermedio no de mercado</t>
  </si>
  <si>
    <t>ATC06</t>
  </si>
  <si>
    <t>Gasto de consumo final</t>
  </si>
  <si>
    <t>Gasto de consumo final de los hogares</t>
  </si>
  <si>
    <t>P3</t>
  </si>
  <si>
    <t>Consumo final</t>
  </si>
  <si>
    <t>Gasto de consumo ISFLH</t>
  </si>
  <si>
    <t>Pb31</t>
  </si>
  <si>
    <t>Gasto de consumo individual ISFLSH</t>
  </si>
  <si>
    <t>Pb32</t>
  </si>
  <si>
    <t>Gasto de consumo colectivo ISFLSH</t>
  </si>
  <si>
    <t>Pc30</t>
  </si>
  <si>
    <t>Gasto de consumo de gobierno</t>
  </si>
  <si>
    <t>Gasto de consumo individual de gobierno</t>
  </si>
  <si>
    <t>Gasto de consumo colectivo de gobierno</t>
  </si>
  <si>
    <t>P41</t>
  </si>
  <si>
    <t>Consumo individual efectivo</t>
  </si>
  <si>
    <t>P4</t>
  </si>
  <si>
    <t>Consumo final efectivo</t>
  </si>
  <si>
    <t>P42</t>
  </si>
  <si>
    <t>Consumo colectivo efectivo</t>
  </si>
  <si>
    <t>P51b</t>
  </si>
  <si>
    <t>ATC07</t>
  </si>
  <si>
    <t>Formación bruta de capital fijo</t>
  </si>
  <si>
    <t>P5</t>
  </si>
  <si>
    <t>Formación de capital</t>
  </si>
  <si>
    <t>Consumo de capital fijo</t>
  </si>
  <si>
    <t>Variación de existencias</t>
  </si>
  <si>
    <t>P53</t>
  </si>
  <si>
    <t>Adquisiciones menos disposiciones de objetos valiosos</t>
  </si>
  <si>
    <t>P60</t>
  </si>
  <si>
    <t>ATC02</t>
  </si>
  <si>
    <t>Exportaciones / Importaciones</t>
  </si>
  <si>
    <t>Exportaciones de bienes y servicios</t>
  </si>
  <si>
    <t>P6</t>
  </si>
  <si>
    <t>Exportaciones de bienes</t>
  </si>
  <si>
    <t>Exportaciones de servicios</t>
  </si>
  <si>
    <t>P70</t>
  </si>
  <si>
    <t>Importaciones de bienes Y SERVICIOS</t>
  </si>
  <si>
    <t>P7</t>
  </si>
  <si>
    <t>Importaciones de bienes y servicios</t>
  </si>
  <si>
    <t>Importaciones de bienes</t>
  </si>
  <si>
    <t>Importaciones de servicios</t>
  </si>
  <si>
    <t>ATC03</t>
  </si>
  <si>
    <t>Ajuste CIF/FOB</t>
  </si>
  <si>
    <t>Ajuste CIF/FOB sobre importaciones</t>
  </si>
  <si>
    <t>ATC04</t>
  </si>
  <si>
    <t>Impuestos menos subvenciones sobre los productos</t>
  </si>
  <si>
    <t>Impuestos tipo valor agregado (IVA)</t>
  </si>
  <si>
    <t>D2</t>
  </si>
  <si>
    <t>Impuestos sobre la producción y las importaciones</t>
  </si>
  <si>
    <t>Impuestos y derechos sobre las importaciones excepto IVA</t>
  </si>
  <si>
    <t>Impuestos sobre las exportaciones</t>
  </si>
  <si>
    <t xml:space="preserve">Impuestos sobre los productos, excepto IVA e impuestos sobre las importaciones </t>
  </si>
  <si>
    <t>D291</t>
  </si>
  <si>
    <t xml:space="preserve">Otros impuestos sobre la producción </t>
  </si>
  <si>
    <t>D29</t>
  </si>
  <si>
    <t>Subvenciones a los productos</t>
  </si>
  <si>
    <t>D3</t>
  </si>
  <si>
    <t>Subvenciones</t>
  </si>
  <si>
    <t>D39</t>
  </si>
  <si>
    <t>ATCO4</t>
  </si>
  <si>
    <t>Otras subvenciones a la producción</t>
  </si>
  <si>
    <t>M11</t>
  </si>
  <si>
    <t>ATC05</t>
  </si>
  <si>
    <t>Márgenes de distribución</t>
  </si>
  <si>
    <t>Márgenes de comercio</t>
  </si>
  <si>
    <t>M1</t>
  </si>
  <si>
    <t>Márgenes de transporte</t>
  </si>
  <si>
    <t>M13</t>
  </si>
  <si>
    <t>Márgenes de distribución de electricidad</t>
  </si>
  <si>
    <t>Correlativo Bioeconomía Productos</t>
  </si>
  <si>
    <t>Bioeconomía Productos</t>
  </si>
  <si>
    <t>Bioeconomía</t>
  </si>
  <si>
    <t>Bioeconomía extendida</t>
  </si>
  <si>
    <t>No bioeconomía</t>
  </si>
  <si>
    <t>Detalle Transacciones</t>
  </si>
  <si>
    <t>Producción no de mercado</t>
  </si>
  <si>
    <t>Total Exportaciones</t>
  </si>
  <si>
    <t>Exportación de bienes</t>
  </si>
  <si>
    <t>Exportación de servicios</t>
  </si>
  <si>
    <t>Importación de bienes</t>
  </si>
  <si>
    <t>Importación de servicios</t>
  </si>
  <si>
    <t>-</t>
  </si>
  <si>
    <t>Impuesto tipo Valor Agregado (IVA)</t>
  </si>
  <si>
    <t>Impuestos y derechos sobre importaciones exluyendo IVA</t>
  </si>
  <si>
    <t>Impuestos sobre la exportación</t>
  </si>
  <si>
    <t>Impuestos a los productos excluyendo IVA, impuestos a la importación</t>
  </si>
  <si>
    <t>P31</t>
  </si>
  <si>
    <t>Gasto de consumo final privado</t>
  </si>
  <si>
    <t>P32</t>
  </si>
  <si>
    <t>Gasto de consumo final público</t>
  </si>
  <si>
    <t>Formación bruta de capital</t>
  </si>
  <si>
    <t>Filas</t>
  </si>
  <si>
    <t>Áreas Transaccionales Filas No.</t>
  </si>
  <si>
    <t>Áreas Transaccionales Filas Descripción</t>
  </si>
  <si>
    <t>Codigo Transacción Filas</t>
  </si>
  <si>
    <t>Código Nomenclatura Local de Productos</t>
  </si>
  <si>
    <t>Nomenclatura Local de Productos</t>
  </si>
  <si>
    <t>Código Bioeconomía Productos</t>
  </si>
  <si>
    <t>ATF01</t>
  </si>
  <si>
    <t>Maíz</t>
  </si>
  <si>
    <t>Trigo</t>
  </si>
  <si>
    <t>Petróleo crudo</t>
  </si>
  <si>
    <t>Gas natural</t>
  </si>
  <si>
    <t>Oro</t>
  </si>
  <si>
    <t>Servicios inmobiliarios</t>
  </si>
  <si>
    <t>ATF03</t>
  </si>
  <si>
    <t>ATF04</t>
  </si>
  <si>
    <t>ATF02</t>
  </si>
  <si>
    <t>ATF05</t>
  </si>
  <si>
    <t>ATF06</t>
  </si>
  <si>
    <t>ATF07</t>
  </si>
  <si>
    <t>Compras directas en el exterior por residentes</t>
  </si>
  <si>
    <t>Compras directas en el territorio nacional por no residentes</t>
  </si>
  <si>
    <t>Valor Agregado</t>
  </si>
  <si>
    <t>Puestos de trabajo</t>
  </si>
  <si>
    <t>1</t>
  </si>
  <si>
    <t>Cultivos anuales (cereales y otros) y forrajeras</t>
  </si>
  <si>
    <t>2</t>
  </si>
  <si>
    <t>Cultivo de hortalizas y productos de viveros</t>
  </si>
  <si>
    <t>3</t>
  </si>
  <si>
    <t>Cultivo de uva</t>
  </si>
  <si>
    <t>4</t>
  </si>
  <si>
    <t>Cultivo de otras frutas</t>
  </si>
  <si>
    <t>5</t>
  </si>
  <si>
    <t>Cría de ganado bovino</t>
  </si>
  <si>
    <t>6</t>
  </si>
  <si>
    <t>Cría de cerdos</t>
  </si>
  <si>
    <t>7</t>
  </si>
  <si>
    <t>Cría de aves de corral</t>
  </si>
  <si>
    <t>8</t>
  </si>
  <si>
    <t>Cría de otros animales</t>
  </si>
  <si>
    <t>9</t>
  </si>
  <si>
    <t>Actividades de apoyo a la agricultura y ganadería</t>
  </si>
  <si>
    <t>Silvicultura y extracción de madera</t>
  </si>
  <si>
    <t>Acuicultura</t>
  </si>
  <si>
    <t>Pesca extractiva</t>
  </si>
  <si>
    <t>13</t>
  </si>
  <si>
    <t>Extracción de carbón</t>
  </si>
  <si>
    <t>14</t>
  </si>
  <si>
    <t>Extracción de petróleo y gas natural</t>
  </si>
  <si>
    <t>Minería del cobre</t>
  </si>
  <si>
    <t>16</t>
  </si>
  <si>
    <t>Minería del hierro</t>
  </si>
  <si>
    <t>Minería de otros metalíferos no ferrosos</t>
  </si>
  <si>
    <t>Explotación de otras minas y servicios de apoyo a la minería</t>
  </si>
  <si>
    <t>Elaboración y conservación de carne</t>
  </si>
  <si>
    <t>20</t>
  </si>
  <si>
    <t>Elaboración de harina y aceite de pescado</t>
  </si>
  <si>
    <t>Elaboración y conservación de pescados y mariscos</t>
  </si>
  <si>
    <t>Elaboración y conservación de vegetales</t>
  </si>
  <si>
    <t>Elaboración de aceites</t>
  </si>
  <si>
    <t>Elaboración de productos de molinería</t>
  </si>
  <si>
    <t>Elaboración de alimentos para animales</t>
  </si>
  <si>
    <t>Elaboración de productos de panadería</t>
  </si>
  <si>
    <t>Elaboración de fideos y pastas</t>
  </si>
  <si>
    <t>Elaboración de otros productos alimenticios</t>
  </si>
  <si>
    <t>Elaboración de piscos y licores</t>
  </si>
  <si>
    <t>Elaboración de vinos</t>
  </si>
  <si>
    <t>Elaboración de cervezas</t>
  </si>
  <si>
    <t>Elaboración de bebidas no alcohólicas</t>
  </si>
  <si>
    <t>Elaboración de productos de tabaco</t>
  </si>
  <si>
    <t>Fabricación de productos textiles</t>
  </si>
  <si>
    <t>36</t>
  </si>
  <si>
    <t>Fabricación de prendas de vestir</t>
  </si>
  <si>
    <t>37</t>
  </si>
  <si>
    <t>Elaboración de cuero y sus productos</t>
  </si>
  <si>
    <t>38</t>
  </si>
  <si>
    <t>Fabricación de calzado</t>
  </si>
  <si>
    <t>39</t>
  </si>
  <si>
    <t>Aserrado y acepilladura de maderas</t>
  </si>
  <si>
    <t>40</t>
  </si>
  <si>
    <t>Fabricación de productos de madera</t>
  </si>
  <si>
    <t>41</t>
  </si>
  <si>
    <t>Fabricación de celulosa</t>
  </si>
  <si>
    <t>42</t>
  </si>
  <si>
    <t>Fabricación de envases de papel y cartón</t>
  </si>
  <si>
    <t>43</t>
  </si>
  <si>
    <t>Fabricación de otros artículos de papel y cartón</t>
  </si>
  <si>
    <t>44</t>
  </si>
  <si>
    <t>Imprentas</t>
  </si>
  <si>
    <t>45</t>
  </si>
  <si>
    <t>Elaboración de combustibles</t>
  </si>
  <si>
    <t>46</t>
  </si>
  <si>
    <t>Fabricación de sustancias químicas básicas</t>
  </si>
  <si>
    <t>47</t>
  </si>
  <si>
    <t>Fabricación de pinturas y barnices</t>
  </si>
  <si>
    <t>48</t>
  </si>
  <si>
    <t>Fabricación de productos farmacéuticos</t>
  </si>
  <si>
    <t>49</t>
  </si>
  <si>
    <t>Fabricación de productos de aseo y cosméticos</t>
  </si>
  <si>
    <t>50</t>
  </si>
  <si>
    <t>Fabricación de otros productos químicos</t>
  </si>
  <si>
    <t>51</t>
  </si>
  <si>
    <t>Fabricación de productos de caucho</t>
  </si>
  <si>
    <t>52</t>
  </si>
  <si>
    <t>Fabricación de productos de plástico</t>
  </si>
  <si>
    <t>53</t>
  </si>
  <si>
    <t>Fabricación de vidrio y productos de vidrio</t>
  </si>
  <si>
    <t>54</t>
  </si>
  <si>
    <t>Fabricación de cemento, cal y yeso</t>
  </si>
  <si>
    <t>55</t>
  </si>
  <si>
    <t>Fabricación de hormigón y otros productos minerales no metálicos</t>
  </si>
  <si>
    <t>56</t>
  </si>
  <si>
    <t>Industrias básicas de hierro y acero</t>
  </si>
  <si>
    <t>57</t>
  </si>
  <si>
    <t>Industrias básicas de metales no ferrosos</t>
  </si>
  <si>
    <t>58</t>
  </si>
  <si>
    <t>Fabricación de productos metálicos</t>
  </si>
  <si>
    <t>59</t>
  </si>
  <si>
    <t>Fabricación de maquinaria y equipo de uso industrial y doméstico</t>
  </si>
  <si>
    <t>60</t>
  </si>
  <si>
    <t>Fabricación de maquinaria y equipo eléctrico y electrónico</t>
  </si>
  <si>
    <t>61</t>
  </si>
  <si>
    <t>Fabricación de equipo de transporte</t>
  </si>
  <si>
    <t>62</t>
  </si>
  <si>
    <t>Fabricación de muebles</t>
  </si>
  <si>
    <t>63</t>
  </si>
  <si>
    <t>Reparación de maquinaria y equipo y otras industrias manufactureras</t>
  </si>
  <si>
    <t>64</t>
  </si>
  <si>
    <t>Generación de electricidad</t>
  </si>
  <si>
    <t>65</t>
  </si>
  <si>
    <t>Transmisión de electricidad</t>
  </si>
  <si>
    <t>66</t>
  </si>
  <si>
    <t>Distribución de electricidad</t>
  </si>
  <si>
    <t>67</t>
  </si>
  <si>
    <t>Suministro de gas y vapor</t>
  </si>
  <si>
    <t>68</t>
  </si>
  <si>
    <t>69</t>
  </si>
  <si>
    <t>Gestión de desechos y reciclaje</t>
  </si>
  <si>
    <t>70</t>
  </si>
  <si>
    <t>Construcción de edificios residenciales</t>
  </si>
  <si>
    <t>71</t>
  </si>
  <si>
    <t>Construcción de edificios no residenciales</t>
  </si>
  <si>
    <t>72</t>
  </si>
  <si>
    <t>Construcción de obras de ingeniería civil</t>
  </si>
  <si>
    <t>73</t>
  </si>
  <si>
    <t>Actividades especializadas de construcción</t>
  </si>
  <si>
    <t>74</t>
  </si>
  <si>
    <t>Comercio automotriz</t>
  </si>
  <si>
    <t>75</t>
  </si>
  <si>
    <t>Comercio mayorista</t>
  </si>
  <si>
    <t>76</t>
  </si>
  <si>
    <t>Comercio minorista</t>
  </si>
  <si>
    <t>77</t>
  </si>
  <si>
    <t>Hoteles</t>
  </si>
  <si>
    <t>78</t>
  </si>
  <si>
    <t>Restaurantes</t>
  </si>
  <si>
    <t>79</t>
  </si>
  <si>
    <t>Transporte ferroviario</t>
  </si>
  <si>
    <t>80</t>
  </si>
  <si>
    <t>Otros transportes terrestres de pasajeros</t>
  </si>
  <si>
    <t>81</t>
  </si>
  <si>
    <t>Transporte de carga por carretera</t>
  </si>
  <si>
    <t>82</t>
  </si>
  <si>
    <t>Transporte por tuberías (gasoductos y oleoductos)</t>
  </si>
  <si>
    <t>83</t>
  </si>
  <si>
    <t>Transporte marítimo</t>
  </si>
  <si>
    <t>84</t>
  </si>
  <si>
    <t>Transporte aéreo</t>
  </si>
  <si>
    <t>85</t>
  </si>
  <si>
    <t>Actividades de almacenamiento y depósito</t>
  </si>
  <si>
    <t>86</t>
  </si>
  <si>
    <t>Actividades de apoyo al transporte terrestre</t>
  </si>
  <si>
    <t>87</t>
  </si>
  <si>
    <t>Otras actividades de apoyo al transporte</t>
  </si>
  <si>
    <t>88</t>
  </si>
  <si>
    <t>Correo y servicios de mensajería</t>
  </si>
  <si>
    <t>89</t>
  </si>
  <si>
    <t>Telefonía móvil</t>
  </si>
  <si>
    <t>90</t>
  </si>
  <si>
    <t>Telefonía fija y larga distancia</t>
  </si>
  <si>
    <t>91</t>
  </si>
  <si>
    <t>Otras actividades de telecomunicaciones</t>
  </si>
  <si>
    <t>92</t>
  </si>
  <si>
    <t>Actividades de servicios informáticos e información</t>
  </si>
  <si>
    <t>93</t>
  </si>
  <si>
    <t>Otras actividades de edición, producción y difusión</t>
  </si>
  <si>
    <t>94</t>
  </si>
  <si>
    <t>Intermediación financiera</t>
  </si>
  <si>
    <t>95</t>
  </si>
  <si>
    <t>Actividades de seguros y reaseguros</t>
  </si>
  <si>
    <t>96</t>
  </si>
  <si>
    <t>Auxiliares financieros</t>
  </si>
  <si>
    <t>97</t>
  </si>
  <si>
    <t>98</t>
  </si>
  <si>
    <t>Servicios de vivienda</t>
  </si>
  <si>
    <t>99</t>
  </si>
  <si>
    <t>Actividades de servicios jurídicos y contables</t>
  </si>
  <si>
    <t>100</t>
  </si>
  <si>
    <t>Actividades de arquitectura e ingeniería</t>
  </si>
  <si>
    <t>101</t>
  </si>
  <si>
    <t>Otras actividades profesionales, científicas y técnicas</t>
  </si>
  <si>
    <t>102</t>
  </si>
  <si>
    <t>Actividades de alquiler y arrendamiento</t>
  </si>
  <si>
    <t>103</t>
  </si>
  <si>
    <t>Actividades administrativas y de apoyo</t>
  </si>
  <si>
    <t>104</t>
  </si>
  <si>
    <t>105</t>
  </si>
  <si>
    <t>Educación pública</t>
  </si>
  <si>
    <t>106</t>
  </si>
  <si>
    <t>Educación privada</t>
  </si>
  <si>
    <t>107</t>
  </si>
  <si>
    <t>Salud pública</t>
  </si>
  <si>
    <t>108</t>
  </si>
  <si>
    <t>Salud privada y asistencia social</t>
  </si>
  <si>
    <t>109</t>
  </si>
  <si>
    <t>Actividades asociaciones</t>
  </si>
  <si>
    <t>110</t>
  </si>
  <si>
    <t>Actividades artísticas, entretenimiento y recreación</t>
  </si>
  <si>
    <t>111</t>
  </si>
  <si>
    <t>Otras actividades de servicios personales</t>
  </si>
  <si>
    <t>Total</t>
  </si>
  <si>
    <t>Producto</t>
  </si>
  <si>
    <t>Producción bruta precio básico</t>
  </si>
  <si>
    <t>Importaciones precios cif</t>
  </si>
  <si>
    <t>Oferta total precio básico</t>
  </si>
  <si>
    <t>Impuestos indirectos sobre bienes y servicios</t>
  </si>
  <si>
    <t>Derechos de importación</t>
  </si>
  <si>
    <t>Oferta total precio productor</t>
  </si>
  <si>
    <t>Margen de comercio</t>
  </si>
  <si>
    <t>Impuesto al valor agregado</t>
  </si>
  <si>
    <t>Oferta total precio usuario</t>
  </si>
  <si>
    <t>Consumo de hogares</t>
  </si>
  <si>
    <t>Consumo de IPSFL</t>
  </si>
  <si>
    <t>Consumo de gobierno</t>
  </si>
  <si>
    <t>Exportaciones</t>
  </si>
  <si>
    <t>Utilización total</t>
  </si>
  <si>
    <t>CHLoc001</t>
  </si>
  <si>
    <t>CHLoc002</t>
  </si>
  <si>
    <t>CHLoc003</t>
  </si>
  <si>
    <t>CHLoc004</t>
  </si>
  <si>
    <t>CHLoc005</t>
  </si>
  <si>
    <t>CHLoc006</t>
  </si>
  <si>
    <t>CHLoc007</t>
  </si>
  <si>
    <t>CHLoc008</t>
  </si>
  <si>
    <t>CHLoc009</t>
  </si>
  <si>
    <t>CHLoc010</t>
  </si>
  <si>
    <t>CHLoc011</t>
  </si>
  <si>
    <t>CHLoc012</t>
  </si>
  <si>
    <t>CHLoc013</t>
  </si>
  <si>
    <t>CHLoc014</t>
  </si>
  <si>
    <t>CHLoc015</t>
  </si>
  <si>
    <t>CHLoc016</t>
  </si>
  <si>
    <t>CHLoc017</t>
  </si>
  <si>
    <t>CHLoc018</t>
  </si>
  <si>
    <t>CHLoc019</t>
  </si>
  <si>
    <t>CHLoc020</t>
  </si>
  <si>
    <t>CHLoc021</t>
  </si>
  <si>
    <t>CHLoc022</t>
  </si>
  <si>
    <t>CHLoc023</t>
  </si>
  <si>
    <t>CHLoc024</t>
  </si>
  <si>
    <t>CHLoc025</t>
  </si>
  <si>
    <t>CHLoc026</t>
  </si>
  <si>
    <t>CHLoc027</t>
  </si>
  <si>
    <t>CHLoc028</t>
  </si>
  <si>
    <t>CHLoc029</t>
  </si>
  <si>
    <t>CHLoc030</t>
  </si>
  <si>
    <t>CHLoc031</t>
  </si>
  <si>
    <t>CHLoc032</t>
  </si>
  <si>
    <t>CHLoc033</t>
  </si>
  <si>
    <t>CHLoc034</t>
  </si>
  <si>
    <t>CHLoc035</t>
  </si>
  <si>
    <t>CHLoc036</t>
  </si>
  <si>
    <t>CHLoc037</t>
  </si>
  <si>
    <t>CHLoc038</t>
  </si>
  <si>
    <t>CHLoc039</t>
  </si>
  <si>
    <t>CHLoc040</t>
  </si>
  <si>
    <t>CHLoc041</t>
  </si>
  <si>
    <t>CHLoc042</t>
  </si>
  <si>
    <t>CHLoc043</t>
  </si>
  <si>
    <t>CHLoc044</t>
  </si>
  <si>
    <t>CHLoc045</t>
  </si>
  <si>
    <t>CHLoc046</t>
  </si>
  <si>
    <t>CHLoc047</t>
  </si>
  <si>
    <t>CHLoc048</t>
  </si>
  <si>
    <t>CHLoc049</t>
  </si>
  <si>
    <t>CHLoc050</t>
  </si>
  <si>
    <t>CHLoc051</t>
  </si>
  <si>
    <t>CHLoc052</t>
  </si>
  <si>
    <t>CHLoc053</t>
  </si>
  <si>
    <t>CHLoc054</t>
  </si>
  <si>
    <t>CHLoc055</t>
  </si>
  <si>
    <t>CHLoc056</t>
  </si>
  <si>
    <t>CHLoc057</t>
  </si>
  <si>
    <t>CHLoc058</t>
  </si>
  <si>
    <t>CHLoc059</t>
  </si>
  <si>
    <t>CHLoc060</t>
  </si>
  <si>
    <t>CHLoc061</t>
  </si>
  <si>
    <t>CHLoc062</t>
  </si>
  <si>
    <t>CHLoc063</t>
  </si>
  <si>
    <t>CHLoc064</t>
  </si>
  <si>
    <t>CHLoc065</t>
  </si>
  <si>
    <t>CHLoc066</t>
  </si>
  <si>
    <t>CHLoc067</t>
  </si>
  <si>
    <t>CHLoc068</t>
  </si>
  <si>
    <t>CHLoc069</t>
  </si>
  <si>
    <t>CHLoc070</t>
  </si>
  <si>
    <t>CHLoc071</t>
  </si>
  <si>
    <t>CHLoc072</t>
  </si>
  <si>
    <t>CHLoc073</t>
  </si>
  <si>
    <t>CHLoc074</t>
  </si>
  <si>
    <t>CHLoc075</t>
  </si>
  <si>
    <t>CHLoc076</t>
  </si>
  <si>
    <t>CHLoc077</t>
  </si>
  <si>
    <t>CHLoc078</t>
  </si>
  <si>
    <t>CHLoc079</t>
  </si>
  <si>
    <t>CHLoc080</t>
  </si>
  <si>
    <t>CHLoc081</t>
  </si>
  <si>
    <t>CHLoc082</t>
  </si>
  <si>
    <t>CHLoc083</t>
  </si>
  <si>
    <t>CHLoc084</t>
  </si>
  <si>
    <t>CHLoc085</t>
  </si>
  <si>
    <t>CHLoc086</t>
  </si>
  <si>
    <t>CHLoc087</t>
  </si>
  <si>
    <t>CHLoc088</t>
  </si>
  <si>
    <t>CHLoc089</t>
  </si>
  <si>
    <t>CHLoc090</t>
  </si>
  <si>
    <t>CHLoc091</t>
  </si>
  <si>
    <t>CHLoc092</t>
  </si>
  <si>
    <t>CHLoc093</t>
  </si>
  <si>
    <t>CHLoc094</t>
  </si>
  <si>
    <t>CHLoc095</t>
  </si>
  <si>
    <t>CHLoc096</t>
  </si>
  <si>
    <t>CHLoc097</t>
  </si>
  <si>
    <t>CHLoc098</t>
  </si>
  <si>
    <t>CHLoc099</t>
  </si>
  <si>
    <t>CHLoc100</t>
  </si>
  <si>
    <t>CHLoc101</t>
  </si>
  <si>
    <t>CHLoc102</t>
  </si>
  <si>
    <t>CHLoc103</t>
  </si>
  <si>
    <t>CHLoc104</t>
  </si>
  <si>
    <t>CHLoc105</t>
  </si>
  <si>
    <t>CHLoc106</t>
  </si>
  <si>
    <t>CHLoc107</t>
  </si>
  <si>
    <t>CHLoc108</t>
  </si>
  <si>
    <t>CHLoc109</t>
  </si>
  <si>
    <t>CHLoc110</t>
  </si>
  <si>
    <t>CHLoc111</t>
  </si>
  <si>
    <t>CHLoc112</t>
  </si>
  <si>
    <t>CHLoc113</t>
  </si>
  <si>
    <t>CHLoc114</t>
  </si>
  <si>
    <t>CHLoc115</t>
  </si>
  <si>
    <t>CHLoc116</t>
  </si>
  <si>
    <t>CHLoc117</t>
  </si>
  <si>
    <t>CHLoc118</t>
  </si>
  <si>
    <t>CHLoc119</t>
  </si>
  <si>
    <t>CHLoc120</t>
  </si>
  <si>
    <t>CHLoc121</t>
  </si>
  <si>
    <t>CHLoc122</t>
  </si>
  <si>
    <t>CHLuc001</t>
  </si>
  <si>
    <t>CHLuc002</t>
  </si>
  <si>
    <t>CHLuc003</t>
  </si>
  <si>
    <t>CHLuc004</t>
  </si>
  <si>
    <t>CHLuc005</t>
  </si>
  <si>
    <t>CHLuc006</t>
  </si>
  <si>
    <t>CHLuc007</t>
  </si>
  <si>
    <t>CHLuc008</t>
  </si>
  <si>
    <t>CHLuc009</t>
  </si>
  <si>
    <t>CHLuc010</t>
  </si>
  <si>
    <t>CHLuc011</t>
  </si>
  <si>
    <t>CHLuc012</t>
  </si>
  <si>
    <t>CHLuc013</t>
  </si>
  <si>
    <t>CHLuc014</t>
  </si>
  <si>
    <t>CHLuc015</t>
  </si>
  <si>
    <t>CHLuc016</t>
  </si>
  <si>
    <t>CHLuc017</t>
  </si>
  <si>
    <t>CHLuc018</t>
  </si>
  <si>
    <t>CHLuc019</t>
  </si>
  <si>
    <t>CHLuc020</t>
  </si>
  <si>
    <t>CHLuc021</t>
  </si>
  <si>
    <t>CHLuc022</t>
  </si>
  <si>
    <t>CHLuc023</t>
  </si>
  <si>
    <t>CHLuc024</t>
  </si>
  <si>
    <t>CHLuc025</t>
  </si>
  <si>
    <t>CHLuc026</t>
  </si>
  <si>
    <t>CHLuc027</t>
  </si>
  <si>
    <t>CHLuc028</t>
  </si>
  <si>
    <t>CHLuc029</t>
  </si>
  <si>
    <t>CHLuc030</t>
  </si>
  <si>
    <t>CHLuc031</t>
  </si>
  <si>
    <t>CHLuc032</t>
  </si>
  <si>
    <t>CHLuc033</t>
  </si>
  <si>
    <t>CHLuc034</t>
  </si>
  <si>
    <t>CHLuc035</t>
  </si>
  <si>
    <t>CHLuc036</t>
  </si>
  <si>
    <t>CHLuc037</t>
  </si>
  <si>
    <t>CHLuc038</t>
  </si>
  <si>
    <t>CHLuc039</t>
  </si>
  <si>
    <t>CHLuc040</t>
  </si>
  <si>
    <t>CHLuc041</t>
  </si>
  <si>
    <t>CHLuc042</t>
  </si>
  <si>
    <t>CHLuc043</t>
  </si>
  <si>
    <t>CHLuc044</t>
  </si>
  <si>
    <t>CHLuc045</t>
  </si>
  <si>
    <t>CHLuc046</t>
  </si>
  <si>
    <t>CHLuc047</t>
  </si>
  <si>
    <t>CHLuc048</t>
  </si>
  <si>
    <t>CHLuc049</t>
  </si>
  <si>
    <t>CHLuc050</t>
  </si>
  <si>
    <t>CHLuc051</t>
  </si>
  <si>
    <t>CHLuc052</t>
  </si>
  <si>
    <t>CHLuc053</t>
  </si>
  <si>
    <t>CHLuc054</t>
  </si>
  <si>
    <t>CHLuc055</t>
  </si>
  <si>
    <t>CHLuc056</t>
  </si>
  <si>
    <t>CHLuc057</t>
  </si>
  <si>
    <t>CHLuc058</t>
  </si>
  <si>
    <t>CHLuc059</t>
  </si>
  <si>
    <t>CHLuc060</t>
  </si>
  <si>
    <t>CHLuc061</t>
  </si>
  <si>
    <t>CHLuc062</t>
  </si>
  <si>
    <t>CHLuc063</t>
  </si>
  <si>
    <t>CHLuc064</t>
  </si>
  <si>
    <t>CHLuc065</t>
  </si>
  <si>
    <t>CHLuc066</t>
  </si>
  <si>
    <t>CHLuc067</t>
  </si>
  <si>
    <t>CHLuc068</t>
  </si>
  <si>
    <t>CHLuc069</t>
  </si>
  <si>
    <t>CHLuc070</t>
  </si>
  <si>
    <t>CHLuc071</t>
  </si>
  <si>
    <t>CHLuc072</t>
  </si>
  <si>
    <t>CHLuc073</t>
  </si>
  <si>
    <t>CHLuc074</t>
  </si>
  <si>
    <t>CHLuc075</t>
  </si>
  <si>
    <t>CHLuc076</t>
  </si>
  <si>
    <t>CHLuc077</t>
  </si>
  <si>
    <t>CHLuc078</t>
  </si>
  <si>
    <t>CHLuc079</t>
  </si>
  <si>
    <t>CHLuc080</t>
  </si>
  <si>
    <t>CHLuc081</t>
  </si>
  <si>
    <t>CHLuc082</t>
  </si>
  <si>
    <t>CHLuc083</t>
  </si>
  <si>
    <t>CHLuc084</t>
  </si>
  <si>
    <t>CHLuc085</t>
  </si>
  <si>
    <t>CHLuc086</t>
  </si>
  <si>
    <t>CHLuc087</t>
  </si>
  <si>
    <t>CHLuc088</t>
  </si>
  <si>
    <t>CHLuc089</t>
  </si>
  <si>
    <t>CHLuc090</t>
  </si>
  <si>
    <t>CHLuc091</t>
  </si>
  <si>
    <t>CHLuc092</t>
  </si>
  <si>
    <t>CHLuc093</t>
  </si>
  <si>
    <t>CHLuc094</t>
  </si>
  <si>
    <t>CHLuc095</t>
  </si>
  <si>
    <t>CHLuc096</t>
  </si>
  <si>
    <t>CHLuc097</t>
  </si>
  <si>
    <t>CHLuc098</t>
  </si>
  <si>
    <t>CHLuc099</t>
  </si>
  <si>
    <t>CHLuc100</t>
  </si>
  <si>
    <t>CHLuc101</t>
  </si>
  <si>
    <t>CHLuc102</t>
  </si>
  <si>
    <t>CHLuc103</t>
  </si>
  <si>
    <t>CHLuc104</t>
  </si>
  <si>
    <t>CHLuc105</t>
  </si>
  <si>
    <t>CHLuc106</t>
  </si>
  <si>
    <t>CHLuc107</t>
  </si>
  <si>
    <t>CHLuc108</t>
  </si>
  <si>
    <t>CHLuc109</t>
  </si>
  <si>
    <t>CHLuc110</t>
  </si>
  <si>
    <t>CHLuc111</t>
  </si>
  <si>
    <t>CHLuc112</t>
  </si>
  <si>
    <t>CHLuc113</t>
  </si>
  <si>
    <t>CHLuc114</t>
  </si>
  <si>
    <t>CHLuc115</t>
  </si>
  <si>
    <t>CHLuc116</t>
  </si>
  <si>
    <t>CHLuc117</t>
  </si>
  <si>
    <t>CHLuc118</t>
  </si>
  <si>
    <t>CHLuc119</t>
  </si>
  <si>
    <t>CHLuc120</t>
  </si>
  <si>
    <t>CHLuc121</t>
  </si>
  <si>
    <t>CHLuc122</t>
  </si>
  <si>
    <t>CHLvc001</t>
  </si>
  <si>
    <t>CHLvc002</t>
  </si>
  <si>
    <t>CHLvc003</t>
  </si>
  <si>
    <t>CHLvc004</t>
  </si>
  <si>
    <t>CHLvc005</t>
  </si>
  <si>
    <t>CHLvc006</t>
  </si>
  <si>
    <t>CHLvc007</t>
  </si>
  <si>
    <t>CHLvc008</t>
  </si>
  <si>
    <t>CHLvc009</t>
  </si>
  <si>
    <t>CHLvc010</t>
  </si>
  <si>
    <t>CHLvc011</t>
  </si>
  <si>
    <t>CHLvc012</t>
  </si>
  <si>
    <t>CHLvc013</t>
  </si>
  <si>
    <t>CHLvc014</t>
  </si>
  <si>
    <t>CHLvc015</t>
  </si>
  <si>
    <t>CHLvc016</t>
  </si>
  <si>
    <t>CHLvc017</t>
  </si>
  <si>
    <t>CHLvc018</t>
  </si>
  <si>
    <t>CHLvc019</t>
  </si>
  <si>
    <t>CHLvc020</t>
  </si>
  <si>
    <t>CHLvc021</t>
  </si>
  <si>
    <t>CHLvc022</t>
  </si>
  <si>
    <t>CHLvc023</t>
  </si>
  <si>
    <t>CHLvc024</t>
  </si>
  <si>
    <t>CHLvc025</t>
  </si>
  <si>
    <t>CHLvc026</t>
  </si>
  <si>
    <t>CHLvc027</t>
  </si>
  <si>
    <t>CHLvc028</t>
  </si>
  <si>
    <t>CHLvc029</t>
  </si>
  <si>
    <t>CHLvc030</t>
  </si>
  <si>
    <t>CHLvc031</t>
  </si>
  <si>
    <t>CHLvc032</t>
  </si>
  <si>
    <t>CHLvc033</t>
  </si>
  <si>
    <t>CHLvc034</t>
  </si>
  <si>
    <t>CHLvc035</t>
  </si>
  <si>
    <t>CHLvc036</t>
  </si>
  <si>
    <t>CHLvc037</t>
  </si>
  <si>
    <t>CHLvc038</t>
  </si>
  <si>
    <t>CHLvc039</t>
  </si>
  <si>
    <t>CHLvc040</t>
  </si>
  <si>
    <t>CHLvc041</t>
  </si>
  <si>
    <t>CHLvc042</t>
  </si>
  <si>
    <t>CHLvc043</t>
  </si>
  <si>
    <t>CHLvc044</t>
  </si>
  <si>
    <t>CHLvc045</t>
  </si>
  <si>
    <t>CHLvc046</t>
  </si>
  <si>
    <t>CHLvc047</t>
  </si>
  <si>
    <t>CHLvc048</t>
  </si>
  <si>
    <t>CHLvc049</t>
  </si>
  <si>
    <t>CHLvc050</t>
  </si>
  <si>
    <t>CHLvc051</t>
  </si>
  <si>
    <t>CHLvc052</t>
  </si>
  <si>
    <t>CHLvc053</t>
  </si>
  <si>
    <t>CHLvc054</t>
  </si>
  <si>
    <t>CHLvc055</t>
  </si>
  <si>
    <t>CHLvc056</t>
  </si>
  <si>
    <t>CHLvc057</t>
  </si>
  <si>
    <t>CHLvc058</t>
  </si>
  <si>
    <t>CHLvc059</t>
  </si>
  <si>
    <t>CHLvc060</t>
  </si>
  <si>
    <t>CHLvc061</t>
  </si>
  <si>
    <t>CHLvc062</t>
  </si>
  <si>
    <t>CHLvc063</t>
  </si>
  <si>
    <t>CHLvc064</t>
  </si>
  <si>
    <t>CHLvc065</t>
  </si>
  <si>
    <t>CHLvc066</t>
  </si>
  <si>
    <t>CHLvc067</t>
  </si>
  <si>
    <t>CHLvc068</t>
  </si>
  <si>
    <t>CHLvc069</t>
  </si>
  <si>
    <t>CHLvc070</t>
  </si>
  <si>
    <t>CHLvc071</t>
  </si>
  <si>
    <t>CHLvc072</t>
  </si>
  <si>
    <t>CHLvc073</t>
  </si>
  <si>
    <t>CHLvc074</t>
  </si>
  <si>
    <t>CHLvc075</t>
  </si>
  <si>
    <t>CHLvc076</t>
  </si>
  <si>
    <t>CHLvc077</t>
  </si>
  <si>
    <t>CHLvc078</t>
  </si>
  <si>
    <t>CHLvc079</t>
  </si>
  <si>
    <t>CHLvc080</t>
  </si>
  <si>
    <t>CHLvc081</t>
  </si>
  <si>
    <t>CHLvc082</t>
  </si>
  <si>
    <t>CHLvc083</t>
  </si>
  <si>
    <t>CHLvc084</t>
  </si>
  <si>
    <t>CHLvc085</t>
  </si>
  <si>
    <t>CHLvc086</t>
  </si>
  <si>
    <t>CHLvc087</t>
  </si>
  <si>
    <t>CHLvc088</t>
  </si>
  <si>
    <t>CHLvc089</t>
  </si>
  <si>
    <t>CHLvc090</t>
  </si>
  <si>
    <t>CHLvc091</t>
  </si>
  <si>
    <t>CHLvc092</t>
  </si>
  <si>
    <t>CHLvc093</t>
  </si>
  <si>
    <t>CHLvc094</t>
  </si>
  <si>
    <t>CHLvc095</t>
  </si>
  <si>
    <t>CHLvc096</t>
  </si>
  <si>
    <t>CHLvc097</t>
  </si>
  <si>
    <t>CHLvc098</t>
  </si>
  <si>
    <t>CHLvc099</t>
  </si>
  <si>
    <t>CHLvc100</t>
  </si>
  <si>
    <t>CHLvc101</t>
  </si>
  <si>
    <t>CHLvc102</t>
  </si>
  <si>
    <t>CHLvc103</t>
  </si>
  <si>
    <t>CHLvc104</t>
  </si>
  <si>
    <t>CHLvc105</t>
  </si>
  <si>
    <t>CHLvc106</t>
  </si>
  <si>
    <t>CHLvc107</t>
  </si>
  <si>
    <t>CHLvc108</t>
  </si>
  <si>
    <t>CHLvc109</t>
  </si>
  <si>
    <t>CHLvc110</t>
  </si>
  <si>
    <t>CHLvc111</t>
  </si>
  <si>
    <t>CHLvc112</t>
  </si>
  <si>
    <t>CHLof001</t>
  </si>
  <si>
    <t>CHLof002</t>
  </si>
  <si>
    <t>CHLof003</t>
  </si>
  <si>
    <t>CHLof004</t>
  </si>
  <si>
    <t>CHLof005</t>
  </si>
  <si>
    <t>CHLof006</t>
  </si>
  <si>
    <t>CHLof007</t>
  </si>
  <si>
    <t>CHLof008</t>
  </si>
  <si>
    <t>CHLof009</t>
  </si>
  <si>
    <t>CHLof010</t>
  </si>
  <si>
    <t>CHLof011</t>
  </si>
  <si>
    <t>CHLof012</t>
  </si>
  <si>
    <t>CHLof013</t>
  </si>
  <si>
    <t>CHLof014</t>
  </si>
  <si>
    <t>CHLof015</t>
  </si>
  <si>
    <t>CHLof016</t>
  </si>
  <si>
    <t>CHLof017</t>
  </si>
  <si>
    <t>CHLof018</t>
  </si>
  <si>
    <t>CHLof019</t>
  </si>
  <si>
    <t>CHLof020</t>
  </si>
  <si>
    <t>CHLof021</t>
  </si>
  <si>
    <t>CHLof022</t>
  </si>
  <si>
    <t>CHLof023</t>
  </si>
  <si>
    <t>CHLof024</t>
  </si>
  <si>
    <t>CHLof025</t>
  </si>
  <si>
    <t>CHLof026</t>
  </si>
  <si>
    <t>CHLof027</t>
  </si>
  <si>
    <t>CHLof028</t>
  </si>
  <si>
    <t>CHLof029</t>
  </si>
  <si>
    <t>CHLof030</t>
  </si>
  <si>
    <t>CHLof031</t>
  </si>
  <si>
    <t>CHLof032</t>
  </si>
  <si>
    <t>CHLof033</t>
  </si>
  <si>
    <t>CHLof034</t>
  </si>
  <si>
    <t>CHLof035</t>
  </si>
  <si>
    <t>CHLof036</t>
  </si>
  <si>
    <t>CHLof037</t>
  </si>
  <si>
    <t>CHLof038</t>
  </si>
  <si>
    <t>CHLof039</t>
  </si>
  <si>
    <t>CHLof040</t>
  </si>
  <si>
    <t>CHLof041</t>
  </si>
  <si>
    <t>CHLof042</t>
  </si>
  <si>
    <t>CHLof043</t>
  </si>
  <si>
    <t>CHLof044</t>
  </si>
  <si>
    <t>CHLof045</t>
  </si>
  <si>
    <t>CHLof046</t>
  </si>
  <si>
    <t>CHLof047</t>
  </si>
  <si>
    <t>CHLof048</t>
  </si>
  <si>
    <t>CHLof049</t>
  </si>
  <si>
    <t>CHLof050</t>
  </si>
  <si>
    <t>CHLof051</t>
  </si>
  <si>
    <t>CHLof052</t>
  </si>
  <si>
    <t>CHLof053</t>
  </si>
  <si>
    <t>CHLof054</t>
  </si>
  <si>
    <t>CHLof055</t>
  </si>
  <si>
    <t>CHLof056</t>
  </si>
  <si>
    <t>CHLof057</t>
  </si>
  <si>
    <t>CHLof058</t>
  </si>
  <si>
    <t>CHLof059</t>
  </si>
  <si>
    <t>CHLof060</t>
  </si>
  <si>
    <t>CHLof061</t>
  </si>
  <si>
    <t>CHLof062</t>
  </si>
  <si>
    <t>CHLof063</t>
  </si>
  <si>
    <t>CHLof064</t>
  </si>
  <si>
    <t>CHLof065</t>
  </si>
  <si>
    <t>CHLof066</t>
  </si>
  <si>
    <t>CHLof067</t>
  </si>
  <si>
    <t>CHLof068</t>
  </si>
  <si>
    <t>CHLof069</t>
  </si>
  <si>
    <t>CHLof070</t>
  </si>
  <si>
    <t>CHLof071</t>
  </si>
  <si>
    <t>CHLof072</t>
  </si>
  <si>
    <t>CHLof073</t>
  </si>
  <si>
    <t>CHLof074</t>
  </si>
  <si>
    <t>CHLof075</t>
  </si>
  <si>
    <t>CHLof076</t>
  </si>
  <si>
    <t>CHLof077</t>
  </si>
  <si>
    <t>CHLof078</t>
  </si>
  <si>
    <t>CHLof079</t>
  </si>
  <si>
    <t>CHLof080</t>
  </si>
  <si>
    <t>CHLof081</t>
  </si>
  <si>
    <t>CHLof082</t>
  </si>
  <si>
    <t>CHLof083</t>
  </si>
  <si>
    <t>CHLof084</t>
  </si>
  <si>
    <t>CHLof085</t>
  </si>
  <si>
    <t>CHLof086</t>
  </si>
  <si>
    <t>CHLof087</t>
  </si>
  <si>
    <t>CHLof088</t>
  </si>
  <si>
    <t>CHLof089</t>
  </si>
  <si>
    <t>CHLof090</t>
  </si>
  <si>
    <t>CHLof091</t>
  </si>
  <si>
    <t>CHLof092</t>
  </si>
  <si>
    <t>CHLof093</t>
  </si>
  <si>
    <t>CHLof094</t>
  </si>
  <si>
    <t>CHLof095</t>
  </si>
  <si>
    <t>CHLof096</t>
  </si>
  <si>
    <t>CHLof097</t>
  </si>
  <si>
    <t>CHLof098</t>
  </si>
  <si>
    <t>CHLof099</t>
  </si>
  <si>
    <t>CHLof100</t>
  </si>
  <si>
    <t>CHLof101</t>
  </si>
  <si>
    <t>CHLof102</t>
  </si>
  <si>
    <t>CHLof103</t>
  </si>
  <si>
    <t>CHLof104</t>
  </si>
  <si>
    <t>CHLof105</t>
  </si>
  <si>
    <t>CHLof106</t>
  </si>
  <si>
    <t>CHLof107</t>
  </si>
  <si>
    <t>CHLof108</t>
  </si>
  <si>
    <t>CHLof109</t>
  </si>
  <si>
    <t>CHLof110</t>
  </si>
  <si>
    <t>CHLof111</t>
  </si>
  <si>
    <t>CHLof112</t>
  </si>
  <si>
    <t>CHLof113</t>
  </si>
  <si>
    <t>CHLof114</t>
  </si>
  <si>
    <t>CHLof115</t>
  </si>
  <si>
    <t>CHLof116</t>
  </si>
  <si>
    <t>CHLof117</t>
  </si>
  <si>
    <t>CHLof118</t>
  </si>
  <si>
    <t>Otros cereales</t>
  </si>
  <si>
    <t>Tubérculos y legumbres</t>
  </si>
  <si>
    <t>Forrajeras y otros cultivos de uso industrial</t>
  </si>
  <si>
    <t>Hortalizas y setas</t>
  </si>
  <si>
    <t>Uva vinífera y pisquera</t>
  </si>
  <si>
    <t>Uva de mesa</t>
  </si>
  <si>
    <t>Manzanas</t>
  </si>
  <si>
    <t>Duraznos y otros carozos</t>
  </si>
  <si>
    <t>Paltas</t>
  </si>
  <si>
    <t>Kiwis y otras frutas tropicales</t>
  </si>
  <si>
    <t>Arándanos y otras bayas</t>
  </si>
  <si>
    <t>Otras Frutas</t>
  </si>
  <si>
    <t>Ganado bovino</t>
  </si>
  <si>
    <t>Cerdos</t>
  </si>
  <si>
    <t>Aves de corral</t>
  </si>
  <si>
    <t>Leche sin procesar</t>
  </si>
  <si>
    <t>Huevos</t>
  </si>
  <si>
    <t>Otros animales y productos pecuarios</t>
  </si>
  <si>
    <t>Servicios de apoyo a la agricultura, ganadería y silvicultura</t>
  </si>
  <si>
    <t>Coníferas</t>
  </si>
  <si>
    <t>Eucaliptus</t>
  </si>
  <si>
    <t>Leña y otros productos silvícolas</t>
  </si>
  <si>
    <t>Salmones y truchas de cultivo</t>
  </si>
  <si>
    <t>Otros pescados, mariscos y algas</t>
  </si>
  <si>
    <t>Carbón</t>
  </si>
  <si>
    <t>Cobre</t>
  </si>
  <si>
    <t>Minerales de molibdeno y sus concentrados</t>
  </si>
  <si>
    <t>Hierro</t>
  </si>
  <si>
    <t>Plata y otros metalíferos no ferrosos</t>
  </si>
  <si>
    <t>Minerales no metálicos</t>
  </si>
  <si>
    <t>Servicios de exploración minera</t>
  </si>
  <si>
    <t>Carne de bovino</t>
  </si>
  <si>
    <t>Carne de porcino</t>
  </si>
  <si>
    <t>Carne de ave</t>
  </si>
  <si>
    <t>Cecinas y otras carnes</t>
  </si>
  <si>
    <t>Harina de pescado</t>
  </si>
  <si>
    <t>Aceite de pescado</t>
  </si>
  <si>
    <t>Salmon y trucha refrigerados o congelados  </t>
  </si>
  <si>
    <t>Otros pescados refrigerados o congelados  </t>
  </si>
  <si>
    <t>Conservas de pescados y mariscos</t>
  </si>
  <si>
    <t>Conservas de frutas y vegetales</t>
  </si>
  <si>
    <t>Otros aceites y grasas</t>
  </si>
  <si>
    <t>Leche elaborada</t>
  </si>
  <si>
    <t>Otros productos lácteos</t>
  </si>
  <si>
    <t>Harina y subproductos de trigo</t>
  </si>
  <si>
    <t>Arroz y otros productos de molinería</t>
  </si>
  <si>
    <t>Alimento para peces</t>
  </si>
  <si>
    <t>Alimento para aves</t>
  </si>
  <si>
    <t>Otros alimentos para animales</t>
  </si>
  <si>
    <t>Pan y otros productos de panadería</t>
  </si>
  <si>
    <t>Fideos y pastas</t>
  </si>
  <si>
    <t>Azúcar</t>
  </si>
  <si>
    <t>Otros productos alimenticios</t>
  </si>
  <si>
    <t>Piscos y otros licores</t>
  </si>
  <si>
    <t>Vinos</t>
  </si>
  <si>
    <t>Cervezas</t>
  </si>
  <si>
    <t>Bebidas no alcohólicas</t>
  </si>
  <si>
    <t>Productos de tabaco</t>
  </si>
  <si>
    <t>Productos textiles</t>
  </si>
  <si>
    <t>Prendas de vestir</t>
  </si>
  <si>
    <t>Cueros y productos de cuero</t>
  </si>
  <si>
    <t>Calzado</t>
  </si>
  <si>
    <t>Madera aserrada, cepillada y astillada</t>
  </si>
  <si>
    <t>Tableros y madera prensada</t>
  </si>
  <si>
    <t>Otros productos de madera</t>
  </si>
  <si>
    <t>Celulosa</t>
  </si>
  <si>
    <t>Papel periódico</t>
  </si>
  <si>
    <t>Envases de papel y cartón</t>
  </si>
  <si>
    <t>Productos tissue</t>
  </si>
  <si>
    <t>Otros papeles y cartones</t>
  </si>
  <si>
    <t>Libros, diarios, revistas y otros impresos</t>
  </si>
  <si>
    <t>Diésel</t>
  </si>
  <si>
    <t>Gasolinas</t>
  </si>
  <si>
    <t>Kerosene</t>
  </si>
  <si>
    <t>Aceites combustibles</t>
  </si>
  <si>
    <t>Gas licuado y otros combustibles</t>
  </si>
  <si>
    <t>Abonos y plaguicidas</t>
  </si>
  <si>
    <t>Oxido de molibdeno</t>
  </si>
  <si>
    <t>Otros productos químicos básicos</t>
  </si>
  <si>
    <t>Pinturas y barnices</t>
  </si>
  <si>
    <t>Productos farmacéuticos</t>
  </si>
  <si>
    <t>Productos de aseo y cosméticos</t>
  </si>
  <si>
    <t>Explosivos y detonadores</t>
  </si>
  <si>
    <t>Otros productos químicos</t>
  </si>
  <si>
    <t>Productos de caucho</t>
  </si>
  <si>
    <t>Productos de plástico</t>
  </si>
  <si>
    <t>Botellas de vidrio</t>
  </si>
  <si>
    <t>Otros productos de vidrio</t>
  </si>
  <si>
    <t>Cemento, cal y yeso</t>
  </si>
  <si>
    <t>Hormigón premezclado</t>
  </si>
  <si>
    <t>Mezclas asfálticas</t>
  </si>
  <si>
    <t>Otros productos de minerales no metálicos</t>
  </si>
  <si>
    <t>Ferromolibdeno y otros productos básicos de acero</t>
  </si>
  <si>
    <t>Productos de hierro y acero</t>
  </si>
  <si>
    <t>Productos básicos de metales no ferrosos</t>
  </si>
  <si>
    <t>Productos metálicos de uso estructural</t>
  </si>
  <si>
    <t>Otros productos metálicos</t>
  </si>
  <si>
    <t>Maquinaria para uso industrial</t>
  </si>
  <si>
    <t>Computadores y sus componentes</t>
  </si>
  <si>
    <t>Otras maquinarias de oficina</t>
  </si>
  <si>
    <t>Televisores</t>
  </si>
  <si>
    <t>Teléfonos móviles</t>
  </si>
  <si>
    <t>Máquinas y aparatos de uso doméstico</t>
  </si>
  <si>
    <t>Otras maquinarias y equipos eléctricos</t>
  </si>
  <si>
    <t>Automóviles</t>
  </si>
  <si>
    <t>Buses</t>
  </si>
  <si>
    <t>Otros vehículos automotores</t>
  </si>
  <si>
    <t>Material de transporte marítimo y aéreo</t>
  </si>
  <si>
    <t>Otros equipos de transporte terrestre y sus partes y piezas</t>
  </si>
  <si>
    <t>Muebles</t>
  </si>
  <si>
    <t>Otros productos manufacturados y desperdicios</t>
  </si>
  <si>
    <t>Reparación e instalación de maquinaria y equipo, excepto de transporte</t>
  </si>
  <si>
    <t>Servicios de mantenimiento y reparación de equipo de transporte</t>
  </si>
  <si>
    <t>Energía y potencia eléctrica</t>
  </si>
  <si>
    <t>Servicios de transmisión de electricidad</t>
  </si>
  <si>
    <t>Servicios de distribución de electricidad</t>
  </si>
  <si>
    <t>Gas distribuido por ductos</t>
  </si>
  <si>
    <t>Agua</t>
  </si>
  <si>
    <t>Servicios de eliminación de desperdicios y reciclaje</t>
  </si>
  <si>
    <t>Edificios residenciales</t>
  </si>
  <si>
    <t>Edificios no residenciales</t>
  </si>
  <si>
    <t>Obras viales</t>
  </si>
  <si>
    <t>Obras de proyectos de energía eléctrica</t>
  </si>
  <si>
    <t>Obras mineras</t>
  </si>
  <si>
    <t>Otras obras de ingeniería</t>
  </si>
  <si>
    <t>Servicios de construcción</t>
  </si>
  <si>
    <t>Servicios comerciales de intermediación automotriz</t>
  </si>
  <si>
    <t>Servicios comerciales de intermediación mayorista</t>
  </si>
  <si>
    <t>Servicios comerciales de intermediación minorista</t>
  </si>
  <si>
    <t>Servicios comerciales a cambio de una retribución o por contrata</t>
  </si>
  <si>
    <t>Servicios de mantenimiento y reparación de vehículos automotores</t>
  </si>
  <si>
    <t>Servicios de hotelería</t>
  </si>
  <si>
    <t>Servicios de restaurantes</t>
  </si>
  <si>
    <t>Servicios de transporte por ferrocarril</t>
  </si>
  <si>
    <t>Servicios de transporte caminero de pasajeros</t>
  </si>
  <si>
    <t>Servicios de transporte caminero de carga</t>
  </si>
  <si>
    <t>Servicios de transporte marítimo</t>
  </si>
  <si>
    <t>Servicios de arriendo de embarcaciones</t>
  </si>
  <si>
    <t>Servicios de transporte aéreo de pasajeros</t>
  </si>
  <si>
    <t>Servicios de transporte aéreo de carga y arriendo de naves</t>
  </si>
  <si>
    <t>Almacenamiento y depósito</t>
  </si>
  <si>
    <t>Servicios de carreteras, estacionamientos y estaciones de autobuses</t>
  </si>
  <si>
    <t>Servicios de puertos y aeropuertos</t>
  </si>
  <si>
    <t>Otros conexos de transporte</t>
  </si>
  <si>
    <t>Servicio de correo y mensajería</t>
  </si>
  <si>
    <t>Servicios de telefonía móvil</t>
  </si>
  <si>
    <t>Servicios de telefonía fija y de larga distancia</t>
  </si>
  <si>
    <t>Otros servicios de telefonía</t>
  </si>
  <si>
    <t>Servicios informáticos</t>
  </si>
  <si>
    <t>Servicios de edición, producción y difusión</t>
  </si>
  <si>
    <t>Servicios de intermediación financiera</t>
  </si>
  <si>
    <t>Servicios de intermediación financiera medidos indirectamente (SIFMI)</t>
  </si>
  <si>
    <t>Servicios de seguros de vida</t>
  </si>
  <si>
    <t>Servicios de seguros generales</t>
  </si>
  <si>
    <t>Servicios auxiliares de intermediación financiera</t>
  </si>
  <si>
    <t>Servicios jurídicos y contables</t>
  </si>
  <si>
    <t>Servicios de arquitectura e ingeniería</t>
  </si>
  <si>
    <t>Servicios de publicidad e investigación de mercados</t>
  </si>
  <si>
    <t>Investigación y desarrollo</t>
  </si>
  <si>
    <t>Otros servicios profesionales, técnico y de negocios</t>
  </si>
  <si>
    <t>Servicios de alquiler sin operarios</t>
  </si>
  <si>
    <t>Servicios de suministro de personal, limpieza, seguridad y otros de apoyo</t>
  </si>
  <si>
    <t>Servicios de administración pública</t>
  </si>
  <si>
    <t>Servicios de educación pública</t>
  </si>
  <si>
    <t>Servicios de educación privada</t>
  </si>
  <si>
    <t>Servicios de salud pública</t>
  </si>
  <si>
    <t>Servicios de salud privada</t>
  </si>
  <si>
    <t>Servicios sociales y de asociaciones</t>
  </si>
  <si>
    <t>Servicios de esparcimiento</t>
  </si>
  <si>
    <t>Reparación de artículos domésticos</t>
  </si>
  <si>
    <t>Servicio doméstico</t>
  </si>
  <si>
    <t>Otros servicios personales</t>
  </si>
  <si>
    <t>Otros bienes y servicios</t>
  </si>
  <si>
    <t>CHLof119</t>
  </si>
  <si>
    <t>CHLof120</t>
  </si>
  <si>
    <t>CHLof121</t>
  </si>
  <si>
    <t>CHLof122</t>
  </si>
  <si>
    <t>CHLof123</t>
  </si>
  <si>
    <t>CHLof124</t>
  </si>
  <si>
    <t>CHLof125</t>
  </si>
  <si>
    <t>CHLof126</t>
  </si>
  <si>
    <t>CHLof127</t>
  </si>
  <si>
    <t>CHLof128</t>
  </si>
  <si>
    <t>CHLof129</t>
  </si>
  <si>
    <t>CHLof130</t>
  </si>
  <si>
    <t>CHLof131</t>
  </si>
  <si>
    <t>CHLof132</t>
  </si>
  <si>
    <t>CHLof133</t>
  </si>
  <si>
    <t>CHLof134</t>
  </si>
  <si>
    <t>CHLof135</t>
  </si>
  <si>
    <t>CHLof136</t>
  </si>
  <si>
    <t>CHLof137</t>
  </si>
  <si>
    <t>CHLof138</t>
  </si>
  <si>
    <t>CHLof139</t>
  </si>
  <si>
    <t>CHLof140</t>
  </si>
  <si>
    <t>CHLof141</t>
  </si>
  <si>
    <t>CHLof142</t>
  </si>
  <si>
    <t>CHLof143</t>
  </si>
  <si>
    <t>CHLof144</t>
  </si>
  <si>
    <t>CHLof145</t>
  </si>
  <si>
    <t>CHLof146</t>
  </si>
  <si>
    <t>CHLof147</t>
  </si>
  <si>
    <t>CHLof148</t>
  </si>
  <si>
    <t>CHLof149</t>
  </si>
  <si>
    <t>CHLof150</t>
  </si>
  <si>
    <t>CHLof151</t>
  </si>
  <si>
    <t>CHLof152</t>
  </si>
  <si>
    <t>CHLof153</t>
  </si>
  <si>
    <t>CHLof154</t>
  </si>
  <si>
    <t>CHLof155</t>
  </si>
  <si>
    <t>CHLof156</t>
  </si>
  <si>
    <t>CHLof157</t>
  </si>
  <si>
    <t>CHLof158</t>
  </si>
  <si>
    <t>CHLof159</t>
  </si>
  <si>
    <t>CHLof160</t>
  </si>
  <si>
    <t>CHLof161</t>
  </si>
  <si>
    <t>CHLof162</t>
  </si>
  <si>
    <t>CHLof163</t>
  </si>
  <si>
    <t>CHLof164</t>
  </si>
  <si>
    <t>CHLof165</t>
  </si>
  <si>
    <t>CHLof166</t>
  </si>
  <si>
    <t>CHLof167</t>
  </si>
  <si>
    <t>CHLof168</t>
  </si>
  <si>
    <t>CHLof169</t>
  </si>
  <si>
    <t>CHLof170</t>
  </si>
  <si>
    <t>CHLof171</t>
  </si>
  <si>
    <t>CHLof172</t>
  </si>
  <si>
    <t>CHLof173</t>
  </si>
  <si>
    <t>CHLof174</t>
  </si>
  <si>
    <t>CHLof175</t>
  </si>
  <si>
    <t>CHLof176</t>
  </si>
  <si>
    <t>CHLof177</t>
  </si>
  <si>
    <t>CHLof178</t>
  </si>
  <si>
    <t>CHLof179</t>
  </si>
  <si>
    <t>CHLof180</t>
  </si>
  <si>
    <t>CHLof181</t>
  </si>
  <si>
    <t>CHLuf001</t>
  </si>
  <si>
    <t>CHLuf002</t>
  </si>
  <si>
    <t>CHLuf003</t>
  </si>
  <si>
    <t>CHLuf004</t>
  </si>
  <si>
    <t>CHLuf005</t>
  </si>
  <si>
    <t>CHLuf006</t>
  </si>
  <si>
    <t>CHLuf007</t>
  </si>
  <si>
    <t>CHLuf008</t>
  </si>
  <si>
    <t>CHLuf009</t>
  </si>
  <si>
    <t>CHLuf010</t>
  </si>
  <si>
    <t>CHLuf011</t>
  </si>
  <si>
    <t>CHLuf012</t>
  </si>
  <si>
    <t>CHLuf013</t>
  </si>
  <si>
    <t>CHLuf014</t>
  </si>
  <si>
    <t>CHLuf015</t>
  </si>
  <si>
    <t>CHLuf016</t>
  </si>
  <si>
    <t>CHLuf017</t>
  </si>
  <si>
    <t>CHLuf018</t>
  </si>
  <si>
    <t>CHLuf019</t>
  </si>
  <si>
    <t>CHLuf020</t>
  </si>
  <si>
    <t>CHLuf021</t>
  </si>
  <si>
    <t>CHLuf022</t>
  </si>
  <si>
    <t>CHLuf023</t>
  </si>
  <si>
    <t>CHLuf024</t>
  </si>
  <si>
    <t>CHLuf025</t>
  </si>
  <si>
    <t>CHLuf026</t>
  </si>
  <si>
    <t>CHLuf027</t>
  </si>
  <si>
    <t>CHLuf028</t>
  </si>
  <si>
    <t>CHLuf029</t>
  </si>
  <si>
    <t>CHLuf030</t>
  </si>
  <si>
    <t>CHLuf031</t>
  </si>
  <si>
    <t>CHLuf032</t>
  </si>
  <si>
    <t>CHLuf033</t>
  </si>
  <si>
    <t>CHLuf034</t>
  </si>
  <si>
    <t>CHLuf035</t>
  </si>
  <si>
    <t>CHLuf036</t>
  </si>
  <si>
    <t>CHLuf037</t>
  </si>
  <si>
    <t>CHLuf038</t>
  </si>
  <si>
    <t>CHLuf039</t>
  </si>
  <si>
    <t>CHLuf040</t>
  </si>
  <si>
    <t>CHLuf041</t>
  </si>
  <si>
    <t>CHLuf042</t>
  </si>
  <si>
    <t>CHLuf043</t>
  </si>
  <si>
    <t>CHLuf044</t>
  </si>
  <si>
    <t>CHLuf045</t>
  </si>
  <si>
    <t>CHLuf046</t>
  </si>
  <si>
    <t>CHLuf047</t>
  </si>
  <si>
    <t>CHLuf048</t>
  </si>
  <si>
    <t>CHLuf049</t>
  </si>
  <si>
    <t>CHLuf050</t>
  </si>
  <si>
    <t>CHLuf051</t>
  </si>
  <si>
    <t>CHLuf052</t>
  </si>
  <si>
    <t>CHLuf053</t>
  </si>
  <si>
    <t>CHLuf054</t>
  </si>
  <si>
    <t>CHLuf055</t>
  </si>
  <si>
    <t>CHLuf056</t>
  </si>
  <si>
    <t>CHLuf057</t>
  </si>
  <si>
    <t>CHLuf058</t>
  </si>
  <si>
    <t>CHLuf059</t>
  </si>
  <si>
    <t>CHLuf060</t>
  </si>
  <si>
    <t>CHLuf061</t>
  </si>
  <si>
    <t>CHLuf062</t>
  </si>
  <si>
    <t>CHLuf063</t>
  </si>
  <si>
    <t>CHLuf064</t>
  </si>
  <si>
    <t>CHLuf065</t>
  </si>
  <si>
    <t>CHLuf066</t>
  </si>
  <si>
    <t>CHLuf067</t>
  </si>
  <si>
    <t>CHLuf068</t>
  </si>
  <si>
    <t>CHLuf069</t>
  </si>
  <si>
    <t>CHLuf070</t>
  </si>
  <si>
    <t>CHLuf071</t>
  </si>
  <si>
    <t>CHLuf072</t>
  </si>
  <si>
    <t>CHLuf073</t>
  </si>
  <si>
    <t>CHLuf074</t>
  </si>
  <si>
    <t>CHLuf075</t>
  </si>
  <si>
    <t>CHLuf076</t>
  </si>
  <si>
    <t>CHLuf077</t>
  </si>
  <si>
    <t>CHLuf078</t>
  </si>
  <si>
    <t>CHLuf079</t>
  </si>
  <si>
    <t>CHLuf080</t>
  </si>
  <si>
    <t>CHLuf081</t>
  </si>
  <si>
    <t>CHLuf082</t>
  </si>
  <si>
    <t>CHLuf083</t>
  </si>
  <si>
    <t>CHLuf084</t>
  </si>
  <si>
    <t>CHLuf085</t>
  </si>
  <si>
    <t>CHLuf086</t>
  </si>
  <si>
    <t>CHLuf087</t>
  </si>
  <si>
    <t>CHLuf088</t>
  </si>
  <si>
    <t>CHLuf089</t>
  </si>
  <si>
    <t>CHLuf090</t>
  </si>
  <si>
    <t>CHLuf091</t>
  </si>
  <si>
    <t>CHLuf092</t>
  </si>
  <si>
    <t>CHLuf093</t>
  </si>
  <si>
    <t>CHLuf094</t>
  </si>
  <si>
    <t>CHLuf095</t>
  </si>
  <si>
    <t>CHLuf096</t>
  </si>
  <si>
    <t>CHLuf097</t>
  </si>
  <si>
    <t>CHLuf098</t>
  </si>
  <si>
    <t>CHLuf099</t>
  </si>
  <si>
    <t>CHLuf100</t>
  </si>
  <si>
    <t>CHLuf101</t>
  </si>
  <si>
    <t>CHLuf102</t>
  </si>
  <si>
    <t>CHLuf103</t>
  </si>
  <si>
    <t>CHLuf104</t>
  </si>
  <si>
    <t>CHLuf105</t>
  </si>
  <si>
    <t>CHLuf106</t>
  </si>
  <si>
    <t>CHLuf107</t>
  </si>
  <si>
    <t>CHLuf108</t>
  </si>
  <si>
    <t>CHLuf109</t>
  </si>
  <si>
    <t>CHLuf110</t>
  </si>
  <si>
    <t>CHLuf111</t>
  </si>
  <si>
    <t>CHLuf112</t>
  </si>
  <si>
    <t>CHLuf113</t>
  </si>
  <si>
    <t>CHLuf114</t>
  </si>
  <si>
    <t>CHLuf115</t>
  </si>
  <si>
    <t>CHLuf116</t>
  </si>
  <si>
    <t>CHLuf117</t>
  </si>
  <si>
    <t>CHLuf118</t>
  </si>
  <si>
    <t>CHLuf119</t>
  </si>
  <si>
    <t>CHLuf120</t>
  </si>
  <si>
    <t>CHLuf121</t>
  </si>
  <si>
    <t>CHLuf122</t>
  </si>
  <si>
    <t>CHLuf123</t>
  </si>
  <si>
    <t>CHLuf124</t>
  </si>
  <si>
    <t>CHLuf125</t>
  </si>
  <si>
    <t>CHLuf126</t>
  </si>
  <si>
    <t>CHLuf127</t>
  </si>
  <si>
    <t>CHLuf128</t>
  </si>
  <si>
    <t>CHLuf129</t>
  </si>
  <si>
    <t>CHLuf130</t>
  </si>
  <si>
    <t>CHLuf131</t>
  </si>
  <si>
    <t>CHLuf132</t>
  </si>
  <si>
    <t>CHLuf133</t>
  </si>
  <si>
    <t>CHLuf134</t>
  </si>
  <si>
    <t>CHLuf135</t>
  </si>
  <si>
    <t>CHLuf136</t>
  </si>
  <si>
    <t>CHLuf137</t>
  </si>
  <si>
    <t>CHLuf138</t>
  </si>
  <si>
    <t>CHLuf139</t>
  </si>
  <si>
    <t>CHLuf140</t>
  </si>
  <si>
    <t>CHLuf141</t>
  </si>
  <si>
    <t>CHLuf142</t>
  </si>
  <si>
    <t>CHLuf143</t>
  </si>
  <si>
    <t>CHLuf144</t>
  </si>
  <si>
    <t>CHLuf145</t>
  </si>
  <si>
    <t>CHLuf146</t>
  </si>
  <si>
    <t>CHLuf147</t>
  </si>
  <si>
    <t>CHLuf148</t>
  </si>
  <si>
    <t>CHLuf149</t>
  </si>
  <si>
    <t>CHLuf150</t>
  </si>
  <si>
    <t>CHLuf151</t>
  </si>
  <si>
    <t>CHLuf152</t>
  </si>
  <si>
    <t>CHLuf153</t>
  </si>
  <si>
    <t>CHLuf154</t>
  </si>
  <si>
    <t>CHLuf155</t>
  </si>
  <si>
    <t>CHLuf156</t>
  </si>
  <si>
    <t>CHLuf157</t>
  </si>
  <si>
    <t>CHLuf158</t>
  </si>
  <si>
    <t>CHLuf159</t>
  </si>
  <si>
    <t>CHLuf160</t>
  </si>
  <si>
    <t>CHLuf161</t>
  </si>
  <si>
    <t>CHLuf162</t>
  </si>
  <si>
    <t>CHLuf163</t>
  </si>
  <si>
    <t>CHLuf164</t>
  </si>
  <si>
    <t>CHLuf165</t>
  </si>
  <si>
    <t>CHLuf166</t>
  </si>
  <si>
    <t>CHLuf167</t>
  </si>
  <si>
    <t>CHLuf168</t>
  </si>
  <si>
    <t>CHLuf169</t>
  </si>
  <si>
    <t>CHLuf170</t>
  </si>
  <si>
    <t>CHLuf171</t>
  </si>
  <si>
    <t>CHLuf172</t>
  </si>
  <si>
    <t>CHLuf173</t>
  </si>
  <si>
    <t>CHLuf174</t>
  </si>
  <si>
    <t>CHLuf175</t>
  </si>
  <si>
    <t>CHLuf176</t>
  </si>
  <si>
    <t>CHLuf177</t>
  </si>
  <si>
    <t>CHLuf178</t>
  </si>
  <si>
    <t>CHLuf179</t>
  </si>
  <si>
    <t>CHLuf180</t>
  </si>
  <si>
    <t>CHLuf181</t>
  </si>
  <si>
    <t>CHLvf001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</si>
</sst>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</font>
    <font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10"/>
      <color indexed="8"/>
      <name val="MS Sans Serif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10" fillId="0" borderId="0"/>
    <xf numFmtId="0" fontId="12" fillId="0" borderId="0"/>
  </cellStyleXfs>
  <cellXfs count="78">
    <xf numFmtId="0" fontId="0" fillId="0" borderId="0" xfId="0"/>
    <xf numFmtId="0" fontId="1" fillId="0" borderId="0" xfId="0" applyFont="1"/>
    <xf numFmtId="0" fontId="4" fillId="4" borderId="0" xfId="0" applyFont="1" applyFill="1"/>
    <xf numFmtId="0" fontId="0" fillId="5" borderId="0" xfId="0" applyFill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0" fillId="2" borderId="0" xfId="0" applyFill="1" applyBorder="1"/>
    <xf numFmtId="0" fontId="7" fillId="2" borderId="0" xfId="0" applyFont="1" applyFill="1" applyBorder="1" applyAlignment="1">
      <alignment horizontal="center" vertical="center"/>
    </xf>
    <xf numFmtId="0" fontId="6" fillId="2" borderId="0" xfId="0" quotePrefix="1" applyFont="1" applyFill="1" applyBorder="1"/>
    <xf numFmtId="0" fontId="7" fillId="3" borderId="0" xfId="0" applyFont="1" applyFill="1" applyBorder="1"/>
    <xf numFmtId="0" fontId="6" fillId="3" borderId="0" xfId="0" quotePrefix="1" applyFont="1" applyFill="1" applyBorder="1"/>
    <xf numFmtId="0" fontId="0" fillId="3" borderId="0" xfId="0" applyFill="1" applyBorder="1"/>
    <xf numFmtId="0" fontId="7" fillId="3" borderId="0" xfId="0" applyFont="1" applyFill="1" applyBorder="1" applyAlignment="1">
      <alignment horizontal="center" vertical="center"/>
    </xf>
    <xf numFmtId="0" fontId="7" fillId="6" borderId="0" xfId="0" applyFont="1" applyFill="1" applyBorder="1"/>
    <xf numFmtId="0" fontId="8" fillId="2" borderId="0" xfId="0" applyFont="1" applyFill="1" applyBorder="1"/>
    <xf numFmtId="0" fontId="0" fillId="3" borderId="0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left"/>
    </xf>
    <xf numFmtId="0" fontId="0" fillId="0" borderId="0" xfId="0" applyBorder="1"/>
    <xf numFmtId="0" fontId="7" fillId="7" borderId="0" xfId="0" applyFont="1" applyFill="1" applyBorder="1"/>
    <xf numFmtId="0" fontId="2" fillId="2" borderId="0" xfId="0" applyFont="1" applyFill="1" applyBorder="1"/>
    <xf numFmtId="0" fontId="0" fillId="3" borderId="0" xfId="0" applyFill="1" applyBorder="1" applyAlignment="1">
      <alignment horizontal="left"/>
    </xf>
    <xf numFmtId="0" fontId="8" fillId="3" borderId="0" xfId="0" applyFont="1" applyFill="1" applyBorder="1"/>
    <xf numFmtId="0" fontId="0" fillId="2" borderId="1" xfId="0" applyFill="1" applyBorder="1"/>
    <xf numFmtId="0" fontId="7" fillId="7" borderId="2" xfId="0" applyFont="1" applyFill="1" applyBorder="1"/>
    <xf numFmtId="0" fontId="6" fillId="2" borderId="2" xfId="0" quotePrefix="1" applyFont="1" applyFill="1" applyBorder="1"/>
    <xf numFmtId="0" fontId="0" fillId="2" borderId="2" xfId="0" applyFill="1" applyBorder="1" applyAlignment="1">
      <alignment horizontal="left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0" fillId="2" borderId="4" xfId="0" applyFill="1" applyBorder="1"/>
    <xf numFmtId="0" fontId="7" fillId="2" borderId="5" xfId="0" applyFont="1" applyFill="1" applyBorder="1" applyAlignment="1">
      <alignment horizontal="center" vertical="center"/>
    </xf>
    <xf numFmtId="0" fontId="0" fillId="3" borderId="4" xfId="0" applyFill="1" applyBorder="1"/>
    <xf numFmtId="0" fontId="7" fillId="3" borderId="5" xfId="0" applyFont="1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6" fillId="3" borderId="7" xfId="0" quotePrefix="1" applyFont="1" applyFill="1" applyBorder="1"/>
    <xf numFmtId="0" fontId="0" fillId="3" borderId="7" xfId="0" applyFill="1" applyBorder="1" applyAlignment="1">
      <alignment horizontal="left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horizontal="left" wrapText="1"/>
    </xf>
    <xf numFmtId="0" fontId="0" fillId="2" borderId="6" xfId="0" applyFill="1" applyBorder="1"/>
    <xf numFmtId="0" fontId="7" fillId="7" borderId="7" xfId="0" applyFont="1" applyFill="1" applyBorder="1"/>
    <xf numFmtId="0" fontId="6" fillId="2" borderId="7" xfId="0" quotePrefix="1" applyFont="1" applyFill="1" applyBorder="1"/>
    <xf numFmtId="0" fontId="0" fillId="2" borderId="7" xfId="0" applyFill="1" applyBorder="1" applyAlignment="1">
      <alignment horizontal="left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0" fillId="2" borderId="2" xfId="0" applyFill="1" applyBorder="1"/>
    <xf numFmtId="0" fontId="0" fillId="3" borderId="8" xfId="0" applyFill="1" applyBorder="1"/>
    <xf numFmtId="49" fontId="11" fillId="0" borderId="0" xfId="2" applyNumberFormat="1" applyFont="1" applyBorder="1" applyAlignment="1">
      <alignment horizontal="left"/>
    </xf>
    <xf numFmtId="0" fontId="11" fillId="0" borderId="0" xfId="3" applyFont="1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0" fillId="0" borderId="6" xfId="0" applyBorder="1"/>
    <xf numFmtId="49" fontId="11" fillId="0" borderId="7" xfId="2" applyNumberFormat="1" applyFont="1" applyBorder="1" applyAlignment="1">
      <alignment horizontal="left"/>
    </xf>
    <xf numFmtId="0" fontId="11" fillId="0" borderId="7" xfId="3" applyFont="1" applyBorder="1" applyAlignment="1">
      <alignment horizontal="left"/>
    </xf>
    <xf numFmtId="49" fontId="11" fillId="0" borderId="2" xfId="2" applyNumberFormat="1" applyFont="1" applyBorder="1" applyAlignment="1">
      <alignment horizontal="left"/>
    </xf>
    <xf numFmtId="0" fontId="11" fillId="0" borderId="2" xfId="3" applyFont="1" applyBorder="1" applyAlignment="1">
      <alignment horizontal="left"/>
    </xf>
    <xf numFmtId="0" fontId="0" fillId="2" borderId="3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4" xfId="0" applyFill="1" applyBorder="1"/>
    <xf numFmtId="0" fontId="0" fillId="0" borderId="1" xfId="0" applyFill="1" applyBorder="1"/>
    <xf numFmtId="0" fontId="0" fillId="0" borderId="6" xfId="0" applyFill="1" applyBorder="1"/>
    <xf numFmtId="0" fontId="0" fillId="0" borderId="9" xfId="0" applyFill="1" applyBorder="1"/>
    <xf numFmtId="0" fontId="0" fillId="2" borderId="10" xfId="0" applyFill="1" applyBorder="1"/>
    <xf numFmtId="0" fontId="1" fillId="0" borderId="10" xfId="0" applyFont="1" applyBorder="1"/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</cellXfs>
  <cellStyles count="4">
    <cellStyle name="Normal" xfId="0" builtinId="0"/>
    <cellStyle name="Normal 4" xfId="1" xr:uid="{9A653E51-D497-4F36-8F84-B5155C557B03}"/>
    <cellStyle name="Normal_consulta212" xfId="2" xr:uid="{3F1BB361-5646-4D4E-821D-61441A988745}"/>
    <cellStyle name="Normal_Hoja32" xfId="3" xr:uid="{6E1EBE04-0A47-4F44-8E80-30D8C3D8E2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ondaini/Desktop/Unidad%20de%20Desarrollo%20Agr&#237;cola/Cuenta%20satelite%20Bioeconom&#237;a/datos/NIC/NIC_Clasificacio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umnas"/>
      <sheetName val="Correl CIIU"/>
      <sheetName val="at_columnas"/>
      <sheetName val="transacciones"/>
      <sheetName val="filas"/>
      <sheetName val="AT_FILAS"/>
      <sheetName val="bio"/>
      <sheetName val="ejemplo_dinamico"/>
      <sheetName val="ntg2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>
            <v>1</v>
          </cell>
          <cell r="E2" t="str">
            <v>Bioeconomía</v>
          </cell>
        </row>
        <row r="3">
          <cell r="D3">
            <v>2</v>
          </cell>
          <cell r="E3" t="str">
            <v>Bioeconomía extendida</v>
          </cell>
        </row>
        <row r="4">
          <cell r="D4">
            <v>3</v>
          </cell>
          <cell r="E4" t="str">
            <v>No bioeconomía</v>
          </cell>
        </row>
      </sheetData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7"/>
  <sheetViews>
    <sheetView tabSelected="1" topLeftCell="D215" zoomScale="70" zoomScaleNormal="70" workbookViewId="0">
      <selection activeCell="K238" sqref="K238"/>
    </sheetView>
  </sheetViews>
  <sheetFormatPr defaultColWidth="8.7265625" defaultRowHeight="14.5" x14ac:dyDescent="0.35"/>
  <cols>
    <col min="1" max="1" width="23.1796875" style="7" customWidth="1"/>
    <col min="2" max="2" width="13.54296875" style="7" customWidth="1"/>
    <col min="3" max="3" width="30.81640625" style="7" bestFit="1" customWidth="1"/>
    <col min="4" max="4" width="30.54296875" style="7" customWidth="1"/>
    <col min="5" max="5" width="36.26953125" style="7" customWidth="1"/>
    <col min="6" max="6" width="31.7265625" style="21" customWidth="1"/>
    <col min="7" max="7" width="30.54296875" style="7" bestFit="1" customWidth="1"/>
    <col min="8" max="8" width="23.81640625" style="7" bestFit="1" customWidth="1"/>
    <col min="9" max="9" width="42.26953125" style="21" bestFit="1" customWidth="1"/>
    <col min="10" max="10" width="42" style="7" customWidth="1"/>
    <col min="11" max="11" width="14.1796875" style="7" bestFit="1" customWidth="1"/>
    <col min="12" max="12" width="24.54296875" style="7" customWidth="1"/>
    <col min="13" max="14" width="8.7265625" style="7"/>
    <col min="15" max="15" width="13.1796875" style="7" customWidth="1"/>
    <col min="16" max="16" width="23.453125" style="7" customWidth="1"/>
    <col min="17" max="16384" width="8.7265625" style="7"/>
  </cols>
  <sheetData>
    <row r="1" spans="1:16" ht="52.5" customHeight="1" x14ac:dyDescent="0.35">
      <c r="A1" s="42" t="s">
        <v>0</v>
      </c>
      <c r="B1" s="40" t="s">
        <v>1</v>
      </c>
      <c r="C1" s="43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4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1" t="s">
        <v>15</v>
      </c>
    </row>
    <row r="2" spans="1:16" x14ac:dyDescent="0.35">
      <c r="A2" s="24" t="s">
        <v>484</v>
      </c>
      <c r="B2" s="25" t="s">
        <v>141</v>
      </c>
      <c r="C2" s="26" t="str">
        <f>+VLOOKUP(B2,'transacciones '!$A$2:$I$39,2,FALSE)</f>
        <v>ATC01</v>
      </c>
      <c r="D2" s="26" t="str">
        <f>+VLOOKUP(B2,'transacciones '!$A$2:$I$39,3,FALSE)</f>
        <v>Producción / Consumo intermedio</v>
      </c>
      <c r="E2" s="26" t="str">
        <f>+VLOOKUP(B2,'transacciones '!$A$2:$I$39,4,FALSE)</f>
        <v>Producción</v>
      </c>
      <c r="F2" s="26">
        <f>+VLOOKUP(B2,'transacciones '!$A$2:$I$39,5,FALSE)</f>
        <v>1</v>
      </c>
      <c r="G2" s="26" t="str">
        <f>+VLOOKUP(B2,'transacciones '!$A$2:$I$39,6,FALSE)</f>
        <v>P1</v>
      </c>
      <c r="H2" s="26" t="str">
        <f>+VLOOKUP(B2,'transacciones '!$A$2:$I$39,7,FALSE)</f>
        <v>Producción</v>
      </c>
      <c r="I2" s="27" t="s">
        <v>272</v>
      </c>
      <c r="J2" s="27" t="s">
        <v>273</v>
      </c>
      <c r="K2" s="28" t="s">
        <v>17</v>
      </c>
      <c r="L2" s="28" t="str">
        <f>+VLOOKUP(K2,'Correl CIIU'!$A$1:$F$26,2,FALSE)</f>
        <v>Agricultura, ganadería, silvicultura y pesca</v>
      </c>
      <c r="M2" s="28" t="str">
        <f>+VLOOKUP(K2,'Correl CIIU'!$A$1:$F$26,3,FALSE)</f>
        <v>Agricultura</v>
      </c>
      <c r="N2" s="28" t="str">
        <f>+VLOOKUP(K2,'Correl CIIU'!$A$1:$F$26,4,FALSE)</f>
        <v>Agriculture, forestry and fishing</v>
      </c>
      <c r="O2" s="28">
        <v>1</v>
      </c>
      <c r="P2" s="29" t="str">
        <f>+VLOOKUP(O2,bio!$A$2:$B$4,2,FALSE)</f>
        <v>Bioeconomía</v>
      </c>
    </row>
    <row r="3" spans="1:16" x14ac:dyDescent="0.35">
      <c r="A3" s="30" t="s">
        <v>485</v>
      </c>
      <c r="B3" s="20" t="s">
        <v>141</v>
      </c>
      <c r="C3" s="9" t="str">
        <f>+VLOOKUP(B3,'transacciones '!$A$2:$I$39,2,FALSE)</f>
        <v>ATC01</v>
      </c>
      <c r="D3" s="9" t="str">
        <f>+VLOOKUP(B3,'transacciones '!$A$2:$I$39,3,FALSE)</f>
        <v>Producción / Consumo intermedio</v>
      </c>
      <c r="E3" s="9" t="str">
        <f>+VLOOKUP(B3,'transacciones '!$A$2:$I$39,4,FALSE)</f>
        <v>Producción</v>
      </c>
      <c r="F3" s="9">
        <f>+VLOOKUP(B3,'transacciones '!$A$2:$I$39,5,FALSE)</f>
        <v>1</v>
      </c>
      <c r="G3" s="9" t="str">
        <f>+VLOOKUP(B3,'transacciones '!$A$2:$I$39,6,FALSE)</f>
        <v>P1</v>
      </c>
      <c r="H3" s="9" t="str">
        <f>+VLOOKUP(B3,'transacciones '!$A$2:$I$39,7,FALSE)</f>
        <v>Producción</v>
      </c>
      <c r="I3" s="18" t="s">
        <v>274</v>
      </c>
      <c r="J3" s="18" t="s">
        <v>275</v>
      </c>
      <c r="K3" s="8" t="s">
        <v>17</v>
      </c>
      <c r="L3" s="8" t="str">
        <f>+VLOOKUP(K3,'Correl CIIU'!$A$1:$F$26,2,FALSE)</f>
        <v>Agricultura, ganadería, silvicultura y pesca</v>
      </c>
      <c r="M3" s="8" t="str">
        <f>+VLOOKUP(K3,'Correl CIIU'!$A$1:$F$26,3,FALSE)</f>
        <v>Agricultura</v>
      </c>
      <c r="N3" s="8" t="str">
        <f>+VLOOKUP(K3,'Correl CIIU'!$A$1:$F$26,4,FALSE)</f>
        <v>Agriculture, forestry and fishing</v>
      </c>
      <c r="O3" s="8">
        <v>1</v>
      </c>
      <c r="P3" s="31" t="str">
        <f>+VLOOKUP(O3,bio!$A$2:$B$4,2,FALSE)</f>
        <v>Bioeconomía</v>
      </c>
    </row>
    <row r="4" spans="1:16" x14ac:dyDescent="0.35">
      <c r="A4" s="30" t="s">
        <v>486</v>
      </c>
      <c r="B4" s="20" t="s">
        <v>141</v>
      </c>
      <c r="C4" s="9" t="str">
        <f>+VLOOKUP(B4,'transacciones '!$A$2:$I$39,2,FALSE)</f>
        <v>ATC01</v>
      </c>
      <c r="D4" s="9" t="str">
        <f>+VLOOKUP(B4,'transacciones '!$A$2:$I$39,3,FALSE)</f>
        <v>Producción / Consumo intermedio</v>
      </c>
      <c r="E4" s="9" t="str">
        <f>+VLOOKUP(B4,'transacciones '!$A$2:$I$39,4,FALSE)</f>
        <v>Producción</v>
      </c>
      <c r="F4" s="9">
        <f>+VLOOKUP(B4,'transacciones '!$A$2:$I$39,5,FALSE)</f>
        <v>1</v>
      </c>
      <c r="G4" s="9" t="str">
        <f>+VLOOKUP(B4,'transacciones '!$A$2:$I$39,6,FALSE)</f>
        <v>P1</v>
      </c>
      <c r="H4" s="9" t="str">
        <f>+VLOOKUP(B4,'transacciones '!$A$2:$I$39,7,FALSE)</f>
        <v>Producción</v>
      </c>
      <c r="I4" s="18" t="s">
        <v>276</v>
      </c>
      <c r="J4" s="18" t="s">
        <v>277</v>
      </c>
      <c r="K4" s="8" t="s">
        <v>17</v>
      </c>
      <c r="L4" s="8" t="str">
        <f>+VLOOKUP(K4,'Correl CIIU'!$A$1:$F$26,2,FALSE)</f>
        <v>Agricultura, ganadería, silvicultura y pesca</v>
      </c>
      <c r="M4" s="8" t="str">
        <f>+VLOOKUP(K4,'Correl CIIU'!$A$1:$F$26,3,FALSE)</f>
        <v>Agricultura</v>
      </c>
      <c r="N4" s="8" t="str">
        <f>+VLOOKUP(K4,'Correl CIIU'!$A$1:$F$26,4,FALSE)</f>
        <v>Agriculture, forestry and fishing</v>
      </c>
      <c r="O4" s="8">
        <v>1</v>
      </c>
      <c r="P4" s="31" t="str">
        <f>+VLOOKUP(O4,bio!$A$2:$B$4,2,FALSE)</f>
        <v>Bioeconomía</v>
      </c>
    </row>
    <row r="5" spans="1:16" x14ac:dyDescent="0.35">
      <c r="A5" s="30" t="s">
        <v>487</v>
      </c>
      <c r="B5" s="20" t="s">
        <v>141</v>
      </c>
      <c r="C5" s="9" t="str">
        <f>+VLOOKUP(B5,'transacciones '!$A$2:$I$39,2,FALSE)</f>
        <v>ATC01</v>
      </c>
      <c r="D5" s="9" t="str">
        <f>+VLOOKUP(B5,'transacciones '!$A$2:$I$39,3,FALSE)</f>
        <v>Producción / Consumo intermedio</v>
      </c>
      <c r="E5" s="9" t="str">
        <f>+VLOOKUP(B5,'transacciones '!$A$2:$I$39,4,FALSE)</f>
        <v>Producción</v>
      </c>
      <c r="F5" s="9">
        <f>+VLOOKUP(B5,'transacciones '!$A$2:$I$39,5,FALSE)</f>
        <v>1</v>
      </c>
      <c r="G5" s="9" t="str">
        <f>+VLOOKUP(B5,'transacciones '!$A$2:$I$39,6,FALSE)</f>
        <v>P1</v>
      </c>
      <c r="H5" s="9" t="str">
        <f>+VLOOKUP(B5,'transacciones '!$A$2:$I$39,7,FALSE)</f>
        <v>Producción</v>
      </c>
      <c r="I5" s="18" t="s">
        <v>278</v>
      </c>
      <c r="J5" s="18" t="s">
        <v>279</v>
      </c>
      <c r="K5" s="8" t="s">
        <v>17</v>
      </c>
      <c r="L5" s="8" t="str">
        <f>+VLOOKUP(K5,'Correl CIIU'!$A$1:$F$26,2,FALSE)</f>
        <v>Agricultura, ganadería, silvicultura y pesca</v>
      </c>
      <c r="M5" s="8" t="str">
        <f>+VLOOKUP(K5,'Correl CIIU'!$A$1:$F$26,3,FALSE)</f>
        <v>Agricultura</v>
      </c>
      <c r="N5" s="8" t="str">
        <f>+VLOOKUP(K5,'Correl CIIU'!$A$1:$F$26,4,FALSE)</f>
        <v>Agriculture, forestry and fishing</v>
      </c>
      <c r="O5" s="8">
        <v>1</v>
      </c>
      <c r="P5" s="31" t="str">
        <f>+VLOOKUP(O5,bio!$A$2:$B$4,2,FALSE)</f>
        <v>Bioeconomía</v>
      </c>
    </row>
    <row r="6" spans="1:16" x14ac:dyDescent="0.35">
      <c r="A6" s="30" t="s">
        <v>488</v>
      </c>
      <c r="B6" s="20" t="s">
        <v>141</v>
      </c>
      <c r="C6" s="9" t="str">
        <f>+VLOOKUP(B6,'transacciones '!$A$2:$I$39,2,FALSE)</f>
        <v>ATC01</v>
      </c>
      <c r="D6" s="9" t="str">
        <f>+VLOOKUP(B6,'transacciones '!$A$2:$I$39,3,FALSE)</f>
        <v>Producción / Consumo intermedio</v>
      </c>
      <c r="E6" s="9" t="str">
        <f>+VLOOKUP(B6,'transacciones '!$A$2:$I$39,4,FALSE)</f>
        <v>Producción</v>
      </c>
      <c r="F6" s="9">
        <f>+VLOOKUP(B6,'transacciones '!$A$2:$I$39,5,FALSE)</f>
        <v>1</v>
      </c>
      <c r="G6" s="9" t="str">
        <f>+VLOOKUP(B6,'transacciones '!$A$2:$I$39,6,FALSE)</f>
        <v>P1</v>
      </c>
      <c r="H6" s="9" t="str">
        <f>+VLOOKUP(B6,'transacciones '!$A$2:$I$39,7,FALSE)</f>
        <v>Producción</v>
      </c>
      <c r="I6" s="18" t="s">
        <v>280</v>
      </c>
      <c r="J6" s="18" t="s">
        <v>281</v>
      </c>
      <c r="K6" s="8" t="s">
        <v>17</v>
      </c>
      <c r="L6" s="8" t="str">
        <f>+VLOOKUP(K6,'Correl CIIU'!$A$1:$F$26,2,FALSE)</f>
        <v>Agricultura, ganadería, silvicultura y pesca</v>
      </c>
      <c r="M6" s="8" t="str">
        <f>+VLOOKUP(K6,'Correl CIIU'!$A$1:$F$26,3,FALSE)</f>
        <v>Agricultura</v>
      </c>
      <c r="N6" s="8" t="str">
        <f>+VLOOKUP(K6,'Correl CIIU'!$A$1:$F$26,4,FALSE)</f>
        <v>Agriculture, forestry and fishing</v>
      </c>
      <c r="O6" s="8">
        <v>1</v>
      </c>
      <c r="P6" s="31" t="str">
        <f>+VLOOKUP(O6,bio!$A$2:$B$4,2,FALSE)</f>
        <v>Bioeconomía</v>
      </c>
    </row>
    <row r="7" spans="1:16" x14ac:dyDescent="0.35">
      <c r="A7" s="30" t="s">
        <v>489</v>
      </c>
      <c r="B7" s="20" t="s">
        <v>141</v>
      </c>
      <c r="C7" s="9" t="str">
        <f>+VLOOKUP(B7,'transacciones '!$A$2:$I$39,2,FALSE)</f>
        <v>ATC01</v>
      </c>
      <c r="D7" s="9" t="str">
        <f>+VLOOKUP(B7,'transacciones '!$A$2:$I$39,3,FALSE)</f>
        <v>Producción / Consumo intermedio</v>
      </c>
      <c r="E7" s="9" t="str">
        <f>+VLOOKUP(B7,'transacciones '!$A$2:$I$39,4,FALSE)</f>
        <v>Producción</v>
      </c>
      <c r="F7" s="9">
        <f>+VLOOKUP(B7,'transacciones '!$A$2:$I$39,5,FALSE)</f>
        <v>1</v>
      </c>
      <c r="G7" s="9" t="str">
        <f>+VLOOKUP(B7,'transacciones '!$A$2:$I$39,6,FALSE)</f>
        <v>P1</v>
      </c>
      <c r="H7" s="9" t="str">
        <f>+VLOOKUP(B7,'transacciones '!$A$2:$I$39,7,FALSE)</f>
        <v>Producción</v>
      </c>
      <c r="I7" s="18" t="s">
        <v>282</v>
      </c>
      <c r="J7" s="18" t="s">
        <v>283</v>
      </c>
      <c r="K7" s="8" t="s">
        <v>17</v>
      </c>
      <c r="L7" s="8" t="str">
        <f>+VLOOKUP(K7,'Correl CIIU'!$A$1:$F$26,2,FALSE)</f>
        <v>Agricultura, ganadería, silvicultura y pesca</v>
      </c>
      <c r="M7" s="8" t="str">
        <f>+VLOOKUP(K7,'Correl CIIU'!$A$1:$F$26,3,FALSE)</f>
        <v>Agricultura</v>
      </c>
      <c r="N7" s="8" t="str">
        <f>+VLOOKUP(K7,'Correl CIIU'!$A$1:$F$26,4,FALSE)</f>
        <v>Agriculture, forestry and fishing</v>
      </c>
      <c r="O7" s="8">
        <v>1</v>
      </c>
      <c r="P7" s="31" t="str">
        <f>+VLOOKUP(O7,bio!$A$2:$B$4,2,FALSE)</f>
        <v>Bioeconomía</v>
      </c>
    </row>
    <row r="8" spans="1:16" x14ac:dyDescent="0.35">
      <c r="A8" s="30" t="s">
        <v>490</v>
      </c>
      <c r="B8" s="20" t="s">
        <v>141</v>
      </c>
      <c r="C8" s="9" t="str">
        <f>+VLOOKUP(B8,'transacciones '!$A$2:$I$39,2,FALSE)</f>
        <v>ATC01</v>
      </c>
      <c r="D8" s="9" t="str">
        <f>+VLOOKUP(B8,'transacciones '!$A$2:$I$39,3,FALSE)</f>
        <v>Producción / Consumo intermedio</v>
      </c>
      <c r="E8" s="9" t="str">
        <f>+VLOOKUP(B8,'transacciones '!$A$2:$I$39,4,FALSE)</f>
        <v>Producción</v>
      </c>
      <c r="F8" s="9">
        <f>+VLOOKUP(B8,'transacciones '!$A$2:$I$39,5,FALSE)</f>
        <v>1</v>
      </c>
      <c r="G8" s="9" t="str">
        <f>+VLOOKUP(B8,'transacciones '!$A$2:$I$39,6,FALSE)</f>
        <v>P1</v>
      </c>
      <c r="H8" s="9" t="str">
        <f>+VLOOKUP(B8,'transacciones '!$A$2:$I$39,7,FALSE)</f>
        <v>Producción</v>
      </c>
      <c r="I8" s="18" t="s">
        <v>284</v>
      </c>
      <c r="J8" s="18" t="s">
        <v>285</v>
      </c>
      <c r="K8" s="8" t="s">
        <v>17</v>
      </c>
      <c r="L8" s="8" t="str">
        <f>+VLOOKUP(K8,'Correl CIIU'!$A$1:$F$26,2,FALSE)</f>
        <v>Agricultura, ganadería, silvicultura y pesca</v>
      </c>
      <c r="M8" s="8" t="str">
        <f>+VLOOKUP(K8,'Correl CIIU'!$A$1:$F$26,3,FALSE)</f>
        <v>Agricultura</v>
      </c>
      <c r="N8" s="8" t="str">
        <f>+VLOOKUP(K8,'Correl CIIU'!$A$1:$F$26,4,FALSE)</f>
        <v>Agriculture, forestry and fishing</v>
      </c>
      <c r="O8" s="8">
        <v>1</v>
      </c>
      <c r="P8" s="31" t="str">
        <f>+VLOOKUP(O8,bio!$A$2:$B$4,2,FALSE)</f>
        <v>Bioeconomía</v>
      </c>
    </row>
    <row r="9" spans="1:16" x14ac:dyDescent="0.35">
      <c r="A9" s="30" t="s">
        <v>491</v>
      </c>
      <c r="B9" s="20" t="s">
        <v>141</v>
      </c>
      <c r="C9" s="9" t="str">
        <f>+VLOOKUP(B9,'transacciones '!$A$2:$I$39,2,FALSE)</f>
        <v>ATC01</v>
      </c>
      <c r="D9" s="9" t="str">
        <f>+VLOOKUP(B9,'transacciones '!$A$2:$I$39,3,FALSE)</f>
        <v>Producción / Consumo intermedio</v>
      </c>
      <c r="E9" s="9" t="str">
        <f>+VLOOKUP(B9,'transacciones '!$A$2:$I$39,4,FALSE)</f>
        <v>Producción</v>
      </c>
      <c r="F9" s="9">
        <f>+VLOOKUP(B9,'transacciones '!$A$2:$I$39,5,FALSE)</f>
        <v>1</v>
      </c>
      <c r="G9" s="9" t="str">
        <f>+VLOOKUP(B9,'transacciones '!$A$2:$I$39,6,FALSE)</f>
        <v>P1</v>
      </c>
      <c r="H9" s="9" t="str">
        <f>+VLOOKUP(B9,'transacciones '!$A$2:$I$39,7,FALSE)</f>
        <v>Producción</v>
      </c>
      <c r="I9" s="18" t="s">
        <v>286</v>
      </c>
      <c r="J9" s="18" t="s">
        <v>287</v>
      </c>
      <c r="K9" s="8" t="s">
        <v>17</v>
      </c>
      <c r="L9" s="8" t="str">
        <f>+VLOOKUP(K9,'Correl CIIU'!$A$1:$F$26,2,FALSE)</f>
        <v>Agricultura, ganadería, silvicultura y pesca</v>
      </c>
      <c r="M9" s="8" t="str">
        <f>+VLOOKUP(K9,'Correl CIIU'!$A$1:$F$26,3,FALSE)</f>
        <v>Agricultura</v>
      </c>
      <c r="N9" s="8" t="str">
        <f>+VLOOKUP(K9,'Correl CIIU'!$A$1:$F$26,4,FALSE)</f>
        <v>Agriculture, forestry and fishing</v>
      </c>
      <c r="O9" s="8">
        <v>1</v>
      </c>
      <c r="P9" s="31" t="str">
        <f>+VLOOKUP(O9,bio!$A$2:$B$4,2,FALSE)</f>
        <v>Bioeconomía</v>
      </c>
    </row>
    <row r="10" spans="1:16" x14ac:dyDescent="0.35">
      <c r="A10" s="30" t="s">
        <v>492</v>
      </c>
      <c r="B10" s="20" t="s">
        <v>141</v>
      </c>
      <c r="C10" s="9" t="str">
        <f>+VLOOKUP(B10,'transacciones '!$A$2:$I$39,2,FALSE)</f>
        <v>ATC01</v>
      </c>
      <c r="D10" s="9" t="str">
        <f>+VLOOKUP(B10,'transacciones '!$A$2:$I$39,3,FALSE)</f>
        <v>Producción / Consumo intermedio</v>
      </c>
      <c r="E10" s="9" t="str">
        <f>+VLOOKUP(B10,'transacciones '!$A$2:$I$39,4,FALSE)</f>
        <v>Producción</v>
      </c>
      <c r="F10" s="9">
        <f>+VLOOKUP(B10,'transacciones '!$A$2:$I$39,5,FALSE)</f>
        <v>1</v>
      </c>
      <c r="G10" s="9" t="str">
        <f>+VLOOKUP(B10,'transacciones '!$A$2:$I$39,6,FALSE)</f>
        <v>P1</v>
      </c>
      <c r="H10" s="9" t="str">
        <f>+VLOOKUP(B10,'transacciones '!$A$2:$I$39,7,FALSE)</f>
        <v>Producción</v>
      </c>
      <c r="I10" s="18" t="s">
        <v>288</v>
      </c>
      <c r="J10" s="18" t="s">
        <v>289</v>
      </c>
      <c r="K10" s="8" t="s">
        <v>17</v>
      </c>
      <c r="L10" s="8" t="str">
        <f>+VLOOKUP(K10,'Correl CIIU'!$A$1:$F$26,2,FALSE)</f>
        <v>Agricultura, ganadería, silvicultura y pesca</v>
      </c>
      <c r="M10" s="8" t="str">
        <f>+VLOOKUP(K10,'Correl CIIU'!$A$1:$F$26,3,FALSE)</f>
        <v>Agricultura</v>
      </c>
      <c r="N10" s="8" t="str">
        <f>+VLOOKUP(K10,'Correl CIIU'!$A$1:$F$26,4,FALSE)</f>
        <v>Agriculture, forestry and fishing</v>
      </c>
      <c r="O10" s="8">
        <v>1</v>
      </c>
      <c r="P10" s="31" t="str">
        <f>+VLOOKUP(O10,bio!$A$2:$B$4,2,FALSE)</f>
        <v>Bioeconomía</v>
      </c>
    </row>
    <row r="11" spans="1:16" x14ac:dyDescent="0.35">
      <c r="A11" s="30" t="s">
        <v>493</v>
      </c>
      <c r="B11" s="20" t="s">
        <v>141</v>
      </c>
      <c r="C11" s="9" t="str">
        <f>+VLOOKUP(B11,'transacciones '!$A$2:$I$39,2,FALSE)</f>
        <v>ATC01</v>
      </c>
      <c r="D11" s="9" t="str">
        <f>+VLOOKUP(B11,'transacciones '!$A$2:$I$39,3,FALSE)</f>
        <v>Producción / Consumo intermedio</v>
      </c>
      <c r="E11" s="9" t="str">
        <f>+VLOOKUP(B11,'transacciones '!$A$2:$I$39,4,FALSE)</f>
        <v>Producción</v>
      </c>
      <c r="F11" s="9">
        <f>+VLOOKUP(B11,'transacciones '!$A$2:$I$39,5,FALSE)</f>
        <v>1</v>
      </c>
      <c r="G11" s="9" t="str">
        <f>+VLOOKUP(B11,'transacciones '!$A$2:$I$39,6,FALSE)</f>
        <v>P1</v>
      </c>
      <c r="H11" s="9" t="str">
        <f>+VLOOKUP(B11,'transacciones '!$A$2:$I$39,7,FALSE)</f>
        <v>Producción</v>
      </c>
      <c r="I11" s="18" t="s">
        <v>22</v>
      </c>
      <c r="J11" s="18" t="s">
        <v>290</v>
      </c>
      <c r="K11" s="8" t="s">
        <v>17</v>
      </c>
      <c r="L11" s="8" t="str">
        <f>+VLOOKUP(K11,'Correl CIIU'!$A$1:$F$26,2,FALSE)</f>
        <v>Agricultura, ganadería, silvicultura y pesca</v>
      </c>
      <c r="M11" s="8" t="str">
        <f>+VLOOKUP(K11,'Correl CIIU'!$A$1:$F$26,3,FALSE)</f>
        <v>Agricultura</v>
      </c>
      <c r="N11" s="8" t="str">
        <f>+VLOOKUP(K11,'Correl CIIU'!$A$1:$F$26,4,FALSE)</f>
        <v>Agriculture, forestry and fishing</v>
      </c>
      <c r="O11" s="8">
        <v>1</v>
      </c>
      <c r="P11" s="31" t="str">
        <f>+VLOOKUP(O11,bio!$A$2:$B$4,2,FALSE)</f>
        <v>Bioeconomía</v>
      </c>
    </row>
    <row r="12" spans="1:16" x14ac:dyDescent="0.35">
      <c r="A12" s="30" t="s">
        <v>494</v>
      </c>
      <c r="B12" s="20" t="s">
        <v>141</v>
      </c>
      <c r="C12" s="9" t="str">
        <f>+VLOOKUP(B12,'transacciones '!$A$2:$I$39,2,FALSE)</f>
        <v>ATC01</v>
      </c>
      <c r="D12" s="9" t="str">
        <f>+VLOOKUP(B12,'transacciones '!$A$2:$I$39,3,FALSE)</f>
        <v>Producción / Consumo intermedio</v>
      </c>
      <c r="E12" s="9" t="str">
        <f>+VLOOKUP(B12,'transacciones '!$A$2:$I$39,4,FALSE)</f>
        <v>Producción</v>
      </c>
      <c r="F12" s="9">
        <f>+VLOOKUP(B12,'transacciones '!$A$2:$I$39,5,FALSE)</f>
        <v>1</v>
      </c>
      <c r="G12" s="9" t="str">
        <f>+VLOOKUP(B12,'transacciones '!$A$2:$I$39,6,FALSE)</f>
        <v>P1</v>
      </c>
      <c r="H12" s="9" t="str">
        <f>+VLOOKUP(B12,'transacciones '!$A$2:$I$39,7,FALSE)</f>
        <v>Producción</v>
      </c>
      <c r="I12" s="18" t="s">
        <v>23</v>
      </c>
      <c r="J12" s="18" t="s">
        <v>291</v>
      </c>
      <c r="K12" s="8" t="s">
        <v>17</v>
      </c>
      <c r="L12" s="8" t="str">
        <f>+VLOOKUP(K12,'Correl CIIU'!$A$1:$F$26,2,FALSE)</f>
        <v>Agricultura, ganadería, silvicultura y pesca</v>
      </c>
      <c r="M12" s="8" t="str">
        <f>+VLOOKUP(K12,'Correl CIIU'!$A$1:$F$26,3,FALSE)</f>
        <v>Agricultura</v>
      </c>
      <c r="N12" s="8" t="str">
        <f>+VLOOKUP(K12,'Correl CIIU'!$A$1:$F$26,4,FALSE)</f>
        <v>Agriculture, forestry and fishing</v>
      </c>
      <c r="O12" s="8">
        <v>1</v>
      </c>
      <c r="P12" s="31" t="str">
        <f>+VLOOKUP(O12,bio!$A$2:$B$4,2,FALSE)</f>
        <v>Bioeconomía</v>
      </c>
    </row>
    <row r="13" spans="1:16" x14ac:dyDescent="0.35">
      <c r="A13" s="30" t="s">
        <v>495</v>
      </c>
      <c r="B13" s="20" t="s">
        <v>141</v>
      </c>
      <c r="C13" s="9" t="str">
        <f>+VLOOKUP(B13,'transacciones '!$A$2:$I$39,2,FALSE)</f>
        <v>ATC01</v>
      </c>
      <c r="D13" s="9" t="str">
        <f>+VLOOKUP(B13,'transacciones '!$A$2:$I$39,3,FALSE)</f>
        <v>Producción / Consumo intermedio</v>
      </c>
      <c r="E13" s="9" t="str">
        <f>+VLOOKUP(B13,'transacciones '!$A$2:$I$39,4,FALSE)</f>
        <v>Producción</v>
      </c>
      <c r="F13" s="9">
        <f>+VLOOKUP(B13,'transacciones '!$A$2:$I$39,5,FALSE)</f>
        <v>1</v>
      </c>
      <c r="G13" s="9" t="str">
        <f>+VLOOKUP(B13,'transacciones '!$A$2:$I$39,6,FALSE)</f>
        <v>P1</v>
      </c>
      <c r="H13" s="9" t="str">
        <f>+VLOOKUP(B13,'transacciones '!$A$2:$I$39,7,FALSE)</f>
        <v>Producción</v>
      </c>
      <c r="I13" s="18" t="s">
        <v>24</v>
      </c>
      <c r="J13" s="18" t="s">
        <v>292</v>
      </c>
      <c r="K13" s="8" t="s">
        <v>17</v>
      </c>
      <c r="L13" s="8" t="str">
        <f>+VLOOKUP(K13,'Correl CIIU'!$A$1:$F$26,2,FALSE)</f>
        <v>Agricultura, ganadería, silvicultura y pesca</v>
      </c>
      <c r="M13" s="8" t="str">
        <f>+VLOOKUP(K13,'Correl CIIU'!$A$1:$F$26,3,FALSE)</f>
        <v>Agricultura</v>
      </c>
      <c r="N13" s="8" t="str">
        <f>+VLOOKUP(K13,'Correl CIIU'!$A$1:$F$26,4,FALSE)</f>
        <v>Agriculture, forestry and fishing</v>
      </c>
      <c r="O13" s="8">
        <v>1</v>
      </c>
      <c r="P13" s="31" t="str">
        <f>+VLOOKUP(O13,bio!$A$2:$B$4,2,FALSE)</f>
        <v>Bioeconomía</v>
      </c>
    </row>
    <row r="14" spans="1:16" x14ac:dyDescent="0.35">
      <c r="A14" s="30" t="s">
        <v>496</v>
      </c>
      <c r="B14" s="20" t="s">
        <v>141</v>
      </c>
      <c r="C14" s="9" t="str">
        <f>+VLOOKUP(B14,'transacciones '!$A$2:$I$39,2,FALSE)</f>
        <v>ATC01</v>
      </c>
      <c r="D14" s="9" t="str">
        <f>+VLOOKUP(B14,'transacciones '!$A$2:$I$39,3,FALSE)</f>
        <v>Producción / Consumo intermedio</v>
      </c>
      <c r="E14" s="9" t="str">
        <f>+VLOOKUP(B14,'transacciones '!$A$2:$I$39,4,FALSE)</f>
        <v>Producción</v>
      </c>
      <c r="F14" s="9">
        <f>+VLOOKUP(B14,'transacciones '!$A$2:$I$39,5,FALSE)</f>
        <v>1</v>
      </c>
      <c r="G14" s="9" t="str">
        <f>+VLOOKUP(B14,'transacciones '!$A$2:$I$39,6,FALSE)</f>
        <v>P1</v>
      </c>
      <c r="H14" s="9" t="str">
        <f>+VLOOKUP(B14,'transacciones '!$A$2:$I$39,7,FALSE)</f>
        <v>Producción</v>
      </c>
      <c r="I14" s="18" t="s">
        <v>293</v>
      </c>
      <c r="J14" s="18" t="s">
        <v>294</v>
      </c>
      <c r="K14" s="8" t="s">
        <v>19</v>
      </c>
      <c r="L14" s="8" t="str">
        <f>+VLOOKUP(K14,'Correl CIIU'!$A$1:$F$26,2,FALSE)</f>
        <v>Explotación de minas y canteras</v>
      </c>
      <c r="M14" s="8" t="str">
        <f>+VLOOKUP(K14,'Correl CIIU'!$A$1:$F$26,3,FALSE)</f>
        <v>Minería</v>
      </c>
      <c r="N14" s="8" t="str">
        <f>+VLOOKUP(K14,'Correl CIIU'!$A$1:$F$26,4,FALSE)</f>
        <v>Mining and quarrying</v>
      </c>
      <c r="O14" s="8">
        <v>3</v>
      </c>
      <c r="P14" s="31" t="str">
        <f>+VLOOKUP(O14,bio!$A$2:$B$4,2,FALSE)</f>
        <v>No bioeconomía</v>
      </c>
    </row>
    <row r="15" spans="1:16" x14ac:dyDescent="0.35">
      <c r="A15" s="30" t="s">
        <v>497</v>
      </c>
      <c r="B15" s="20" t="s">
        <v>141</v>
      </c>
      <c r="C15" s="9" t="str">
        <f>+VLOOKUP(B15,'transacciones '!$A$2:$I$39,2,FALSE)</f>
        <v>ATC01</v>
      </c>
      <c r="D15" s="9" t="str">
        <f>+VLOOKUP(B15,'transacciones '!$A$2:$I$39,3,FALSE)</f>
        <v>Producción / Consumo intermedio</v>
      </c>
      <c r="E15" s="9" t="str">
        <f>+VLOOKUP(B15,'transacciones '!$A$2:$I$39,4,FALSE)</f>
        <v>Producción</v>
      </c>
      <c r="F15" s="9">
        <f>+VLOOKUP(B15,'transacciones '!$A$2:$I$39,5,FALSE)</f>
        <v>1</v>
      </c>
      <c r="G15" s="9" t="str">
        <f>+VLOOKUP(B15,'transacciones '!$A$2:$I$39,6,FALSE)</f>
        <v>P1</v>
      </c>
      <c r="H15" s="9" t="str">
        <f>+VLOOKUP(B15,'transacciones '!$A$2:$I$39,7,FALSE)</f>
        <v>Producción</v>
      </c>
      <c r="I15" s="18" t="s">
        <v>295</v>
      </c>
      <c r="J15" s="18" t="s">
        <v>296</v>
      </c>
      <c r="K15" s="8" t="s">
        <v>19</v>
      </c>
      <c r="L15" s="8" t="str">
        <f>+VLOOKUP(K15,'Correl CIIU'!$A$1:$F$26,2,FALSE)</f>
        <v>Explotación de minas y canteras</v>
      </c>
      <c r="M15" s="8" t="str">
        <f>+VLOOKUP(K15,'Correl CIIU'!$A$1:$F$26,3,FALSE)</f>
        <v>Minería</v>
      </c>
      <c r="N15" s="8" t="str">
        <f>+VLOOKUP(K15,'Correl CIIU'!$A$1:$F$26,4,FALSE)</f>
        <v>Mining and quarrying</v>
      </c>
      <c r="O15" s="8">
        <v>3</v>
      </c>
      <c r="P15" s="31" t="str">
        <f>+VLOOKUP(O15,bio!$A$2:$B$4,2,FALSE)</f>
        <v>No bioeconomía</v>
      </c>
    </row>
    <row r="16" spans="1:16" x14ac:dyDescent="0.35">
      <c r="A16" s="30" t="s">
        <v>498</v>
      </c>
      <c r="B16" s="20" t="s">
        <v>141</v>
      </c>
      <c r="C16" s="9" t="str">
        <f>+VLOOKUP(B16,'transacciones '!$A$2:$I$39,2,FALSE)</f>
        <v>ATC01</v>
      </c>
      <c r="D16" s="9" t="str">
        <f>+VLOOKUP(B16,'transacciones '!$A$2:$I$39,3,FALSE)</f>
        <v>Producción / Consumo intermedio</v>
      </c>
      <c r="E16" s="9" t="str">
        <f>+VLOOKUP(B16,'transacciones '!$A$2:$I$39,4,FALSE)</f>
        <v>Producción</v>
      </c>
      <c r="F16" s="9">
        <f>+VLOOKUP(B16,'transacciones '!$A$2:$I$39,5,FALSE)</f>
        <v>1</v>
      </c>
      <c r="G16" s="9" t="str">
        <f>+VLOOKUP(B16,'transacciones '!$A$2:$I$39,6,FALSE)</f>
        <v>P1</v>
      </c>
      <c r="H16" s="9" t="str">
        <f>+VLOOKUP(B16,'transacciones '!$A$2:$I$39,7,FALSE)</f>
        <v>Producción</v>
      </c>
      <c r="I16" s="18" t="s">
        <v>25</v>
      </c>
      <c r="J16" s="18" t="s">
        <v>297</v>
      </c>
      <c r="K16" s="8" t="s">
        <v>19</v>
      </c>
      <c r="L16" s="8" t="str">
        <f>+VLOOKUP(K16,'Correl CIIU'!$A$1:$F$26,2,FALSE)</f>
        <v>Explotación de minas y canteras</v>
      </c>
      <c r="M16" s="8" t="str">
        <f>+VLOOKUP(K16,'Correl CIIU'!$A$1:$F$26,3,FALSE)</f>
        <v>Minería</v>
      </c>
      <c r="N16" s="8" t="str">
        <f>+VLOOKUP(K16,'Correl CIIU'!$A$1:$F$26,4,FALSE)</f>
        <v>Mining and quarrying</v>
      </c>
      <c r="O16" s="8">
        <v>3</v>
      </c>
      <c r="P16" s="31" t="str">
        <f>+VLOOKUP(O16,bio!$A$2:$B$4,2,FALSE)</f>
        <v>No bioeconomía</v>
      </c>
    </row>
    <row r="17" spans="1:16" x14ac:dyDescent="0.35">
      <c r="A17" s="30" t="s">
        <v>499</v>
      </c>
      <c r="B17" s="20" t="s">
        <v>141</v>
      </c>
      <c r="C17" s="9" t="str">
        <f>+VLOOKUP(B17,'transacciones '!$A$2:$I$39,2,FALSE)</f>
        <v>ATC01</v>
      </c>
      <c r="D17" s="9" t="str">
        <f>+VLOOKUP(B17,'transacciones '!$A$2:$I$39,3,FALSE)</f>
        <v>Producción / Consumo intermedio</v>
      </c>
      <c r="E17" s="9" t="str">
        <f>+VLOOKUP(B17,'transacciones '!$A$2:$I$39,4,FALSE)</f>
        <v>Producción</v>
      </c>
      <c r="F17" s="9">
        <f>+VLOOKUP(B17,'transacciones '!$A$2:$I$39,5,FALSE)</f>
        <v>1</v>
      </c>
      <c r="G17" s="9" t="str">
        <f>+VLOOKUP(B17,'transacciones '!$A$2:$I$39,6,FALSE)</f>
        <v>P1</v>
      </c>
      <c r="H17" s="9" t="str">
        <f>+VLOOKUP(B17,'transacciones '!$A$2:$I$39,7,FALSE)</f>
        <v>Producción</v>
      </c>
      <c r="I17" s="18" t="s">
        <v>298</v>
      </c>
      <c r="J17" s="18" t="s">
        <v>299</v>
      </c>
      <c r="K17" s="8" t="s">
        <v>19</v>
      </c>
      <c r="L17" s="8" t="str">
        <f>+VLOOKUP(K17,'Correl CIIU'!$A$1:$F$26,2,FALSE)</f>
        <v>Explotación de minas y canteras</v>
      </c>
      <c r="M17" s="8" t="str">
        <f>+VLOOKUP(K17,'Correl CIIU'!$A$1:$F$26,3,FALSE)</f>
        <v>Minería</v>
      </c>
      <c r="N17" s="8" t="str">
        <f>+VLOOKUP(K17,'Correl CIIU'!$A$1:$F$26,4,FALSE)</f>
        <v>Mining and quarrying</v>
      </c>
      <c r="O17" s="8">
        <v>3</v>
      </c>
      <c r="P17" s="31" t="str">
        <f>+VLOOKUP(O17,bio!$A$2:$B$4,2,FALSE)</f>
        <v>No bioeconomía</v>
      </c>
    </row>
    <row r="18" spans="1:16" x14ac:dyDescent="0.35">
      <c r="A18" s="30" t="s">
        <v>500</v>
      </c>
      <c r="B18" s="20" t="s">
        <v>141</v>
      </c>
      <c r="C18" s="9" t="str">
        <f>+VLOOKUP(B18,'transacciones '!$A$2:$I$39,2,FALSE)</f>
        <v>ATC01</v>
      </c>
      <c r="D18" s="9" t="str">
        <f>+VLOOKUP(B18,'transacciones '!$A$2:$I$39,3,FALSE)</f>
        <v>Producción / Consumo intermedio</v>
      </c>
      <c r="E18" s="9" t="str">
        <f>+VLOOKUP(B18,'transacciones '!$A$2:$I$39,4,FALSE)</f>
        <v>Producción</v>
      </c>
      <c r="F18" s="9">
        <f>+VLOOKUP(B18,'transacciones '!$A$2:$I$39,5,FALSE)</f>
        <v>1</v>
      </c>
      <c r="G18" s="9" t="str">
        <f>+VLOOKUP(B18,'transacciones '!$A$2:$I$39,6,FALSE)</f>
        <v>P1</v>
      </c>
      <c r="H18" s="9" t="str">
        <f>+VLOOKUP(B18,'transacciones '!$A$2:$I$39,7,FALSE)</f>
        <v>Producción</v>
      </c>
      <c r="I18" s="18" t="s">
        <v>26</v>
      </c>
      <c r="J18" s="18" t="s">
        <v>300</v>
      </c>
      <c r="K18" s="8" t="s">
        <v>19</v>
      </c>
      <c r="L18" s="8" t="str">
        <f>+VLOOKUP(K18,'Correl CIIU'!$A$1:$F$26,2,FALSE)</f>
        <v>Explotación de minas y canteras</v>
      </c>
      <c r="M18" s="8" t="str">
        <f>+VLOOKUP(K18,'Correl CIIU'!$A$1:$F$26,3,FALSE)</f>
        <v>Minería</v>
      </c>
      <c r="N18" s="8" t="str">
        <f>+VLOOKUP(K18,'Correl CIIU'!$A$1:$F$26,4,FALSE)</f>
        <v>Mining and quarrying</v>
      </c>
      <c r="O18" s="8">
        <v>3</v>
      </c>
      <c r="P18" s="31" t="str">
        <f>+VLOOKUP(O18,bio!$A$2:$B$4,2,FALSE)</f>
        <v>No bioeconomía</v>
      </c>
    </row>
    <row r="19" spans="1:16" x14ac:dyDescent="0.35">
      <c r="A19" s="30" t="s">
        <v>501</v>
      </c>
      <c r="B19" s="20" t="s">
        <v>141</v>
      </c>
      <c r="C19" s="9" t="str">
        <f>+VLOOKUP(B19,'transacciones '!$A$2:$I$39,2,FALSE)</f>
        <v>ATC01</v>
      </c>
      <c r="D19" s="9" t="str">
        <f>+VLOOKUP(B19,'transacciones '!$A$2:$I$39,3,FALSE)</f>
        <v>Producción / Consumo intermedio</v>
      </c>
      <c r="E19" s="9" t="str">
        <f>+VLOOKUP(B19,'transacciones '!$A$2:$I$39,4,FALSE)</f>
        <v>Producción</v>
      </c>
      <c r="F19" s="9">
        <f>+VLOOKUP(B19,'transacciones '!$A$2:$I$39,5,FALSE)</f>
        <v>1</v>
      </c>
      <c r="G19" s="9" t="str">
        <f>+VLOOKUP(B19,'transacciones '!$A$2:$I$39,6,FALSE)</f>
        <v>P1</v>
      </c>
      <c r="H19" s="9" t="str">
        <f>+VLOOKUP(B19,'transacciones '!$A$2:$I$39,7,FALSE)</f>
        <v>Producción</v>
      </c>
      <c r="I19" s="18" t="s">
        <v>27</v>
      </c>
      <c r="J19" s="18" t="s">
        <v>301</v>
      </c>
      <c r="K19" s="8" t="s">
        <v>19</v>
      </c>
      <c r="L19" s="8" t="str">
        <f>+VLOOKUP(K19,'Correl CIIU'!$A$1:$F$26,2,FALSE)</f>
        <v>Explotación de minas y canteras</v>
      </c>
      <c r="M19" s="8" t="str">
        <f>+VLOOKUP(K19,'Correl CIIU'!$A$1:$F$26,3,FALSE)</f>
        <v>Minería</v>
      </c>
      <c r="N19" s="8" t="str">
        <f>+VLOOKUP(K19,'Correl CIIU'!$A$1:$F$26,4,FALSE)</f>
        <v>Mining and quarrying</v>
      </c>
      <c r="O19" s="8">
        <v>3</v>
      </c>
      <c r="P19" s="31" t="str">
        <f>+VLOOKUP(O19,bio!$A$2:$B$4,2,FALSE)</f>
        <v>No bioeconomía</v>
      </c>
    </row>
    <row r="20" spans="1:16" x14ac:dyDescent="0.35">
      <c r="A20" s="30" t="s">
        <v>502</v>
      </c>
      <c r="B20" s="20" t="s">
        <v>141</v>
      </c>
      <c r="C20" s="9" t="str">
        <f>+VLOOKUP(B20,'transacciones '!$A$2:$I$39,2,FALSE)</f>
        <v>ATC01</v>
      </c>
      <c r="D20" s="9" t="str">
        <f>+VLOOKUP(B20,'transacciones '!$A$2:$I$39,3,FALSE)</f>
        <v>Producción / Consumo intermedio</v>
      </c>
      <c r="E20" s="9" t="str">
        <f>+VLOOKUP(B20,'transacciones '!$A$2:$I$39,4,FALSE)</f>
        <v>Producción</v>
      </c>
      <c r="F20" s="9">
        <f>+VLOOKUP(B20,'transacciones '!$A$2:$I$39,5,FALSE)</f>
        <v>1</v>
      </c>
      <c r="G20" s="9" t="str">
        <f>+VLOOKUP(B20,'transacciones '!$A$2:$I$39,6,FALSE)</f>
        <v>P1</v>
      </c>
      <c r="H20" s="9" t="str">
        <f>+VLOOKUP(B20,'transacciones '!$A$2:$I$39,7,FALSE)</f>
        <v>Producción</v>
      </c>
      <c r="I20" s="18" t="s">
        <v>28</v>
      </c>
      <c r="J20" s="18" t="s">
        <v>302</v>
      </c>
      <c r="K20" s="8" t="s">
        <v>20</v>
      </c>
      <c r="L20" s="8" t="str">
        <f>+VLOOKUP(K20,'Correl CIIU'!$A$1:$F$26,2,FALSE)</f>
        <v>Industrias manufactureras</v>
      </c>
      <c r="M20" s="8" t="str">
        <f>+VLOOKUP(K20,'Correl CIIU'!$A$1:$F$26,3,FALSE)</f>
        <v>Manufacturas</v>
      </c>
      <c r="N20" s="8" t="str">
        <f>+VLOOKUP(K20,'Correl CIIU'!$A$1:$F$26,4,FALSE)</f>
        <v>Manufacturing</v>
      </c>
      <c r="O20" s="8">
        <v>1</v>
      </c>
      <c r="P20" s="31" t="str">
        <f>+VLOOKUP(O20,bio!$A$2:$B$4,2,FALSE)</f>
        <v>Bioeconomía</v>
      </c>
    </row>
    <row r="21" spans="1:16" x14ac:dyDescent="0.35">
      <c r="A21" s="30" t="s">
        <v>503</v>
      </c>
      <c r="B21" s="20" t="s">
        <v>141</v>
      </c>
      <c r="C21" s="9" t="str">
        <f>+VLOOKUP(B21,'transacciones '!$A$2:$I$39,2,FALSE)</f>
        <v>ATC01</v>
      </c>
      <c r="D21" s="9" t="str">
        <f>+VLOOKUP(B21,'transacciones '!$A$2:$I$39,3,FALSE)</f>
        <v>Producción / Consumo intermedio</v>
      </c>
      <c r="E21" s="9" t="str">
        <f>+VLOOKUP(B21,'transacciones '!$A$2:$I$39,4,FALSE)</f>
        <v>Producción</v>
      </c>
      <c r="F21" s="9">
        <f>+VLOOKUP(B21,'transacciones '!$A$2:$I$39,5,FALSE)</f>
        <v>1</v>
      </c>
      <c r="G21" s="9" t="str">
        <f>+VLOOKUP(B21,'transacciones '!$A$2:$I$39,6,FALSE)</f>
        <v>P1</v>
      </c>
      <c r="H21" s="9" t="str">
        <f>+VLOOKUP(B21,'transacciones '!$A$2:$I$39,7,FALSE)</f>
        <v>Producción</v>
      </c>
      <c r="I21" s="18" t="s">
        <v>303</v>
      </c>
      <c r="J21" s="18" t="s">
        <v>304</v>
      </c>
      <c r="K21" s="8" t="s">
        <v>20</v>
      </c>
      <c r="L21" s="8" t="str">
        <f>+VLOOKUP(K21,'Correl CIIU'!$A$1:$F$26,2,FALSE)</f>
        <v>Industrias manufactureras</v>
      </c>
      <c r="M21" s="8" t="str">
        <f>+VLOOKUP(K21,'Correl CIIU'!$A$1:$F$26,3,FALSE)</f>
        <v>Manufacturas</v>
      </c>
      <c r="N21" s="8" t="str">
        <f>+VLOOKUP(K21,'Correl CIIU'!$A$1:$F$26,4,FALSE)</f>
        <v>Manufacturing</v>
      </c>
      <c r="O21" s="8">
        <v>1</v>
      </c>
      <c r="P21" s="31" t="str">
        <f>+VLOOKUP(O21,bio!$A$2:$B$4,2,FALSE)</f>
        <v>Bioeconomía</v>
      </c>
    </row>
    <row r="22" spans="1:16" x14ac:dyDescent="0.35">
      <c r="A22" s="30" t="s">
        <v>504</v>
      </c>
      <c r="B22" s="20" t="s">
        <v>141</v>
      </c>
      <c r="C22" s="9" t="str">
        <f>+VLOOKUP(B22,'transacciones '!$A$2:$I$39,2,FALSE)</f>
        <v>ATC01</v>
      </c>
      <c r="D22" s="9" t="str">
        <f>+VLOOKUP(B22,'transacciones '!$A$2:$I$39,3,FALSE)</f>
        <v>Producción / Consumo intermedio</v>
      </c>
      <c r="E22" s="9" t="str">
        <f>+VLOOKUP(B22,'transacciones '!$A$2:$I$39,4,FALSE)</f>
        <v>Producción</v>
      </c>
      <c r="F22" s="9">
        <f>+VLOOKUP(B22,'transacciones '!$A$2:$I$39,5,FALSE)</f>
        <v>1</v>
      </c>
      <c r="G22" s="9" t="str">
        <f>+VLOOKUP(B22,'transacciones '!$A$2:$I$39,6,FALSE)</f>
        <v>P1</v>
      </c>
      <c r="H22" s="9" t="str">
        <f>+VLOOKUP(B22,'transacciones '!$A$2:$I$39,7,FALSE)</f>
        <v>Producción</v>
      </c>
      <c r="I22" s="18" t="s">
        <v>29</v>
      </c>
      <c r="J22" s="18" t="s">
        <v>305</v>
      </c>
      <c r="K22" s="8" t="s">
        <v>20</v>
      </c>
      <c r="L22" s="8" t="str">
        <f>+VLOOKUP(K22,'Correl CIIU'!$A$1:$F$26,2,FALSE)</f>
        <v>Industrias manufactureras</v>
      </c>
      <c r="M22" s="8" t="str">
        <f>+VLOOKUP(K22,'Correl CIIU'!$A$1:$F$26,3,FALSE)</f>
        <v>Manufacturas</v>
      </c>
      <c r="N22" s="8" t="str">
        <f>+VLOOKUP(K22,'Correl CIIU'!$A$1:$F$26,4,FALSE)</f>
        <v>Manufacturing</v>
      </c>
      <c r="O22" s="8">
        <v>1</v>
      </c>
      <c r="P22" s="31" t="str">
        <f>+VLOOKUP(O22,bio!$A$2:$B$4,2,FALSE)</f>
        <v>Bioeconomía</v>
      </c>
    </row>
    <row r="23" spans="1:16" x14ac:dyDescent="0.35">
      <c r="A23" s="30" t="s">
        <v>505</v>
      </c>
      <c r="B23" s="20" t="s">
        <v>141</v>
      </c>
      <c r="C23" s="9" t="str">
        <f>+VLOOKUP(B23,'transacciones '!$A$2:$I$39,2,FALSE)</f>
        <v>ATC01</v>
      </c>
      <c r="D23" s="9" t="str">
        <f>+VLOOKUP(B23,'transacciones '!$A$2:$I$39,3,FALSE)</f>
        <v>Producción / Consumo intermedio</v>
      </c>
      <c r="E23" s="9" t="str">
        <f>+VLOOKUP(B23,'transacciones '!$A$2:$I$39,4,FALSE)</f>
        <v>Producción</v>
      </c>
      <c r="F23" s="9">
        <f>+VLOOKUP(B23,'transacciones '!$A$2:$I$39,5,FALSE)</f>
        <v>1</v>
      </c>
      <c r="G23" s="9" t="str">
        <f>+VLOOKUP(B23,'transacciones '!$A$2:$I$39,6,FALSE)</f>
        <v>P1</v>
      </c>
      <c r="H23" s="9" t="str">
        <f>+VLOOKUP(B23,'transacciones '!$A$2:$I$39,7,FALSE)</f>
        <v>Producción</v>
      </c>
      <c r="I23" s="18" t="s">
        <v>31</v>
      </c>
      <c r="J23" s="18" t="s">
        <v>306</v>
      </c>
      <c r="K23" s="8" t="s">
        <v>20</v>
      </c>
      <c r="L23" s="8" t="str">
        <f>+VLOOKUP(K23,'Correl CIIU'!$A$1:$F$26,2,FALSE)</f>
        <v>Industrias manufactureras</v>
      </c>
      <c r="M23" s="8" t="str">
        <f>+VLOOKUP(K23,'Correl CIIU'!$A$1:$F$26,3,FALSE)</f>
        <v>Manufacturas</v>
      </c>
      <c r="N23" s="8" t="str">
        <f>+VLOOKUP(K23,'Correl CIIU'!$A$1:$F$26,4,FALSE)</f>
        <v>Manufacturing</v>
      </c>
      <c r="O23" s="8">
        <v>1</v>
      </c>
      <c r="P23" s="31" t="str">
        <f>+VLOOKUP(O23,bio!$A$2:$B$4,2,FALSE)</f>
        <v>Bioeconomía</v>
      </c>
    </row>
    <row r="24" spans="1:16" x14ac:dyDescent="0.35">
      <c r="A24" s="30" t="s">
        <v>506</v>
      </c>
      <c r="B24" s="20" t="s">
        <v>141</v>
      </c>
      <c r="C24" s="9" t="str">
        <f>+VLOOKUP(B24,'transacciones '!$A$2:$I$39,2,FALSE)</f>
        <v>ATC01</v>
      </c>
      <c r="D24" s="9" t="str">
        <f>+VLOOKUP(B24,'transacciones '!$A$2:$I$39,3,FALSE)</f>
        <v>Producción / Consumo intermedio</v>
      </c>
      <c r="E24" s="9" t="str">
        <f>+VLOOKUP(B24,'transacciones '!$A$2:$I$39,4,FALSE)</f>
        <v>Producción</v>
      </c>
      <c r="F24" s="9">
        <f>+VLOOKUP(B24,'transacciones '!$A$2:$I$39,5,FALSE)</f>
        <v>1</v>
      </c>
      <c r="G24" s="9" t="str">
        <f>+VLOOKUP(B24,'transacciones '!$A$2:$I$39,6,FALSE)</f>
        <v>P1</v>
      </c>
      <c r="H24" s="9" t="str">
        <f>+VLOOKUP(B24,'transacciones '!$A$2:$I$39,7,FALSE)</f>
        <v>Producción</v>
      </c>
      <c r="I24" s="18" t="s">
        <v>33</v>
      </c>
      <c r="J24" s="18" t="s">
        <v>307</v>
      </c>
      <c r="K24" s="8" t="s">
        <v>20</v>
      </c>
      <c r="L24" s="8" t="str">
        <f>+VLOOKUP(K24,'Correl CIIU'!$A$1:$F$26,2,FALSE)</f>
        <v>Industrias manufactureras</v>
      </c>
      <c r="M24" s="8" t="str">
        <f>+VLOOKUP(K24,'Correl CIIU'!$A$1:$F$26,3,FALSE)</f>
        <v>Manufacturas</v>
      </c>
      <c r="N24" s="8" t="str">
        <f>+VLOOKUP(K24,'Correl CIIU'!$A$1:$F$26,4,FALSE)</f>
        <v>Manufacturing</v>
      </c>
      <c r="O24" s="8">
        <v>1</v>
      </c>
      <c r="P24" s="31" t="str">
        <f>+VLOOKUP(O24,bio!$A$2:$B$4,2,FALSE)</f>
        <v>Bioeconomía</v>
      </c>
    </row>
    <row r="25" spans="1:16" x14ac:dyDescent="0.35">
      <c r="A25" s="30" t="s">
        <v>507</v>
      </c>
      <c r="B25" s="20" t="s">
        <v>141</v>
      </c>
      <c r="C25" s="9" t="str">
        <f>+VLOOKUP(B25,'transacciones '!$A$2:$I$39,2,FALSE)</f>
        <v>ATC01</v>
      </c>
      <c r="D25" s="9" t="str">
        <f>+VLOOKUP(B25,'transacciones '!$A$2:$I$39,3,FALSE)</f>
        <v>Producción / Consumo intermedio</v>
      </c>
      <c r="E25" s="9" t="str">
        <f>+VLOOKUP(B25,'transacciones '!$A$2:$I$39,4,FALSE)</f>
        <v>Producción</v>
      </c>
      <c r="F25" s="9">
        <f>+VLOOKUP(B25,'transacciones '!$A$2:$I$39,5,FALSE)</f>
        <v>1</v>
      </c>
      <c r="G25" s="9" t="str">
        <f>+VLOOKUP(B25,'transacciones '!$A$2:$I$39,6,FALSE)</f>
        <v>P1</v>
      </c>
      <c r="H25" s="9" t="str">
        <f>+VLOOKUP(B25,'transacciones '!$A$2:$I$39,7,FALSE)</f>
        <v>Producción</v>
      </c>
      <c r="I25" s="18" t="s">
        <v>36</v>
      </c>
      <c r="J25" s="18" t="s">
        <v>21</v>
      </c>
      <c r="K25" s="8" t="s">
        <v>20</v>
      </c>
      <c r="L25" s="8" t="str">
        <f>+VLOOKUP(K25,'Correl CIIU'!$A$1:$F$26,2,FALSE)</f>
        <v>Industrias manufactureras</v>
      </c>
      <c r="M25" s="8" t="str">
        <f>+VLOOKUP(K25,'Correl CIIU'!$A$1:$F$26,3,FALSE)</f>
        <v>Manufacturas</v>
      </c>
      <c r="N25" s="8" t="str">
        <f>+VLOOKUP(K25,'Correl CIIU'!$A$1:$F$26,4,FALSE)</f>
        <v>Manufacturing</v>
      </c>
      <c r="O25" s="8">
        <v>1</v>
      </c>
      <c r="P25" s="31" t="str">
        <f>+VLOOKUP(O25,bio!$A$2:$B$4,2,FALSE)</f>
        <v>Bioeconomía</v>
      </c>
    </row>
    <row r="26" spans="1:16" x14ac:dyDescent="0.35">
      <c r="A26" s="30" t="s">
        <v>508</v>
      </c>
      <c r="B26" s="20" t="s">
        <v>141</v>
      </c>
      <c r="C26" s="9" t="str">
        <f>+VLOOKUP(B26,'transacciones '!$A$2:$I$39,2,FALSE)</f>
        <v>ATC01</v>
      </c>
      <c r="D26" s="9" t="str">
        <f>+VLOOKUP(B26,'transacciones '!$A$2:$I$39,3,FALSE)</f>
        <v>Producción / Consumo intermedio</v>
      </c>
      <c r="E26" s="9" t="str">
        <f>+VLOOKUP(B26,'transacciones '!$A$2:$I$39,4,FALSE)</f>
        <v>Producción</v>
      </c>
      <c r="F26" s="9">
        <f>+VLOOKUP(B26,'transacciones '!$A$2:$I$39,5,FALSE)</f>
        <v>1</v>
      </c>
      <c r="G26" s="9" t="str">
        <f>+VLOOKUP(B26,'transacciones '!$A$2:$I$39,6,FALSE)</f>
        <v>P1</v>
      </c>
      <c r="H26" s="9" t="str">
        <f>+VLOOKUP(B26,'transacciones '!$A$2:$I$39,7,FALSE)</f>
        <v>Producción</v>
      </c>
      <c r="I26" s="18" t="s">
        <v>39</v>
      </c>
      <c r="J26" s="18" t="s">
        <v>308</v>
      </c>
      <c r="K26" s="8" t="s">
        <v>20</v>
      </c>
      <c r="L26" s="8" t="str">
        <f>+VLOOKUP(K26,'Correl CIIU'!$A$1:$F$26,2,FALSE)</f>
        <v>Industrias manufactureras</v>
      </c>
      <c r="M26" s="8" t="str">
        <f>+VLOOKUP(K26,'Correl CIIU'!$A$1:$F$26,3,FALSE)</f>
        <v>Manufacturas</v>
      </c>
      <c r="N26" s="8" t="str">
        <f>+VLOOKUP(K26,'Correl CIIU'!$A$1:$F$26,4,FALSE)</f>
        <v>Manufacturing</v>
      </c>
      <c r="O26" s="8">
        <v>1</v>
      </c>
      <c r="P26" s="31" t="str">
        <f>+VLOOKUP(O26,bio!$A$2:$B$4,2,FALSE)</f>
        <v>Bioeconomía</v>
      </c>
    </row>
    <row r="27" spans="1:16" x14ac:dyDescent="0.35">
      <c r="A27" s="30" t="s">
        <v>509</v>
      </c>
      <c r="B27" s="20" t="s">
        <v>141</v>
      </c>
      <c r="C27" s="9" t="str">
        <f>+VLOOKUP(B27,'transacciones '!$A$2:$I$39,2,FALSE)</f>
        <v>ATC01</v>
      </c>
      <c r="D27" s="9" t="str">
        <f>+VLOOKUP(B27,'transacciones '!$A$2:$I$39,3,FALSE)</f>
        <v>Producción / Consumo intermedio</v>
      </c>
      <c r="E27" s="9" t="str">
        <f>+VLOOKUP(B27,'transacciones '!$A$2:$I$39,4,FALSE)</f>
        <v>Producción</v>
      </c>
      <c r="F27" s="9">
        <f>+VLOOKUP(B27,'transacciones '!$A$2:$I$39,5,FALSE)</f>
        <v>1</v>
      </c>
      <c r="G27" s="9" t="str">
        <f>+VLOOKUP(B27,'transacciones '!$A$2:$I$39,6,FALSE)</f>
        <v>P1</v>
      </c>
      <c r="H27" s="9" t="str">
        <f>+VLOOKUP(B27,'transacciones '!$A$2:$I$39,7,FALSE)</f>
        <v>Producción</v>
      </c>
      <c r="I27" s="18" t="s">
        <v>42</v>
      </c>
      <c r="J27" s="18" t="s">
        <v>309</v>
      </c>
      <c r="K27" s="8" t="s">
        <v>20</v>
      </c>
      <c r="L27" s="8" t="str">
        <f>+VLOOKUP(K27,'Correl CIIU'!$A$1:$F$26,2,FALSE)</f>
        <v>Industrias manufactureras</v>
      </c>
      <c r="M27" s="8" t="str">
        <f>+VLOOKUP(K27,'Correl CIIU'!$A$1:$F$26,3,FALSE)</f>
        <v>Manufacturas</v>
      </c>
      <c r="N27" s="8" t="str">
        <f>+VLOOKUP(K27,'Correl CIIU'!$A$1:$F$26,4,FALSE)</f>
        <v>Manufacturing</v>
      </c>
      <c r="O27" s="8">
        <v>1</v>
      </c>
      <c r="P27" s="31" t="str">
        <f>+VLOOKUP(O27,bio!$A$2:$B$4,2,FALSE)</f>
        <v>Bioeconomía</v>
      </c>
    </row>
    <row r="28" spans="1:16" x14ac:dyDescent="0.35">
      <c r="A28" s="30" t="s">
        <v>510</v>
      </c>
      <c r="B28" s="20" t="s">
        <v>141</v>
      </c>
      <c r="C28" s="9" t="str">
        <f>+VLOOKUP(B28,'transacciones '!$A$2:$I$39,2,FALSE)</f>
        <v>ATC01</v>
      </c>
      <c r="D28" s="9" t="str">
        <f>+VLOOKUP(B28,'transacciones '!$A$2:$I$39,3,FALSE)</f>
        <v>Producción / Consumo intermedio</v>
      </c>
      <c r="E28" s="9" t="str">
        <f>+VLOOKUP(B28,'transacciones '!$A$2:$I$39,4,FALSE)</f>
        <v>Producción</v>
      </c>
      <c r="F28" s="9">
        <f>+VLOOKUP(B28,'transacciones '!$A$2:$I$39,5,FALSE)</f>
        <v>1</v>
      </c>
      <c r="G28" s="9" t="str">
        <f>+VLOOKUP(B28,'transacciones '!$A$2:$I$39,6,FALSE)</f>
        <v>P1</v>
      </c>
      <c r="H28" s="9" t="str">
        <f>+VLOOKUP(B28,'transacciones '!$A$2:$I$39,7,FALSE)</f>
        <v>Producción</v>
      </c>
      <c r="I28" s="18" t="s">
        <v>44</v>
      </c>
      <c r="J28" s="18" t="s">
        <v>310</v>
      </c>
      <c r="K28" s="8" t="s">
        <v>20</v>
      </c>
      <c r="L28" s="8" t="str">
        <f>+VLOOKUP(K28,'Correl CIIU'!$A$1:$F$26,2,FALSE)</f>
        <v>Industrias manufactureras</v>
      </c>
      <c r="M28" s="8" t="str">
        <f>+VLOOKUP(K28,'Correl CIIU'!$A$1:$F$26,3,FALSE)</f>
        <v>Manufacturas</v>
      </c>
      <c r="N28" s="8" t="str">
        <f>+VLOOKUP(K28,'Correl CIIU'!$A$1:$F$26,4,FALSE)</f>
        <v>Manufacturing</v>
      </c>
      <c r="O28" s="8">
        <v>1</v>
      </c>
      <c r="P28" s="31" t="str">
        <f>+VLOOKUP(O28,bio!$A$2:$B$4,2,FALSE)</f>
        <v>Bioeconomía</v>
      </c>
    </row>
    <row r="29" spans="1:16" x14ac:dyDescent="0.35">
      <c r="A29" s="30" t="s">
        <v>511</v>
      </c>
      <c r="B29" s="20" t="s">
        <v>141</v>
      </c>
      <c r="C29" s="9" t="str">
        <f>+VLOOKUP(B29,'transacciones '!$A$2:$I$39,2,FALSE)</f>
        <v>ATC01</v>
      </c>
      <c r="D29" s="9" t="str">
        <f>+VLOOKUP(B29,'transacciones '!$A$2:$I$39,3,FALSE)</f>
        <v>Producción / Consumo intermedio</v>
      </c>
      <c r="E29" s="9" t="str">
        <f>+VLOOKUP(B29,'transacciones '!$A$2:$I$39,4,FALSE)</f>
        <v>Producción</v>
      </c>
      <c r="F29" s="9">
        <f>+VLOOKUP(B29,'transacciones '!$A$2:$I$39,5,FALSE)</f>
        <v>1</v>
      </c>
      <c r="G29" s="9" t="str">
        <f>+VLOOKUP(B29,'transacciones '!$A$2:$I$39,6,FALSE)</f>
        <v>P1</v>
      </c>
      <c r="H29" s="9" t="str">
        <f>+VLOOKUP(B29,'transacciones '!$A$2:$I$39,7,FALSE)</f>
        <v>Producción</v>
      </c>
      <c r="I29" s="18" t="s">
        <v>46</v>
      </c>
      <c r="J29" s="18" t="s">
        <v>311</v>
      </c>
      <c r="K29" s="8" t="s">
        <v>20</v>
      </c>
      <c r="L29" s="8" t="str">
        <f>+VLOOKUP(K29,'Correl CIIU'!$A$1:$F$26,2,FALSE)</f>
        <v>Industrias manufactureras</v>
      </c>
      <c r="M29" s="8" t="str">
        <f>+VLOOKUP(K29,'Correl CIIU'!$A$1:$F$26,3,FALSE)</f>
        <v>Manufacturas</v>
      </c>
      <c r="N29" s="8" t="str">
        <f>+VLOOKUP(K29,'Correl CIIU'!$A$1:$F$26,4,FALSE)</f>
        <v>Manufacturing</v>
      </c>
      <c r="O29" s="8">
        <v>1</v>
      </c>
      <c r="P29" s="31" t="str">
        <f>+VLOOKUP(O29,bio!$A$2:$B$4,2,FALSE)</f>
        <v>Bioeconomía</v>
      </c>
    </row>
    <row r="30" spans="1:16" x14ac:dyDescent="0.35">
      <c r="A30" s="30" t="s">
        <v>512</v>
      </c>
      <c r="B30" s="20" t="s">
        <v>141</v>
      </c>
      <c r="C30" s="9" t="str">
        <f>+VLOOKUP(B30,'transacciones '!$A$2:$I$39,2,FALSE)</f>
        <v>ATC01</v>
      </c>
      <c r="D30" s="9" t="str">
        <f>+VLOOKUP(B30,'transacciones '!$A$2:$I$39,3,FALSE)</f>
        <v>Producción / Consumo intermedio</v>
      </c>
      <c r="E30" s="9" t="str">
        <f>+VLOOKUP(B30,'transacciones '!$A$2:$I$39,4,FALSE)</f>
        <v>Producción</v>
      </c>
      <c r="F30" s="9">
        <f>+VLOOKUP(B30,'transacciones '!$A$2:$I$39,5,FALSE)</f>
        <v>1</v>
      </c>
      <c r="G30" s="9" t="str">
        <f>+VLOOKUP(B30,'transacciones '!$A$2:$I$39,6,FALSE)</f>
        <v>P1</v>
      </c>
      <c r="H30" s="9" t="str">
        <f>+VLOOKUP(B30,'transacciones '!$A$2:$I$39,7,FALSE)</f>
        <v>Producción</v>
      </c>
      <c r="I30" s="18" t="s">
        <v>49</v>
      </c>
      <c r="J30" s="18" t="s">
        <v>312</v>
      </c>
      <c r="K30" s="8" t="s">
        <v>20</v>
      </c>
      <c r="L30" s="8" t="str">
        <f>+VLOOKUP(K30,'Correl CIIU'!$A$1:$F$26,2,FALSE)</f>
        <v>Industrias manufactureras</v>
      </c>
      <c r="M30" s="8" t="str">
        <f>+VLOOKUP(K30,'Correl CIIU'!$A$1:$F$26,3,FALSE)</f>
        <v>Manufacturas</v>
      </c>
      <c r="N30" s="8" t="str">
        <f>+VLOOKUP(K30,'Correl CIIU'!$A$1:$F$26,4,FALSE)</f>
        <v>Manufacturing</v>
      </c>
      <c r="O30" s="8">
        <v>1</v>
      </c>
      <c r="P30" s="31" t="str">
        <f>+VLOOKUP(O30,bio!$A$2:$B$4,2,FALSE)</f>
        <v>Bioeconomía</v>
      </c>
    </row>
    <row r="31" spans="1:16" x14ac:dyDescent="0.35">
      <c r="A31" s="30" t="s">
        <v>513</v>
      </c>
      <c r="B31" s="20" t="s">
        <v>141</v>
      </c>
      <c r="C31" s="9" t="str">
        <f>+VLOOKUP(B31,'transacciones '!$A$2:$I$39,2,FALSE)</f>
        <v>ATC01</v>
      </c>
      <c r="D31" s="9" t="str">
        <f>+VLOOKUP(B31,'transacciones '!$A$2:$I$39,3,FALSE)</f>
        <v>Producción / Consumo intermedio</v>
      </c>
      <c r="E31" s="9" t="str">
        <f>+VLOOKUP(B31,'transacciones '!$A$2:$I$39,4,FALSE)</f>
        <v>Producción</v>
      </c>
      <c r="F31" s="9">
        <f>+VLOOKUP(B31,'transacciones '!$A$2:$I$39,5,FALSE)</f>
        <v>1</v>
      </c>
      <c r="G31" s="9" t="str">
        <f>+VLOOKUP(B31,'transacciones '!$A$2:$I$39,6,FALSE)</f>
        <v>P1</v>
      </c>
      <c r="H31" s="9" t="str">
        <f>+VLOOKUP(B31,'transacciones '!$A$2:$I$39,7,FALSE)</f>
        <v>Producción</v>
      </c>
      <c r="I31" s="18" t="s">
        <v>52</v>
      </c>
      <c r="J31" s="18" t="s">
        <v>313</v>
      </c>
      <c r="K31" s="8" t="s">
        <v>20</v>
      </c>
      <c r="L31" s="8" t="str">
        <f>+VLOOKUP(K31,'Correl CIIU'!$A$1:$F$26,2,FALSE)</f>
        <v>Industrias manufactureras</v>
      </c>
      <c r="M31" s="8" t="str">
        <f>+VLOOKUP(K31,'Correl CIIU'!$A$1:$F$26,3,FALSE)</f>
        <v>Manufacturas</v>
      </c>
      <c r="N31" s="8" t="str">
        <f>+VLOOKUP(K31,'Correl CIIU'!$A$1:$F$26,4,FALSE)</f>
        <v>Manufacturing</v>
      </c>
      <c r="O31" s="8">
        <v>1</v>
      </c>
      <c r="P31" s="31" t="str">
        <f>+VLOOKUP(O31,bio!$A$2:$B$4,2,FALSE)</f>
        <v>Bioeconomía</v>
      </c>
    </row>
    <row r="32" spans="1:16" x14ac:dyDescent="0.35">
      <c r="A32" s="30" t="s">
        <v>514</v>
      </c>
      <c r="B32" s="20" t="s">
        <v>141</v>
      </c>
      <c r="C32" s="9" t="str">
        <f>+VLOOKUP(B32,'transacciones '!$A$2:$I$39,2,FALSE)</f>
        <v>ATC01</v>
      </c>
      <c r="D32" s="9" t="str">
        <f>+VLOOKUP(B32,'transacciones '!$A$2:$I$39,3,FALSE)</f>
        <v>Producción / Consumo intermedio</v>
      </c>
      <c r="E32" s="9" t="str">
        <f>+VLOOKUP(B32,'transacciones '!$A$2:$I$39,4,FALSE)</f>
        <v>Producción</v>
      </c>
      <c r="F32" s="9">
        <f>+VLOOKUP(B32,'transacciones '!$A$2:$I$39,5,FALSE)</f>
        <v>1</v>
      </c>
      <c r="G32" s="9" t="str">
        <f>+VLOOKUP(B32,'transacciones '!$A$2:$I$39,6,FALSE)</f>
        <v>P1</v>
      </c>
      <c r="H32" s="9" t="str">
        <f>+VLOOKUP(B32,'transacciones '!$A$2:$I$39,7,FALSE)</f>
        <v>Producción</v>
      </c>
      <c r="I32" s="18" t="s">
        <v>66</v>
      </c>
      <c r="J32" s="18" t="s">
        <v>314</v>
      </c>
      <c r="K32" s="8" t="s">
        <v>20</v>
      </c>
      <c r="L32" s="8" t="str">
        <f>+VLOOKUP(K32,'Correl CIIU'!$A$1:$F$26,2,FALSE)</f>
        <v>Industrias manufactureras</v>
      </c>
      <c r="M32" s="8" t="str">
        <f>+VLOOKUP(K32,'Correl CIIU'!$A$1:$F$26,3,FALSE)</f>
        <v>Manufacturas</v>
      </c>
      <c r="N32" s="8" t="str">
        <f>+VLOOKUP(K32,'Correl CIIU'!$A$1:$F$26,4,FALSE)</f>
        <v>Manufacturing</v>
      </c>
      <c r="O32" s="8">
        <v>1</v>
      </c>
      <c r="P32" s="31" t="str">
        <f>+VLOOKUP(O32,bio!$A$2:$B$4,2,FALSE)</f>
        <v>Bioeconomía</v>
      </c>
    </row>
    <row r="33" spans="1:16" x14ac:dyDescent="0.35">
      <c r="A33" s="30" t="s">
        <v>515</v>
      </c>
      <c r="B33" s="20" t="s">
        <v>141</v>
      </c>
      <c r="C33" s="9" t="str">
        <f>+VLOOKUP(B33,'transacciones '!$A$2:$I$39,2,FALSE)</f>
        <v>ATC01</v>
      </c>
      <c r="D33" s="9" t="str">
        <f>+VLOOKUP(B33,'transacciones '!$A$2:$I$39,3,FALSE)</f>
        <v>Producción / Consumo intermedio</v>
      </c>
      <c r="E33" s="9" t="str">
        <f>+VLOOKUP(B33,'transacciones '!$A$2:$I$39,4,FALSE)</f>
        <v>Producción</v>
      </c>
      <c r="F33" s="9">
        <f>+VLOOKUP(B33,'transacciones '!$A$2:$I$39,5,FALSE)</f>
        <v>1</v>
      </c>
      <c r="G33" s="9" t="str">
        <f>+VLOOKUP(B33,'transacciones '!$A$2:$I$39,6,FALSE)</f>
        <v>P1</v>
      </c>
      <c r="H33" s="9" t="str">
        <f>+VLOOKUP(B33,'transacciones '!$A$2:$I$39,7,FALSE)</f>
        <v>Producción</v>
      </c>
      <c r="I33" s="18" t="s">
        <v>55</v>
      </c>
      <c r="J33" s="18" t="s">
        <v>315</v>
      </c>
      <c r="K33" s="8" t="s">
        <v>20</v>
      </c>
      <c r="L33" s="8" t="str">
        <f>+VLOOKUP(K33,'Correl CIIU'!$A$1:$F$26,2,FALSE)</f>
        <v>Industrias manufactureras</v>
      </c>
      <c r="M33" s="8" t="str">
        <f>+VLOOKUP(K33,'Correl CIIU'!$A$1:$F$26,3,FALSE)</f>
        <v>Manufacturas</v>
      </c>
      <c r="N33" s="8" t="str">
        <f>+VLOOKUP(K33,'Correl CIIU'!$A$1:$F$26,4,FALSE)</f>
        <v>Manufacturing</v>
      </c>
      <c r="O33" s="8">
        <v>1</v>
      </c>
      <c r="P33" s="31" t="str">
        <f>+VLOOKUP(O33,bio!$A$2:$B$4,2,FALSE)</f>
        <v>Bioeconomía</v>
      </c>
    </row>
    <row r="34" spans="1:16" x14ac:dyDescent="0.35">
      <c r="A34" s="30" t="s">
        <v>516</v>
      </c>
      <c r="B34" s="20" t="s">
        <v>141</v>
      </c>
      <c r="C34" s="9" t="str">
        <f>+VLOOKUP(B34,'transacciones '!$A$2:$I$39,2,FALSE)</f>
        <v>ATC01</v>
      </c>
      <c r="D34" s="9" t="str">
        <f>+VLOOKUP(B34,'transacciones '!$A$2:$I$39,3,FALSE)</f>
        <v>Producción / Consumo intermedio</v>
      </c>
      <c r="E34" s="9" t="str">
        <f>+VLOOKUP(B34,'transacciones '!$A$2:$I$39,4,FALSE)</f>
        <v>Producción</v>
      </c>
      <c r="F34" s="9">
        <f>+VLOOKUP(B34,'transacciones '!$A$2:$I$39,5,FALSE)</f>
        <v>1</v>
      </c>
      <c r="G34" s="9" t="str">
        <f>+VLOOKUP(B34,'transacciones '!$A$2:$I$39,6,FALSE)</f>
        <v>P1</v>
      </c>
      <c r="H34" s="9" t="str">
        <f>+VLOOKUP(B34,'transacciones '!$A$2:$I$39,7,FALSE)</f>
        <v>Producción</v>
      </c>
      <c r="I34" s="18" t="s">
        <v>58</v>
      </c>
      <c r="J34" s="18" t="s">
        <v>316</v>
      </c>
      <c r="K34" s="8" t="s">
        <v>20</v>
      </c>
      <c r="L34" s="8" t="str">
        <f>+VLOOKUP(K34,'Correl CIIU'!$A$1:$F$26,2,FALSE)</f>
        <v>Industrias manufactureras</v>
      </c>
      <c r="M34" s="8" t="str">
        <f>+VLOOKUP(K34,'Correl CIIU'!$A$1:$F$26,3,FALSE)</f>
        <v>Manufacturas</v>
      </c>
      <c r="N34" s="8" t="str">
        <f>+VLOOKUP(K34,'Correl CIIU'!$A$1:$F$26,4,FALSE)</f>
        <v>Manufacturing</v>
      </c>
      <c r="O34" s="8">
        <v>1</v>
      </c>
      <c r="P34" s="31" t="str">
        <f>+VLOOKUP(O34,bio!$A$2:$B$4,2,FALSE)</f>
        <v>Bioeconomía</v>
      </c>
    </row>
    <row r="35" spans="1:16" x14ac:dyDescent="0.35">
      <c r="A35" s="30" t="s">
        <v>517</v>
      </c>
      <c r="B35" s="20" t="s">
        <v>141</v>
      </c>
      <c r="C35" s="9" t="str">
        <f>+VLOOKUP(B35,'transacciones '!$A$2:$I$39,2,FALSE)</f>
        <v>ATC01</v>
      </c>
      <c r="D35" s="9" t="str">
        <f>+VLOOKUP(B35,'transacciones '!$A$2:$I$39,3,FALSE)</f>
        <v>Producción / Consumo intermedio</v>
      </c>
      <c r="E35" s="9" t="str">
        <f>+VLOOKUP(B35,'transacciones '!$A$2:$I$39,4,FALSE)</f>
        <v>Producción</v>
      </c>
      <c r="F35" s="9">
        <f>+VLOOKUP(B35,'transacciones '!$A$2:$I$39,5,FALSE)</f>
        <v>1</v>
      </c>
      <c r="G35" s="9" t="str">
        <f>+VLOOKUP(B35,'transacciones '!$A$2:$I$39,6,FALSE)</f>
        <v>P1</v>
      </c>
      <c r="H35" s="9" t="str">
        <f>+VLOOKUP(B35,'transacciones '!$A$2:$I$39,7,FALSE)</f>
        <v>Producción</v>
      </c>
      <c r="I35" s="18" t="s">
        <v>61</v>
      </c>
      <c r="J35" s="18" t="s">
        <v>317</v>
      </c>
      <c r="K35" s="8" t="s">
        <v>20</v>
      </c>
      <c r="L35" s="8" t="str">
        <f>+VLOOKUP(K35,'Correl CIIU'!$A$1:$F$26,2,FALSE)</f>
        <v>Industrias manufactureras</v>
      </c>
      <c r="M35" s="8" t="str">
        <f>+VLOOKUP(K35,'Correl CIIU'!$A$1:$F$26,3,FALSE)</f>
        <v>Manufacturas</v>
      </c>
      <c r="N35" s="8" t="str">
        <f>+VLOOKUP(K35,'Correl CIIU'!$A$1:$F$26,4,FALSE)</f>
        <v>Manufacturing</v>
      </c>
      <c r="O35" s="8">
        <v>1</v>
      </c>
      <c r="P35" s="31" t="str">
        <f>+VLOOKUP(O35,bio!$A$2:$B$4,2,FALSE)</f>
        <v>Bioeconomía</v>
      </c>
    </row>
    <row r="36" spans="1:16" x14ac:dyDescent="0.35">
      <c r="A36" s="30" t="s">
        <v>518</v>
      </c>
      <c r="B36" s="20" t="s">
        <v>141</v>
      </c>
      <c r="C36" s="9" t="str">
        <f>+VLOOKUP(B36,'transacciones '!$A$2:$I$39,2,FALSE)</f>
        <v>ATC01</v>
      </c>
      <c r="D36" s="9" t="str">
        <f>+VLOOKUP(B36,'transacciones '!$A$2:$I$39,3,FALSE)</f>
        <v>Producción / Consumo intermedio</v>
      </c>
      <c r="E36" s="9" t="str">
        <f>+VLOOKUP(B36,'transacciones '!$A$2:$I$39,4,FALSE)</f>
        <v>Producción</v>
      </c>
      <c r="F36" s="9">
        <f>+VLOOKUP(B36,'transacciones '!$A$2:$I$39,5,FALSE)</f>
        <v>1</v>
      </c>
      <c r="G36" s="9" t="str">
        <f>+VLOOKUP(B36,'transacciones '!$A$2:$I$39,6,FALSE)</f>
        <v>P1</v>
      </c>
      <c r="H36" s="9" t="str">
        <f>+VLOOKUP(B36,'transacciones '!$A$2:$I$39,7,FALSE)</f>
        <v>Producción</v>
      </c>
      <c r="I36" s="18" t="s">
        <v>64</v>
      </c>
      <c r="J36" s="18" t="s">
        <v>318</v>
      </c>
      <c r="K36" s="8" t="s">
        <v>20</v>
      </c>
      <c r="L36" s="8" t="str">
        <f>+VLOOKUP(K36,'Correl CIIU'!$A$1:$F$26,2,FALSE)</f>
        <v>Industrias manufactureras</v>
      </c>
      <c r="M36" s="8" t="str">
        <f>+VLOOKUP(K36,'Correl CIIU'!$A$1:$F$26,3,FALSE)</f>
        <v>Manufacturas</v>
      </c>
      <c r="N36" s="8" t="str">
        <f>+VLOOKUP(K36,'Correl CIIU'!$A$1:$F$26,4,FALSE)</f>
        <v>Manufacturing</v>
      </c>
      <c r="O36" s="8">
        <v>2</v>
      </c>
      <c r="P36" s="31" t="str">
        <f>+VLOOKUP(O36,bio!$A$2:$B$4,2,FALSE)</f>
        <v>Bioeconomía extendida</v>
      </c>
    </row>
    <row r="37" spans="1:16" x14ac:dyDescent="0.35">
      <c r="A37" s="30" t="s">
        <v>519</v>
      </c>
      <c r="B37" s="20" t="s">
        <v>141</v>
      </c>
      <c r="C37" s="9" t="str">
        <f>+VLOOKUP(B37,'transacciones '!$A$2:$I$39,2,FALSE)</f>
        <v>ATC01</v>
      </c>
      <c r="D37" s="9" t="str">
        <f>+VLOOKUP(B37,'transacciones '!$A$2:$I$39,3,FALSE)</f>
        <v>Producción / Consumo intermedio</v>
      </c>
      <c r="E37" s="9" t="str">
        <f>+VLOOKUP(B37,'transacciones '!$A$2:$I$39,4,FALSE)</f>
        <v>Producción</v>
      </c>
      <c r="F37" s="9">
        <f>+VLOOKUP(B37,'transacciones '!$A$2:$I$39,5,FALSE)</f>
        <v>1</v>
      </c>
      <c r="G37" s="9" t="str">
        <f>+VLOOKUP(B37,'transacciones '!$A$2:$I$39,6,FALSE)</f>
        <v>P1</v>
      </c>
      <c r="H37" s="9" t="str">
        <f>+VLOOKUP(B37,'transacciones '!$A$2:$I$39,7,FALSE)</f>
        <v>Producción</v>
      </c>
      <c r="I37" s="18" t="s">
        <v>319</v>
      </c>
      <c r="J37" s="18" t="s">
        <v>320</v>
      </c>
      <c r="K37" s="8" t="s">
        <v>20</v>
      </c>
      <c r="L37" s="8" t="str">
        <f>+VLOOKUP(K37,'Correl CIIU'!$A$1:$F$26,2,FALSE)</f>
        <v>Industrias manufactureras</v>
      </c>
      <c r="M37" s="8" t="str">
        <f>+VLOOKUP(K37,'Correl CIIU'!$A$1:$F$26,3,FALSE)</f>
        <v>Manufacturas</v>
      </c>
      <c r="N37" s="8" t="str">
        <f>+VLOOKUP(K37,'Correl CIIU'!$A$1:$F$26,4,FALSE)</f>
        <v>Manufacturing</v>
      </c>
      <c r="O37" s="8">
        <v>2</v>
      </c>
      <c r="P37" s="31" t="str">
        <f>+VLOOKUP(O37,bio!$A$2:$B$4,2,FALSE)</f>
        <v>Bioeconomía extendida</v>
      </c>
    </row>
    <row r="38" spans="1:16" x14ac:dyDescent="0.35">
      <c r="A38" s="30" t="s">
        <v>520</v>
      </c>
      <c r="B38" s="20" t="s">
        <v>141</v>
      </c>
      <c r="C38" s="9" t="str">
        <f>+VLOOKUP(B38,'transacciones '!$A$2:$I$39,2,FALSE)</f>
        <v>ATC01</v>
      </c>
      <c r="D38" s="9" t="str">
        <f>+VLOOKUP(B38,'transacciones '!$A$2:$I$39,3,FALSE)</f>
        <v>Producción / Consumo intermedio</v>
      </c>
      <c r="E38" s="9" t="str">
        <f>+VLOOKUP(B38,'transacciones '!$A$2:$I$39,4,FALSE)</f>
        <v>Producción</v>
      </c>
      <c r="F38" s="9">
        <f>+VLOOKUP(B38,'transacciones '!$A$2:$I$39,5,FALSE)</f>
        <v>1</v>
      </c>
      <c r="G38" s="9" t="str">
        <f>+VLOOKUP(B38,'transacciones '!$A$2:$I$39,6,FALSE)</f>
        <v>P1</v>
      </c>
      <c r="H38" s="9" t="str">
        <f>+VLOOKUP(B38,'transacciones '!$A$2:$I$39,7,FALSE)</f>
        <v>Producción</v>
      </c>
      <c r="I38" s="18" t="s">
        <v>321</v>
      </c>
      <c r="J38" s="18" t="s">
        <v>322</v>
      </c>
      <c r="K38" s="8" t="s">
        <v>20</v>
      </c>
      <c r="L38" s="8" t="str">
        <f>+VLOOKUP(K38,'Correl CIIU'!$A$1:$F$26,2,FALSE)</f>
        <v>Industrias manufactureras</v>
      </c>
      <c r="M38" s="8" t="str">
        <f>+VLOOKUP(K38,'Correl CIIU'!$A$1:$F$26,3,FALSE)</f>
        <v>Manufacturas</v>
      </c>
      <c r="N38" s="8" t="str">
        <f>+VLOOKUP(K38,'Correl CIIU'!$A$1:$F$26,4,FALSE)</f>
        <v>Manufacturing</v>
      </c>
      <c r="O38" s="8">
        <v>1</v>
      </c>
      <c r="P38" s="31" t="str">
        <f>+VLOOKUP(O38,bio!$A$2:$B$4,2,FALSE)</f>
        <v>Bioeconomía</v>
      </c>
    </row>
    <row r="39" spans="1:16" x14ac:dyDescent="0.35">
      <c r="A39" s="30" t="s">
        <v>521</v>
      </c>
      <c r="B39" s="20" t="s">
        <v>141</v>
      </c>
      <c r="C39" s="9" t="str">
        <f>+VLOOKUP(B39,'transacciones '!$A$2:$I$39,2,FALSE)</f>
        <v>ATC01</v>
      </c>
      <c r="D39" s="9" t="str">
        <f>+VLOOKUP(B39,'transacciones '!$A$2:$I$39,3,FALSE)</f>
        <v>Producción / Consumo intermedio</v>
      </c>
      <c r="E39" s="9" t="str">
        <f>+VLOOKUP(B39,'transacciones '!$A$2:$I$39,4,FALSE)</f>
        <v>Producción</v>
      </c>
      <c r="F39" s="9">
        <f>+VLOOKUP(B39,'transacciones '!$A$2:$I$39,5,FALSE)</f>
        <v>1</v>
      </c>
      <c r="G39" s="9" t="str">
        <f>+VLOOKUP(B39,'transacciones '!$A$2:$I$39,6,FALSE)</f>
        <v>P1</v>
      </c>
      <c r="H39" s="9" t="str">
        <f>+VLOOKUP(B39,'transacciones '!$A$2:$I$39,7,FALSE)</f>
        <v>Producción</v>
      </c>
      <c r="I39" s="18" t="s">
        <v>323</v>
      </c>
      <c r="J39" s="18" t="s">
        <v>324</v>
      </c>
      <c r="K39" s="8" t="s">
        <v>20</v>
      </c>
      <c r="L39" s="8" t="str">
        <f>+VLOOKUP(K39,'Correl CIIU'!$A$1:$F$26,2,FALSE)</f>
        <v>Industrias manufactureras</v>
      </c>
      <c r="M39" s="8" t="str">
        <f>+VLOOKUP(K39,'Correl CIIU'!$A$1:$F$26,3,FALSE)</f>
        <v>Manufacturas</v>
      </c>
      <c r="N39" s="8" t="str">
        <f>+VLOOKUP(K39,'Correl CIIU'!$A$1:$F$26,4,FALSE)</f>
        <v>Manufacturing</v>
      </c>
      <c r="O39" s="8">
        <v>2</v>
      </c>
      <c r="P39" s="31" t="str">
        <f>+VLOOKUP(O39,bio!$A$2:$B$4,2,FALSE)</f>
        <v>Bioeconomía extendida</v>
      </c>
    </row>
    <row r="40" spans="1:16" x14ac:dyDescent="0.35">
      <c r="A40" s="30" t="s">
        <v>522</v>
      </c>
      <c r="B40" s="20" t="s">
        <v>141</v>
      </c>
      <c r="C40" s="9" t="str">
        <f>+VLOOKUP(B40,'transacciones '!$A$2:$I$39,2,FALSE)</f>
        <v>ATC01</v>
      </c>
      <c r="D40" s="9" t="str">
        <f>+VLOOKUP(B40,'transacciones '!$A$2:$I$39,3,FALSE)</f>
        <v>Producción / Consumo intermedio</v>
      </c>
      <c r="E40" s="9" t="str">
        <f>+VLOOKUP(B40,'transacciones '!$A$2:$I$39,4,FALSE)</f>
        <v>Producción</v>
      </c>
      <c r="F40" s="9">
        <f>+VLOOKUP(B40,'transacciones '!$A$2:$I$39,5,FALSE)</f>
        <v>1</v>
      </c>
      <c r="G40" s="9" t="str">
        <f>+VLOOKUP(B40,'transacciones '!$A$2:$I$39,6,FALSE)</f>
        <v>P1</v>
      </c>
      <c r="H40" s="9" t="str">
        <f>+VLOOKUP(B40,'transacciones '!$A$2:$I$39,7,FALSE)</f>
        <v>Producción</v>
      </c>
      <c r="I40" s="18" t="s">
        <v>325</v>
      </c>
      <c r="J40" s="18" t="s">
        <v>326</v>
      </c>
      <c r="K40" s="8" t="s">
        <v>20</v>
      </c>
      <c r="L40" s="8" t="str">
        <f>+VLOOKUP(K40,'Correl CIIU'!$A$1:$F$26,2,FALSE)</f>
        <v>Industrias manufactureras</v>
      </c>
      <c r="M40" s="8" t="str">
        <f>+VLOOKUP(K40,'Correl CIIU'!$A$1:$F$26,3,FALSE)</f>
        <v>Manufacturas</v>
      </c>
      <c r="N40" s="8" t="str">
        <f>+VLOOKUP(K40,'Correl CIIU'!$A$1:$F$26,4,FALSE)</f>
        <v>Manufacturing</v>
      </c>
      <c r="O40" s="8">
        <v>1</v>
      </c>
      <c r="P40" s="31" t="str">
        <f>+VLOOKUP(O40,bio!$A$2:$B$4,2,FALSE)</f>
        <v>Bioeconomía</v>
      </c>
    </row>
    <row r="41" spans="1:16" x14ac:dyDescent="0.35">
      <c r="A41" s="30" t="s">
        <v>523</v>
      </c>
      <c r="B41" s="20" t="s">
        <v>141</v>
      </c>
      <c r="C41" s="9" t="str">
        <f>+VLOOKUP(B41,'transacciones '!$A$2:$I$39,2,FALSE)</f>
        <v>ATC01</v>
      </c>
      <c r="D41" s="9" t="str">
        <f>+VLOOKUP(B41,'transacciones '!$A$2:$I$39,3,FALSE)</f>
        <v>Producción / Consumo intermedio</v>
      </c>
      <c r="E41" s="9" t="str">
        <f>+VLOOKUP(B41,'transacciones '!$A$2:$I$39,4,FALSE)</f>
        <v>Producción</v>
      </c>
      <c r="F41" s="9">
        <f>+VLOOKUP(B41,'transacciones '!$A$2:$I$39,5,FALSE)</f>
        <v>1</v>
      </c>
      <c r="G41" s="9" t="str">
        <f>+VLOOKUP(B41,'transacciones '!$A$2:$I$39,6,FALSE)</f>
        <v>P1</v>
      </c>
      <c r="H41" s="9" t="str">
        <f>+VLOOKUP(B41,'transacciones '!$A$2:$I$39,7,FALSE)</f>
        <v>Producción</v>
      </c>
      <c r="I41" s="18" t="s">
        <v>327</v>
      </c>
      <c r="J41" s="18" t="s">
        <v>328</v>
      </c>
      <c r="K41" s="8" t="s">
        <v>20</v>
      </c>
      <c r="L41" s="8" t="str">
        <f>+VLOOKUP(K41,'Correl CIIU'!$A$1:$F$26,2,FALSE)</f>
        <v>Industrias manufactureras</v>
      </c>
      <c r="M41" s="8" t="str">
        <f>+VLOOKUP(K41,'Correl CIIU'!$A$1:$F$26,3,FALSE)</f>
        <v>Manufacturas</v>
      </c>
      <c r="N41" s="8" t="str">
        <f>+VLOOKUP(K41,'Correl CIIU'!$A$1:$F$26,4,FALSE)</f>
        <v>Manufacturing</v>
      </c>
      <c r="O41" s="8">
        <v>1</v>
      </c>
      <c r="P41" s="31" t="str">
        <f>+VLOOKUP(O41,bio!$A$2:$B$4,2,FALSE)</f>
        <v>Bioeconomía</v>
      </c>
    </row>
    <row r="42" spans="1:16" x14ac:dyDescent="0.35">
      <c r="A42" s="30" t="s">
        <v>524</v>
      </c>
      <c r="B42" s="20" t="s">
        <v>141</v>
      </c>
      <c r="C42" s="9" t="str">
        <f>+VLOOKUP(B42,'transacciones '!$A$2:$I$39,2,FALSE)</f>
        <v>ATC01</v>
      </c>
      <c r="D42" s="9" t="str">
        <f>+VLOOKUP(B42,'transacciones '!$A$2:$I$39,3,FALSE)</f>
        <v>Producción / Consumo intermedio</v>
      </c>
      <c r="E42" s="9" t="str">
        <f>+VLOOKUP(B42,'transacciones '!$A$2:$I$39,4,FALSE)</f>
        <v>Producción</v>
      </c>
      <c r="F42" s="9">
        <f>+VLOOKUP(B42,'transacciones '!$A$2:$I$39,5,FALSE)</f>
        <v>1</v>
      </c>
      <c r="G42" s="9" t="str">
        <f>+VLOOKUP(B42,'transacciones '!$A$2:$I$39,6,FALSE)</f>
        <v>P1</v>
      </c>
      <c r="H42" s="9" t="str">
        <f>+VLOOKUP(B42,'transacciones '!$A$2:$I$39,7,FALSE)</f>
        <v>Producción</v>
      </c>
      <c r="I42" s="18" t="s">
        <v>329</v>
      </c>
      <c r="J42" s="18" t="s">
        <v>330</v>
      </c>
      <c r="K42" s="8" t="s">
        <v>20</v>
      </c>
      <c r="L42" s="8" t="str">
        <f>+VLOOKUP(K42,'Correl CIIU'!$A$1:$F$26,2,FALSE)</f>
        <v>Industrias manufactureras</v>
      </c>
      <c r="M42" s="8" t="str">
        <f>+VLOOKUP(K42,'Correl CIIU'!$A$1:$F$26,3,FALSE)</f>
        <v>Manufacturas</v>
      </c>
      <c r="N42" s="8" t="str">
        <f>+VLOOKUP(K42,'Correl CIIU'!$A$1:$F$26,4,FALSE)</f>
        <v>Manufacturing</v>
      </c>
      <c r="O42" s="8">
        <v>1</v>
      </c>
      <c r="P42" s="31" t="str">
        <f>+VLOOKUP(O42,bio!$A$2:$B$4,2,FALSE)</f>
        <v>Bioeconomía</v>
      </c>
    </row>
    <row r="43" spans="1:16" x14ac:dyDescent="0.35">
      <c r="A43" s="30" t="s">
        <v>525</v>
      </c>
      <c r="B43" s="20" t="s">
        <v>141</v>
      </c>
      <c r="C43" s="9" t="str">
        <f>+VLOOKUP(B43,'transacciones '!$A$2:$I$39,2,FALSE)</f>
        <v>ATC01</v>
      </c>
      <c r="D43" s="9" t="str">
        <f>+VLOOKUP(B43,'transacciones '!$A$2:$I$39,3,FALSE)</f>
        <v>Producción / Consumo intermedio</v>
      </c>
      <c r="E43" s="9" t="str">
        <f>+VLOOKUP(B43,'transacciones '!$A$2:$I$39,4,FALSE)</f>
        <v>Producción</v>
      </c>
      <c r="F43" s="9">
        <f>+VLOOKUP(B43,'transacciones '!$A$2:$I$39,5,FALSE)</f>
        <v>1</v>
      </c>
      <c r="G43" s="9" t="str">
        <f>+VLOOKUP(B43,'transacciones '!$A$2:$I$39,6,FALSE)</f>
        <v>P1</v>
      </c>
      <c r="H43" s="9" t="str">
        <f>+VLOOKUP(B43,'transacciones '!$A$2:$I$39,7,FALSE)</f>
        <v>Producción</v>
      </c>
      <c r="I43" s="18" t="s">
        <v>331</v>
      </c>
      <c r="J43" s="18" t="s">
        <v>332</v>
      </c>
      <c r="K43" s="8" t="s">
        <v>20</v>
      </c>
      <c r="L43" s="8" t="str">
        <f>+VLOOKUP(K43,'Correl CIIU'!$A$1:$F$26,2,FALSE)</f>
        <v>Industrias manufactureras</v>
      </c>
      <c r="M43" s="8" t="str">
        <f>+VLOOKUP(K43,'Correl CIIU'!$A$1:$F$26,3,FALSE)</f>
        <v>Manufacturas</v>
      </c>
      <c r="N43" s="8" t="str">
        <f>+VLOOKUP(K43,'Correl CIIU'!$A$1:$F$26,4,FALSE)</f>
        <v>Manufacturing</v>
      </c>
      <c r="O43" s="8">
        <v>1</v>
      </c>
      <c r="P43" s="31" t="str">
        <f>+VLOOKUP(O43,bio!$A$2:$B$4,2,FALSE)</f>
        <v>Bioeconomía</v>
      </c>
    </row>
    <row r="44" spans="1:16" x14ac:dyDescent="0.35">
      <c r="A44" s="30" t="s">
        <v>526</v>
      </c>
      <c r="B44" s="20" t="s">
        <v>141</v>
      </c>
      <c r="C44" s="9" t="str">
        <f>+VLOOKUP(B44,'transacciones '!$A$2:$I$39,2,FALSE)</f>
        <v>ATC01</v>
      </c>
      <c r="D44" s="9" t="str">
        <f>+VLOOKUP(B44,'transacciones '!$A$2:$I$39,3,FALSE)</f>
        <v>Producción / Consumo intermedio</v>
      </c>
      <c r="E44" s="9" t="str">
        <f>+VLOOKUP(B44,'transacciones '!$A$2:$I$39,4,FALSE)</f>
        <v>Producción</v>
      </c>
      <c r="F44" s="9">
        <f>+VLOOKUP(B44,'transacciones '!$A$2:$I$39,5,FALSE)</f>
        <v>1</v>
      </c>
      <c r="G44" s="9" t="str">
        <f>+VLOOKUP(B44,'transacciones '!$A$2:$I$39,6,FALSE)</f>
        <v>P1</v>
      </c>
      <c r="H44" s="9" t="str">
        <f>+VLOOKUP(B44,'transacciones '!$A$2:$I$39,7,FALSE)</f>
        <v>Producción</v>
      </c>
      <c r="I44" s="18" t="s">
        <v>333</v>
      </c>
      <c r="J44" s="18" t="s">
        <v>334</v>
      </c>
      <c r="K44" s="8" t="s">
        <v>20</v>
      </c>
      <c r="L44" s="8" t="str">
        <f>+VLOOKUP(K44,'Correl CIIU'!$A$1:$F$26,2,FALSE)</f>
        <v>Industrias manufactureras</v>
      </c>
      <c r="M44" s="8" t="str">
        <f>+VLOOKUP(K44,'Correl CIIU'!$A$1:$F$26,3,FALSE)</f>
        <v>Manufacturas</v>
      </c>
      <c r="N44" s="8" t="str">
        <f>+VLOOKUP(K44,'Correl CIIU'!$A$1:$F$26,4,FALSE)</f>
        <v>Manufacturing</v>
      </c>
      <c r="O44" s="8">
        <v>2</v>
      </c>
      <c r="P44" s="31" t="str">
        <f>+VLOOKUP(O44,bio!$A$2:$B$4,2,FALSE)</f>
        <v>Bioeconomía extendida</v>
      </c>
    </row>
    <row r="45" spans="1:16" x14ac:dyDescent="0.35">
      <c r="A45" s="30" t="s">
        <v>527</v>
      </c>
      <c r="B45" s="20" t="s">
        <v>141</v>
      </c>
      <c r="C45" s="9" t="str">
        <f>+VLOOKUP(B45,'transacciones '!$A$2:$I$39,2,FALSE)</f>
        <v>ATC01</v>
      </c>
      <c r="D45" s="9" t="str">
        <f>+VLOOKUP(B45,'transacciones '!$A$2:$I$39,3,FALSE)</f>
        <v>Producción / Consumo intermedio</v>
      </c>
      <c r="E45" s="9" t="str">
        <f>+VLOOKUP(B45,'transacciones '!$A$2:$I$39,4,FALSE)</f>
        <v>Producción</v>
      </c>
      <c r="F45" s="9">
        <f>+VLOOKUP(B45,'transacciones '!$A$2:$I$39,5,FALSE)</f>
        <v>1</v>
      </c>
      <c r="G45" s="9" t="str">
        <f>+VLOOKUP(B45,'transacciones '!$A$2:$I$39,6,FALSE)</f>
        <v>P1</v>
      </c>
      <c r="H45" s="9" t="str">
        <f>+VLOOKUP(B45,'transacciones '!$A$2:$I$39,7,FALSE)</f>
        <v>Producción</v>
      </c>
      <c r="I45" s="18" t="s">
        <v>335</v>
      </c>
      <c r="J45" s="18" t="s">
        <v>336</v>
      </c>
      <c r="K45" s="8" t="s">
        <v>20</v>
      </c>
      <c r="L45" s="8" t="str">
        <f>+VLOOKUP(K45,'Correl CIIU'!$A$1:$F$26,2,FALSE)</f>
        <v>Industrias manufactureras</v>
      </c>
      <c r="M45" s="8" t="str">
        <f>+VLOOKUP(K45,'Correl CIIU'!$A$1:$F$26,3,FALSE)</f>
        <v>Manufacturas</v>
      </c>
      <c r="N45" s="8" t="str">
        <f>+VLOOKUP(K45,'Correl CIIU'!$A$1:$F$26,4,FALSE)</f>
        <v>Manufacturing</v>
      </c>
      <c r="O45" s="8">
        <v>3</v>
      </c>
      <c r="P45" s="31" t="str">
        <f>+VLOOKUP(O45,bio!$A$2:$B$4,2,FALSE)</f>
        <v>No bioeconomía</v>
      </c>
    </row>
    <row r="46" spans="1:16" x14ac:dyDescent="0.35">
      <c r="A46" s="30" t="s">
        <v>528</v>
      </c>
      <c r="B46" s="20" t="s">
        <v>141</v>
      </c>
      <c r="C46" s="9" t="str">
        <f>+VLOOKUP(B46,'transacciones '!$A$2:$I$39,2,FALSE)</f>
        <v>ATC01</v>
      </c>
      <c r="D46" s="9" t="str">
        <f>+VLOOKUP(B46,'transacciones '!$A$2:$I$39,3,FALSE)</f>
        <v>Producción / Consumo intermedio</v>
      </c>
      <c r="E46" s="9" t="str">
        <f>+VLOOKUP(B46,'transacciones '!$A$2:$I$39,4,FALSE)</f>
        <v>Producción</v>
      </c>
      <c r="F46" s="9">
        <f>+VLOOKUP(B46,'transacciones '!$A$2:$I$39,5,FALSE)</f>
        <v>1</v>
      </c>
      <c r="G46" s="9" t="str">
        <f>+VLOOKUP(B46,'transacciones '!$A$2:$I$39,6,FALSE)</f>
        <v>P1</v>
      </c>
      <c r="H46" s="9" t="str">
        <f>+VLOOKUP(B46,'transacciones '!$A$2:$I$39,7,FALSE)</f>
        <v>Producción</v>
      </c>
      <c r="I46" s="18" t="s">
        <v>337</v>
      </c>
      <c r="J46" s="18" t="s">
        <v>338</v>
      </c>
      <c r="K46" s="8" t="s">
        <v>20</v>
      </c>
      <c r="L46" s="8" t="str">
        <f>+VLOOKUP(K46,'Correl CIIU'!$A$1:$F$26,2,FALSE)</f>
        <v>Industrias manufactureras</v>
      </c>
      <c r="M46" s="8" t="str">
        <f>+VLOOKUP(K46,'Correl CIIU'!$A$1:$F$26,3,FALSE)</f>
        <v>Manufacturas</v>
      </c>
      <c r="N46" s="8" t="str">
        <f>+VLOOKUP(K46,'Correl CIIU'!$A$1:$F$26,4,FALSE)</f>
        <v>Manufacturing</v>
      </c>
      <c r="O46" s="8">
        <v>3</v>
      </c>
      <c r="P46" s="31" t="str">
        <f>+VLOOKUP(O46,bio!$A$2:$B$4,2,FALSE)</f>
        <v>No bioeconomía</v>
      </c>
    </row>
    <row r="47" spans="1:16" x14ac:dyDescent="0.35">
      <c r="A47" s="30" t="s">
        <v>529</v>
      </c>
      <c r="B47" s="20" t="s">
        <v>141</v>
      </c>
      <c r="C47" s="9" t="str">
        <f>+VLOOKUP(B47,'transacciones '!$A$2:$I$39,2,FALSE)</f>
        <v>ATC01</v>
      </c>
      <c r="D47" s="9" t="str">
        <f>+VLOOKUP(B47,'transacciones '!$A$2:$I$39,3,FALSE)</f>
        <v>Producción / Consumo intermedio</v>
      </c>
      <c r="E47" s="9" t="str">
        <f>+VLOOKUP(B47,'transacciones '!$A$2:$I$39,4,FALSE)</f>
        <v>Producción</v>
      </c>
      <c r="F47" s="9">
        <f>+VLOOKUP(B47,'transacciones '!$A$2:$I$39,5,FALSE)</f>
        <v>1</v>
      </c>
      <c r="G47" s="9" t="str">
        <f>+VLOOKUP(B47,'transacciones '!$A$2:$I$39,6,FALSE)</f>
        <v>P1</v>
      </c>
      <c r="H47" s="9" t="str">
        <f>+VLOOKUP(B47,'transacciones '!$A$2:$I$39,7,FALSE)</f>
        <v>Producción</v>
      </c>
      <c r="I47" s="18" t="s">
        <v>339</v>
      </c>
      <c r="J47" s="18" t="s">
        <v>340</v>
      </c>
      <c r="K47" s="8" t="s">
        <v>20</v>
      </c>
      <c r="L47" s="8" t="str">
        <f>+VLOOKUP(K47,'Correl CIIU'!$A$1:$F$26,2,FALSE)</f>
        <v>Industrias manufactureras</v>
      </c>
      <c r="M47" s="8" t="str">
        <f>+VLOOKUP(K47,'Correl CIIU'!$A$1:$F$26,3,FALSE)</f>
        <v>Manufacturas</v>
      </c>
      <c r="N47" s="8" t="str">
        <f>+VLOOKUP(K47,'Correl CIIU'!$A$1:$F$26,4,FALSE)</f>
        <v>Manufacturing</v>
      </c>
      <c r="O47" s="8">
        <v>2</v>
      </c>
      <c r="P47" s="31" t="str">
        <f>+VLOOKUP(O47,bio!$A$2:$B$4,2,FALSE)</f>
        <v>Bioeconomía extendida</v>
      </c>
    </row>
    <row r="48" spans="1:16" x14ac:dyDescent="0.35">
      <c r="A48" s="30" t="s">
        <v>530</v>
      </c>
      <c r="B48" s="20" t="s">
        <v>141</v>
      </c>
      <c r="C48" s="9" t="str">
        <f>+VLOOKUP(B48,'transacciones '!$A$2:$I$39,2,FALSE)</f>
        <v>ATC01</v>
      </c>
      <c r="D48" s="9" t="str">
        <f>+VLOOKUP(B48,'transacciones '!$A$2:$I$39,3,FALSE)</f>
        <v>Producción / Consumo intermedio</v>
      </c>
      <c r="E48" s="9" t="str">
        <f>+VLOOKUP(B48,'transacciones '!$A$2:$I$39,4,FALSE)</f>
        <v>Producción</v>
      </c>
      <c r="F48" s="9">
        <f>+VLOOKUP(B48,'transacciones '!$A$2:$I$39,5,FALSE)</f>
        <v>1</v>
      </c>
      <c r="G48" s="9" t="str">
        <f>+VLOOKUP(B48,'transacciones '!$A$2:$I$39,6,FALSE)</f>
        <v>P1</v>
      </c>
      <c r="H48" s="9" t="str">
        <f>+VLOOKUP(B48,'transacciones '!$A$2:$I$39,7,FALSE)</f>
        <v>Producción</v>
      </c>
      <c r="I48" s="18" t="s">
        <v>341</v>
      </c>
      <c r="J48" s="18" t="s">
        <v>342</v>
      </c>
      <c r="K48" s="8" t="s">
        <v>20</v>
      </c>
      <c r="L48" s="8" t="str">
        <f>+VLOOKUP(K48,'Correl CIIU'!$A$1:$F$26,2,FALSE)</f>
        <v>Industrias manufactureras</v>
      </c>
      <c r="M48" s="8" t="str">
        <f>+VLOOKUP(K48,'Correl CIIU'!$A$1:$F$26,3,FALSE)</f>
        <v>Manufacturas</v>
      </c>
      <c r="N48" s="8" t="str">
        <f>+VLOOKUP(K48,'Correl CIIU'!$A$1:$F$26,4,FALSE)</f>
        <v>Manufacturing</v>
      </c>
      <c r="O48" s="8">
        <v>3</v>
      </c>
      <c r="P48" s="31" t="str">
        <f>+VLOOKUP(O48,bio!$A$2:$B$4,2,FALSE)</f>
        <v>No bioeconomía</v>
      </c>
    </row>
    <row r="49" spans="1:16" x14ac:dyDescent="0.35">
      <c r="A49" s="30" t="s">
        <v>531</v>
      </c>
      <c r="B49" s="20" t="s">
        <v>141</v>
      </c>
      <c r="C49" s="9" t="str">
        <f>+VLOOKUP(B49,'transacciones '!$A$2:$I$39,2,FALSE)</f>
        <v>ATC01</v>
      </c>
      <c r="D49" s="9" t="str">
        <f>+VLOOKUP(B49,'transacciones '!$A$2:$I$39,3,FALSE)</f>
        <v>Producción / Consumo intermedio</v>
      </c>
      <c r="E49" s="9" t="str">
        <f>+VLOOKUP(B49,'transacciones '!$A$2:$I$39,4,FALSE)</f>
        <v>Producción</v>
      </c>
      <c r="F49" s="9">
        <f>+VLOOKUP(B49,'transacciones '!$A$2:$I$39,5,FALSE)</f>
        <v>1</v>
      </c>
      <c r="G49" s="9" t="str">
        <f>+VLOOKUP(B49,'transacciones '!$A$2:$I$39,6,FALSE)</f>
        <v>P1</v>
      </c>
      <c r="H49" s="9" t="str">
        <f>+VLOOKUP(B49,'transacciones '!$A$2:$I$39,7,FALSE)</f>
        <v>Producción</v>
      </c>
      <c r="I49" s="18" t="s">
        <v>343</v>
      </c>
      <c r="J49" s="18" t="s">
        <v>344</v>
      </c>
      <c r="K49" s="8" t="s">
        <v>20</v>
      </c>
      <c r="L49" s="8" t="str">
        <f>+VLOOKUP(K49,'Correl CIIU'!$A$1:$F$26,2,FALSE)</f>
        <v>Industrias manufactureras</v>
      </c>
      <c r="M49" s="8" t="str">
        <f>+VLOOKUP(K49,'Correl CIIU'!$A$1:$F$26,3,FALSE)</f>
        <v>Manufacturas</v>
      </c>
      <c r="N49" s="8" t="str">
        <f>+VLOOKUP(K49,'Correl CIIU'!$A$1:$F$26,4,FALSE)</f>
        <v>Manufacturing</v>
      </c>
      <c r="O49" s="8">
        <v>2</v>
      </c>
      <c r="P49" s="31" t="str">
        <f>+VLOOKUP(O49,bio!$A$2:$B$4,2,FALSE)</f>
        <v>Bioeconomía extendida</v>
      </c>
    </row>
    <row r="50" spans="1:16" x14ac:dyDescent="0.35">
      <c r="A50" s="30" t="s">
        <v>532</v>
      </c>
      <c r="B50" s="20" t="s">
        <v>141</v>
      </c>
      <c r="C50" s="9" t="str">
        <f>+VLOOKUP(B50,'transacciones '!$A$2:$I$39,2,FALSE)</f>
        <v>ATC01</v>
      </c>
      <c r="D50" s="9" t="str">
        <f>+VLOOKUP(B50,'transacciones '!$A$2:$I$39,3,FALSE)</f>
        <v>Producción / Consumo intermedio</v>
      </c>
      <c r="E50" s="9" t="str">
        <f>+VLOOKUP(B50,'transacciones '!$A$2:$I$39,4,FALSE)</f>
        <v>Producción</v>
      </c>
      <c r="F50" s="9">
        <f>+VLOOKUP(B50,'transacciones '!$A$2:$I$39,5,FALSE)</f>
        <v>1</v>
      </c>
      <c r="G50" s="9" t="str">
        <f>+VLOOKUP(B50,'transacciones '!$A$2:$I$39,6,FALSE)</f>
        <v>P1</v>
      </c>
      <c r="H50" s="9" t="str">
        <f>+VLOOKUP(B50,'transacciones '!$A$2:$I$39,7,FALSE)</f>
        <v>Producción</v>
      </c>
      <c r="I50" s="18" t="s">
        <v>345</v>
      </c>
      <c r="J50" s="18" t="s">
        <v>346</v>
      </c>
      <c r="K50" s="8" t="s">
        <v>20</v>
      </c>
      <c r="L50" s="8" t="str">
        <f>+VLOOKUP(K50,'Correl CIIU'!$A$1:$F$26,2,FALSE)</f>
        <v>Industrias manufactureras</v>
      </c>
      <c r="M50" s="8" t="str">
        <f>+VLOOKUP(K50,'Correl CIIU'!$A$1:$F$26,3,FALSE)</f>
        <v>Manufacturas</v>
      </c>
      <c r="N50" s="8" t="str">
        <f>+VLOOKUP(K50,'Correl CIIU'!$A$1:$F$26,4,FALSE)</f>
        <v>Manufacturing</v>
      </c>
      <c r="O50" s="8">
        <v>2</v>
      </c>
      <c r="P50" s="31" t="str">
        <f>+VLOOKUP(O50,bio!$A$2:$B$4,2,FALSE)</f>
        <v>Bioeconomía extendida</v>
      </c>
    </row>
    <row r="51" spans="1:16" x14ac:dyDescent="0.35">
      <c r="A51" s="30" t="s">
        <v>533</v>
      </c>
      <c r="B51" s="20" t="s">
        <v>141</v>
      </c>
      <c r="C51" s="9" t="str">
        <f>+VLOOKUP(B51,'transacciones '!$A$2:$I$39,2,FALSE)</f>
        <v>ATC01</v>
      </c>
      <c r="D51" s="9" t="str">
        <f>+VLOOKUP(B51,'transacciones '!$A$2:$I$39,3,FALSE)</f>
        <v>Producción / Consumo intermedio</v>
      </c>
      <c r="E51" s="9" t="str">
        <f>+VLOOKUP(B51,'transacciones '!$A$2:$I$39,4,FALSE)</f>
        <v>Producción</v>
      </c>
      <c r="F51" s="9">
        <f>+VLOOKUP(B51,'transacciones '!$A$2:$I$39,5,FALSE)</f>
        <v>1</v>
      </c>
      <c r="G51" s="9" t="str">
        <f>+VLOOKUP(B51,'transacciones '!$A$2:$I$39,6,FALSE)</f>
        <v>P1</v>
      </c>
      <c r="H51" s="9" t="str">
        <f>+VLOOKUP(B51,'transacciones '!$A$2:$I$39,7,FALSE)</f>
        <v>Producción</v>
      </c>
      <c r="I51" s="18" t="s">
        <v>347</v>
      </c>
      <c r="J51" s="18" t="s">
        <v>348</v>
      </c>
      <c r="K51" s="8" t="s">
        <v>20</v>
      </c>
      <c r="L51" s="8" t="str">
        <f>+VLOOKUP(K51,'Correl CIIU'!$A$1:$F$26,2,FALSE)</f>
        <v>Industrias manufactureras</v>
      </c>
      <c r="M51" s="8" t="str">
        <f>+VLOOKUP(K51,'Correl CIIU'!$A$1:$F$26,3,FALSE)</f>
        <v>Manufacturas</v>
      </c>
      <c r="N51" s="8" t="str">
        <f>+VLOOKUP(K51,'Correl CIIU'!$A$1:$F$26,4,FALSE)</f>
        <v>Manufacturing</v>
      </c>
      <c r="O51" s="8">
        <v>3</v>
      </c>
      <c r="P51" s="31" t="str">
        <f>+VLOOKUP(O51,bio!$A$2:$B$4,2,FALSE)</f>
        <v>No bioeconomía</v>
      </c>
    </row>
    <row r="52" spans="1:16" x14ac:dyDescent="0.35">
      <c r="A52" s="30" t="s">
        <v>534</v>
      </c>
      <c r="B52" s="20" t="s">
        <v>141</v>
      </c>
      <c r="C52" s="9" t="str">
        <f>+VLOOKUP(B52,'transacciones '!$A$2:$I$39,2,FALSE)</f>
        <v>ATC01</v>
      </c>
      <c r="D52" s="9" t="str">
        <f>+VLOOKUP(B52,'transacciones '!$A$2:$I$39,3,FALSE)</f>
        <v>Producción / Consumo intermedio</v>
      </c>
      <c r="E52" s="9" t="str">
        <f>+VLOOKUP(B52,'transacciones '!$A$2:$I$39,4,FALSE)</f>
        <v>Producción</v>
      </c>
      <c r="F52" s="9">
        <f>+VLOOKUP(B52,'transacciones '!$A$2:$I$39,5,FALSE)</f>
        <v>1</v>
      </c>
      <c r="G52" s="9" t="str">
        <f>+VLOOKUP(B52,'transacciones '!$A$2:$I$39,6,FALSE)</f>
        <v>P1</v>
      </c>
      <c r="H52" s="9" t="str">
        <f>+VLOOKUP(B52,'transacciones '!$A$2:$I$39,7,FALSE)</f>
        <v>Producción</v>
      </c>
      <c r="I52" s="18" t="s">
        <v>349</v>
      </c>
      <c r="J52" s="18" t="s">
        <v>350</v>
      </c>
      <c r="K52" s="8" t="s">
        <v>20</v>
      </c>
      <c r="L52" s="8" t="str">
        <f>+VLOOKUP(K52,'Correl CIIU'!$A$1:$F$26,2,FALSE)</f>
        <v>Industrias manufactureras</v>
      </c>
      <c r="M52" s="8" t="str">
        <f>+VLOOKUP(K52,'Correl CIIU'!$A$1:$F$26,3,FALSE)</f>
        <v>Manufacturas</v>
      </c>
      <c r="N52" s="8" t="str">
        <f>+VLOOKUP(K52,'Correl CIIU'!$A$1:$F$26,4,FALSE)</f>
        <v>Manufacturing</v>
      </c>
      <c r="O52" s="8">
        <v>3</v>
      </c>
      <c r="P52" s="31" t="str">
        <f>+VLOOKUP(O52,bio!$A$2:$B$4,2,FALSE)</f>
        <v>No bioeconomía</v>
      </c>
    </row>
    <row r="53" spans="1:16" x14ac:dyDescent="0.35">
      <c r="A53" s="30" t="s">
        <v>535</v>
      </c>
      <c r="B53" s="20" t="s">
        <v>141</v>
      </c>
      <c r="C53" s="9" t="str">
        <f>+VLOOKUP(B53,'transacciones '!$A$2:$I$39,2,FALSE)</f>
        <v>ATC01</v>
      </c>
      <c r="D53" s="9" t="str">
        <f>+VLOOKUP(B53,'transacciones '!$A$2:$I$39,3,FALSE)</f>
        <v>Producción / Consumo intermedio</v>
      </c>
      <c r="E53" s="9" t="str">
        <f>+VLOOKUP(B53,'transacciones '!$A$2:$I$39,4,FALSE)</f>
        <v>Producción</v>
      </c>
      <c r="F53" s="9">
        <f>+VLOOKUP(B53,'transacciones '!$A$2:$I$39,5,FALSE)</f>
        <v>1</v>
      </c>
      <c r="G53" s="9" t="str">
        <f>+VLOOKUP(B53,'transacciones '!$A$2:$I$39,6,FALSE)</f>
        <v>P1</v>
      </c>
      <c r="H53" s="9" t="str">
        <f>+VLOOKUP(B53,'transacciones '!$A$2:$I$39,7,FALSE)</f>
        <v>Producción</v>
      </c>
      <c r="I53" s="18" t="s">
        <v>351</v>
      </c>
      <c r="J53" s="18" t="s">
        <v>352</v>
      </c>
      <c r="K53" s="8" t="s">
        <v>20</v>
      </c>
      <c r="L53" s="8" t="str">
        <f>+VLOOKUP(K53,'Correl CIIU'!$A$1:$F$26,2,FALSE)</f>
        <v>Industrias manufactureras</v>
      </c>
      <c r="M53" s="8" t="str">
        <f>+VLOOKUP(K53,'Correl CIIU'!$A$1:$F$26,3,FALSE)</f>
        <v>Manufacturas</v>
      </c>
      <c r="N53" s="8" t="str">
        <f>+VLOOKUP(K53,'Correl CIIU'!$A$1:$F$26,4,FALSE)</f>
        <v>Manufacturing</v>
      </c>
      <c r="O53" s="8">
        <v>3</v>
      </c>
      <c r="P53" s="31" t="str">
        <f>+VLOOKUP(O53,bio!$A$2:$B$4,2,FALSE)</f>
        <v>No bioeconomía</v>
      </c>
    </row>
    <row r="54" spans="1:16" x14ac:dyDescent="0.35">
      <c r="A54" s="30" t="s">
        <v>536</v>
      </c>
      <c r="B54" s="20" t="s">
        <v>141</v>
      </c>
      <c r="C54" s="9" t="str">
        <f>+VLOOKUP(B54,'transacciones '!$A$2:$I$39,2,FALSE)</f>
        <v>ATC01</v>
      </c>
      <c r="D54" s="9" t="str">
        <f>+VLOOKUP(B54,'transacciones '!$A$2:$I$39,3,FALSE)</f>
        <v>Producción / Consumo intermedio</v>
      </c>
      <c r="E54" s="9" t="str">
        <f>+VLOOKUP(B54,'transacciones '!$A$2:$I$39,4,FALSE)</f>
        <v>Producción</v>
      </c>
      <c r="F54" s="9">
        <f>+VLOOKUP(B54,'transacciones '!$A$2:$I$39,5,FALSE)</f>
        <v>1</v>
      </c>
      <c r="G54" s="9" t="str">
        <f>+VLOOKUP(B54,'transacciones '!$A$2:$I$39,6,FALSE)</f>
        <v>P1</v>
      </c>
      <c r="H54" s="9" t="str">
        <f>+VLOOKUP(B54,'transacciones '!$A$2:$I$39,7,FALSE)</f>
        <v>Producción</v>
      </c>
      <c r="I54" s="18" t="s">
        <v>353</v>
      </c>
      <c r="J54" s="18" t="s">
        <v>354</v>
      </c>
      <c r="K54" s="8" t="s">
        <v>20</v>
      </c>
      <c r="L54" s="8" t="str">
        <f>+VLOOKUP(K54,'Correl CIIU'!$A$1:$F$26,2,FALSE)</f>
        <v>Industrias manufactureras</v>
      </c>
      <c r="M54" s="8" t="str">
        <f>+VLOOKUP(K54,'Correl CIIU'!$A$1:$F$26,3,FALSE)</f>
        <v>Manufacturas</v>
      </c>
      <c r="N54" s="8" t="str">
        <f>+VLOOKUP(K54,'Correl CIIU'!$A$1:$F$26,4,FALSE)</f>
        <v>Manufacturing</v>
      </c>
      <c r="O54" s="8">
        <v>3</v>
      </c>
      <c r="P54" s="31" t="str">
        <f>+VLOOKUP(O54,bio!$A$2:$B$4,2,FALSE)</f>
        <v>No bioeconomía</v>
      </c>
    </row>
    <row r="55" spans="1:16" x14ac:dyDescent="0.35">
      <c r="A55" s="30" t="s">
        <v>537</v>
      </c>
      <c r="B55" s="20" t="s">
        <v>141</v>
      </c>
      <c r="C55" s="9" t="str">
        <f>+VLOOKUP(B55,'transacciones '!$A$2:$I$39,2,FALSE)</f>
        <v>ATC01</v>
      </c>
      <c r="D55" s="9" t="str">
        <f>+VLOOKUP(B55,'transacciones '!$A$2:$I$39,3,FALSE)</f>
        <v>Producción / Consumo intermedio</v>
      </c>
      <c r="E55" s="9" t="str">
        <f>+VLOOKUP(B55,'transacciones '!$A$2:$I$39,4,FALSE)</f>
        <v>Producción</v>
      </c>
      <c r="F55" s="9">
        <f>+VLOOKUP(B55,'transacciones '!$A$2:$I$39,5,FALSE)</f>
        <v>1</v>
      </c>
      <c r="G55" s="9" t="str">
        <f>+VLOOKUP(B55,'transacciones '!$A$2:$I$39,6,FALSE)</f>
        <v>P1</v>
      </c>
      <c r="H55" s="9" t="str">
        <f>+VLOOKUP(B55,'transacciones '!$A$2:$I$39,7,FALSE)</f>
        <v>Producción</v>
      </c>
      <c r="I55" s="18" t="s">
        <v>355</v>
      </c>
      <c r="J55" s="18" t="s">
        <v>356</v>
      </c>
      <c r="K55" s="8" t="s">
        <v>20</v>
      </c>
      <c r="L55" s="8" t="str">
        <f>+VLOOKUP(K55,'Correl CIIU'!$A$1:$F$26,2,FALSE)</f>
        <v>Industrias manufactureras</v>
      </c>
      <c r="M55" s="8" t="str">
        <f>+VLOOKUP(K55,'Correl CIIU'!$A$1:$F$26,3,FALSE)</f>
        <v>Manufacturas</v>
      </c>
      <c r="N55" s="8" t="str">
        <f>+VLOOKUP(K55,'Correl CIIU'!$A$1:$F$26,4,FALSE)</f>
        <v>Manufacturing</v>
      </c>
      <c r="O55" s="8">
        <v>3</v>
      </c>
      <c r="P55" s="31" t="str">
        <f>+VLOOKUP(O55,bio!$A$2:$B$4,2,FALSE)</f>
        <v>No bioeconomía</v>
      </c>
    </row>
    <row r="56" spans="1:16" x14ac:dyDescent="0.35">
      <c r="A56" s="30" t="s">
        <v>538</v>
      </c>
      <c r="B56" s="20" t="s">
        <v>141</v>
      </c>
      <c r="C56" s="9" t="str">
        <f>+VLOOKUP(B56,'transacciones '!$A$2:$I$39,2,FALSE)</f>
        <v>ATC01</v>
      </c>
      <c r="D56" s="9" t="str">
        <f>+VLOOKUP(B56,'transacciones '!$A$2:$I$39,3,FALSE)</f>
        <v>Producción / Consumo intermedio</v>
      </c>
      <c r="E56" s="9" t="str">
        <f>+VLOOKUP(B56,'transacciones '!$A$2:$I$39,4,FALSE)</f>
        <v>Producción</v>
      </c>
      <c r="F56" s="9">
        <f>+VLOOKUP(B56,'transacciones '!$A$2:$I$39,5,FALSE)</f>
        <v>1</v>
      </c>
      <c r="G56" s="9" t="str">
        <f>+VLOOKUP(B56,'transacciones '!$A$2:$I$39,6,FALSE)</f>
        <v>P1</v>
      </c>
      <c r="H56" s="9" t="str">
        <f>+VLOOKUP(B56,'transacciones '!$A$2:$I$39,7,FALSE)</f>
        <v>Producción</v>
      </c>
      <c r="I56" s="18" t="s">
        <v>357</v>
      </c>
      <c r="J56" s="18" t="s">
        <v>358</v>
      </c>
      <c r="K56" s="8" t="s">
        <v>20</v>
      </c>
      <c r="L56" s="8" t="str">
        <f>+VLOOKUP(K56,'Correl CIIU'!$A$1:$F$26,2,FALSE)</f>
        <v>Industrias manufactureras</v>
      </c>
      <c r="M56" s="8" t="str">
        <f>+VLOOKUP(K56,'Correl CIIU'!$A$1:$F$26,3,FALSE)</f>
        <v>Manufacturas</v>
      </c>
      <c r="N56" s="8" t="str">
        <f>+VLOOKUP(K56,'Correl CIIU'!$A$1:$F$26,4,FALSE)</f>
        <v>Manufacturing</v>
      </c>
      <c r="O56" s="8">
        <v>3</v>
      </c>
      <c r="P56" s="31" t="str">
        <f>+VLOOKUP(O56,bio!$A$2:$B$4,2,FALSE)</f>
        <v>No bioeconomía</v>
      </c>
    </row>
    <row r="57" spans="1:16" x14ac:dyDescent="0.35">
      <c r="A57" s="30" t="s">
        <v>539</v>
      </c>
      <c r="B57" s="20" t="s">
        <v>141</v>
      </c>
      <c r="C57" s="9" t="str">
        <f>+VLOOKUP(B57,'transacciones '!$A$2:$I$39,2,FALSE)</f>
        <v>ATC01</v>
      </c>
      <c r="D57" s="9" t="str">
        <f>+VLOOKUP(B57,'transacciones '!$A$2:$I$39,3,FALSE)</f>
        <v>Producción / Consumo intermedio</v>
      </c>
      <c r="E57" s="9" t="str">
        <f>+VLOOKUP(B57,'transacciones '!$A$2:$I$39,4,FALSE)</f>
        <v>Producción</v>
      </c>
      <c r="F57" s="9">
        <f>+VLOOKUP(B57,'transacciones '!$A$2:$I$39,5,FALSE)</f>
        <v>1</v>
      </c>
      <c r="G57" s="9" t="str">
        <f>+VLOOKUP(B57,'transacciones '!$A$2:$I$39,6,FALSE)</f>
        <v>P1</v>
      </c>
      <c r="H57" s="9" t="str">
        <f>+VLOOKUP(B57,'transacciones '!$A$2:$I$39,7,FALSE)</f>
        <v>Producción</v>
      </c>
      <c r="I57" s="18" t="s">
        <v>359</v>
      </c>
      <c r="J57" s="18" t="s">
        <v>360</v>
      </c>
      <c r="K57" s="8" t="s">
        <v>20</v>
      </c>
      <c r="L57" s="8" t="str">
        <f>+VLOOKUP(K57,'Correl CIIU'!$A$1:$F$26,2,FALSE)</f>
        <v>Industrias manufactureras</v>
      </c>
      <c r="M57" s="8" t="str">
        <f>+VLOOKUP(K57,'Correl CIIU'!$A$1:$F$26,3,FALSE)</f>
        <v>Manufacturas</v>
      </c>
      <c r="N57" s="8" t="str">
        <f>+VLOOKUP(K57,'Correl CIIU'!$A$1:$F$26,4,FALSE)</f>
        <v>Manufacturing</v>
      </c>
      <c r="O57" s="8">
        <v>3</v>
      </c>
      <c r="P57" s="31" t="str">
        <f>+VLOOKUP(O57,bio!$A$2:$B$4,2,FALSE)</f>
        <v>No bioeconomía</v>
      </c>
    </row>
    <row r="58" spans="1:16" x14ac:dyDescent="0.35">
      <c r="A58" s="30" t="s">
        <v>540</v>
      </c>
      <c r="B58" s="20" t="s">
        <v>141</v>
      </c>
      <c r="C58" s="9" t="str">
        <f>+VLOOKUP(B58,'transacciones '!$A$2:$I$39,2,FALSE)</f>
        <v>ATC01</v>
      </c>
      <c r="D58" s="9" t="str">
        <f>+VLOOKUP(B58,'transacciones '!$A$2:$I$39,3,FALSE)</f>
        <v>Producción / Consumo intermedio</v>
      </c>
      <c r="E58" s="9" t="str">
        <f>+VLOOKUP(B58,'transacciones '!$A$2:$I$39,4,FALSE)</f>
        <v>Producción</v>
      </c>
      <c r="F58" s="9">
        <f>+VLOOKUP(B58,'transacciones '!$A$2:$I$39,5,FALSE)</f>
        <v>1</v>
      </c>
      <c r="G58" s="9" t="str">
        <f>+VLOOKUP(B58,'transacciones '!$A$2:$I$39,6,FALSE)</f>
        <v>P1</v>
      </c>
      <c r="H58" s="9" t="str">
        <f>+VLOOKUP(B58,'transacciones '!$A$2:$I$39,7,FALSE)</f>
        <v>Producción</v>
      </c>
      <c r="I58" s="18" t="s">
        <v>361</v>
      </c>
      <c r="J58" s="18" t="s">
        <v>362</v>
      </c>
      <c r="K58" s="8" t="s">
        <v>20</v>
      </c>
      <c r="L58" s="8" t="str">
        <f>+VLOOKUP(K58,'Correl CIIU'!$A$1:$F$26,2,FALSE)</f>
        <v>Industrias manufactureras</v>
      </c>
      <c r="M58" s="8" t="str">
        <f>+VLOOKUP(K58,'Correl CIIU'!$A$1:$F$26,3,FALSE)</f>
        <v>Manufacturas</v>
      </c>
      <c r="N58" s="8" t="str">
        <f>+VLOOKUP(K58,'Correl CIIU'!$A$1:$F$26,4,FALSE)</f>
        <v>Manufacturing</v>
      </c>
      <c r="O58" s="8">
        <v>3</v>
      </c>
      <c r="P58" s="31" t="str">
        <f>+VLOOKUP(O58,bio!$A$2:$B$4,2,FALSE)</f>
        <v>No bioeconomía</v>
      </c>
    </row>
    <row r="59" spans="1:16" x14ac:dyDescent="0.35">
      <c r="A59" s="30" t="s">
        <v>541</v>
      </c>
      <c r="B59" s="20" t="s">
        <v>141</v>
      </c>
      <c r="C59" s="9" t="str">
        <f>+VLOOKUP(B59,'transacciones '!$A$2:$I$39,2,FALSE)</f>
        <v>ATC01</v>
      </c>
      <c r="D59" s="9" t="str">
        <f>+VLOOKUP(B59,'transacciones '!$A$2:$I$39,3,FALSE)</f>
        <v>Producción / Consumo intermedio</v>
      </c>
      <c r="E59" s="9" t="str">
        <f>+VLOOKUP(B59,'transacciones '!$A$2:$I$39,4,FALSE)</f>
        <v>Producción</v>
      </c>
      <c r="F59" s="9">
        <f>+VLOOKUP(B59,'transacciones '!$A$2:$I$39,5,FALSE)</f>
        <v>1</v>
      </c>
      <c r="G59" s="9" t="str">
        <f>+VLOOKUP(B59,'transacciones '!$A$2:$I$39,6,FALSE)</f>
        <v>P1</v>
      </c>
      <c r="H59" s="9" t="str">
        <f>+VLOOKUP(B59,'transacciones '!$A$2:$I$39,7,FALSE)</f>
        <v>Producción</v>
      </c>
      <c r="I59" s="18" t="s">
        <v>363</v>
      </c>
      <c r="J59" s="18" t="s">
        <v>364</v>
      </c>
      <c r="K59" s="8" t="s">
        <v>20</v>
      </c>
      <c r="L59" s="8" t="str">
        <f>+VLOOKUP(K59,'Correl CIIU'!$A$1:$F$26,2,FALSE)</f>
        <v>Industrias manufactureras</v>
      </c>
      <c r="M59" s="8" t="str">
        <f>+VLOOKUP(K59,'Correl CIIU'!$A$1:$F$26,3,FALSE)</f>
        <v>Manufacturas</v>
      </c>
      <c r="N59" s="8" t="str">
        <f>+VLOOKUP(K59,'Correl CIIU'!$A$1:$F$26,4,FALSE)</f>
        <v>Manufacturing</v>
      </c>
      <c r="O59" s="8">
        <v>3</v>
      </c>
      <c r="P59" s="31" t="str">
        <f>+VLOOKUP(O59,bio!$A$2:$B$4,2,FALSE)</f>
        <v>No bioeconomía</v>
      </c>
    </row>
    <row r="60" spans="1:16" x14ac:dyDescent="0.35">
      <c r="A60" s="30" t="s">
        <v>542</v>
      </c>
      <c r="B60" s="20" t="s">
        <v>141</v>
      </c>
      <c r="C60" s="9" t="str">
        <f>+VLOOKUP(B60,'transacciones '!$A$2:$I$39,2,FALSE)</f>
        <v>ATC01</v>
      </c>
      <c r="D60" s="9" t="str">
        <f>+VLOOKUP(B60,'transacciones '!$A$2:$I$39,3,FALSE)</f>
        <v>Producción / Consumo intermedio</v>
      </c>
      <c r="E60" s="9" t="str">
        <f>+VLOOKUP(B60,'transacciones '!$A$2:$I$39,4,FALSE)</f>
        <v>Producción</v>
      </c>
      <c r="F60" s="9">
        <f>+VLOOKUP(B60,'transacciones '!$A$2:$I$39,5,FALSE)</f>
        <v>1</v>
      </c>
      <c r="G60" s="9" t="str">
        <f>+VLOOKUP(B60,'transacciones '!$A$2:$I$39,6,FALSE)</f>
        <v>P1</v>
      </c>
      <c r="H60" s="9" t="str">
        <f>+VLOOKUP(B60,'transacciones '!$A$2:$I$39,7,FALSE)</f>
        <v>Producción</v>
      </c>
      <c r="I60" s="18" t="s">
        <v>365</v>
      </c>
      <c r="J60" s="18" t="s">
        <v>366</v>
      </c>
      <c r="K60" s="8" t="s">
        <v>20</v>
      </c>
      <c r="L60" s="8" t="str">
        <f>+VLOOKUP(K60,'Correl CIIU'!$A$1:$F$26,2,FALSE)</f>
        <v>Industrias manufactureras</v>
      </c>
      <c r="M60" s="8" t="str">
        <f>+VLOOKUP(K60,'Correl CIIU'!$A$1:$F$26,3,FALSE)</f>
        <v>Manufacturas</v>
      </c>
      <c r="N60" s="8" t="str">
        <f>+VLOOKUP(K60,'Correl CIIU'!$A$1:$F$26,4,FALSE)</f>
        <v>Manufacturing</v>
      </c>
      <c r="O60" s="8">
        <v>3</v>
      </c>
      <c r="P60" s="31" t="str">
        <f>+VLOOKUP(O60,bio!$A$2:$B$4,2,FALSE)</f>
        <v>No bioeconomía</v>
      </c>
    </row>
    <row r="61" spans="1:16" x14ac:dyDescent="0.35">
      <c r="A61" s="30" t="s">
        <v>543</v>
      </c>
      <c r="B61" s="20" t="s">
        <v>141</v>
      </c>
      <c r="C61" s="9" t="str">
        <f>+VLOOKUP(B61,'transacciones '!$A$2:$I$39,2,FALSE)</f>
        <v>ATC01</v>
      </c>
      <c r="D61" s="9" t="str">
        <f>+VLOOKUP(B61,'transacciones '!$A$2:$I$39,3,FALSE)</f>
        <v>Producción / Consumo intermedio</v>
      </c>
      <c r="E61" s="9" t="str">
        <f>+VLOOKUP(B61,'transacciones '!$A$2:$I$39,4,FALSE)</f>
        <v>Producción</v>
      </c>
      <c r="F61" s="9">
        <f>+VLOOKUP(B61,'transacciones '!$A$2:$I$39,5,FALSE)</f>
        <v>1</v>
      </c>
      <c r="G61" s="9" t="str">
        <f>+VLOOKUP(B61,'transacciones '!$A$2:$I$39,6,FALSE)</f>
        <v>P1</v>
      </c>
      <c r="H61" s="9" t="str">
        <f>+VLOOKUP(B61,'transacciones '!$A$2:$I$39,7,FALSE)</f>
        <v>Producción</v>
      </c>
      <c r="I61" s="18" t="s">
        <v>367</v>
      </c>
      <c r="J61" s="18" t="s">
        <v>368</v>
      </c>
      <c r="K61" s="8" t="s">
        <v>20</v>
      </c>
      <c r="L61" s="8" t="str">
        <f>+VLOOKUP(K61,'Correl CIIU'!$A$1:$F$26,2,FALSE)</f>
        <v>Industrias manufactureras</v>
      </c>
      <c r="M61" s="8" t="str">
        <f>+VLOOKUP(K61,'Correl CIIU'!$A$1:$F$26,3,FALSE)</f>
        <v>Manufacturas</v>
      </c>
      <c r="N61" s="8" t="str">
        <f>+VLOOKUP(K61,'Correl CIIU'!$A$1:$F$26,4,FALSE)</f>
        <v>Manufacturing</v>
      </c>
      <c r="O61" s="8">
        <v>3</v>
      </c>
      <c r="P61" s="31" t="str">
        <f>+VLOOKUP(O61,bio!$A$2:$B$4,2,FALSE)</f>
        <v>No bioeconomía</v>
      </c>
    </row>
    <row r="62" spans="1:16" x14ac:dyDescent="0.35">
      <c r="A62" s="30" t="s">
        <v>544</v>
      </c>
      <c r="B62" s="20" t="s">
        <v>141</v>
      </c>
      <c r="C62" s="9" t="str">
        <f>+VLOOKUP(B62,'transacciones '!$A$2:$I$39,2,FALSE)</f>
        <v>ATC01</v>
      </c>
      <c r="D62" s="9" t="str">
        <f>+VLOOKUP(B62,'transacciones '!$A$2:$I$39,3,FALSE)</f>
        <v>Producción / Consumo intermedio</v>
      </c>
      <c r="E62" s="9" t="str">
        <f>+VLOOKUP(B62,'transacciones '!$A$2:$I$39,4,FALSE)</f>
        <v>Producción</v>
      </c>
      <c r="F62" s="9">
        <f>+VLOOKUP(B62,'transacciones '!$A$2:$I$39,5,FALSE)</f>
        <v>1</v>
      </c>
      <c r="G62" s="9" t="str">
        <f>+VLOOKUP(B62,'transacciones '!$A$2:$I$39,6,FALSE)</f>
        <v>P1</v>
      </c>
      <c r="H62" s="9" t="str">
        <f>+VLOOKUP(B62,'transacciones '!$A$2:$I$39,7,FALSE)</f>
        <v>Producción</v>
      </c>
      <c r="I62" s="18" t="s">
        <v>369</v>
      </c>
      <c r="J62" s="18" t="s">
        <v>370</v>
      </c>
      <c r="K62" s="8" t="s">
        <v>20</v>
      </c>
      <c r="L62" s="8" t="str">
        <f>+VLOOKUP(K62,'Correl CIIU'!$A$1:$F$26,2,FALSE)</f>
        <v>Industrias manufactureras</v>
      </c>
      <c r="M62" s="8" t="str">
        <f>+VLOOKUP(K62,'Correl CIIU'!$A$1:$F$26,3,FALSE)</f>
        <v>Manufacturas</v>
      </c>
      <c r="N62" s="8" t="str">
        <f>+VLOOKUP(K62,'Correl CIIU'!$A$1:$F$26,4,FALSE)</f>
        <v>Manufacturing</v>
      </c>
      <c r="O62" s="8">
        <v>3</v>
      </c>
      <c r="P62" s="31" t="str">
        <f>+VLOOKUP(O62,bio!$A$2:$B$4,2,FALSE)</f>
        <v>No bioeconomía</v>
      </c>
    </row>
    <row r="63" spans="1:16" x14ac:dyDescent="0.35">
      <c r="A63" s="30" t="s">
        <v>545</v>
      </c>
      <c r="B63" s="20" t="s">
        <v>141</v>
      </c>
      <c r="C63" s="9" t="str">
        <f>+VLOOKUP(B63,'transacciones '!$A$2:$I$39,2,FALSE)</f>
        <v>ATC01</v>
      </c>
      <c r="D63" s="9" t="str">
        <f>+VLOOKUP(B63,'transacciones '!$A$2:$I$39,3,FALSE)</f>
        <v>Producción / Consumo intermedio</v>
      </c>
      <c r="E63" s="9" t="str">
        <f>+VLOOKUP(B63,'transacciones '!$A$2:$I$39,4,FALSE)</f>
        <v>Producción</v>
      </c>
      <c r="F63" s="9">
        <f>+VLOOKUP(B63,'transacciones '!$A$2:$I$39,5,FALSE)</f>
        <v>1</v>
      </c>
      <c r="G63" s="9" t="str">
        <f>+VLOOKUP(B63,'transacciones '!$A$2:$I$39,6,FALSE)</f>
        <v>P1</v>
      </c>
      <c r="H63" s="9" t="str">
        <f>+VLOOKUP(B63,'transacciones '!$A$2:$I$39,7,FALSE)</f>
        <v>Producción</v>
      </c>
      <c r="I63" s="18" t="s">
        <v>371</v>
      </c>
      <c r="J63" s="18" t="s">
        <v>372</v>
      </c>
      <c r="K63" s="8" t="s">
        <v>20</v>
      </c>
      <c r="L63" s="8" t="str">
        <f>+VLOOKUP(K63,'Correl CIIU'!$A$1:$F$26,2,FALSE)</f>
        <v>Industrias manufactureras</v>
      </c>
      <c r="M63" s="8" t="str">
        <f>+VLOOKUP(K63,'Correl CIIU'!$A$1:$F$26,3,FALSE)</f>
        <v>Manufacturas</v>
      </c>
      <c r="N63" s="8" t="str">
        <f>+VLOOKUP(K63,'Correl CIIU'!$A$1:$F$26,4,FALSE)</f>
        <v>Manufacturing</v>
      </c>
      <c r="O63" s="8">
        <v>3</v>
      </c>
      <c r="P63" s="31" t="str">
        <f>+VLOOKUP(O63,bio!$A$2:$B$4,2,FALSE)</f>
        <v>No bioeconomía</v>
      </c>
    </row>
    <row r="64" spans="1:16" x14ac:dyDescent="0.35">
      <c r="A64" s="30" t="s">
        <v>546</v>
      </c>
      <c r="B64" s="20" t="s">
        <v>141</v>
      </c>
      <c r="C64" s="9" t="str">
        <f>+VLOOKUP(B64,'transacciones '!$A$2:$I$39,2,FALSE)</f>
        <v>ATC01</v>
      </c>
      <c r="D64" s="9" t="str">
        <f>+VLOOKUP(B64,'transacciones '!$A$2:$I$39,3,FALSE)</f>
        <v>Producción / Consumo intermedio</v>
      </c>
      <c r="E64" s="9" t="str">
        <f>+VLOOKUP(B64,'transacciones '!$A$2:$I$39,4,FALSE)</f>
        <v>Producción</v>
      </c>
      <c r="F64" s="9">
        <f>+VLOOKUP(B64,'transacciones '!$A$2:$I$39,5,FALSE)</f>
        <v>1</v>
      </c>
      <c r="G64" s="9" t="str">
        <f>+VLOOKUP(B64,'transacciones '!$A$2:$I$39,6,FALSE)</f>
        <v>P1</v>
      </c>
      <c r="H64" s="9" t="str">
        <f>+VLOOKUP(B64,'transacciones '!$A$2:$I$39,7,FALSE)</f>
        <v>Producción</v>
      </c>
      <c r="I64" s="18" t="s">
        <v>373</v>
      </c>
      <c r="J64" s="18" t="s">
        <v>374</v>
      </c>
      <c r="K64" s="8" t="s">
        <v>20</v>
      </c>
      <c r="L64" s="8" t="str">
        <f>+VLOOKUP(K64,'Correl CIIU'!$A$1:$F$26,2,FALSE)</f>
        <v>Industrias manufactureras</v>
      </c>
      <c r="M64" s="8" t="str">
        <f>+VLOOKUP(K64,'Correl CIIU'!$A$1:$F$26,3,FALSE)</f>
        <v>Manufacturas</v>
      </c>
      <c r="N64" s="8" t="str">
        <f>+VLOOKUP(K64,'Correl CIIU'!$A$1:$F$26,4,FALSE)</f>
        <v>Manufacturing</v>
      </c>
      <c r="O64" s="8">
        <v>3</v>
      </c>
      <c r="P64" s="31" t="str">
        <f>+VLOOKUP(O64,bio!$A$2:$B$4,2,FALSE)</f>
        <v>No bioeconomía</v>
      </c>
    </row>
    <row r="65" spans="1:16" x14ac:dyDescent="0.35">
      <c r="A65" s="30" t="s">
        <v>547</v>
      </c>
      <c r="B65" s="20" t="s">
        <v>141</v>
      </c>
      <c r="C65" s="9" t="str">
        <f>+VLOOKUP(B65,'transacciones '!$A$2:$I$39,2,FALSE)</f>
        <v>ATC01</v>
      </c>
      <c r="D65" s="9" t="str">
        <f>+VLOOKUP(B65,'transacciones '!$A$2:$I$39,3,FALSE)</f>
        <v>Producción / Consumo intermedio</v>
      </c>
      <c r="E65" s="9" t="str">
        <f>+VLOOKUP(B65,'transacciones '!$A$2:$I$39,4,FALSE)</f>
        <v>Producción</v>
      </c>
      <c r="F65" s="9">
        <f>+VLOOKUP(B65,'transacciones '!$A$2:$I$39,5,FALSE)</f>
        <v>1</v>
      </c>
      <c r="G65" s="9" t="str">
        <f>+VLOOKUP(B65,'transacciones '!$A$2:$I$39,6,FALSE)</f>
        <v>P1</v>
      </c>
      <c r="H65" s="9" t="str">
        <f>+VLOOKUP(B65,'transacciones '!$A$2:$I$39,7,FALSE)</f>
        <v>Producción</v>
      </c>
      <c r="I65" s="18" t="s">
        <v>375</v>
      </c>
      <c r="J65" s="18" t="s">
        <v>376</v>
      </c>
      <c r="K65" s="8" t="s">
        <v>30</v>
      </c>
      <c r="L65" s="8" t="str">
        <f>+VLOOKUP(K65,'Correl CIIU'!$A$1:$F$26,2,FALSE)</f>
        <v>Suministro de electricidad, gas, vapor y aire acondicionado</v>
      </c>
      <c r="M65" s="8" t="str">
        <f>+VLOOKUP(K65,'Correl CIIU'!$A$1:$F$26,3,FALSE)</f>
        <v>Servicios básicos</v>
      </c>
      <c r="N65" s="8" t="str">
        <f>+VLOOKUP(K65,'Correl CIIU'!$A$1:$F$26,4,FALSE)</f>
        <v>Electricity, gas, steam and air conditioning supply</v>
      </c>
      <c r="O65" s="8">
        <v>3</v>
      </c>
      <c r="P65" s="31" t="str">
        <f>+VLOOKUP(O65,bio!$A$2:$B$4,2,FALSE)</f>
        <v>No bioeconomía</v>
      </c>
    </row>
    <row r="66" spans="1:16" x14ac:dyDescent="0.35">
      <c r="A66" s="30" t="s">
        <v>548</v>
      </c>
      <c r="B66" s="20" t="s">
        <v>141</v>
      </c>
      <c r="C66" s="9" t="str">
        <f>+VLOOKUP(B66,'transacciones '!$A$2:$I$39,2,FALSE)</f>
        <v>ATC01</v>
      </c>
      <c r="D66" s="9" t="str">
        <f>+VLOOKUP(B66,'transacciones '!$A$2:$I$39,3,FALSE)</f>
        <v>Producción / Consumo intermedio</v>
      </c>
      <c r="E66" s="9" t="str">
        <f>+VLOOKUP(B66,'transacciones '!$A$2:$I$39,4,FALSE)</f>
        <v>Producción</v>
      </c>
      <c r="F66" s="9">
        <f>+VLOOKUP(B66,'transacciones '!$A$2:$I$39,5,FALSE)</f>
        <v>1</v>
      </c>
      <c r="G66" s="9" t="str">
        <f>+VLOOKUP(B66,'transacciones '!$A$2:$I$39,6,FALSE)</f>
        <v>P1</v>
      </c>
      <c r="H66" s="9" t="str">
        <f>+VLOOKUP(B66,'transacciones '!$A$2:$I$39,7,FALSE)</f>
        <v>Producción</v>
      </c>
      <c r="I66" s="18" t="s">
        <v>377</v>
      </c>
      <c r="J66" s="18" t="s">
        <v>378</v>
      </c>
      <c r="K66" s="8" t="s">
        <v>30</v>
      </c>
      <c r="L66" s="8" t="str">
        <f>+VLOOKUP(K66,'Correl CIIU'!$A$1:$F$26,2,FALSE)</f>
        <v>Suministro de electricidad, gas, vapor y aire acondicionado</v>
      </c>
      <c r="M66" s="8" t="str">
        <f>+VLOOKUP(K66,'Correl CIIU'!$A$1:$F$26,3,FALSE)</f>
        <v>Servicios básicos</v>
      </c>
      <c r="N66" s="8" t="str">
        <f>+VLOOKUP(K66,'Correl CIIU'!$A$1:$F$26,4,FALSE)</f>
        <v>Electricity, gas, steam and air conditioning supply</v>
      </c>
      <c r="O66" s="8">
        <v>3</v>
      </c>
      <c r="P66" s="31" t="str">
        <f>+VLOOKUP(O66,bio!$A$2:$B$4,2,FALSE)</f>
        <v>No bioeconomía</v>
      </c>
    </row>
    <row r="67" spans="1:16" x14ac:dyDescent="0.35">
      <c r="A67" s="30" t="s">
        <v>549</v>
      </c>
      <c r="B67" s="20" t="s">
        <v>141</v>
      </c>
      <c r="C67" s="9" t="str">
        <f>+VLOOKUP(B67,'transacciones '!$A$2:$I$39,2,FALSE)</f>
        <v>ATC01</v>
      </c>
      <c r="D67" s="9" t="str">
        <f>+VLOOKUP(B67,'transacciones '!$A$2:$I$39,3,FALSE)</f>
        <v>Producción / Consumo intermedio</v>
      </c>
      <c r="E67" s="9" t="str">
        <f>+VLOOKUP(B67,'transacciones '!$A$2:$I$39,4,FALSE)</f>
        <v>Producción</v>
      </c>
      <c r="F67" s="9">
        <f>+VLOOKUP(B67,'transacciones '!$A$2:$I$39,5,FALSE)</f>
        <v>1</v>
      </c>
      <c r="G67" s="9" t="str">
        <f>+VLOOKUP(B67,'transacciones '!$A$2:$I$39,6,FALSE)</f>
        <v>P1</v>
      </c>
      <c r="H67" s="9" t="str">
        <f>+VLOOKUP(B67,'transacciones '!$A$2:$I$39,7,FALSE)</f>
        <v>Producción</v>
      </c>
      <c r="I67" s="18" t="s">
        <v>379</v>
      </c>
      <c r="J67" s="18" t="s">
        <v>380</v>
      </c>
      <c r="K67" s="8" t="s">
        <v>30</v>
      </c>
      <c r="L67" s="8" t="str">
        <f>+VLOOKUP(K67,'Correl CIIU'!$A$1:$F$26,2,FALSE)</f>
        <v>Suministro de electricidad, gas, vapor y aire acondicionado</v>
      </c>
      <c r="M67" s="8" t="str">
        <f>+VLOOKUP(K67,'Correl CIIU'!$A$1:$F$26,3,FALSE)</f>
        <v>Servicios básicos</v>
      </c>
      <c r="N67" s="8" t="str">
        <f>+VLOOKUP(K67,'Correl CIIU'!$A$1:$F$26,4,FALSE)</f>
        <v>Electricity, gas, steam and air conditioning supply</v>
      </c>
      <c r="O67" s="8">
        <v>3</v>
      </c>
      <c r="P67" s="31" t="str">
        <f>+VLOOKUP(O67,bio!$A$2:$B$4,2,FALSE)</f>
        <v>No bioeconomía</v>
      </c>
    </row>
    <row r="68" spans="1:16" x14ac:dyDescent="0.35">
      <c r="A68" s="30" t="s">
        <v>550</v>
      </c>
      <c r="B68" s="20" t="s">
        <v>141</v>
      </c>
      <c r="C68" s="9" t="str">
        <f>+VLOOKUP(B68,'transacciones '!$A$2:$I$39,2,FALSE)</f>
        <v>ATC01</v>
      </c>
      <c r="D68" s="9" t="str">
        <f>+VLOOKUP(B68,'transacciones '!$A$2:$I$39,3,FALSE)</f>
        <v>Producción / Consumo intermedio</v>
      </c>
      <c r="E68" s="9" t="str">
        <f>+VLOOKUP(B68,'transacciones '!$A$2:$I$39,4,FALSE)</f>
        <v>Producción</v>
      </c>
      <c r="F68" s="9">
        <f>+VLOOKUP(B68,'transacciones '!$A$2:$I$39,5,FALSE)</f>
        <v>1</v>
      </c>
      <c r="G68" s="9" t="str">
        <f>+VLOOKUP(B68,'transacciones '!$A$2:$I$39,6,FALSE)</f>
        <v>P1</v>
      </c>
      <c r="H68" s="9" t="str">
        <f>+VLOOKUP(B68,'transacciones '!$A$2:$I$39,7,FALSE)</f>
        <v>Producción</v>
      </c>
      <c r="I68" s="18" t="s">
        <v>381</v>
      </c>
      <c r="J68" s="18" t="s">
        <v>382</v>
      </c>
      <c r="K68" s="8" t="s">
        <v>30</v>
      </c>
      <c r="L68" s="8" t="str">
        <f>+VLOOKUP(K68,'Correl CIIU'!$A$1:$F$26,2,FALSE)</f>
        <v>Suministro de electricidad, gas, vapor y aire acondicionado</v>
      </c>
      <c r="M68" s="8" t="str">
        <f>+VLOOKUP(K68,'Correl CIIU'!$A$1:$F$26,3,FALSE)</f>
        <v>Servicios básicos</v>
      </c>
      <c r="N68" s="8" t="str">
        <f>+VLOOKUP(K68,'Correl CIIU'!$A$1:$F$26,4,FALSE)</f>
        <v>Electricity, gas, steam and air conditioning supply</v>
      </c>
      <c r="O68" s="8">
        <v>3</v>
      </c>
      <c r="P68" s="31" t="str">
        <f>+VLOOKUP(O68,bio!$A$2:$B$4,2,FALSE)</f>
        <v>No bioeconomía</v>
      </c>
    </row>
    <row r="69" spans="1:16" x14ac:dyDescent="0.35">
      <c r="A69" s="30" t="s">
        <v>551</v>
      </c>
      <c r="B69" s="20" t="s">
        <v>141</v>
      </c>
      <c r="C69" s="9" t="str">
        <f>+VLOOKUP(B69,'transacciones '!$A$2:$I$39,2,FALSE)</f>
        <v>ATC01</v>
      </c>
      <c r="D69" s="9" t="str">
        <f>+VLOOKUP(B69,'transacciones '!$A$2:$I$39,3,FALSE)</f>
        <v>Producción / Consumo intermedio</v>
      </c>
      <c r="E69" s="9" t="str">
        <f>+VLOOKUP(B69,'transacciones '!$A$2:$I$39,4,FALSE)</f>
        <v>Producción</v>
      </c>
      <c r="F69" s="9">
        <f>+VLOOKUP(B69,'transacciones '!$A$2:$I$39,5,FALSE)</f>
        <v>1</v>
      </c>
      <c r="G69" s="9" t="str">
        <f>+VLOOKUP(B69,'transacciones '!$A$2:$I$39,6,FALSE)</f>
        <v>P1</v>
      </c>
      <c r="H69" s="9" t="str">
        <f>+VLOOKUP(B69,'transacciones '!$A$2:$I$39,7,FALSE)</f>
        <v>Producción</v>
      </c>
      <c r="I69" s="18" t="s">
        <v>383</v>
      </c>
      <c r="J69" s="18" t="s">
        <v>101</v>
      </c>
      <c r="K69" s="8" t="s">
        <v>32</v>
      </c>
      <c r="L69" s="8" t="str">
        <f>+VLOOKUP(K69,'Correl CIIU'!$A$1:$F$26,2,FALSE)</f>
        <v>Suministro de agua; evacuación de aguas residuales, gestión de desechos y descontaminación</v>
      </c>
      <c r="M69" s="8" t="str">
        <f>+VLOOKUP(K69,'Correl CIIU'!$A$1:$F$26,3,FALSE)</f>
        <v>Suministro de agua</v>
      </c>
      <c r="N69" s="8" t="str">
        <f>+VLOOKUP(K69,'Correl CIIU'!$A$1:$F$26,4,FALSE)</f>
        <v>Water supply; sewerage, waste management and remediation activities</v>
      </c>
      <c r="O69" s="8">
        <v>2</v>
      </c>
      <c r="P69" s="31" t="str">
        <f>+VLOOKUP(O69,bio!$A$2:$B$4,2,FALSE)</f>
        <v>Bioeconomía extendida</v>
      </c>
    </row>
    <row r="70" spans="1:16" x14ac:dyDescent="0.35">
      <c r="A70" s="30" t="s">
        <v>552</v>
      </c>
      <c r="B70" s="20" t="s">
        <v>141</v>
      </c>
      <c r="C70" s="9" t="str">
        <f>+VLOOKUP(B70,'transacciones '!$A$2:$I$39,2,FALSE)</f>
        <v>ATC01</v>
      </c>
      <c r="D70" s="9" t="str">
        <f>+VLOOKUP(B70,'transacciones '!$A$2:$I$39,3,FALSE)</f>
        <v>Producción / Consumo intermedio</v>
      </c>
      <c r="E70" s="9" t="str">
        <f>+VLOOKUP(B70,'transacciones '!$A$2:$I$39,4,FALSE)</f>
        <v>Producción</v>
      </c>
      <c r="F70" s="9">
        <f>+VLOOKUP(B70,'transacciones '!$A$2:$I$39,5,FALSE)</f>
        <v>1</v>
      </c>
      <c r="G70" s="9" t="str">
        <f>+VLOOKUP(B70,'transacciones '!$A$2:$I$39,6,FALSE)</f>
        <v>P1</v>
      </c>
      <c r="H70" s="9" t="str">
        <f>+VLOOKUP(B70,'transacciones '!$A$2:$I$39,7,FALSE)</f>
        <v>Producción</v>
      </c>
      <c r="I70" s="18" t="s">
        <v>384</v>
      </c>
      <c r="J70" s="18" t="s">
        <v>385</v>
      </c>
      <c r="K70" s="8" t="s">
        <v>32</v>
      </c>
      <c r="L70" s="8" t="str">
        <f>+VLOOKUP(K70,'Correl CIIU'!$A$1:$F$26,2,FALSE)</f>
        <v>Suministro de agua; evacuación de aguas residuales, gestión de desechos y descontaminación</v>
      </c>
      <c r="M70" s="8" t="str">
        <f>+VLOOKUP(K70,'Correl CIIU'!$A$1:$F$26,3,FALSE)</f>
        <v>Suministro de agua</v>
      </c>
      <c r="N70" s="8" t="str">
        <f>+VLOOKUP(K70,'Correl CIIU'!$A$1:$F$26,4,FALSE)</f>
        <v>Water supply; sewerage, waste management and remediation activities</v>
      </c>
      <c r="O70" s="8">
        <v>2</v>
      </c>
      <c r="P70" s="31" t="str">
        <f>+VLOOKUP(O70,bio!$A$2:$B$4,2,FALSE)</f>
        <v>Bioeconomía extendida</v>
      </c>
    </row>
    <row r="71" spans="1:16" x14ac:dyDescent="0.35">
      <c r="A71" s="30" t="s">
        <v>553</v>
      </c>
      <c r="B71" s="20" t="s">
        <v>141</v>
      </c>
      <c r="C71" s="9" t="str">
        <f>+VLOOKUP(B71,'transacciones '!$A$2:$I$39,2,FALSE)</f>
        <v>ATC01</v>
      </c>
      <c r="D71" s="9" t="str">
        <f>+VLOOKUP(B71,'transacciones '!$A$2:$I$39,3,FALSE)</f>
        <v>Producción / Consumo intermedio</v>
      </c>
      <c r="E71" s="9" t="str">
        <f>+VLOOKUP(B71,'transacciones '!$A$2:$I$39,4,FALSE)</f>
        <v>Producción</v>
      </c>
      <c r="F71" s="9">
        <f>+VLOOKUP(B71,'transacciones '!$A$2:$I$39,5,FALSE)</f>
        <v>1</v>
      </c>
      <c r="G71" s="9" t="str">
        <f>+VLOOKUP(B71,'transacciones '!$A$2:$I$39,6,FALSE)</f>
        <v>P1</v>
      </c>
      <c r="H71" s="9" t="str">
        <f>+VLOOKUP(B71,'transacciones '!$A$2:$I$39,7,FALSE)</f>
        <v>Producción</v>
      </c>
      <c r="I71" s="18" t="s">
        <v>386</v>
      </c>
      <c r="J71" s="18" t="s">
        <v>387</v>
      </c>
      <c r="K71" s="8" t="s">
        <v>35</v>
      </c>
      <c r="L71" s="8" t="str">
        <f>+VLOOKUP(K71,'Correl CIIU'!$A$1:$F$26,2,FALSE)</f>
        <v>Construcción</v>
      </c>
      <c r="M71" s="8" t="str">
        <f>+VLOOKUP(K71,'Correl CIIU'!$A$1:$F$26,3,FALSE)</f>
        <v>Construcción</v>
      </c>
      <c r="N71" s="8" t="str">
        <f>+VLOOKUP(K71,'Correl CIIU'!$A$1:$F$26,4,FALSE)</f>
        <v>Construction</v>
      </c>
      <c r="O71" s="8">
        <v>3</v>
      </c>
      <c r="P71" s="31" t="str">
        <f>+VLOOKUP(O71,bio!$A$2:$B$4,2,FALSE)</f>
        <v>No bioeconomía</v>
      </c>
    </row>
    <row r="72" spans="1:16" x14ac:dyDescent="0.35">
      <c r="A72" s="30" t="s">
        <v>554</v>
      </c>
      <c r="B72" s="20" t="s">
        <v>141</v>
      </c>
      <c r="C72" s="9" t="str">
        <f>+VLOOKUP(B72,'transacciones '!$A$2:$I$39,2,FALSE)</f>
        <v>ATC01</v>
      </c>
      <c r="D72" s="9" t="str">
        <f>+VLOOKUP(B72,'transacciones '!$A$2:$I$39,3,FALSE)</f>
        <v>Producción / Consumo intermedio</v>
      </c>
      <c r="E72" s="9" t="str">
        <f>+VLOOKUP(B72,'transacciones '!$A$2:$I$39,4,FALSE)</f>
        <v>Producción</v>
      </c>
      <c r="F72" s="9">
        <f>+VLOOKUP(B72,'transacciones '!$A$2:$I$39,5,FALSE)</f>
        <v>1</v>
      </c>
      <c r="G72" s="9" t="str">
        <f>+VLOOKUP(B72,'transacciones '!$A$2:$I$39,6,FALSE)</f>
        <v>P1</v>
      </c>
      <c r="H72" s="9" t="str">
        <f>+VLOOKUP(B72,'transacciones '!$A$2:$I$39,7,FALSE)</f>
        <v>Producción</v>
      </c>
      <c r="I72" s="18" t="s">
        <v>388</v>
      </c>
      <c r="J72" s="18" t="s">
        <v>389</v>
      </c>
      <c r="K72" s="8" t="s">
        <v>35</v>
      </c>
      <c r="L72" s="8" t="str">
        <f>+VLOOKUP(K72,'Correl CIIU'!$A$1:$F$26,2,FALSE)</f>
        <v>Construcción</v>
      </c>
      <c r="M72" s="8" t="str">
        <f>+VLOOKUP(K72,'Correl CIIU'!$A$1:$F$26,3,FALSE)</f>
        <v>Construcción</v>
      </c>
      <c r="N72" s="8" t="str">
        <f>+VLOOKUP(K72,'Correl CIIU'!$A$1:$F$26,4,FALSE)</f>
        <v>Construction</v>
      </c>
      <c r="O72" s="8">
        <v>3</v>
      </c>
      <c r="P72" s="31" t="str">
        <f>+VLOOKUP(O72,bio!$A$2:$B$4,2,FALSE)</f>
        <v>No bioeconomía</v>
      </c>
    </row>
    <row r="73" spans="1:16" x14ac:dyDescent="0.35">
      <c r="A73" s="30" t="s">
        <v>555</v>
      </c>
      <c r="B73" s="20" t="s">
        <v>141</v>
      </c>
      <c r="C73" s="9" t="str">
        <f>+VLOOKUP(B73,'transacciones '!$A$2:$I$39,2,FALSE)</f>
        <v>ATC01</v>
      </c>
      <c r="D73" s="9" t="str">
        <f>+VLOOKUP(B73,'transacciones '!$A$2:$I$39,3,FALSE)</f>
        <v>Producción / Consumo intermedio</v>
      </c>
      <c r="E73" s="9" t="str">
        <f>+VLOOKUP(B73,'transacciones '!$A$2:$I$39,4,FALSE)</f>
        <v>Producción</v>
      </c>
      <c r="F73" s="9">
        <f>+VLOOKUP(B73,'transacciones '!$A$2:$I$39,5,FALSE)</f>
        <v>1</v>
      </c>
      <c r="G73" s="9" t="str">
        <f>+VLOOKUP(B73,'transacciones '!$A$2:$I$39,6,FALSE)</f>
        <v>P1</v>
      </c>
      <c r="H73" s="9" t="str">
        <f>+VLOOKUP(B73,'transacciones '!$A$2:$I$39,7,FALSE)</f>
        <v>Producción</v>
      </c>
      <c r="I73" s="18" t="s">
        <v>390</v>
      </c>
      <c r="J73" s="18" t="s">
        <v>391</v>
      </c>
      <c r="K73" s="8" t="s">
        <v>35</v>
      </c>
      <c r="L73" s="8" t="str">
        <f>+VLOOKUP(K73,'Correl CIIU'!$A$1:$F$26,2,FALSE)</f>
        <v>Construcción</v>
      </c>
      <c r="M73" s="8" t="str">
        <f>+VLOOKUP(K73,'Correl CIIU'!$A$1:$F$26,3,FALSE)</f>
        <v>Construcción</v>
      </c>
      <c r="N73" s="8" t="str">
        <f>+VLOOKUP(K73,'Correl CIIU'!$A$1:$F$26,4,FALSE)</f>
        <v>Construction</v>
      </c>
      <c r="O73" s="8">
        <v>3</v>
      </c>
      <c r="P73" s="31" t="str">
        <f>+VLOOKUP(O73,bio!$A$2:$B$4,2,FALSE)</f>
        <v>No bioeconomía</v>
      </c>
    </row>
    <row r="74" spans="1:16" x14ac:dyDescent="0.35">
      <c r="A74" s="30" t="s">
        <v>556</v>
      </c>
      <c r="B74" s="20" t="s">
        <v>141</v>
      </c>
      <c r="C74" s="9" t="str">
        <f>+VLOOKUP(B74,'transacciones '!$A$2:$I$39,2,FALSE)</f>
        <v>ATC01</v>
      </c>
      <c r="D74" s="9" t="str">
        <f>+VLOOKUP(B74,'transacciones '!$A$2:$I$39,3,FALSE)</f>
        <v>Producción / Consumo intermedio</v>
      </c>
      <c r="E74" s="9" t="str">
        <f>+VLOOKUP(B74,'transacciones '!$A$2:$I$39,4,FALSE)</f>
        <v>Producción</v>
      </c>
      <c r="F74" s="9">
        <f>+VLOOKUP(B74,'transacciones '!$A$2:$I$39,5,FALSE)</f>
        <v>1</v>
      </c>
      <c r="G74" s="9" t="str">
        <f>+VLOOKUP(B74,'transacciones '!$A$2:$I$39,6,FALSE)</f>
        <v>P1</v>
      </c>
      <c r="H74" s="9" t="str">
        <f>+VLOOKUP(B74,'transacciones '!$A$2:$I$39,7,FALSE)</f>
        <v>Producción</v>
      </c>
      <c r="I74" s="18" t="s">
        <v>392</v>
      </c>
      <c r="J74" s="18" t="s">
        <v>393</v>
      </c>
      <c r="K74" s="8" t="s">
        <v>35</v>
      </c>
      <c r="L74" s="8" t="str">
        <f>+VLOOKUP(K74,'Correl CIIU'!$A$1:$F$26,2,FALSE)</f>
        <v>Construcción</v>
      </c>
      <c r="M74" s="8" t="str">
        <f>+VLOOKUP(K74,'Correl CIIU'!$A$1:$F$26,3,FALSE)</f>
        <v>Construcción</v>
      </c>
      <c r="N74" s="8" t="str">
        <f>+VLOOKUP(K74,'Correl CIIU'!$A$1:$F$26,4,FALSE)</f>
        <v>Construction</v>
      </c>
      <c r="O74" s="8">
        <v>3</v>
      </c>
      <c r="P74" s="31" t="str">
        <f>+VLOOKUP(O74,bio!$A$2:$B$4,2,FALSE)</f>
        <v>No bioeconomía</v>
      </c>
    </row>
    <row r="75" spans="1:16" x14ac:dyDescent="0.35">
      <c r="A75" s="30" t="s">
        <v>557</v>
      </c>
      <c r="B75" s="20" t="s">
        <v>141</v>
      </c>
      <c r="C75" s="9" t="str">
        <f>+VLOOKUP(B75,'transacciones '!$A$2:$I$39,2,FALSE)</f>
        <v>ATC01</v>
      </c>
      <c r="D75" s="9" t="str">
        <f>+VLOOKUP(B75,'transacciones '!$A$2:$I$39,3,FALSE)</f>
        <v>Producción / Consumo intermedio</v>
      </c>
      <c r="E75" s="9" t="str">
        <f>+VLOOKUP(B75,'transacciones '!$A$2:$I$39,4,FALSE)</f>
        <v>Producción</v>
      </c>
      <c r="F75" s="9">
        <f>+VLOOKUP(B75,'transacciones '!$A$2:$I$39,5,FALSE)</f>
        <v>1</v>
      </c>
      <c r="G75" s="9" t="str">
        <f>+VLOOKUP(B75,'transacciones '!$A$2:$I$39,6,FALSE)</f>
        <v>P1</v>
      </c>
      <c r="H75" s="9" t="str">
        <f>+VLOOKUP(B75,'transacciones '!$A$2:$I$39,7,FALSE)</f>
        <v>Producción</v>
      </c>
      <c r="I75" s="18" t="s">
        <v>394</v>
      </c>
      <c r="J75" s="18" t="s">
        <v>395</v>
      </c>
      <c r="K75" s="8" t="s">
        <v>38</v>
      </c>
      <c r="L75" s="8" t="str">
        <f>+VLOOKUP(K75,'Correl CIIU'!$A$1:$F$26,2,FALSE)</f>
        <v>Comercio al por mayor y al por menor; reparación de vehículos automotores y motocicletas</v>
      </c>
      <c r="M75" s="8" t="str">
        <f>+VLOOKUP(K75,'Correl CIIU'!$A$1:$F$26,3,FALSE)</f>
        <v>Comercio</v>
      </c>
      <c r="N75" s="8" t="str">
        <f>+VLOOKUP(K75,'Correl CIIU'!$A$1:$F$26,4,FALSE)</f>
        <v>Wholesale and retail trade; repair of motor vehicles and motorcycles</v>
      </c>
      <c r="O75" s="8">
        <v>3</v>
      </c>
      <c r="P75" s="31" t="str">
        <f>+VLOOKUP(O75,bio!$A$2:$B$4,2,FALSE)</f>
        <v>No bioeconomía</v>
      </c>
    </row>
    <row r="76" spans="1:16" x14ac:dyDescent="0.35">
      <c r="A76" s="30" t="s">
        <v>558</v>
      </c>
      <c r="B76" s="20" t="s">
        <v>141</v>
      </c>
      <c r="C76" s="9" t="str">
        <f>+VLOOKUP(B76,'transacciones '!$A$2:$I$39,2,FALSE)</f>
        <v>ATC01</v>
      </c>
      <c r="D76" s="9" t="str">
        <f>+VLOOKUP(B76,'transacciones '!$A$2:$I$39,3,FALSE)</f>
        <v>Producción / Consumo intermedio</v>
      </c>
      <c r="E76" s="9" t="str">
        <f>+VLOOKUP(B76,'transacciones '!$A$2:$I$39,4,FALSE)</f>
        <v>Producción</v>
      </c>
      <c r="F76" s="9">
        <f>+VLOOKUP(B76,'transacciones '!$A$2:$I$39,5,FALSE)</f>
        <v>1</v>
      </c>
      <c r="G76" s="9" t="str">
        <f>+VLOOKUP(B76,'transacciones '!$A$2:$I$39,6,FALSE)</f>
        <v>P1</v>
      </c>
      <c r="H76" s="9" t="str">
        <f>+VLOOKUP(B76,'transacciones '!$A$2:$I$39,7,FALSE)</f>
        <v>Producción</v>
      </c>
      <c r="I76" s="18" t="s">
        <v>396</v>
      </c>
      <c r="J76" s="18" t="s">
        <v>397</v>
      </c>
      <c r="K76" s="8" t="s">
        <v>38</v>
      </c>
      <c r="L76" s="8" t="str">
        <f>+VLOOKUP(K76,'Correl CIIU'!$A$1:$F$26,2,FALSE)</f>
        <v>Comercio al por mayor y al por menor; reparación de vehículos automotores y motocicletas</v>
      </c>
      <c r="M76" s="8" t="str">
        <f>+VLOOKUP(K76,'Correl CIIU'!$A$1:$F$26,3,FALSE)</f>
        <v>Comercio</v>
      </c>
      <c r="N76" s="8" t="str">
        <f>+VLOOKUP(K76,'Correl CIIU'!$A$1:$F$26,4,FALSE)</f>
        <v>Wholesale and retail trade; repair of motor vehicles and motorcycles</v>
      </c>
      <c r="O76" s="8">
        <v>3</v>
      </c>
      <c r="P76" s="31" t="str">
        <f>+VLOOKUP(O76,bio!$A$2:$B$4,2,FALSE)</f>
        <v>No bioeconomía</v>
      </c>
    </row>
    <row r="77" spans="1:16" x14ac:dyDescent="0.35">
      <c r="A77" s="30" t="s">
        <v>559</v>
      </c>
      <c r="B77" s="20" t="s">
        <v>141</v>
      </c>
      <c r="C77" s="9" t="str">
        <f>+VLOOKUP(B77,'transacciones '!$A$2:$I$39,2,FALSE)</f>
        <v>ATC01</v>
      </c>
      <c r="D77" s="9" t="str">
        <f>+VLOOKUP(B77,'transacciones '!$A$2:$I$39,3,FALSE)</f>
        <v>Producción / Consumo intermedio</v>
      </c>
      <c r="E77" s="9" t="str">
        <f>+VLOOKUP(B77,'transacciones '!$A$2:$I$39,4,FALSE)</f>
        <v>Producción</v>
      </c>
      <c r="F77" s="9">
        <f>+VLOOKUP(B77,'transacciones '!$A$2:$I$39,5,FALSE)</f>
        <v>1</v>
      </c>
      <c r="G77" s="9" t="str">
        <f>+VLOOKUP(B77,'transacciones '!$A$2:$I$39,6,FALSE)</f>
        <v>P1</v>
      </c>
      <c r="H77" s="9" t="str">
        <f>+VLOOKUP(B77,'transacciones '!$A$2:$I$39,7,FALSE)</f>
        <v>Producción</v>
      </c>
      <c r="I77" s="18" t="s">
        <v>398</v>
      </c>
      <c r="J77" s="18" t="s">
        <v>399</v>
      </c>
      <c r="K77" s="8" t="s">
        <v>38</v>
      </c>
      <c r="L77" s="8" t="str">
        <f>+VLOOKUP(K77,'Correl CIIU'!$A$1:$F$26,2,FALSE)</f>
        <v>Comercio al por mayor y al por menor; reparación de vehículos automotores y motocicletas</v>
      </c>
      <c r="M77" s="8" t="str">
        <f>+VLOOKUP(K77,'Correl CIIU'!$A$1:$F$26,3,FALSE)</f>
        <v>Comercio</v>
      </c>
      <c r="N77" s="8" t="str">
        <f>+VLOOKUP(K77,'Correl CIIU'!$A$1:$F$26,4,FALSE)</f>
        <v>Wholesale and retail trade; repair of motor vehicles and motorcycles</v>
      </c>
      <c r="O77" s="8">
        <v>3</v>
      </c>
      <c r="P77" s="31" t="str">
        <f>+VLOOKUP(O77,bio!$A$2:$B$4,2,FALSE)</f>
        <v>No bioeconomía</v>
      </c>
    </row>
    <row r="78" spans="1:16" x14ac:dyDescent="0.35">
      <c r="A78" s="30" t="s">
        <v>560</v>
      </c>
      <c r="B78" s="20" t="s">
        <v>141</v>
      </c>
      <c r="C78" s="9" t="str">
        <f>+VLOOKUP(B78,'transacciones '!$A$2:$I$39,2,FALSE)</f>
        <v>ATC01</v>
      </c>
      <c r="D78" s="9" t="str">
        <f>+VLOOKUP(B78,'transacciones '!$A$2:$I$39,3,FALSE)</f>
        <v>Producción / Consumo intermedio</v>
      </c>
      <c r="E78" s="9" t="str">
        <f>+VLOOKUP(B78,'transacciones '!$A$2:$I$39,4,FALSE)</f>
        <v>Producción</v>
      </c>
      <c r="F78" s="9">
        <f>+VLOOKUP(B78,'transacciones '!$A$2:$I$39,5,FALSE)</f>
        <v>1</v>
      </c>
      <c r="G78" s="9" t="str">
        <f>+VLOOKUP(B78,'transacciones '!$A$2:$I$39,6,FALSE)</f>
        <v>P1</v>
      </c>
      <c r="H78" s="9" t="str">
        <f>+VLOOKUP(B78,'transacciones '!$A$2:$I$39,7,FALSE)</f>
        <v>Producción</v>
      </c>
      <c r="I78" s="18" t="s">
        <v>400</v>
      </c>
      <c r="J78" s="18" t="s">
        <v>401</v>
      </c>
      <c r="K78" s="8" t="s">
        <v>43</v>
      </c>
      <c r="L78" s="8" t="str">
        <f>+VLOOKUP(K78,'Correl CIIU'!$A$1:$F$26,2,FALSE)</f>
        <v>Actividades de alojamiento y de servicio de comidas</v>
      </c>
      <c r="M78" s="8" t="str">
        <f>+VLOOKUP(K78,'Correl CIIU'!$A$1:$F$26,3,FALSE)</f>
        <v>Alojamiento y alimentación</v>
      </c>
      <c r="N78" s="8" t="str">
        <f>+VLOOKUP(K78,'Correl CIIU'!$A$1:$F$26,4,FALSE)</f>
        <v>Accommodation and food service activities</v>
      </c>
      <c r="O78" s="8">
        <v>3</v>
      </c>
      <c r="P78" s="31" t="str">
        <f>+VLOOKUP(O78,bio!$A$2:$B$4,2,FALSE)</f>
        <v>No bioeconomía</v>
      </c>
    </row>
    <row r="79" spans="1:16" x14ac:dyDescent="0.35">
      <c r="A79" s="30" t="s">
        <v>561</v>
      </c>
      <c r="B79" s="20" t="s">
        <v>141</v>
      </c>
      <c r="C79" s="9" t="str">
        <f>+VLOOKUP(B79,'transacciones '!$A$2:$I$39,2,FALSE)</f>
        <v>ATC01</v>
      </c>
      <c r="D79" s="9" t="str">
        <f>+VLOOKUP(B79,'transacciones '!$A$2:$I$39,3,FALSE)</f>
        <v>Producción / Consumo intermedio</v>
      </c>
      <c r="E79" s="9" t="str">
        <f>+VLOOKUP(B79,'transacciones '!$A$2:$I$39,4,FALSE)</f>
        <v>Producción</v>
      </c>
      <c r="F79" s="9">
        <f>+VLOOKUP(B79,'transacciones '!$A$2:$I$39,5,FALSE)</f>
        <v>1</v>
      </c>
      <c r="G79" s="9" t="str">
        <f>+VLOOKUP(B79,'transacciones '!$A$2:$I$39,6,FALSE)</f>
        <v>P1</v>
      </c>
      <c r="H79" s="9" t="str">
        <f>+VLOOKUP(B79,'transacciones '!$A$2:$I$39,7,FALSE)</f>
        <v>Producción</v>
      </c>
      <c r="I79" s="18" t="s">
        <v>402</v>
      </c>
      <c r="J79" s="18" t="s">
        <v>403</v>
      </c>
      <c r="K79" s="8" t="s">
        <v>43</v>
      </c>
      <c r="L79" s="8" t="str">
        <f>+VLOOKUP(K79,'Correl CIIU'!$A$1:$F$26,2,FALSE)</f>
        <v>Actividades de alojamiento y de servicio de comidas</v>
      </c>
      <c r="M79" s="8" t="str">
        <f>+VLOOKUP(K79,'Correl CIIU'!$A$1:$F$26,3,FALSE)</f>
        <v>Alojamiento y alimentación</v>
      </c>
      <c r="N79" s="8" t="str">
        <f>+VLOOKUP(K79,'Correl CIIU'!$A$1:$F$26,4,FALSE)</f>
        <v>Accommodation and food service activities</v>
      </c>
      <c r="O79" s="8">
        <v>2</v>
      </c>
      <c r="P79" s="31" t="str">
        <f>+VLOOKUP(O79,bio!$A$2:$B$4,2,FALSE)</f>
        <v>Bioeconomía extendida</v>
      </c>
    </row>
    <row r="80" spans="1:16" x14ac:dyDescent="0.35">
      <c r="A80" s="30" t="s">
        <v>562</v>
      </c>
      <c r="B80" s="20" t="s">
        <v>141</v>
      </c>
      <c r="C80" s="9" t="str">
        <f>+VLOOKUP(B80,'transacciones '!$A$2:$I$39,2,FALSE)</f>
        <v>ATC01</v>
      </c>
      <c r="D80" s="9" t="str">
        <f>+VLOOKUP(B80,'transacciones '!$A$2:$I$39,3,FALSE)</f>
        <v>Producción / Consumo intermedio</v>
      </c>
      <c r="E80" s="9" t="str">
        <f>+VLOOKUP(B80,'transacciones '!$A$2:$I$39,4,FALSE)</f>
        <v>Producción</v>
      </c>
      <c r="F80" s="9">
        <f>+VLOOKUP(B80,'transacciones '!$A$2:$I$39,5,FALSE)</f>
        <v>1</v>
      </c>
      <c r="G80" s="9" t="str">
        <f>+VLOOKUP(B80,'transacciones '!$A$2:$I$39,6,FALSE)</f>
        <v>P1</v>
      </c>
      <c r="H80" s="9" t="str">
        <f>+VLOOKUP(B80,'transacciones '!$A$2:$I$39,7,FALSE)</f>
        <v>Producción</v>
      </c>
      <c r="I80" s="18" t="s">
        <v>404</v>
      </c>
      <c r="J80" s="18" t="s">
        <v>405</v>
      </c>
      <c r="K80" s="8" t="s">
        <v>41</v>
      </c>
      <c r="L80" s="8" t="str">
        <f>+VLOOKUP(K80,'Correl CIIU'!$A$1:$F$26,2,FALSE)</f>
        <v>Transporte y almacenamiento</v>
      </c>
      <c r="M80" s="8" t="str">
        <f>+VLOOKUP(K80,'Correl CIIU'!$A$1:$F$26,3,FALSE)</f>
        <v>Transporte y almacenamiento</v>
      </c>
      <c r="N80" s="8" t="str">
        <f>+VLOOKUP(K80,'Correl CIIU'!$A$1:$F$26,4,FALSE)</f>
        <v>Transportation and storage</v>
      </c>
      <c r="O80" s="8">
        <v>3</v>
      </c>
      <c r="P80" s="31" t="str">
        <f>+VLOOKUP(O80,bio!$A$2:$B$4,2,FALSE)</f>
        <v>No bioeconomía</v>
      </c>
    </row>
    <row r="81" spans="1:16" x14ac:dyDescent="0.35">
      <c r="A81" s="30" t="s">
        <v>563</v>
      </c>
      <c r="B81" s="20" t="s">
        <v>141</v>
      </c>
      <c r="C81" s="9" t="str">
        <f>+VLOOKUP(B81,'transacciones '!$A$2:$I$39,2,FALSE)</f>
        <v>ATC01</v>
      </c>
      <c r="D81" s="9" t="str">
        <f>+VLOOKUP(B81,'transacciones '!$A$2:$I$39,3,FALSE)</f>
        <v>Producción / Consumo intermedio</v>
      </c>
      <c r="E81" s="9" t="str">
        <f>+VLOOKUP(B81,'transacciones '!$A$2:$I$39,4,FALSE)</f>
        <v>Producción</v>
      </c>
      <c r="F81" s="9">
        <f>+VLOOKUP(B81,'transacciones '!$A$2:$I$39,5,FALSE)</f>
        <v>1</v>
      </c>
      <c r="G81" s="9" t="str">
        <f>+VLOOKUP(B81,'transacciones '!$A$2:$I$39,6,FALSE)</f>
        <v>P1</v>
      </c>
      <c r="H81" s="9" t="str">
        <f>+VLOOKUP(B81,'transacciones '!$A$2:$I$39,7,FALSE)</f>
        <v>Producción</v>
      </c>
      <c r="I81" s="18" t="s">
        <v>406</v>
      </c>
      <c r="J81" s="18" t="s">
        <v>407</v>
      </c>
      <c r="K81" s="8" t="s">
        <v>41</v>
      </c>
      <c r="L81" s="8" t="str">
        <f>+VLOOKUP(K81,'Correl CIIU'!$A$1:$F$26,2,FALSE)</f>
        <v>Transporte y almacenamiento</v>
      </c>
      <c r="M81" s="8" t="str">
        <f>+VLOOKUP(K81,'Correl CIIU'!$A$1:$F$26,3,FALSE)</f>
        <v>Transporte y almacenamiento</v>
      </c>
      <c r="N81" s="8" t="str">
        <f>+VLOOKUP(K81,'Correl CIIU'!$A$1:$F$26,4,FALSE)</f>
        <v>Transportation and storage</v>
      </c>
      <c r="O81" s="8">
        <v>3</v>
      </c>
      <c r="P81" s="31" t="str">
        <f>+VLOOKUP(O81,bio!$A$2:$B$4,2,FALSE)</f>
        <v>No bioeconomía</v>
      </c>
    </row>
    <row r="82" spans="1:16" x14ac:dyDescent="0.35">
      <c r="A82" s="30" t="s">
        <v>564</v>
      </c>
      <c r="B82" s="20" t="s">
        <v>141</v>
      </c>
      <c r="C82" s="9" t="str">
        <f>+VLOOKUP(B82,'transacciones '!$A$2:$I$39,2,FALSE)</f>
        <v>ATC01</v>
      </c>
      <c r="D82" s="9" t="str">
        <f>+VLOOKUP(B82,'transacciones '!$A$2:$I$39,3,FALSE)</f>
        <v>Producción / Consumo intermedio</v>
      </c>
      <c r="E82" s="9" t="str">
        <f>+VLOOKUP(B82,'transacciones '!$A$2:$I$39,4,FALSE)</f>
        <v>Producción</v>
      </c>
      <c r="F82" s="9">
        <f>+VLOOKUP(B82,'transacciones '!$A$2:$I$39,5,FALSE)</f>
        <v>1</v>
      </c>
      <c r="G82" s="9" t="str">
        <f>+VLOOKUP(B82,'transacciones '!$A$2:$I$39,6,FALSE)</f>
        <v>P1</v>
      </c>
      <c r="H82" s="9" t="str">
        <f>+VLOOKUP(B82,'transacciones '!$A$2:$I$39,7,FALSE)</f>
        <v>Producción</v>
      </c>
      <c r="I82" s="18" t="s">
        <v>408</v>
      </c>
      <c r="J82" s="18" t="s">
        <v>409</v>
      </c>
      <c r="K82" s="8" t="s">
        <v>41</v>
      </c>
      <c r="L82" s="8" t="str">
        <f>+VLOOKUP(K82,'Correl CIIU'!$A$1:$F$26,2,FALSE)</f>
        <v>Transporte y almacenamiento</v>
      </c>
      <c r="M82" s="8" t="str">
        <f>+VLOOKUP(K82,'Correl CIIU'!$A$1:$F$26,3,FALSE)</f>
        <v>Transporte y almacenamiento</v>
      </c>
      <c r="N82" s="8" t="str">
        <f>+VLOOKUP(K82,'Correl CIIU'!$A$1:$F$26,4,FALSE)</f>
        <v>Transportation and storage</v>
      </c>
      <c r="O82" s="8">
        <v>3</v>
      </c>
      <c r="P82" s="31" t="str">
        <f>+VLOOKUP(O82,bio!$A$2:$B$4,2,FALSE)</f>
        <v>No bioeconomía</v>
      </c>
    </row>
    <row r="83" spans="1:16" x14ac:dyDescent="0.35">
      <c r="A83" s="30" t="s">
        <v>565</v>
      </c>
      <c r="B83" s="20" t="s">
        <v>141</v>
      </c>
      <c r="C83" s="9" t="str">
        <f>+VLOOKUP(B83,'transacciones '!$A$2:$I$39,2,FALSE)</f>
        <v>ATC01</v>
      </c>
      <c r="D83" s="9" t="str">
        <f>+VLOOKUP(B83,'transacciones '!$A$2:$I$39,3,FALSE)</f>
        <v>Producción / Consumo intermedio</v>
      </c>
      <c r="E83" s="9" t="str">
        <f>+VLOOKUP(B83,'transacciones '!$A$2:$I$39,4,FALSE)</f>
        <v>Producción</v>
      </c>
      <c r="F83" s="9">
        <f>+VLOOKUP(B83,'transacciones '!$A$2:$I$39,5,FALSE)</f>
        <v>1</v>
      </c>
      <c r="G83" s="9" t="str">
        <f>+VLOOKUP(B83,'transacciones '!$A$2:$I$39,6,FALSE)</f>
        <v>P1</v>
      </c>
      <c r="H83" s="9" t="str">
        <f>+VLOOKUP(B83,'transacciones '!$A$2:$I$39,7,FALSE)</f>
        <v>Producción</v>
      </c>
      <c r="I83" s="18" t="s">
        <v>410</v>
      </c>
      <c r="J83" s="18" t="s">
        <v>411</v>
      </c>
      <c r="K83" s="8" t="s">
        <v>41</v>
      </c>
      <c r="L83" s="8" t="str">
        <f>+VLOOKUP(K83,'Correl CIIU'!$A$1:$F$26,2,FALSE)</f>
        <v>Transporte y almacenamiento</v>
      </c>
      <c r="M83" s="8" t="str">
        <f>+VLOOKUP(K83,'Correl CIIU'!$A$1:$F$26,3,FALSE)</f>
        <v>Transporte y almacenamiento</v>
      </c>
      <c r="N83" s="8" t="str">
        <f>+VLOOKUP(K83,'Correl CIIU'!$A$1:$F$26,4,FALSE)</f>
        <v>Transportation and storage</v>
      </c>
      <c r="O83" s="8">
        <v>3</v>
      </c>
      <c r="P83" s="31" t="str">
        <f>+VLOOKUP(O83,bio!$A$2:$B$4,2,FALSE)</f>
        <v>No bioeconomía</v>
      </c>
    </row>
    <row r="84" spans="1:16" x14ac:dyDescent="0.35">
      <c r="A84" s="30" t="s">
        <v>566</v>
      </c>
      <c r="B84" s="20" t="s">
        <v>141</v>
      </c>
      <c r="C84" s="9" t="str">
        <f>+VLOOKUP(B84,'transacciones '!$A$2:$I$39,2,FALSE)</f>
        <v>ATC01</v>
      </c>
      <c r="D84" s="9" t="str">
        <f>+VLOOKUP(B84,'transacciones '!$A$2:$I$39,3,FALSE)</f>
        <v>Producción / Consumo intermedio</v>
      </c>
      <c r="E84" s="9" t="str">
        <f>+VLOOKUP(B84,'transacciones '!$A$2:$I$39,4,FALSE)</f>
        <v>Producción</v>
      </c>
      <c r="F84" s="9">
        <f>+VLOOKUP(B84,'transacciones '!$A$2:$I$39,5,FALSE)</f>
        <v>1</v>
      </c>
      <c r="G84" s="9" t="str">
        <f>+VLOOKUP(B84,'transacciones '!$A$2:$I$39,6,FALSE)</f>
        <v>P1</v>
      </c>
      <c r="H84" s="9" t="str">
        <f>+VLOOKUP(B84,'transacciones '!$A$2:$I$39,7,FALSE)</f>
        <v>Producción</v>
      </c>
      <c r="I84" s="18" t="s">
        <v>412</v>
      </c>
      <c r="J84" s="18" t="s">
        <v>413</v>
      </c>
      <c r="K84" s="8" t="s">
        <v>41</v>
      </c>
      <c r="L84" s="8" t="str">
        <f>+VLOOKUP(K84,'Correl CIIU'!$A$1:$F$26,2,FALSE)</f>
        <v>Transporte y almacenamiento</v>
      </c>
      <c r="M84" s="8" t="str">
        <f>+VLOOKUP(K84,'Correl CIIU'!$A$1:$F$26,3,FALSE)</f>
        <v>Transporte y almacenamiento</v>
      </c>
      <c r="N84" s="8" t="str">
        <f>+VLOOKUP(K84,'Correl CIIU'!$A$1:$F$26,4,FALSE)</f>
        <v>Transportation and storage</v>
      </c>
      <c r="O84" s="8">
        <v>3</v>
      </c>
      <c r="P84" s="31" t="str">
        <f>+VLOOKUP(O84,bio!$A$2:$B$4,2,FALSE)</f>
        <v>No bioeconomía</v>
      </c>
    </row>
    <row r="85" spans="1:16" x14ac:dyDescent="0.35">
      <c r="A85" s="30" t="s">
        <v>567</v>
      </c>
      <c r="B85" s="20" t="s">
        <v>141</v>
      </c>
      <c r="C85" s="9" t="str">
        <f>+VLOOKUP(B85,'transacciones '!$A$2:$I$39,2,FALSE)</f>
        <v>ATC01</v>
      </c>
      <c r="D85" s="9" t="str">
        <f>+VLOOKUP(B85,'transacciones '!$A$2:$I$39,3,FALSE)</f>
        <v>Producción / Consumo intermedio</v>
      </c>
      <c r="E85" s="9" t="str">
        <f>+VLOOKUP(B85,'transacciones '!$A$2:$I$39,4,FALSE)</f>
        <v>Producción</v>
      </c>
      <c r="F85" s="9">
        <f>+VLOOKUP(B85,'transacciones '!$A$2:$I$39,5,FALSE)</f>
        <v>1</v>
      </c>
      <c r="G85" s="9" t="str">
        <f>+VLOOKUP(B85,'transacciones '!$A$2:$I$39,6,FALSE)</f>
        <v>P1</v>
      </c>
      <c r="H85" s="9" t="str">
        <f>+VLOOKUP(B85,'transacciones '!$A$2:$I$39,7,FALSE)</f>
        <v>Producción</v>
      </c>
      <c r="I85" s="18" t="s">
        <v>414</v>
      </c>
      <c r="J85" s="18" t="s">
        <v>415</v>
      </c>
      <c r="K85" s="8" t="s">
        <v>41</v>
      </c>
      <c r="L85" s="8" t="str">
        <f>+VLOOKUP(K85,'Correl CIIU'!$A$1:$F$26,2,FALSE)</f>
        <v>Transporte y almacenamiento</v>
      </c>
      <c r="M85" s="8" t="str">
        <f>+VLOOKUP(K85,'Correl CIIU'!$A$1:$F$26,3,FALSE)</f>
        <v>Transporte y almacenamiento</v>
      </c>
      <c r="N85" s="8" t="str">
        <f>+VLOOKUP(K85,'Correl CIIU'!$A$1:$F$26,4,FALSE)</f>
        <v>Transportation and storage</v>
      </c>
      <c r="O85" s="8">
        <v>3</v>
      </c>
      <c r="P85" s="31" t="str">
        <f>+VLOOKUP(O85,bio!$A$2:$B$4,2,FALSE)</f>
        <v>No bioeconomía</v>
      </c>
    </row>
    <row r="86" spans="1:16" x14ac:dyDescent="0.35">
      <c r="A86" s="30" t="s">
        <v>568</v>
      </c>
      <c r="B86" s="20" t="s">
        <v>141</v>
      </c>
      <c r="C86" s="9" t="str">
        <f>+VLOOKUP(B86,'transacciones '!$A$2:$I$39,2,FALSE)</f>
        <v>ATC01</v>
      </c>
      <c r="D86" s="9" t="str">
        <f>+VLOOKUP(B86,'transacciones '!$A$2:$I$39,3,FALSE)</f>
        <v>Producción / Consumo intermedio</v>
      </c>
      <c r="E86" s="9" t="str">
        <f>+VLOOKUP(B86,'transacciones '!$A$2:$I$39,4,FALSE)</f>
        <v>Producción</v>
      </c>
      <c r="F86" s="9">
        <f>+VLOOKUP(B86,'transacciones '!$A$2:$I$39,5,FALSE)</f>
        <v>1</v>
      </c>
      <c r="G86" s="9" t="str">
        <f>+VLOOKUP(B86,'transacciones '!$A$2:$I$39,6,FALSE)</f>
        <v>P1</v>
      </c>
      <c r="H86" s="9" t="str">
        <f>+VLOOKUP(B86,'transacciones '!$A$2:$I$39,7,FALSE)</f>
        <v>Producción</v>
      </c>
      <c r="I86" s="18" t="s">
        <v>416</v>
      </c>
      <c r="J86" s="18" t="s">
        <v>417</v>
      </c>
      <c r="K86" s="8" t="s">
        <v>41</v>
      </c>
      <c r="L86" s="8" t="str">
        <f>+VLOOKUP(K86,'Correl CIIU'!$A$1:$F$26,2,FALSE)</f>
        <v>Transporte y almacenamiento</v>
      </c>
      <c r="M86" s="8" t="str">
        <f>+VLOOKUP(K86,'Correl CIIU'!$A$1:$F$26,3,FALSE)</f>
        <v>Transporte y almacenamiento</v>
      </c>
      <c r="N86" s="8" t="str">
        <f>+VLOOKUP(K86,'Correl CIIU'!$A$1:$F$26,4,FALSE)</f>
        <v>Transportation and storage</v>
      </c>
      <c r="O86" s="8">
        <v>3</v>
      </c>
      <c r="P86" s="31" t="str">
        <f>+VLOOKUP(O86,bio!$A$2:$B$4,2,FALSE)</f>
        <v>No bioeconomía</v>
      </c>
    </row>
    <row r="87" spans="1:16" x14ac:dyDescent="0.35">
      <c r="A87" s="30" t="s">
        <v>569</v>
      </c>
      <c r="B87" s="20" t="s">
        <v>141</v>
      </c>
      <c r="C87" s="9" t="str">
        <f>+VLOOKUP(B87,'transacciones '!$A$2:$I$39,2,FALSE)</f>
        <v>ATC01</v>
      </c>
      <c r="D87" s="9" t="str">
        <f>+VLOOKUP(B87,'transacciones '!$A$2:$I$39,3,FALSE)</f>
        <v>Producción / Consumo intermedio</v>
      </c>
      <c r="E87" s="9" t="str">
        <f>+VLOOKUP(B87,'transacciones '!$A$2:$I$39,4,FALSE)</f>
        <v>Producción</v>
      </c>
      <c r="F87" s="9">
        <f>+VLOOKUP(B87,'transacciones '!$A$2:$I$39,5,FALSE)</f>
        <v>1</v>
      </c>
      <c r="G87" s="9" t="str">
        <f>+VLOOKUP(B87,'transacciones '!$A$2:$I$39,6,FALSE)</f>
        <v>P1</v>
      </c>
      <c r="H87" s="9" t="str">
        <f>+VLOOKUP(B87,'transacciones '!$A$2:$I$39,7,FALSE)</f>
        <v>Producción</v>
      </c>
      <c r="I87" s="18" t="s">
        <v>418</v>
      </c>
      <c r="J87" s="18" t="s">
        <v>419</v>
      </c>
      <c r="K87" s="8" t="s">
        <v>41</v>
      </c>
      <c r="L87" s="8" t="str">
        <f>+VLOOKUP(K87,'Correl CIIU'!$A$1:$F$26,2,FALSE)</f>
        <v>Transporte y almacenamiento</v>
      </c>
      <c r="M87" s="8" t="str">
        <f>+VLOOKUP(K87,'Correl CIIU'!$A$1:$F$26,3,FALSE)</f>
        <v>Transporte y almacenamiento</v>
      </c>
      <c r="N87" s="8" t="str">
        <f>+VLOOKUP(K87,'Correl CIIU'!$A$1:$F$26,4,FALSE)</f>
        <v>Transportation and storage</v>
      </c>
      <c r="O87" s="8">
        <v>3</v>
      </c>
      <c r="P87" s="31" t="str">
        <f>+VLOOKUP(O87,bio!$A$2:$B$4,2,FALSE)</f>
        <v>No bioeconomía</v>
      </c>
    </row>
    <row r="88" spans="1:16" x14ac:dyDescent="0.35">
      <c r="A88" s="30" t="s">
        <v>570</v>
      </c>
      <c r="B88" s="20" t="s">
        <v>141</v>
      </c>
      <c r="C88" s="9" t="str">
        <f>+VLOOKUP(B88,'transacciones '!$A$2:$I$39,2,FALSE)</f>
        <v>ATC01</v>
      </c>
      <c r="D88" s="9" t="str">
        <f>+VLOOKUP(B88,'transacciones '!$A$2:$I$39,3,FALSE)</f>
        <v>Producción / Consumo intermedio</v>
      </c>
      <c r="E88" s="9" t="str">
        <f>+VLOOKUP(B88,'transacciones '!$A$2:$I$39,4,FALSE)</f>
        <v>Producción</v>
      </c>
      <c r="F88" s="9">
        <f>+VLOOKUP(B88,'transacciones '!$A$2:$I$39,5,FALSE)</f>
        <v>1</v>
      </c>
      <c r="G88" s="9" t="str">
        <f>+VLOOKUP(B88,'transacciones '!$A$2:$I$39,6,FALSE)</f>
        <v>P1</v>
      </c>
      <c r="H88" s="9" t="str">
        <f>+VLOOKUP(B88,'transacciones '!$A$2:$I$39,7,FALSE)</f>
        <v>Producción</v>
      </c>
      <c r="I88" s="18" t="s">
        <v>420</v>
      </c>
      <c r="J88" s="18" t="s">
        <v>421</v>
      </c>
      <c r="K88" s="8" t="s">
        <v>41</v>
      </c>
      <c r="L88" s="8" t="str">
        <f>+VLOOKUP(K88,'Correl CIIU'!$A$1:$F$26,2,FALSE)</f>
        <v>Transporte y almacenamiento</v>
      </c>
      <c r="M88" s="8" t="str">
        <f>+VLOOKUP(K88,'Correl CIIU'!$A$1:$F$26,3,FALSE)</f>
        <v>Transporte y almacenamiento</v>
      </c>
      <c r="N88" s="8" t="str">
        <f>+VLOOKUP(K88,'Correl CIIU'!$A$1:$F$26,4,FALSE)</f>
        <v>Transportation and storage</v>
      </c>
      <c r="O88" s="8">
        <v>3</v>
      </c>
      <c r="P88" s="31" t="str">
        <f>+VLOOKUP(O88,bio!$A$2:$B$4,2,FALSE)</f>
        <v>No bioeconomía</v>
      </c>
    </row>
    <row r="89" spans="1:16" x14ac:dyDescent="0.35">
      <c r="A89" s="30" t="s">
        <v>571</v>
      </c>
      <c r="B89" s="20" t="s">
        <v>141</v>
      </c>
      <c r="C89" s="9" t="str">
        <f>+VLOOKUP(B89,'transacciones '!$A$2:$I$39,2,FALSE)</f>
        <v>ATC01</v>
      </c>
      <c r="D89" s="9" t="str">
        <f>+VLOOKUP(B89,'transacciones '!$A$2:$I$39,3,FALSE)</f>
        <v>Producción / Consumo intermedio</v>
      </c>
      <c r="E89" s="9" t="str">
        <f>+VLOOKUP(B89,'transacciones '!$A$2:$I$39,4,FALSE)</f>
        <v>Producción</v>
      </c>
      <c r="F89" s="9">
        <f>+VLOOKUP(B89,'transacciones '!$A$2:$I$39,5,FALSE)</f>
        <v>1</v>
      </c>
      <c r="G89" s="9" t="str">
        <f>+VLOOKUP(B89,'transacciones '!$A$2:$I$39,6,FALSE)</f>
        <v>P1</v>
      </c>
      <c r="H89" s="9" t="str">
        <f>+VLOOKUP(B89,'transacciones '!$A$2:$I$39,7,FALSE)</f>
        <v>Producción</v>
      </c>
      <c r="I89" s="18" t="s">
        <v>422</v>
      </c>
      <c r="J89" s="18" t="s">
        <v>423</v>
      </c>
      <c r="K89" s="8" t="s">
        <v>45</v>
      </c>
      <c r="L89" s="8" t="str">
        <f>+VLOOKUP(K89,'Correl CIIU'!$A$1:$F$26,2,FALSE)</f>
        <v>Información y comunicaciones</v>
      </c>
      <c r="M89" s="8" t="str">
        <f>+VLOOKUP(K89,'Correl CIIU'!$A$1:$F$26,3,FALSE)</f>
        <v>Información y comunicaciones</v>
      </c>
      <c r="N89" s="8" t="str">
        <f>+VLOOKUP(K89,'Correl CIIU'!$A$1:$F$26,4,FALSE)</f>
        <v>Information and communication</v>
      </c>
      <c r="O89" s="8">
        <v>3</v>
      </c>
      <c r="P89" s="31" t="str">
        <f>+VLOOKUP(O89,bio!$A$2:$B$4,2,FALSE)</f>
        <v>No bioeconomía</v>
      </c>
    </row>
    <row r="90" spans="1:16" x14ac:dyDescent="0.35">
      <c r="A90" s="30" t="s">
        <v>572</v>
      </c>
      <c r="B90" s="20" t="s">
        <v>141</v>
      </c>
      <c r="C90" s="9" t="str">
        <f>+VLOOKUP(B90,'transacciones '!$A$2:$I$39,2,FALSE)</f>
        <v>ATC01</v>
      </c>
      <c r="D90" s="9" t="str">
        <f>+VLOOKUP(B90,'transacciones '!$A$2:$I$39,3,FALSE)</f>
        <v>Producción / Consumo intermedio</v>
      </c>
      <c r="E90" s="9" t="str">
        <f>+VLOOKUP(B90,'transacciones '!$A$2:$I$39,4,FALSE)</f>
        <v>Producción</v>
      </c>
      <c r="F90" s="9">
        <f>+VLOOKUP(B90,'transacciones '!$A$2:$I$39,5,FALSE)</f>
        <v>1</v>
      </c>
      <c r="G90" s="9" t="str">
        <f>+VLOOKUP(B90,'transacciones '!$A$2:$I$39,6,FALSE)</f>
        <v>P1</v>
      </c>
      <c r="H90" s="9" t="str">
        <f>+VLOOKUP(B90,'transacciones '!$A$2:$I$39,7,FALSE)</f>
        <v>Producción</v>
      </c>
      <c r="I90" s="18" t="s">
        <v>424</v>
      </c>
      <c r="J90" s="18" t="s">
        <v>425</v>
      </c>
      <c r="K90" s="8" t="s">
        <v>45</v>
      </c>
      <c r="L90" s="8" t="str">
        <f>+VLOOKUP(K90,'Correl CIIU'!$A$1:$F$26,2,FALSE)</f>
        <v>Información y comunicaciones</v>
      </c>
      <c r="M90" s="8" t="str">
        <f>+VLOOKUP(K90,'Correl CIIU'!$A$1:$F$26,3,FALSE)</f>
        <v>Información y comunicaciones</v>
      </c>
      <c r="N90" s="8" t="str">
        <f>+VLOOKUP(K90,'Correl CIIU'!$A$1:$F$26,4,FALSE)</f>
        <v>Information and communication</v>
      </c>
      <c r="O90" s="8">
        <v>3</v>
      </c>
      <c r="P90" s="31" t="str">
        <f>+VLOOKUP(O90,bio!$A$2:$B$4,2,FALSE)</f>
        <v>No bioeconomía</v>
      </c>
    </row>
    <row r="91" spans="1:16" x14ac:dyDescent="0.35">
      <c r="A91" s="30" t="s">
        <v>573</v>
      </c>
      <c r="B91" s="20" t="s">
        <v>141</v>
      </c>
      <c r="C91" s="9" t="str">
        <f>+VLOOKUP(B91,'transacciones '!$A$2:$I$39,2,FALSE)</f>
        <v>ATC01</v>
      </c>
      <c r="D91" s="9" t="str">
        <f>+VLOOKUP(B91,'transacciones '!$A$2:$I$39,3,FALSE)</f>
        <v>Producción / Consumo intermedio</v>
      </c>
      <c r="E91" s="9" t="str">
        <f>+VLOOKUP(B91,'transacciones '!$A$2:$I$39,4,FALSE)</f>
        <v>Producción</v>
      </c>
      <c r="F91" s="9">
        <f>+VLOOKUP(B91,'transacciones '!$A$2:$I$39,5,FALSE)</f>
        <v>1</v>
      </c>
      <c r="G91" s="9" t="str">
        <f>+VLOOKUP(B91,'transacciones '!$A$2:$I$39,6,FALSE)</f>
        <v>P1</v>
      </c>
      <c r="H91" s="9" t="str">
        <f>+VLOOKUP(B91,'transacciones '!$A$2:$I$39,7,FALSE)</f>
        <v>Producción</v>
      </c>
      <c r="I91" s="18" t="s">
        <v>426</v>
      </c>
      <c r="J91" s="18" t="s">
        <v>427</v>
      </c>
      <c r="K91" s="8" t="s">
        <v>45</v>
      </c>
      <c r="L91" s="8" t="str">
        <f>+VLOOKUP(K91,'Correl CIIU'!$A$1:$F$26,2,FALSE)</f>
        <v>Información y comunicaciones</v>
      </c>
      <c r="M91" s="8" t="str">
        <f>+VLOOKUP(K91,'Correl CIIU'!$A$1:$F$26,3,FALSE)</f>
        <v>Información y comunicaciones</v>
      </c>
      <c r="N91" s="8" t="str">
        <f>+VLOOKUP(K91,'Correl CIIU'!$A$1:$F$26,4,FALSE)</f>
        <v>Information and communication</v>
      </c>
      <c r="O91" s="8">
        <v>3</v>
      </c>
      <c r="P91" s="31" t="str">
        <f>+VLOOKUP(O91,bio!$A$2:$B$4,2,FALSE)</f>
        <v>No bioeconomía</v>
      </c>
    </row>
    <row r="92" spans="1:16" x14ac:dyDescent="0.35">
      <c r="A92" s="30" t="s">
        <v>574</v>
      </c>
      <c r="B92" s="20" t="s">
        <v>141</v>
      </c>
      <c r="C92" s="9" t="str">
        <f>+VLOOKUP(B92,'transacciones '!$A$2:$I$39,2,FALSE)</f>
        <v>ATC01</v>
      </c>
      <c r="D92" s="9" t="str">
        <f>+VLOOKUP(B92,'transacciones '!$A$2:$I$39,3,FALSE)</f>
        <v>Producción / Consumo intermedio</v>
      </c>
      <c r="E92" s="9" t="str">
        <f>+VLOOKUP(B92,'transacciones '!$A$2:$I$39,4,FALSE)</f>
        <v>Producción</v>
      </c>
      <c r="F92" s="9">
        <f>+VLOOKUP(B92,'transacciones '!$A$2:$I$39,5,FALSE)</f>
        <v>1</v>
      </c>
      <c r="G92" s="9" t="str">
        <f>+VLOOKUP(B92,'transacciones '!$A$2:$I$39,6,FALSE)</f>
        <v>P1</v>
      </c>
      <c r="H92" s="9" t="str">
        <f>+VLOOKUP(B92,'transacciones '!$A$2:$I$39,7,FALSE)</f>
        <v>Producción</v>
      </c>
      <c r="I92" s="18" t="s">
        <v>428</v>
      </c>
      <c r="J92" s="18" t="s">
        <v>429</v>
      </c>
      <c r="K92" s="8" t="s">
        <v>45</v>
      </c>
      <c r="L92" s="8" t="str">
        <f>+VLOOKUP(K92,'Correl CIIU'!$A$1:$F$26,2,FALSE)</f>
        <v>Información y comunicaciones</v>
      </c>
      <c r="M92" s="8" t="str">
        <f>+VLOOKUP(K92,'Correl CIIU'!$A$1:$F$26,3,FALSE)</f>
        <v>Información y comunicaciones</v>
      </c>
      <c r="N92" s="8" t="str">
        <f>+VLOOKUP(K92,'Correl CIIU'!$A$1:$F$26,4,FALSE)</f>
        <v>Information and communication</v>
      </c>
      <c r="O92" s="8">
        <v>3</v>
      </c>
      <c r="P92" s="31" t="str">
        <f>+VLOOKUP(O92,bio!$A$2:$B$4,2,FALSE)</f>
        <v>No bioeconomía</v>
      </c>
    </row>
    <row r="93" spans="1:16" x14ac:dyDescent="0.35">
      <c r="A93" s="30" t="s">
        <v>575</v>
      </c>
      <c r="B93" s="20" t="s">
        <v>141</v>
      </c>
      <c r="C93" s="9" t="str">
        <f>+VLOOKUP(B93,'transacciones '!$A$2:$I$39,2,FALSE)</f>
        <v>ATC01</v>
      </c>
      <c r="D93" s="9" t="str">
        <f>+VLOOKUP(B93,'transacciones '!$A$2:$I$39,3,FALSE)</f>
        <v>Producción / Consumo intermedio</v>
      </c>
      <c r="E93" s="9" t="str">
        <f>+VLOOKUP(B93,'transacciones '!$A$2:$I$39,4,FALSE)</f>
        <v>Producción</v>
      </c>
      <c r="F93" s="9">
        <f>+VLOOKUP(B93,'transacciones '!$A$2:$I$39,5,FALSE)</f>
        <v>1</v>
      </c>
      <c r="G93" s="9" t="str">
        <f>+VLOOKUP(B93,'transacciones '!$A$2:$I$39,6,FALSE)</f>
        <v>P1</v>
      </c>
      <c r="H93" s="9" t="str">
        <f>+VLOOKUP(B93,'transacciones '!$A$2:$I$39,7,FALSE)</f>
        <v>Producción</v>
      </c>
      <c r="I93" s="18" t="s">
        <v>430</v>
      </c>
      <c r="J93" s="18" t="s">
        <v>431</v>
      </c>
      <c r="K93" s="8" t="s">
        <v>45</v>
      </c>
      <c r="L93" s="8" t="str">
        <f>+VLOOKUP(K93,'Correl CIIU'!$A$1:$F$26,2,FALSE)</f>
        <v>Información y comunicaciones</v>
      </c>
      <c r="M93" s="8" t="str">
        <f>+VLOOKUP(K93,'Correl CIIU'!$A$1:$F$26,3,FALSE)</f>
        <v>Información y comunicaciones</v>
      </c>
      <c r="N93" s="8" t="str">
        <f>+VLOOKUP(K93,'Correl CIIU'!$A$1:$F$26,4,FALSE)</f>
        <v>Information and communication</v>
      </c>
      <c r="O93" s="8">
        <v>3</v>
      </c>
      <c r="P93" s="31" t="str">
        <f>+VLOOKUP(O93,bio!$A$2:$B$4,2,FALSE)</f>
        <v>No bioeconomía</v>
      </c>
    </row>
    <row r="94" spans="1:16" x14ac:dyDescent="0.35">
      <c r="A94" s="30" t="s">
        <v>576</v>
      </c>
      <c r="B94" s="20" t="s">
        <v>141</v>
      </c>
      <c r="C94" s="9" t="str">
        <f>+VLOOKUP(B94,'transacciones '!$A$2:$I$39,2,FALSE)</f>
        <v>ATC01</v>
      </c>
      <c r="D94" s="9" t="str">
        <f>+VLOOKUP(B94,'transacciones '!$A$2:$I$39,3,FALSE)</f>
        <v>Producción / Consumo intermedio</v>
      </c>
      <c r="E94" s="9" t="str">
        <f>+VLOOKUP(B94,'transacciones '!$A$2:$I$39,4,FALSE)</f>
        <v>Producción</v>
      </c>
      <c r="F94" s="9">
        <f>+VLOOKUP(B94,'transacciones '!$A$2:$I$39,5,FALSE)</f>
        <v>1</v>
      </c>
      <c r="G94" s="9" t="str">
        <f>+VLOOKUP(B94,'transacciones '!$A$2:$I$39,6,FALSE)</f>
        <v>P1</v>
      </c>
      <c r="H94" s="9" t="str">
        <f>+VLOOKUP(B94,'transacciones '!$A$2:$I$39,7,FALSE)</f>
        <v>Producción</v>
      </c>
      <c r="I94" s="18" t="s">
        <v>432</v>
      </c>
      <c r="J94" s="18" t="s">
        <v>433</v>
      </c>
      <c r="K94" s="8" t="s">
        <v>45</v>
      </c>
      <c r="L94" s="8" t="str">
        <f>+VLOOKUP(K94,'Correl CIIU'!$A$1:$F$26,2,FALSE)</f>
        <v>Información y comunicaciones</v>
      </c>
      <c r="M94" s="8" t="str">
        <f>+VLOOKUP(K94,'Correl CIIU'!$A$1:$F$26,3,FALSE)</f>
        <v>Información y comunicaciones</v>
      </c>
      <c r="N94" s="8" t="str">
        <f>+VLOOKUP(K94,'Correl CIIU'!$A$1:$F$26,4,FALSE)</f>
        <v>Information and communication</v>
      </c>
      <c r="O94" s="8">
        <v>3</v>
      </c>
      <c r="P94" s="31" t="str">
        <f>+VLOOKUP(O94,bio!$A$2:$B$4,2,FALSE)</f>
        <v>No bioeconomía</v>
      </c>
    </row>
    <row r="95" spans="1:16" x14ac:dyDescent="0.35">
      <c r="A95" s="30" t="s">
        <v>577</v>
      </c>
      <c r="B95" s="20" t="s">
        <v>141</v>
      </c>
      <c r="C95" s="9" t="str">
        <f>+VLOOKUP(B95,'transacciones '!$A$2:$I$39,2,FALSE)</f>
        <v>ATC01</v>
      </c>
      <c r="D95" s="9" t="str">
        <f>+VLOOKUP(B95,'transacciones '!$A$2:$I$39,3,FALSE)</f>
        <v>Producción / Consumo intermedio</v>
      </c>
      <c r="E95" s="9" t="str">
        <f>+VLOOKUP(B95,'transacciones '!$A$2:$I$39,4,FALSE)</f>
        <v>Producción</v>
      </c>
      <c r="F95" s="9">
        <f>+VLOOKUP(B95,'transacciones '!$A$2:$I$39,5,FALSE)</f>
        <v>1</v>
      </c>
      <c r="G95" s="9" t="str">
        <f>+VLOOKUP(B95,'transacciones '!$A$2:$I$39,6,FALSE)</f>
        <v>P1</v>
      </c>
      <c r="H95" s="9" t="str">
        <f>+VLOOKUP(B95,'transacciones '!$A$2:$I$39,7,FALSE)</f>
        <v>Producción</v>
      </c>
      <c r="I95" s="18" t="s">
        <v>434</v>
      </c>
      <c r="J95" s="18" t="s">
        <v>435</v>
      </c>
      <c r="K95" s="8" t="s">
        <v>48</v>
      </c>
      <c r="L95" s="8" t="str">
        <f>+VLOOKUP(K95,'Correl CIIU'!$A$1:$F$26,2,FALSE)</f>
        <v>Actividades financieras y de seguros</v>
      </c>
      <c r="M95" s="8" t="str">
        <f>+VLOOKUP(K95,'Correl CIIU'!$A$1:$F$26,3,FALSE)</f>
        <v>Finanzas y seguros</v>
      </c>
      <c r="N95" s="8" t="str">
        <f>+VLOOKUP(K95,'Correl CIIU'!$A$1:$F$26,4,FALSE)</f>
        <v>Financial and insurance activities</v>
      </c>
      <c r="O95" s="8">
        <v>3</v>
      </c>
      <c r="P95" s="31" t="str">
        <f>+VLOOKUP(O95,bio!$A$2:$B$4,2,FALSE)</f>
        <v>No bioeconomía</v>
      </c>
    </row>
    <row r="96" spans="1:16" x14ac:dyDescent="0.35">
      <c r="A96" s="30" t="s">
        <v>578</v>
      </c>
      <c r="B96" s="20" t="s">
        <v>141</v>
      </c>
      <c r="C96" s="9" t="str">
        <f>+VLOOKUP(B96,'transacciones '!$A$2:$I$39,2,FALSE)</f>
        <v>ATC01</v>
      </c>
      <c r="D96" s="9" t="str">
        <f>+VLOOKUP(B96,'transacciones '!$A$2:$I$39,3,FALSE)</f>
        <v>Producción / Consumo intermedio</v>
      </c>
      <c r="E96" s="9" t="str">
        <f>+VLOOKUP(B96,'transacciones '!$A$2:$I$39,4,FALSE)</f>
        <v>Producción</v>
      </c>
      <c r="F96" s="9">
        <f>+VLOOKUP(B96,'transacciones '!$A$2:$I$39,5,FALSE)</f>
        <v>1</v>
      </c>
      <c r="G96" s="9" t="str">
        <f>+VLOOKUP(B96,'transacciones '!$A$2:$I$39,6,FALSE)</f>
        <v>P1</v>
      </c>
      <c r="H96" s="9" t="str">
        <f>+VLOOKUP(B96,'transacciones '!$A$2:$I$39,7,FALSE)</f>
        <v>Producción</v>
      </c>
      <c r="I96" s="18" t="s">
        <v>436</v>
      </c>
      <c r="J96" s="18" t="s">
        <v>437</v>
      </c>
      <c r="K96" s="8" t="s">
        <v>48</v>
      </c>
      <c r="L96" s="8" t="str">
        <f>+VLOOKUP(K96,'Correl CIIU'!$A$1:$F$26,2,FALSE)</f>
        <v>Actividades financieras y de seguros</v>
      </c>
      <c r="M96" s="8" t="str">
        <f>+VLOOKUP(K96,'Correl CIIU'!$A$1:$F$26,3,FALSE)</f>
        <v>Finanzas y seguros</v>
      </c>
      <c r="N96" s="8" t="str">
        <f>+VLOOKUP(K96,'Correl CIIU'!$A$1:$F$26,4,FALSE)</f>
        <v>Financial and insurance activities</v>
      </c>
      <c r="O96" s="8">
        <v>3</v>
      </c>
      <c r="P96" s="31" t="str">
        <f>+VLOOKUP(O96,bio!$A$2:$B$4,2,FALSE)</f>
        <v>No bioeconomía</v>
      </c>
    </row>
    <row r="97" spans="1:16" x14ac:dyDescent="0.35">
      <c r="A97" s="30" t="s">
        <v>579</v>
      </c>
      <c r="B97" s="20" t="s">
        <v>141</v>
      </c>
      <c r="C97" s="9" t="str">
        <f>+VLOOKUP(B97,'transacciones '!$A$2:$I$39,2,FALSE)</f>
        <v>ATC01</v>
      </c>
      <c r="D97" s="9" t="str">
        <f>+VLOOKUP(B97,'transacciones '!$A$2:$I$39,3,FALSE)</f>
        <v>Producción / Consumo intermedio</v>
      </c>
      <c r="E97" s="9" t="str">
        <f>+VLOOKUP(B97,'transacciones '!$A$2:$I$39,4,FALSE)</f>
        <v>Producción</v>
      </c>
      <c r="F97" s="9">
        <f>+VLOOKUP(B97,'transacciones '!$A$2:$I$39,5,FALSE)</f>
        <v>1</v>
      </c>
      <c r="G97" s="9" t="str">
        <f>+VLOOKUP(B97,'transacciones '!$A$2:$I$39,6,FALSE)</f>
        <v>P1</v>
      </c>
      <c r="H97" s="9" t="str">
        <f>+VLOOKUP(B97,'transacciones '!$A$2:$I$39,7,FALSE)</f>
        <v>Producción</v>
      </c>
      <c r="I97" s="18" t="s">
        <v>438</v>
      </c>
      <c r="J97" s="18" t="s">
        <v>439</v>
      </c>
      <c r="K97" s="8" t="s">
        <v>48</v>
      </c>
      <c r="L97" s="8" t="str">
        <f>+VLOOKUP(K97,'Correl CIIU'!$A$1:$F$26,2,FALSE)</f>
        <v>Actividades financieras y de seguros</v>
      </c>
      <c r="M97" s="8" t="str">
        <f>+VLOOKUP(K97,'Correl CIIU'!$A$1:$F$26,3,FALSE)</f>
        <v>Finanzas y seguros</v>
      </c>
      <c r="N97" s="8" t="str">
        <f>+VLOOKUP(K97,'Correl CIIU'!$A$1:$F$26,4,FALSE)</f>
        <v>Financial and insurance activities</v>
      </c>
      <c r="O97" s="8">
        <v>3</v>
      </c>
      <c r="P97" s="31" t="str">
        <f>+VLOOKUP(O97,bio!$A$2:$B$4,2,FALSE)</f>
        <v>No bioeconomía</v>
      </c>
    </row>
    <row r="98" spans="1:16" x14ac:dyDescent="0.35">
      <c r="A98" s="30" t="s">
        <v>580</v>
      </c>
      <c r="B98" s="20" t="s">
        <v>141</v>
      </c>
      <c r="C98" s="9" t="str">
        <f>+VLOOKUP(B98,'transacciones '!$A$2:$I$39,2,FALSE)</f>
        <v>ATC01</v>
      </c>
      <c r="D98" s="9" t="str">
        <f>+VLOOKUP(B98,'transacciones '!$A$2:$I$39,3,FALSE)</f>
        <v>Producción / Consumo intermedio</v>
      </c>
      <c r="E98" s="9" t="str">
        <f>+VLOOKUP(B98,'transacciones '!$A$2:$I$39,4,FALSE)</f>
        <v>Producción</v>
      </c>
      <c r="F98" s="9">
        <f>+VLOOKUP(B98,'transacciones '!$A$2:$I$39,5,FALSE)</f>
        <v>1</v>
      </c>
      <c r="G98" s="9" t="str">
        <f>+VLOOKUP(B98,'transacciones '!$A$2:$I$39,6,FALSE)</f>
        <v>P1</v>
      </c>
      <c r="H98" s="9" t="str">
        <f>+VLOOKUP(B98,'transacciones '!$A$2:$I$39,7,FALSE)</f>
        <v>Producción</v>
      </c>
      <c r="I98" s="18" t="s">
        <v>440</v>
      </c>
      <c r="J98" s="18" t="s">
        <v>50</v>
      </c>
      <c r="K98" s="8" t="s">
        <v>51</v>
      </c>
      <c r="L98" s="8" t="str">
        <f>+VLOOKUP(K98,'Correl CIIU'!$A$1:$F$26,2,FALSE)</f>
        <v>Actividades inmobiliarias</v>
      </c>
      <c r="M98" s="8" t="str">
        <f>+VLOOKUP(K98,'Correl CIIU'!$A$1:$F$26,3,FALSE)</f>
        <v>Inmobiliarios</v>
      </c>
      <c r="N98" s="8" t="str">
        <f>+VLOOKUP(K98,'Correl CIIU'!$A$1:$F$26,4,FALSE)</f>
        <v>Real estate activities</v>
      </c>
      <c r="O98" s="8">
        <v>3</v>
      </c>
      <c r="P98" s="31" t="str">
        <f>+VLOOKUP(O98,bio!$A$2:$B$4,2,FALSE)</f>
        <v>No bioeconomía</v>
      </c>
    </row>
    <row r="99" spans="1:16" x14ac:dyDescent="0.35">
      <c r="A99" s="30" t="s">
        <v>581</v>
      </c>
      <c r="B99" s="20" t="s">
        <v>141</v>
      </c>
      <c r="C99" s="9" t="str">
        <f>+VLOOKUP(B99,'transacciones '!$A$2:$I$39,2,FALSE)</f>
        <v>ATC01</v>
      </c>
      <c r="D99" s="9" t="str">
        <f>+VLOOKUP(B99,'transacciones '!$A$2:$I$39,3,FALSE)</f>
        <v>Producción / Consumo intermedio</v>
      </c>
      <c r="E99" s="9" t="str">
        <f>+VLOOKUP(B99,'transacciones '!$A$2:$I$39,4,FALSE)</f>
        <v>Producción</v>
      </c>
      <c r="F99" s="9">
        <f>+VLOOKUP(B99,'transacciones '!$A$2:$I$39,5,FALSE)</f>
        <v>1</v>
      </c>
      <c r="G99" s="9" t="str">
        <f>+VLOOKUP(B99,'transacciones '!$A$2:$I$39,6,FALSE)</f>
        <v>P1</v>
      </c>
      <c r="H99" s="9" t="str">
        <f>+VLOOKUP(B99,'transacciones '!$A$2:$I$39,7,FALSE)</f>
        <v>Producción</v>
      </c>
      <c r="I99" s="18" t="s">
        <v>441</v>
      </c>
      <c r="J99" s="18" t="s">
        <v>442</v>
      </c>
      <c r="K99" s="8" t="s">
        <v>51</v>
      </c>
      <c r="L99" s="8" t="str">
        <f>+VLOOKUP(K99,'Correl CIIU'!$A$1:$F$26,2,FALSE)</f>
        <v>Actividades inmobiliarias</v>
      </c>
      <c r="M99" s="8" t="str">
        <f>+VLOOKUP(K99,'Correl CIIU'!$A$1:$F$26,3,FALSE)</f>
        <v>Inmobiliarios</v>
      </c>
      <c r="N99" s="8" t="str">
        <f>+VLOOKUP(K99,'Correl CIIU'!$A$1:$F$26,4,FALSE)</f>
        <v>Real estate activities</v>
      </c>
      <c r="O99" s="8">
        <v>3</v>
      </c>
      <c r="P99" s="31" t="str">
        <f>+VLOOKUP(O99,bio!$A$2:$B$4,2,FALSE)</f>
        <v>No bioeconomía</v>
      </c>
    </row>
    <row r="100" spans="1:16" x14ac:dyDescent="0.35">
      <c r="A100" s="30" t="s">
        <v>582</v>
      </c>
      <c r="B100" s="20" t="s">
        <v>141</v>
      </c>
      <c r="C100" s="9" t="str">
        <f>+VLOOKUP(B100,'transacciones '!$A$2:$I$39,2,FALSE)</f>
        <v>ATC01</v>
      </c>
      <c r="D100" s="9" t="str">
        <f>+VLOOKUP(B100,'transacciones '!$A$2:$I$39,3,FALSE)</f>
        <v>Producción / Consumo intermedio</v>
      </c>
      <c r="E100" s="9" t="str">
        <f>+VLOOKUP(B100,'transacciones '!$A$2:$I$39,4,FALSE)</f>
        <v>Producción</v>
      </c>
      <c r="F100" s="9">
        <f>+VLOOKUP(B100,'transacciones '!$A$2:$I$39,5,FALSE)</f>
        <v>1</v>
      </c>
      <c r="G100" s="9" t="str">
        <f>+VLOOKUP(B100,'transacciones '!$A$2:$I$39,6,FALSE)</f>
        <v>P1</v>
      </c>
      <c r="H100" s="9" t="str">
        <f>+VLOOKUP(B100,'transacciones '!$A$2:$I$39,7,FALSE)</f>
        <v>Producción</v>
      </c>
      <c r="I100" s="18" t="s">
        <v>443</v>
      </c>
      <c r="J100" s="18" t="s">
        <v>444</v>
      </c>
      <c r="K100" s="8" t="s">
        <v>54</v>
      </c>
      <c r="L100" s="8" t="str">
        <f>+VLOOKUP(K100,'Correl CIIU'!$A$1:$F$26,2,FALSE)</f>
        <v>Actividades profesionales, científicas y técnicas</v>
      </c>
      <c r="M100" s="8" t="str">
        <f>+VLOOKUP(K100,'Correl CIIU'!$A$1:$F$26,3,FALSE)</f>
        <v>Servicios profesionales</v>
      </c>
      <c r="N100" s="8" t="str">
        <f>+VLOOKUP(K100,'Correl CIIU'!$A$1:$F$26,4,FALSE)</f>
        <v>Professional, scientific and technical activities</v>
      </c>
      <c r="O100" s="8">
        <v>3</v>
      </c>
      <c r="P100" s="31" t="str">
        <f>+VLOOKUP(O100,bio!$A$2:$B$4,2,FALSE)</f>
        <v>No bioeconomía</v>
      </c>
    </row>
    <row r="101" spans="1:16" x14ac:dyDescent="0.35">
      <c r="A101" s="30" t="s">
        <v>583</v>
      </c>
      <c r="B101" s="20" t="s">
        <v>141</v>
      </c>
      <c r="C101" s="9" t="str">
        <f>+VLOOKUP(B101,'transacciones '!$A$2:$I$39,2,FALSE)</f>
        <v>ATC01</v>
      </c>
      <c r="D101" s="9" t="str">
        <f>+VLOOKUP(B101,'transacciones '!$A$2:$I$39,3,FALSE)</f>
        <v>Producción / Consumo intermedio</v>
      </c>
      <c r="E101" s="9" t="str">
        <f>+VLOOKUP(B101,'transacciones '!$A$2:$I$39,4,FALSE)</f>
        <v>Producción</v>
      </c>
      <c r="F101" s="9">
        <f>+VLOOKUP(B101,'transacciones '!$A$2:$I$39,5,FALSE)</f>
        <v>1</v>
      </c>
      <c r="G101" s="9" t="str">
        <f>+VLOOKUP(B101,'transacciones '!$A$2:$I$39,6,FALSE)</f>
        <v>P1</v>
      </c>
      <c r="H101" s="9" t="str">
        <f>+VLOOKUP(B101,'transacciones '!$A$2:$I$39,7,FALSE)</f>
        <v>Producción</v>
      </c>
      <c r="I101" s="18" t="s">
        <v>445</v>
      </c>
      <c r="J101" s="18" t="s">
        <v>446</v>
      </c>
      <c r="K101" s="8" t="s">
        <v>54</v>
      </c>
      <c r="L101" s="8" t="str">
        <f>+VLOOKUP(K101,'Correl CIIU'!$A$1:$F$26,2,FALSE)</f>
        <v>Actividades profesionales, científicas y técnicas</v>
      </c>
      <c r="M101" s="8" t="str">
        <f>+VLOOKUP(K101,'Correl CIIU'!$A$1:$F$26,3,FALSE)</f>
        <v>Servicios profesionales</v>
      </c>
      <c r="N101" s="8" t="str">
        <f>+VLOOKUP(K101,'Correl CIIU'!$A$1:$F$26,4,FALSE)</f>
        <v>Professional, scientific and technical activities</v>
      </c>
      <c r="O101" s="8">
        <v>3</v>
      </c>
      <c r="P101" s="31" t="str">
        <f>+VLOOKUP(O101,bio!$A$2:$B$4,2,FALSE)</f>
        <v>No bioeconomía</v>
      </c>
    </row>
    <row r="102" spans="1:16" x14ac:dyDescent="0.35">
      <c r="A102" s="30" t="s">
        <v>584</v>
      </c>
      <c r="B102" s="20" t="s">
        <v>141</v>
      </c>
      <c r="C102" s="9" t="str">
        <f>+VLOOKUP(B102,'transacciones '!$A$2:$I$39,2,FALSE)</f>
        <v>ATC01</v>
      </c>
      <c r="D102" s="9" t="str">
        <f>+VLOOKUP(B102,'transacciones '!$A$2:$I$39,3,FALSE)</f>
        <v>Producción / Consumo intermedio</v>
      </c>
      <c r="E102" s="9" t="str">
        <f>+VLOOKUP(B102,'transacciones '!$A$2:$I$39,4,FALSE)</f>
        <v>Producción</v>
      </c>
      <c r="F102" s="9">
        <f>+VLOOKUP(B102,'transacciones '!$A$2:$I$39,5,FALSE)</f>
        <v>1</v>
      </c>
      <c r="G102" s="9" t="str">
        <f>+VLOOKUP(B102,'transacciones '!$A$2:$I$39,6,FALSE)</f>
        <v>P1</v>
      </c>
      <c r="H102" s="9" t="str">
        <f>+VLOOKUP(B102,'transacciones '!$A$2:$I$39,7,FALSE)</f>
        <v>Producción</v>
      </c>
      <c r="I102" s="18" t="s">
        <v>447</v>
      </c>
      <c r="J102" s="18" t="s">
        <v>448</v>
      </c>
      <c r="K102" s="8" t="s">
        <v>54</v>
      </c>
      <c r="L102" s="8" t="str">
        <f>+VLOOKUP(K102,'Correl CIIU'!$A$1:$F$26,2,FALSE)</f>
        <v>Actividades profesionales, científicas y técnicas</v>
      </c>
      <c r="M102" s="8" t="str">
        <f>+VLOOKUP(K102,'Correl CIIU'!$A$1:$F$26,3,FALSE)</f>
        <v>Servicios profesionales</v>
      </c>
      <c r="N102" s="8" t="str">
        <f>+VLOOKUP(K102,'Correl CIIU'!$A$1:$F$26,4,FALSE)</f>
        <v>Professional, scientific and technical activities</v>
      </c>
      <c r="O102" s="8">
        <v>2</v>
      </c>
      <c r="P102" s="31" t="str">
        <f>+VLOOKUP(O102,bio!$A$2:$B$4,2,FALSE)</f>
        <v>Bioeconomía extendida</v>
      </c>
    </row>
    <row r="103" spans="1:16" x14ac:dyDescent="0.35">
      <c r="A103" s="30" t="s">
        <v>585</v>
      </c>
      <c r="B103" s="20" t="s">
        <v>141</v>
      </c>
      <c r="C103" s="9" t="str">
        <f>+VLOOKUP(B103,'transacciones '!$A$2:$I$39,2,FALSE)</f>
        <v>ATC01</v>
      </c>
      <c r="D103" s="9" t="str">
        <f>+VLOOKUP(B103,'transacciones '!$A$2:$I$39,3,FALSE)</f>
        <v>Producción / Consumo intermedio</v>
      </c>
      <c r="E103" s="9" t="str">
        <f>+VLOOKUP(B103,'transacciones '!$A$2:$I$39,4,FALSE)</f>
        <v>Producción</v>
      </c>
      <c r="F103" s="9">
        <f>+VLOOKUP(B103,'transacciones '!$A$2:$I$39,5,FALSE)</f>
        <v>1</v>
      </c>
      <c r="G103" s="9" t="str">
        <f>+VLOOKUP(B103,'transacciones '!$A$2:$I$39,6,FALSE)</f>
        <v>P1</v>
      </c>
      <c r="H103" s="9" t="str">
        <f>+VLOOKUP(B103,'transacciones '!$A$2:$I$39,7,FALSE)</f>
        <v>Producción</v>
      </c>
      <c r="I103" s="18" t="s">
        <v>449</v>
      </c>
      <c r="J103" s="18" t="s">
        <v>450</v>
      </c>
      <c r="K103" s="8" t="s">
        <v>118</v>
      </c>
      <c r="L103" s="8" t="str">
        <f>+VLOOKUP(K103,'Correl CIIU'!$A$1:$F$26,2,FALSE)</f>
        <v>Actividades de servicios administrativos y de apoyo</v>
      </c>
      <c r="M103" s="8" t="str">
        <f>+VLOOKUP(K103,'Correl CIIU'!$A$1:$F$26,3,FALSE)</f>
        <v>Servicios administrativos</v>
      </c>
      <c r="N103" s="8" t="str">
        <f>+VLOOKUP(K103,'Correl CIIU'!$A$1:$F$26,4,FALSE)</f>
        <v>Administrative and support service activities</v>
      </c>
      <c r="O103" s="8">
        <v>3</v>
      </c>
      <c r="P103" s="31" t="str">
        <f>+VLOOKUP(O103,bio!$A$2:$B$4,2,FALSE)</f>
        <v>No bioeconomía</v>
      </c>
    </row>
    <row r="104" spans="1:16" x14ac:dyDescent="0.35">
      <c r="A104" s="30" t="s">
        <v>586</v>
      </c>
      <c r="B104" s="20" t="s">
        <v>141</v>
      </c>
      <c r="C104" s="9" t="str">
        <f>+VLOOKUP(B104,'transacciones '!$A$2:$I$39,2,FALSE)</f>
        <v>ATC01</v>
      </c>
      <c r="D104" s="9" t="str">
        <f>+VLOOKUP(B104,'transacciones '!$A$2:$I$39,3,FALSE)</f>
        <v>Producción / Consumo intermedio</v>
      </c>
      <c r="E104" s="9" t="str">
        <f>+VLOOKUP(B104,'transacciones '!$A$2:$I$39,4,FALSE)</f>
        <v>Producción</v>
      </c>
      <c r="F104" s="9">
        <f>+VLOOKUP(B104,'transacciones '!$A$2:$I$39,5,FALSE)</f>
        <v>1</v>
      </c>
      <c r="G104" s="9" t="str">
        <f>+VLOOKUP(B104,'transacciones '!$A$2:$I$39,6,FALSE)</f>
        <v>P1</v>
      </c>
      <c r="H104" s="9" t="str">
        <f>+VLOOKUP(B104,'transacciones '!$A$2:$I$39,7,FALSE)</f>
        <v>Producción</v>
      </c>
      <c r="I104" s="18" t="s">
        <v>451</v>
      </c>
      <c r="J104" s="18" t="s">
        <v>452</v>
      </c>
      <c r="K104" s="8" t="s">
        <v>118</v>
      </c>
      <c r="L104" s="8" t="str">
        <f>+VLOOKUP(K104,'Correl CIIU'!$A$1:$F$26,2,FALSE)</f>
        <v>Actividades de servicios administrativos y de apoyo</v>
      </c>
      <c r="M104" s="8" t="str">
        <f>+VLOOKUP(K104,'Correl CIIU'!$A$1:$F$26,3,FALSE)</f>
        <v>Servicios administrativos</v>
      </c>
      <c r="N104" s="8" t="str">
        <f>+VLOOKUP(K104,'Correl CIIU'!$A$1:$F$26,4,FALSE)</f>
        <v>Administrative and support service activities</v>
      </c>
      <c r="O104" s="8">
        <v>3</v>
      </c>
      <c r="P104" s="31" t="str">
        <f>+VLOOKUP(O104,bio!$A$2:$B$4,2,FALSE)</f>
        <v>No bioeconomía</v>
      </c>
    </row>
    <row r="105" spans="1:16" x14ac:dyDescent="0.35">
      <c r="A105" s="30" t="s">
        <v>587</v>
      </c>
      <c r="B105" s="20" t="s">
        <v>141</v>
      </c>
      <c r="C105" s="9" t="str">
        <f>+VLOOKUP(B105,'transacciones '!$A$2:$I$39,2,FALSE)</f>
        <v>ATC01</v>
      </c>
      <c r="D105" s="9" t="str">
        <f>+VLOOKUP(B105,'transacciones '!$A$2:$I$39,3,FALSE)</f>
        <v>Producción / Consumo intermedio</v>
      </c>
      <c r="E105" s="9" t="str">
        <f>+VLOOKUP(B105,'transacciones '!$A$2:$I$39,4,FALSE)</f>
        <v>Producción</v>
      </c>
      <c r="F105" s="9">
        <f>+VLOOKUP(B105,'transacciones '!$A$2:$I$39,5,FALSE)</f>
        <v>1</v>
      </c>
      <c r="G105" s="9" t="str">
        <f>+VLOOKUP(B105,'transacciones '!$A$2:$I$39,6,FALSE)</f>
        <v>P1</v>
      </c>
      <c r="H105" s="9" t="str">
        <f>+VLOOKUP(B105,'transacciones '!$A$2:$I$39,7,FALSE)</f>
        <v>Producción</v>
      </c>
      <c r="I105" s="18" t="s">
        <v>453</v>
      </c>
      <c r="J105" s="18" t="s">
        <v>137</v>
      </c>
      <c r="K105" s="8" t="s">
        <v>67</v>
      </c>
      <c r="L105" s="8" t="str">
        <f>+VLOOKUP(K105,'Correl CIIU'!$A$1:$F$26,2,FALSE)</f>
        <v>Administración pública y defensa; planes de seguridad social de afiliación obligatoria</v>
      </c>
      <c r="M105" s="8" t="str">
        <f>+VLOOKUP(K105,'Correl CIIU'!$A$1:$F$26,3,FALSE)</f>
        <v>Administración pública</v>
      </c>
      <c r="N105" s="8" t="str">
        <f>+VLOOKUP(K105,'Correl CIIU'!$A$1:$F$26,4,FALSE)</f>
        <v>Public administration and defence; compulsory social security</v>
      </c>
      <c r="O105" s="8">
        <v>3</v>
      </c>
      <c r="P105" s="31" t="str">
        <f>+VLOOKUP(O105,bio!$A$2:$B$4,2,FALSE)</f>
        <v>No bioeconomía</v>
      </c>
    </row>
    <row r="106" spans="1:16" x14ac:dyDescent="0.35">
      <c r="A106" s="30" t="s">
        <v>588</v>
      </c>
      <c r="B106" s="20" t="s">
        <v>141</v>
      </c>
      <c r="C106" s="9" t="str">
        <f>+VLOOKUP(B106,'transacciones '!$A$2:$I$39,2,FALSE)</f>
        <v>ATC01</v>
      </c>
      <c r="D106" s="9" t="str">
        <f>+VLOOKUP(B106,'transacciones '!$A$2:$I$39,3,FALSE)</f>
        <v>Producción / Consumo intermedio</v>
      </c>
      <c r="E106" s="9" t="str">
        <f>+VLOOKUP(B106,'transacciones '!$A$2:$I$39,4,FALSE)</f>
        <v>Producción</v>
      </c>
      <c r="F106" s="9">
        <f>+VLOOKUP(B106,'transacciones '!$A$2:$I$39,5,FALSE)</f>
        <v>1</v>
      </c>
      <c r="G106" s="9" t="str">
        <f>+VLOOKUP(B106,'transacciones '!$A$2:$I$39,6,FALSE)</f>
        <v>P1</v>
      </c>
      <c r="H106" s="9" t="str">
        <f>+VLOOKUP(B106,'transacciones '!$A$2:$I$39,7,FALSE)</f>
        <v>Producción</v>
      </c>
      <c r="I106" s="18" t="s">
        <v>454</v>
      </c>
      <c r="J106" s="18" t="s">
        <v>455</v>
      </c>
      <c r="K106" s="8" t="s">
        <v>57</v>
      </c>
      <c r="L106" s="8" t="str">
        <f>+VLOOKUP(K106,'Correl CIIU'!$A$1:$F$26,2,FALSE)</f>
        <v>Enseñanza</v>
      </c>
      <c r="M106" s="8" t="str">
        <f>+VLOOKUP(K106,'Correl CIIU'!$A$1:$F$26,3,FALSE)</f>
        <v>Enseñanza</v>
      </c>
      <c r="N106" s="8" t="str">
        <f>+VLOOKUP(K106,'Correl CIIU'!$A$1:$F$26,4,FALSE)</f>
        <v>Education</v>
      </c>
      <c r="O106" s="8">
        <v>3</v>
      </c>
      <c r="P106" s="31" t="str">
        <f>+VLOOKUP(O106,bio!$A$2:$B$4,2,FALSE)</f>
        <v>No bioeconomía</v>
      </c>
    </row>
    <row r="107" spans="1:16" x14ac:dyDescent="0.35">
      <c r="A107" s="30" t="s">
        <v>589</v>
      </c>
      <c r="B107" s="20" t="s">
        <v>141</v>
      </c>
      <c r="C107" s="9" t="str">
        <f>+VLOOKUP(B107,'transacciones '!$A$2:$I$39,2,FALSE)</f>
        <v>ATC01</v>
      </c>
      <c r="D107" s="9" t="str">
        <f>+VLOOKUP(B107,'transacciones '!$A$2:$I$39,3,FALSE)</f>
        <v>Producción / Consumo intermedio</v>
      </c>
      <c r="E107" s="9" t="str">
        <f>+VLOOKUP(B107,'transacciones '!$A$2:$I$39,4,FALSE)</f>
        <v>Producción</v>
      </c>
      <c r="F107" s="9">
        <f>+VLOOKUP(B107,'transacciones '!$A$2:$I$39,5,FALSE)</f>
        <v>1</v>
      </c>
      <c r="G107" s="9" t="str">
        <f>+VLOOKUP(B107,'transacciones '!$A$2:$I$39,6,FALSE)</f>
        <v>P1</v>
      </c>
      <c r="H107" s="9" t="str">
        <f>+VLOOKUP(B107,'transacciones '!$A$2:$I$39,7,FALSE)</f>
        <v>Producción</v>
      </c>
      <c r="I107" s="18" t="s">
        <v>456</v>
      </c>
      <c r="J107" s="18" t="s">
        <v>457</v>
      </c>
      <c r="K107" s="8" t="s">
        <v>57</v>
      </c>
      <c r="L107" s="8" t="str">
        <f>+VLOOKUP(K107,'Correl CIIU'!$A$1:$F$26,2,FALSE)</f>
        <v>Enseñanza</v>
      </c>
      <c r="M107" s="8" t="str">
        <f>+VLOOKUP(K107,'Correl CIIU'!$A$1:$F$26,3,FALSE)</f>
        <v>Enseñanza</v>
      </c>
      <c r="N107" s="8" t="str">
        <f>+VLOOKUP(K107,'Correl CIIU'!$A$1:$F$26,4,FALSE)</f>
        <v>Education</v>
      </c>
      <c r="O107" s="8">
        <v>3</v>
      </c>
      <c r="P107" s="31" t="str">
        <f>+VLOOKUP(O107,bio!$A$2:$B$4,2,FALSE)</f>
        <v>No bioeconomía</v>
      </c>
    </row>
    <row r="108" spans="1:16" x14ac:dyDescent="0.35">
      <c r="A108" s="30" t="s">
        <v>590</v>
      </c>
      <c r="B108" s="20" t="s">
        <v>141</v>
      </c>
      <c r="C108" s="9" t="str">
        <f>+VLOOKUP(B108,'transacciones '!$A$2:$I$39,2,FALSE)</f>
        <v>ATC01</v>
      </c>
      <c r="D108" s="9" t="str">
        <f>+VLOOKUP(B108,'transacciones '!$A$2:$I$39,3,FALSE)</f>
        <v>Producción / Consumo intermedio</v>
      </c>
      <c r="E108" s="9" t="str">
        <f>+VLOOKUP(B108,'transacciones '!$A$2:$I$39,4,FALSE)</f>
        <v>Producción</v>
      </c>
      <c r="F108" s="9">
        <f>+VLOOKUP(B108,'transacciones '!$A$2:$I$39,5,FALSE)</f>
        <v>1</v>
      </c>
      <c r="G108" s="9" t="str">
        <f>+VLOOKUP(B108,'transacciones '!$A$2:$I$39,6,FALSE)</f>
        <v>P1</v>
      </c>
      <c r="H108" s="9" t="str">
        <f>+VLOOKUP(B108,'transacciones '!$A$2:$I$39,7,FALSE)</f>
        <v>Producción</v>
      </c>
      <c r="I108" s="18" t="s">
        <v>458</v>
      </c>
      <c r="J108" s="18" t="s">
        <v>459</v>
      </c>
      <c r="K108" s="8" t="s">
        <v>60</v>
      </c>
      <c r="L108" s="8" t="str">
        <f>+VLOOKUP(K108,'Correl CIIU'!$A$1:$F$26,2,FALSE)</f>
        <v>Actividades de atención de la salud humana y de asistencia social</v>
      </c>
      <c r="M108" s="8" t="str">
        <f>+VLOOKUP(K108,'Correl CIIU'!$A$1:$F$26,3,FALSE)</f>
        <v>Salud</v>
      </c>
      <c r="N108" s="8" t="str">
        <f>+VLOOKUP(K108,'Correl CIIU'!$A$1:$F$26,4,FALSE)</f>
        <v>Human health and social work activities</v>
      </c>
      <c r="O108" s="8">
        <v>3</v>
      </c>
      <c r="P108" s="31" t="str">
        <f>+VLOOKUP(O108,bio!$A$2:$B$4,2,FALSE)</f>
        <v>No bioeconomía</v>
      </c>
    </row>
    <row r="109" spans="1:16" x14ac:dyDescent="0.35">
      <c r="A109" s="30" t="s">
        <v>591</v>
      </c>
      <c r="B109" s="20" t="s">
        <v>141</v>
      </c>
      <c r="C109" s="9" t="str">
        <f>+VLOOKUP(B109,'transacciones '!$A$2:$I$39,2,FALSE)</f>
        <v>ATC01</v>
      </c>
      <c r="D109" s="9" t="str">
        <f>+VLOOKUP(B109,'transacciones '!$A$2:$I$39,3,FALSE)</f>
        <v>Producción / Consumo intermedio</v>
      </c>
      <c r="E109" s="9" t="str">
        <f>+VLOOKUP(B109,'transacciones '!$A$2:$I$39,4,FALSE)</f>
        <v>Producción</v>
      </c>
      <c r="F109" s="9">
        <f>+VLOOKUP(B109,'transacciones '!$A$2:$I$39,5,FALSE)</f>
        <v>1</v>
      </c>
      <c r="G109" s="9" t="str">
        <f>+VLOOKUP(B109,'transacciones '!$A$2:$I$39,6,FALSE)</f>
        <v>P1</v>
      </c>
      <c r="H109" s="9" t="str">
        <f>+VLOOKUP(B109,'transacciones '!$A$2:$I$39,7,FALSE)</f>
        <v>Producción</v>
      </c>
      <c r="I109" s="18" t="s">
        <v>460</v>
      </c>
      <c r="J109" s="18" t="s">
        <v>461</v>
      </c>
      <c r="K109" s="8" t="s">
        <v>60</v>
      </c>
      <c r="L109" s="8" t="str">
        <f>+VLOOKUP(K109,'Correl CIIU'!$A$1:$F$26,2,FALSE)</f>
        <v>Actividades de atención de la salud humana y de asistencia social</v>
      </c>
      <c r="M109" s="8" t="str">
        <f>+VLOOKUP(K109,'Correl CIIU'!$A$1:$F$26,3,FALSE)</f>
        <v>Salud</v>
      </c>
      <c r="N109" s="8" t="str">
        <f>+VLOOKUP(K109,'Correl CIIU'!$A$1:$F$26,4,FALSE)</f>
        <v>Human health and social work activities</v>
      </c>
      <c r="O109" s="8">
        <v>3</v>
      </c>
      <c r="P109" s="31" t="str">
        <f>+VLOOKUP(O109,bio!$A$2:$B$4,2,FALSE)</f>
        <v>No bioeconomía</v>
      </c>
    </row>
    <row r="110" spans="1:16" x14ac:dyDescent="0.35">
      <c r="A110" s="30" t="s">
        <v>592</v>
      </c>
      <c r="B110" s="20" t="s">
        <v>141</v>
      </c>
      <c r="C110" s="9" t="str">
        <f>+VLOOKUP(B110,'transacciones '!$A$2:$I$39,2,FALSE)</f>
        <v>ATC01</v>
      </c>
      <c r="D110" s="9" t="str">
        <f>+VLOOKUP(B110,'transacciones '!$A$2:$I$39,3,FALSE)</f>
        <v>Producción / Consumo intermedio</v>
      </c>
      <c r="E110" s="9" t="str">
        <f>+VLOOKUP(B110,'transacciones '!$A$2:$I$39,4,FALSE)</f>
        <v>Producción</v>
      </c>
      <c r="F110" s="9">
        <f>+VLOOKUP(B110,'transacciones '!$A$2:$I$39,5,FALSE)</f>
        <v>1</v>
      </c>
      <c r="G110" s="9" t="str">
        <f>+VLOOKUP(B110,'transacciones '!$A$2:$I$39,6,FALSE)</f>
        <v>P1</v>
      </c>
      <c r="H110" s="9" t="str">
        <f>+VLOOKUP(B110,'transacciones '!$A$2:$I$39,7,FALSE)</f>
        <v>Producción</v>
      </c>
      <c r="I110" s="18" t="s">
        <v>462</v>
      </c>
      <c r="J110" s="18" t="s">
        <v>463</v>
      </c>
      <c r="K110" s="8" t="s">
        <v>125</v>
      </c>
      <c r="L110" s="8" t="str">
        <f>+VLOOKUP(K110,'Correl CIIU'!$A$1:$F$26,2,FALSE)</f>
        <v>Actividades artísticas, de entretenimiento y recreativas</v>
      </c>
      <c r="M110" s="8" t="str">
        <f>+VLOOKUP(K110,'Correl CIIU'!$A$1:$F$26,3,FALSE)</f>
        <v>Recreación</v>
      </c>
      <c r="N110" s="8" t="str">
        <f>+VLOOKUP(K110,'Correl CIIU'!$A$1:$F$26,4,FALSE)</f>
        <v>Arts, entertainment and recreation</v>
      </c>
      <c r="O110" s="8">
        <v>3</v>
      </c>
      <c r="P110" s="31" t="str">
        <f>+VLOOKUP(O110,bio!$A$2:$B$4,2,FALSE)</f>
        <v>No bioeconomía</v>
      </c>
    </row>
    <row r="111" spans="1:16" x14ac:dyDescent="0.35">
      <c r="A111" s="30" t="s">
        <v>593</v>
      </c>
      <c r="B111" s="20" t="s">
        <v>141</v>
      </c>
      <c r="C111" s="9" t="str">
        <f>+VLOOKUP(B111,'transacciones '!$A$2:$I$39,2,FALSE)</f>
        <v>ATC01</v>
      </c>
      <c r="D111" s="9" t="str">
        <f>+VLOOKUP(B111,'transacciones '!$A$2:$I$39,3,FALSE)</f>
        <v>Producción / Consumo intermedio</v>
      </c>
      <c r="E111" s="9" t="str">
        <f>+VLOOKUP(B111,'transacciones '!$A$2:$I$39,4,FALSE)</f>
        <v>Producción</v>
      </c>
      <c r="F111" s="9">
        <f>+VLOOKUP(B111,'transacciones '!$A$2:$I$39,5,FALSE)</f>
        <v>1</v>
      </c>
      <c r="G111" s="9" t="str">
        <f>+VLOOKUP(B111,'transacciones '!$A$2:$I$39,6,FALSE)</f>
        <v>P1</v>
      </c>
      <c r="H111" s="9" t="str">
        <f>+VLOOKUP(B111,'transacciones '!$A$2:$I$39,7,FALSE)</f>
        <v>Producción</v>
      </c>
      <c r="I111" s="18" t="s">
        <v>464</v>
      </c>
      <c r="J111" s="18" t="s">
        <v>465</v>
      </c>
      <c r="K111" s="8" t="s">
        <v>125</v>
      </c>
      <c r="L111" s="8" t="str">
        <f>+VLOOKUP(K111,'Correl CIIU'!$A$1:$F$26,2,FALSE)</f>
        <v>Actividades artísticas, de entretenimiento y recreativas</v>
      </c>
      <c r="M111" s="8" t="str">
        <f>+VLOOKUP(K111,'Correl CIIU'!$A$1:$F$26,3,FALSE)</f>
        <v>Recreación</v>
      </c>
      <c r="N111" s="8" t="str">
        <f>+VLOOKUP(K111,'Correl CIIU'!$A$1:$F$26,4,FALSE)</f>
        <v>Arts, entertainment and recreation</v>
      </c>
      <c r="O111" s="8">
        <v>3</v>
      </c>
      <c r="P111" s="31" t="str">
        <f>+VLOOKUP(O111,bio!$A$2:$B$4,2,FALSE)</f>
        <v>No bioeconomía</v>
      </c>
    </row>
    <row r="112" spans="1:16" x14ac:dyDescent="0.35">
      <c r="A112" s="45" t="s">
        <v>594</v>
      </c>
      <c r="B112" s="46" t="s">
        <v>141</v>
      </c>
      <c r="C112" s="47" t="str">
        <f>+VLOOKUP(B112,'transacciones '!$A$2:$I$39,2,FALSE)</f>
        <v>ATC01</v>
      </c>
      <c r="D112" s="47" t="str">
        <f>+VLOOKUP(B112,'transacciones '!$A$2:$I$39,3,FALSE)</f>
        <v>Producción / Consumo intermedio</v>
      </c>
      <c r="E112" s="47" t="str">
        <f>+VLOOKUP(B112,'transacciones '!$A$2:$I$39,4,FALSE)</f>
        <v>Producción</v>
      </c>
      <c r="F112" s="47">
        <f>+VLOOKUP(B112,'transacciones '!$A$2:$I$39,5,FALSE)</f>
        <v>1</v>
      </c>
      <c r="G112" s="47" t="str">
        <f>+VLOOKUP(B112,'transacciones '!$A$2:$I$39,6,FALSE)</f>
        <v>P1</v>
      </c>
      <c r="H112" s="47" t="str">
        <f>+VLOOKUP(B112,'transacciones '!$A$2:$I$39,7,FALSE)</f>
        <v>Producción</v>
      </c>
      <c r="I112" s="48" t="s">
        <v>466</v>
      </c>
      <c r="J112" s="48" t="s">
        <v>467</v>
      </c>
      <c r="K112" s="49" t="s">
        <v>62</v>
      </c>
      <c r="L112" s="49" t="str">
        <f>+VLOOKUP(K112,'Correl CIIU'!$A$1:$F$26,2,FALSE)</f>
        <v>Otras actividades de servicios</v>
      </c>
      <c r="M112" s="49" t="str">
        <f>+VLOOKUP(K112,'Correl CIIU'!$A$1:$F$26,3,FALSE)</f>
        <v>Otros servicios</v>
      </c>
      <c r="N112" s="49" t="str">
        <f>+VLOOKUP(K112,'Correl CIIU'!$A$1:$F$26,4,FALSE)</f>
        <v>Other service activities</v>
      </c>
      <c r="O112" s="49">
        <v>3</v>
      </c>
      <c r="P112" s="50" t="str">
        <f>+VLOOKUP(O112,bio!$A$2:$B$4,2,FALSE)</f>
        <v>No bioeconomía</v>
      </c>
    </row>
    <row r="113" spans="1:16" ht="26.15" customHeight="1" x14ac:dyDescent="0.35">
      <c r="A113" s="32" t="s">
        <v>595</v>
      </c>
      <c r="B113" s="23"/>
      <c r="C113" s="11"/>
      <c r="D113" s="11"/>
      <c r="E113" s="11"/>
      <c r="F113" s="11"/>
      <c r="G113" s="11"/>
      <c r="H113" s="11"/>
      <c r="I113" s="22" t="s">
        <v>468</v>
      </c>
      <c r="J113" s="22" t="s">
        <v>468</v>
      </c>
      <c r="K113" s="16"/>
      <c r="L113" s="13"/>
      <c r="M113" s="13"/>
      <c r="N113" s="13"/>
      <c r="O113" s="13"/>
      <c r="P113" s="33"/>
    </row>
    <row r="114" spans="1:16" x14ac:dyDescent="0.35">
      <c r="A114" s="32" t="s">
        <v>596</v>
      </c>
      <c r="B114" s="23"/>
      <c r="C114" s="11"/>
      <c r="D114" s="11"/>
      <c r="E114" s="11"/>
      <c r="F114" s="11"/>
      <c r="G114" s="11"/>
      <c r="H114" s="11"/>
      <c r="I114" s="22" t="s">
        <v>469</v>
      </c>
      <c r="J114" s="22" t="s">
        <v>469</v>
      </c>
      <c r="K114" s="16"/>
      <c r="L114" s="13"/>
      <c r="M114" s="13"/>
      <c r="N114" s="13"/>
      <c r="O114" s="13"/>
      <c r="P114" s="33"/>
    </row>
    <row r="115" spans="1:16" x14ac:dyDescent="0.35">
      <c r="A115" s="32" t="s">
        <v>597</v>
      </c>
      <c r="B115" s="12"/>
      <c r="C115" s="11"/>
      <c r="D115" s="11"/>
      <c r="E115" s="11"/>
      <c r="F115" s="11"/>
      <c r="G115" s="11"/>
      <c r="H115" s="11"/>
      <c r="I115" s="22" t="s">
        <v>470</v>
      </c>
      <c r="J115" s="22" t="s">
        <v>470</v>
      </c>
      <c r="K115" s="16"/>
      <c r="L115" s="13"/>
      <c r="M115" s="13"/>
      <c r="N115" s="13"/>
      <c r="O115" s="10"/>
      <c r="P115" s="33"/>
    </row>
    <row r="116" spans="1:16" x14ac:dyDescent="0.35">
      <c r="A116" s="30" t="s">
        <v>598</v>
      </c>
      <c r="B116" s="15" t="s">
        <v>192</v>
      </c>
      <c r="C116" s="9" t="str">
        <f>+VLOOKUP(B116,'transacciones '!$A$2:$I$39,2,FALSE)</f>
        <v>ATC02</v>
      </c>
      <c r="D116" s="9" t="str">
        <f>+VLOOKUP(B116,'transacciones '!$A$2:$I$39,3,FALSE)</f>
        <v>Exportaciones / Importaciones</v>
      </c>
      <c r="E116" s="9" t="str">
        <f>+VLOOKUP(B116,'transacciones '!$A$2:$I$39,4,FALSE)</f>
        <v>Importaciones de bienes Y SERVICIOS</v>
      </c>
      <c r="F116" s="9">
        <f>+VLOOKUP(B116,'transacciones '!$A$2:$I$39,5,FALSE)</f>
        <v>0</v>
      </c>
      <c r="G116" s="9" t="str">
        <f>+VLOOKUP(B116,'transacciones '!$A$2:$I$39,6,FALSE)</f>
        <v>P7</v>
      </c>
      <c r="H116" s="9" t="str">
        <f>+VLOOKUP(B116,'transacciones '!$A$2:$I$39,7,FALSE)</f>
        <v>Importaciones de bienes y servicios</v>
      </c>
      <c r="I116" s="18" t="s">
        <v>471</v>
      </c>
      <c r="J116" s="18" t="s">
        <v>471</v>
      </c>
      <c r="K116" s="17" t="s">
        <v>238</v>
      </c>
      <c r="L116" s="8" t="s">
        <v>238</v>
      </c>
      <c r="M116" s="8" t="s">
        <v>238</v>
      </c>
      <c r="N116" s="8" t="s">
        <v>238</v>
      </c>
      <c r="O116" s="8" t="s">
        <v>238</v>
      </c>
      <c r="P116" s="31" t="s">
        <v>238</v>
      </c>
    </row>
    <row r="117" spans="1:16" x14ac:dyDescent="0.35">
      <c r="A117" s="32" t="s">
        <v>599</v>
      </c>
      <c r="B117" s="23"/>
      <c r="C117" s="11"/>
      <c r="D117" s="11"/>
      <c r="E117" s="11"/>
      <c r="F117" s="11"/>
      <c r="G117" s="11"/>
      <c r="H117" s="11"/>
      <c r="I117" s="22" t="s">
        <v>472</v>
      </c>
      <c r="J117" s="22" t="s">
        <v>472</v>
      </c>
      <c r="K117" s="16"/>
      <c r="L117" s="13"/>
      <c r="M117" s="13"/>
      <c r="N117" s="13"/>
      <c r="O117" s="13"/>
      <c r="P117" s="33"/>
    </row>
    <row r="118" spans="1:16" x14ac:dyDescent="0.35">
      <c r="A118" s="30" t="s">
        <v>600</v>
      </c>
      <c r="B118" s="19" t="s">
        <v>74</v>
      </c>
      <c r="C118" s="9" t="str">
        <f>+VLOOKUP(B118,'transacciones '!$A$2:$I$39,2,FALSE)</f>
        <v>ATC04</v>
      </c>
      <c r="D118" s="9" t="str">
        <f>+VLOOKUP(B118,'transacciones '!$A$2:$I$39,3,FALSE)</f>
        <v>Impuestos menos subvenciones sobre los productos</v>
      </c>
      <c r="E118" s="9" t="str">
        <f>+VLOOKUP(B118,'transacciones '!$A$2:$I$39,4,FALSE)</f>
        <v xml:space="preserve">Impuestos sobre los productos, excepto IVA e impuestos sobre las importaciones </v>
      </c>
      <c r="F118" s="9">
        <f>+VLOOKUP(B118,'transacciones '!$A$2:$I$39,5,FALSE)</f>
        <v>9</v>
      </c>
      <c r="G118" s="9" t="str">
        <f>+VLOOKUP(B118,'transacciones '!$A$2:$I$39,6,FALSE)</f>
        <v>D2</v>
      </c>
      <c r="H118" s="9" t="str">
        <f>+VLOOKUP(B118,'transacciones '!$A$2:$I$39,7,FALSE)</f>
        <v>Impuestos sobre la producción y las importaciones</v>
      </c>
      <c r="I118" s="18" t="s">
        <v>473</v>
      </c>
      <c r="J118" s="18" t="s">
        <v>473</v>
      </c>
      <c r="K118" s="17" t="s">
        <v>238</v>
      </c>
      <c r="L118" s="8" t="s">
        <v>238</v>
      </c>
      <c r="M118" s="8" t="s">
        <v>238</v>
      </c>
      <c r="N118" s="8" t="s">
        <v>238</v>
      </c>
      <c r="O118" s="8" t="s">
        <v>238</v>
      </c>
      <c r="P118" s="31" t="s">
        <v>238</v>
      </c>
    </row>
    <row r="119" spans="1:16" x14ac:dyDescent="0.35">
      <c r="A119" s="30" t="s">
        <v>601</v>
      </c>
      <c r="B119" s="15" t="s">
        <v>72</v>
      </c>
      <c r="C119" s="9" t="str">
        <f>+VLOOKUP(B119,'transacciones '!$A$2:$I$39,2,FALSE)</f>
        <v>ATC04</v>
      </c>
      <c r="D119" s="9" t="str">
        <f>+VLOOKUP(B119,'transacciones '!$A$2:$I$39,3,FALSE)</f>
        <v>Impuestos menos subvenciones sobre los productos</v>
      </c>
      <c r="E119" s="9" t="str">
        <f>+VLOOKUP(B119,'transacciones '!$A$2:$I$39,4,FALSE)</f>
        <v>Impuestos y derechos sobre las importaciones excepto IVA</v>
      </c>
      <c r="F119" s="9">
        <f>+VLOOKUP(B119,'transacciones '!$A$2:$I$39,5,FALSE)</f>
        <v>9</v>
      </c>
      <c r="G119" s="9" t="str">
        <f>+VLOOKUP(B119,'transacciones '!$A$2:$I$39,6,FALSE)</f>
        <v>D2</v>
      </c>
      <c r="H119" s="9" t="str">
        <f>+VLOOKUP(B119,'transacciones '!$A$2:$I$39,7,FALSE)</f>
        <v>Impuestos sobre la producción y las importaciones</v>
      </c>
      <c r="I119" s="18" t="s">
        <v>474</v>
      </c>
      <c r="J119" s="18" t="s">
        <v>474</v>
      </c>
      <c r="K119" s="17" t="s">
        <v>238</v>
      </c>
      <c r="L119" s="8" t="s">
        <v>238</v>
      </c>
      <c r="M119" s="8" t="s">
        <v>238</v>
      </c>
      <c r="N119" s="8" t="s">
        <v>238</v>
      </c>
      <c r="O119" s="8" t="s">
        <v>238</v>
      </c>
      <c r="P119" s="31" t="s">
        <v>238</v>
      </c>
    </row>
    <row r="120" spans="1:16" x14ac:dyDescent="0.35">
      <c r="A120" s="32" t="s">
        <v>602</v>
      </c>
      <c r="B120" s="12"/>
      <c r="C120" s="11"/>
      <c r="D120" s="11"/>
      <c r="E120" s="11"/>
      <c r="F120" s="11"/>
      <c r="G120" s="11"/>
      <c r="H120" s="11"/>
      <c r="I120" s="22" t="s">
        <v>475</v>
      </c>
      <c r="J120" s="22" t="s">
        <v>475</v>
      </c>
      <c r="K120" s="12"/>
      <c r="L120" s="13"/>
      <c r="M120" s="13"/>
      <c r="N120" s="13"/>
      <c r="O120" s="12"/>
      <c r="P120" s="33"/>
    </row>
    <row r="121" spans="1:16" x14ac:dyDescent="0.35">
      <c r="A121" s="30" t="s">
        <v>603</v>
      </c>
      <c r="B121" s="7" t="s">
        <v>218</v>
      </c>
      <c r="C121" s="9" t="str">
        <f>+VLOOKUP(B121,'transacciones '!$A$2:$I$39,2,FALSE)</f>
        <v>ATC05</v>
      </c>
      <c r="D121" s="9" t="str">
        <f>+VLOOKUP(B121,'transacciones '!$A$2:$I$39,3,FALSE)</f>
        <v>Márgenes de distribución</v>
      </c>
      <c r="E121" s="9" t="str">
        <f>+VLOOKUP(B121,'transacciones '!$A$2:$I$39,4,FALSE)</f>
        <v>Márgenes de comercio</v>
      </c>
      <c r="F121" s="9">
        <f>+VLOOKUP(B121,'transacciones '!$A$2:$I$39,5,FALSE)</f>
        <v>12</v>
      </c>
      <c r="G121" s="9" t="str">
        <f>+VLOOKUP(B121,'transacciones '!$A$2:$I$39,6,FALSE)</f>
        <v>M1</v>
      </c>
      <c r="H121" s="9" t="str">
        <f>+VLOOKUP(B121,'transacciones '!$A$2:$I$39,7,FALSE)</f>
        <v>Márgenes de distribución</v>
      </c>
      <c r="I121" s="18" t="s">
        <v>476</v>
      </c>
      <c r="J121" s="18" t="s">
        <v>476</v>
      </c>
      <c r="K121" s="7" t="s">
        <v>238</v>
      </c>
      <c r="L121" s="8" t="s">
        <v>238</v>
      </c>
      <c r="M121" s="8" t="s">
        <v>238</v>
      </c>
      <c r="N121" s="8" t="s">
        <v>238</v>
      </c>
      <c r="O121" s="7" t="s">
        <v>238</v>
      </c>
      <c r="P121" s="31" t="s">
        <v>238</v>
      </c>
    </row>
    <row r="122" spans="1:16" x14ac:dyDescent="0.35">
      <c r="A122" s="30" t="s">
        <v>604</v>
      </c>
      <c r="B122" s="7" t="s">
        <v>71</v>
      </c>
      <c r="C122" s="9" t="str">
        <f>+VLOOKUP(B122,'transacciones '!$A$2:$I$39,2,FALSE)</f>
        <v>ATC04</v>
      </c>
      <c r="D122" s="9" t="str">
        <f>+VLOOKUP(B122,'transacciones '!$A$2:$I$39,3,FALSE)</f>
        <v>Impuestos menos subvenciones sobre los productos</v>
      </c>
      <c r="E122" s="9" t="str">
        <f>+VLOOKUP(B122,'transacciones '!$A$2:$I$39,4,FALSE)</f>
        <v>Impuestos tipo valor agregado (IVA)</v>
      </c>
      <c r="F122" s="9">
        <f>+VLOOKUP(B122,'transacciones '!$A$2:$I$39,5,FALSE)</f>
        <v>9</v>
      </c>
      <c r="G122" s="9" t="str">
        <f>+VLOOKUP(B122,'transacciones '!$A$2:$I$39,6,FALSE)</f>
        <v>D2</v>
      </c>
      <c r="H122" s="9" t="str">
        <f>+VLOOKUP(B122,'transacciones '!$A$2:$I$39,7,FALSE)</f>
        <v>Impuestos sobre la producción y las importaciones</v>
      </c>
      <c r="I122" s="18" t="s">
        <v>477</v>
      </c>
      <c r="J122" s="18" t="s">
        <v>477</v>
      </c>
      <c r="K122" s="7" t="s">
        <v>238</v>
      </c>
      <c r="L122" s="8" t="s">
        <v>238</v>
      </c>
      <c r="M122" s="8" t="s">
        <v>238</v>
      </c>
      <c r="N122" s="8" t="s">
        <v>238</v>
      </c>
      <c r="O122" s="7" t="s">
        <v>238</v>
      </c>
      <c r="P122" s="31" t="s">
        <v>238</v>
      </c>
    </row>
    <row r="123" spans="1:16" x14ac:dyDescent="0.35">
      <c r="A123" s="34" t="s">
        <v>605</v>
      </c>
      <c r="B123" s="35"/>
      <c r="C123" s="36"/>
      <c r="D123" s="36"/>
      <c r="E123" s="36"/>
      <c r="F123" s="36"/>
      <c r="G123" s="36"/>
      <c r="H123" s="36"/>
      <c r="I123" s="37" t="s">
        <v>478</v>
      </c>
      <c r="J123" s="37" t="s">
        <v>478</v>
      </c>
      <c r="K123" s="35"/>
      <c r="L123" s="38"/>
      <c r="M123" s="38"/>
      <c r="N123" s="38"/>
      <c r="O123" s="35"/>
      <c r="P123" s="39"/>
    </row>
    <row r="124" spans="1:16" x14ac:dyDescent="0.35">
      <c r="A124" s="24" t="s">
        <v>606</v>
      </c>
      <c r="B124" s="25" t="s">
        <v>149</v>
      </c>
      <c r="C124" s="26" t="str">
        <f>+VLOOKUP(B124,'transacciones '!$A$2:$I$39,2,FALSE)</f>
        <v>ATC01</v>
      </c>
      <c r="D124" s="26" t="str">
        <f>+VLOOKUP(B124,'transacciones '!$A$2:$I$39,3,FALSE)</f>
        <v>Producción / Consumo intermedio</v>
      </c>
      <c r="E124" s="26" t="str">
        <f>+VLOOKUP(B124,'transacciones '!$A$2:$I$39,4,FALSE)</f>
        <v>Consumo</v>
      </c>
      <c r="F124" s="26">
        <f>+VLOOKUP(B124,'transacciones '!$A$2:$I$39,5,FALSE)</f>
        <v>2</v>
      </c>
      <c r="G124" s="26" t="str">
        <f>+VLOOKUP(B124,'transacciones '!$A$2:$I$39,6,FALSE)</f>
        <v>P2</v>
      </c>
      <c r="H124" s="26" t="str">
        <f>+VLOOKUP(B124,'transacciones '!$A$2:$I$39,7,FALSE)</f>
        <v>Consumo intermedio</v>
      </c>
      <c r="I124" s="27" t="s">
        <v>272</v>
      </c>
      <c r="J124" s="27" t="s">
        <v>273</v>
      </c>
      <c r="K124" s="28" t="s">
        <v>17</v>
      </c>
      <c r="L124" s="28" t="str">
        <f>+VLOOKUP(K124,'Correl CIIU'!$A$1:$F$26,2,FALSE)</f>
        <v>Agricultura, ganadería, silvicultura y pesca</v>
      </c>
      <c r="M124" s="28" t="str">
        <f>+VLOOKUP(K124,'Correl CIIU'!$A$1:$F$26,3,FALSE)</f>
        <v>Agricultura</v>
      </c>
      <c r="N124" s="28" t="str">
        <f>+VLOOKUP(K124,'Correl CIIU'!$A$1:$F$26,4,FALSE)</f>
        <v>Agriculture, forestry and fishing</v>
      </c>
      <c r="O124" s="28">
        <v>1</v>
      </c>
      <c r="P124" s="29" t="str">
        <f>+VLOOKUP(O124,bio!$A$2:$B$4,2,FALSE)</f>
        <v>Bioeconomía</v>
      </c>
    </row>
    <row r="125" spans="1:16" x14ac:dyDescent="0.35">
      <c r="A125" s="30" t="s">
        <v>607</v>
      </c>
      <c r="B125" s="20" t="s">
        <v>149</v>
      </c>
      <c r="C125" s="9" t="str">
        <f>+VLOOKUP(B125,'transacciones '!$A$2:$I$39,2,FALSE)</f>
        <v>ATC01</v>
      </c>
      <c r="D125" s="9" t="str">
        <f>+VLOOKUP(B125,'transacciones '!$A$2:$I$39,3,FALSE)</f>
        <v>Producción / Consumo intermedio</v>
      </c>
      <c r="E125" s="9" t="str">
        <f>+VLOOKUP(B125,'transacciones '!$A$2:$I$39,4,FALSE)</f>
        <v>Consumo</v>
      </c>
      <c r="F125" s="9">
        <f>+VLOOKUP(B125,'transacciones '!$A$2:$I$39,5,FALSE)</f>
        <v>2</v>
      </c>
      <c r="G125" s="9" t="str">
        <f>+VLOOKUP(B125,'transacciones '!$A$2:$I$39,6,FALSE)</f>
        <v>P2</v>
      </c>
      <c r="H125" s="9" t="str">
        <f>+VLOOKUP(B125,'transacciones '!$A$2:$I$39,7,FALSE)</f>
        <v>Consumo intermedio</v>
      </c>
      <c r="I125" s="18" t="s">
        <v>274</v>
      </c>
      <c r="J125" s="18" t="s">
        <v>275</v>
      </c>
      <c r="K125" s="8" t="s">
        <v>17</v>
      </c>
      <c r="L125" s="8" t="str">
        <f>+VLOOKUP(K125,'Correl CIIU'!$A$1:$F$26,2,FALSE)</f>
        <v>Agricultura, ganadería, silvicultura y pesca</v>
      </c>
      <c r="M125" s="8" t="str">
        <f>+VLOOKUP(K125,'Correl CIIU'!$A$1:$F$26,3,FALSE)</f>
        <v>Agricultura</v>
      </c>
      <c r="N125" s="8" t="str">
        <f>+VLOOKUP(K125,'Correl CIIU'!$A$1:$F$26,4,FALSE)</f>
        <v>Agriculture, forestry and fishing</v>
      </c>
      <c r="O125" s="8">
        <v>1</v>
      </c>
      <c r="P125" s="31" t="str">
        <f>+VLOOKUP(O125,bio!$A$2:$B$4,2,FALSE)</f>
        <v>Bioeconomía</v>
      </c>
    </row>
    <row r="126" spans="1:16" x14ac:dyDescent="0.35">
      <c r="A126" s="30" t="s">
        <v>608</v>
      </c>
      <c r="B126" s="20" t="s">
        <v>149</v>
      </c>
      <c r="C126" s="9" t="str">
        <f>+VLOOKUP(B126,'transacciones '!$A$2:$I$39,2,FALSE)</f>
        <v>ATC01</v>
      </c>
      <c r="D126" s="9" t="str">
        <f>+VLOOKUP(B126,'transacciones '!$A$2:$I$39,3,FALSE)</f>
        <v>Producción / Consumo intermedio</v>
      </c>
      <c r="E126" s="9" t="str">
        <f>+VLOOKUP(B126,'transacciones '!$A$2:$I$39,4,FALSE)</f>
        <v>Consumo</v>
      </c>
      <c r="F126" s="9">
        <f>+VLOOKUP(B126,'transacciones '!$A$2:$I$39,5,FALSE)</f>
        <v>2</v>
      </c>
      <c r="G126" s="9" t="str">
        <f>+VLOOKUP(B126,'transacciones '!$A$2:$I$39,6,FALSE)</f>
        <v>P2</v>
      </c>
      <c r="H126" s="9" t="str">
        <f>+VLOOKUP(B126,'transacciones '!$A$2:$I$39,7,FALSE)</f>
        <v>Consumo intermedio</v>
      </c>
      <c r="I126" s="18" t="s">
        <v>276</v>
      </c>
      <c r="J126" s="18" t="s">
        <v>277</v>
      </c>
      <c r="K126" s="8" t="s">
        <v>17</v>
      </c>
      <c r="L126" s="8" t="str">
        <f>+VLOOKUP(K126,'Correl CIIU'!$A$1:$F$26,2,FALSE)</f>
        <v>Agricultura, ganadería, silvicultura y pesca</v>
      </c>
      <c r="M126" s="8" t="str">
        <f>+VLOOKUP(K126,'Correl CIIU'!$A$1:$F$26,3,FALSE)</f>
        <v>Agricultura</v>
      </c>
      <c r="N126" s="8" t="str">
        <f>+VLOOKUP(K126,'Correl CIIU'!$A$1:$F$26,4,FALSE)</f>
        <v>Agriculture, forestry and fishing</v>
      </c>
      <c r="O126" s="8">
        <v>1</v>
      </c>
      <c r="P126" s="31" t="str">
        <f>+VLOOKUP(O126,bio!$A$2:$B$4,2,FALSE)</f>
        <v>Bioeconomía</v>
      </c>
    </row>
    <row r="127" spans="1:16" x14ac:dyDescent="0.35">
      <c r="A127" s="30" t="s">
        <v>609</v>
      </c>
      <c r="B127" s="20" t="s">
        <v>149</v>
      </c>
      <c r="C127" s="9" t="str">
        <f>+VLOOKUP(B127,'transacciones '!$A$2:$I$39,2,FALSE)</f>
        <v>ATC01</v>
      </c>
      <c r="D127" s="9" t="str">
        <f>+VLOOKUP(B127,'transacciones '!$A$2:$I$39,3,FALSE)</f>
        <v>Producción / Consumo intermedio</v>
      </c>
      <c r="E127" s="9" t="str">
        <f>+VLOOKUP(B127,'transacciones '!$A$2:$I$39,4,FALSE)</f>
        <v>Consumo</v>
      </c>
      <c r="F127" s="9">
        <f>+VLOOKUP(B127,'transacciones '!$A$2:$I$39,5,FALSE)</f>
        <v>2</v>
      </c>
      <c r="G127" s="9" t="str">
        <f>+VLOOKUP(B127,'transacciones '!$A$2:$I$39,6,FALSE)</f>
        <v>P2</v>
      </c>
      <c r="H127" s="9" t="str">
        <f>+VLOOKUP(B127,'transacciones '!$A$2:$I$39,7,FALSE)</f>
        <v>Consumo intermedio</v>
      </c>
      <c r="I127" s="18" t="s">
        <v>278</v>
      </c>
      <c r="J127" s="18" t="s">
        <v>279</v>
      </c>
      <c r="K127" s="8" t="s">
        <v>17</v>
      </c>
      <c r="L127" s="8" t="str">
        <f>+VLOOKUP(K127,'Correl CIIU'!$A$1:$F$26,2,FALSE)</f>
        <v>Agricultura, ganadería, silvicultura y pesca</v>
      </c>
      <c r="M127" s="8" t="str">
        <f>+VLOOKUP(K127,'Correl CIIU'!$A$1:$F$26,3,FALSE)</f>
        <v>Agricultura</v>
      </c>
      <c r="N127" s="8" t="str">
        <f>+VLOOKUP(K127,'Correl CIIU'!$A$1:$F$26,4,FALSE)</f>
        <v>Agriculture, forestry and fishing</v>
      </c>
      <c r="O127" s="8">
        <v>1</v>
      </c>
      <c r="P127" s="31" t="str">
        <f>+VLOOKUP(O127,bio!$A$2:$B$4,2,FALSE)</f>
        <v>Bioeconomía</v>
      </c>
    </row>
    <row r="128" spans="1:16" x14ac:dyDescent="0.35">
      <c r="A128" s="30" t="s">
        <v>610</v>
      </c>
      <c r="B128" s="20" t="s">
        <v>149</v>
      </c>
      <c r="C128" s="9" t="str">
        <f>+VLOOKUP(B128,'transacciones '!$A$2:$I$39,2,FALSE)</f>
        <v>ATC01</v>
      </c>
      <c r="D128" s="9" t="str">
        <f>+VLOOKUP(B128,'transacciones '!$A$2:$I$39,3,FALSE)</f>
        <v>Producción / Consumo intermedio</v>
      </c>
      <c r="E128" s="9" t="str">
        <f>+VLOOKUP(B128,'transacciones '!$A$2:$I$39,4,FALSE)</f>
        <v>Consumo</v>
      </c>
      <c r="F128" s="9">
        <f>+VLOOKUP(B128,'transacciones '!$A$2:$I$39,5,FALSE)</f>
        <v>2</v>
      </c>
      <c r="G128" s="9" t="str">
        <f>+VLOOKUP(B128,'transacciones '!$A$2:$I$39,6,FALSE)</f>
        <v>P2</v>
      </c>
      <c r="H128" s="9" t="str">
        <f>+VLOOKUP(B128,'transacciones '!$A$2:$I$39,7,FALSE)</f>
        <v>Consumo intermedio</v>
      </c>
      <c r="I128" s="18" t="s">
        <v>280</v>
      </c>
      <c r="J128" s="18" t="s">
        <v>281</v>
      </c>
      <c r="K128" s="8" t="s">
        <v>17</v>
      </c>
      <c r="L128" s="8" t="str">
        <f>+VLOOKUP(K128,'Correl CIIU'!$A$1:$F$26,2,FALSE)</f>
        <v>Agricultura, ganadería, silvicultura y pesca</v>
      </c>
      <c r="M128" s="8" t="str">
        <f>+VLOOKUP(K128,'Correl CIIU'!$A$1:$F$26,3,FALSE)</f>
        <v>Agricultura</v>
      </c>
      <c r="N128" s="8" t="str">
        <f>+VLOOKUP(K128,'Correl CIIU'!$A$1:$F$26,4,FALSE)</f>
        <v>Agriculture, forestry and fishing</v>
      </c>
      <c r="O128" s="8">
        <v>1</v>
      </c>
      <c r="P128" s="31" t="str">
        <f>+VLOOKUP(O128,bio!$A$2:$B$4,2,FALSE)</f>
        <v>Bioeconomía</v>
      </c>
    </row>
    <row r="129" spans="1:16" x14ac:dyDescent="0.35">
      <c r="A129" s="30" t="s">
        <v>611</v>
      </c>
      <c r="B129" s="20" t="s">
        <v>149</v>
      </c>
      <c r="C129" s="9" t="str">
        <f>+VLOOKUP(B129,'transacciones '!$A$2:$I$39,2,FALSE)</f>
        <v>ATC01</v>
      </c>
      <c r="D129" s="9" t="str">
        <f>+VLOOKUP(B129,'transacciones '!$A$2:$I$39,3,FALSE)</f>
        <v>Producción / Consumo intermedio</v>
      </c>
      <c r="E129" s="9" t="str">
        <f>+VLOOKUP(B129,'transacciones '!$A$2:$I$39,4,FALSE)</f>
        <v>Consumo</v>
      </c>
      <c r="F129" s="9">
        <f>+VLOOKUP(B129,'transacciones '!$A$2:$I$39,5,FALSE)</f>
        <v>2</v>
      </c>
      <c r="G129" s="9" t="str">
        <f>+VLOOKUP(B129,'transacciones '!$A$2:$I$39,6,FALSE)</f>
        <v>P2</v>
      </c>
      <c r="H129" s="9" t="str">
        <f>+VLOOKUP(B129,'transacciones '!$A$2:$I$39,7,FALSE)</f>
        <v>Consumo intermedio</v>
      </c>
      <c r="I129" s="18" t="s">
        <v>282</v>
      </c>
      <c r="J129" s="18" t="s">
        <v>283</v>
      </c>
      <c r="K129" s="8" t="s">
        <v>17</v>
      </c>
      <c r="L129" s="8" t="str">
        <f>+VLOOKUP(K129,'Correl CIIU'!$A$1:$F$26,2,FALSE)</f>
        <v>Agricultura, ganadería, silvicultura y pesca</v>
      </c>
      <c r="M129" s="8" t="str">
        <f>+VLOOKUP(K129,'Correl CIIU'!$A$1:$F$26,3,FALSE)</f>
        <v>Agricultura</v>
      </c>
      <c r="N129" s="8" t="str">
        <f>+VLOOKUP(K129,'Correl CIIU'!$A$1:$F$26,4,FALSE)</f>
        <v>Agriculture, forestry and fishing</v>
      </c>
      <c r="O129" s="8">
        <v>1</v>
      </c>
      <c r="P129" s="31" t="str">
        <f>+VLOOKUP(O129,bio!$A$2:$B$4,2,FALSE)</f>
        <v>Bioeconomía</v>
      </c>
    </row>
    <row r="130" spans="1:16" x14ac:dyDescent="0.35">
      <c r="A130" s="30" t="s">
        <v>612</v>
      </c>
      <c r="B130" s="20" t="s">
        <v>149</v>
      </c>
      <c r="C130" s="9" t="str">
        <f>+VLOOKUP(B130,'transacciones '!$A$2:$I$39,2,FALSE)</f>
        <v>ATC01</v>
      </c>
      <c r="D130" s="9" t="str">
        <f>+VLOOKUP(B130,'transacciones '!$A$2:$I$39,3,FALSE)</f>
        <v>Producción / Consumo intermedio</v>
      </c>
      <c r="E130" s="9" t="str">
        <f>+VLOOKUP(B130,'transacciones '!$A$2:$I$39,4,FALSE)</f>
        <v>Consumo</v>
      </c>
      <c r="F130" s="9">
        <f>+VLOOKUP(B130,'transacciones '!$A$2:$I$39,5,FALSE)</f>
        <v>2</v>
      </c>
      <c r="G130" s="9" t="str">
        <f>+VLOOKUP(B130,'transacciones '!$A$2:$I$39,6,FALSE)</f>
        <v>P2</v>
      </c>
      <c r="H130" s="9" t="str">
        <f>+VLOOKUP(B130,'transacciones '!$A$2:$I$39,7,FALSE)</f>
        <v>Consumo intermedio</v>
      </c>
      <c r="I130" s="18" t="s">
        <v>284</v>
      </c>
      <c r="J130" s="18" t="s">
        <v>285</v>
      </c>
      <c r="K130" s="8" t="s">
        <v>17</v>
      </c>
      <c r="L130" s="8" t="str">
        <f>+VLOOKUP(K130,'Correl CIIU'!$A$1:$F$26,2,FALSE)</f>
        <v>Agricultura, ganadería, silvicultura y pesca</v>
      </c>
      <c r="M130" s="8" t="str">
        <f>+VLOOKUP(K130,'Correl CIIU'!$A$1:$F$26,3,FALSE)</f>
        <v>Agricultura</v>
      </c>
      <c r="N130" s="8" t="str">
        <f>+VLOOKUP(K130,'Correl CIIU'!$A$1:$F$26,4,FALSE)</f>
        <v>Agriculture, forestry and fishing</v>
      </c>
      <c r="O130" s="8">
        <v>1</v>
      </c>
      <c r="P130" s="31" t="str">
        <f>+VLOOKUP(O130,bio!$A$2:$B$4,2,FALSE)</f>
        <v>Bioeconomía</v>
      </c>
    </row>
    <row r="131" spans="1:16" x14ac:dyDescent="0.35">
      <c r="A131" s="30" t="s">
        <v>613</v>
      </c>
      <c r="B131" s="20" t="s">
        <v>149</v>
      </c>
      <c r="C131" s="9" t="str">
        <f>+VLOOKUP(B131,'transacciones '!$A$2:$I$39,2,FALSE)</f>
        <v>ATC01</v>
      </c>
      <c r="D131" s="9" t="str">
        <f>+VLOOKUP(B131,'transacciones '!$A$2:$I$39,3,FALSE)</f>
        <v>Producción / Consumo intermedio</v>
      </c>
      <c r="E131" s="9" t="str">
        <f>+VLOOKUP(B131,'transacciones '!$A$2:$I$39,4,FALSE)</f>
        <v>Consumo</v>
      </c>
      <c r="F131" s="9">
        <f>+VLOOKUP(B131,'transacciones '!$A$2:$I$39,5,FALSE)</f>
        <v>2</v>
      </c>
      <c r="G131" s="9" t="str">
        <f>+VLOOKUP(B131,'transacciones '!$A$2:$I$39,6,FALSE)</f>
        <v>P2</v>
      </c>
      <c r="H131" s="9" t="str">
        <f>+VLOOKUP(B131,'transacciones '!$A$2:$I$39,7,FALSE)</f>
        <v>Consumo intermedio</v>
      </c>
      <c r="I131" s="18" t="s">
        <v>286</v>
      </c>
      <c r="J131" s="18" t="s">
        <v>287</v>
      </c>
      <c r="K131" s="8" t="s">
        <v>17</v>
      </c>
      <c r="L131" s="8" t="str">
        <f>+VLOOKUP(K131,'Correl CIIU'!$A$1:$F$26,2,FALSE)</f>
        <v>Agricultura, ganadería, silvicultura y pesca</v>
      </c>
      <c r="M131" s="8" t="str">
        <f>+VLOOKUP(K131,'Correl CIIU'!$A$1:$F$26,3,FALSE)</f>
        <v>Agricultura</v>
      </c>
      <c r="N131" s="8" t="str">
        <f>+VLOOKUP(K131,'Correl CIIU'!$A$1:$F$26,4,FALSE)</f>
        <v>Agriculture, forestry and fishing</v>
      </c>
      <c r="O131" s="8">
        <v>1</v>
      </c>
      <c r="P131" s="31" t="str">
        <f>+VLOOKUP(O131,bio!$A$2:$B$4,2,FALSE)</f>
        <v>Bioeconomía</v>
      </c>
    </row>
    <row r="132" spans="1:16" x14ac:dyDescent="0.35">
      <c r="A132" s="30" t="s">
        <v>614</v>
      </c>
      <c r="B132" s="20" t="s">
        <v>149</v>
      </c>
      <c r="C132" s="9" t="str">
        <f>+VLOOKUP(B132,'transacciones '!$A$2:$I$39,2,FALSE)</f>
        <v>ATC01</v>
      </c>
      <c r="D132" s="9" t="str">
        <f>+VLOOKUP(B132,'transacciones '!$A$2:$I$39,3,FALSE)</f>
        <v>Producción / Consumo intermedio</v>
      </c>
      <c r="E132" s="9" t="str">
        <f>+VLOOKUP(B132,'transacciones '!$A$2:$I$39,4,FALSE)</f>
        <v>Consumo</v>
      </c>
      <c r="F132" s="9">
        <f>+VLOOKUP(B132,'transacciones '!$A$2:$I$39,5,FALSE)</f>
        <v>2</v>
      </c>
      <c r="G132" s="9" t="str">
        <f>+VLOOKUP(B132,'transacciones '!$A$2:$I$39,6,FALSE)</f>
        <v>P2</v>
      </c>
      <c r="H132" s="9" t="str">
        <f>+VLOOKUP(B132,'transacciones '!$A$2:$I$39,7,FALSE)</f>
        <v>Consumo intermedio</v>
      </c>
      <c r="I132" s="18" t="s">
        <v>288</v>
      </c>
      <c r="J132" s="18" t="s">
        <v>289</v>
      </c>
      <c r="K132" s="8" t="s">
        <v>17</v>
      </c>
      <c r="L132" s="8" t="str">
        <f>+VLOOKUP(K132,'Correl CIIU'!$A$1:$F$26,2,FALSE)</f>
        <v>Agricultura, ganadería, silvicultura y pesca</v>
      </c>
      <c r="M132" s="8" t="str">
        <f>+VLOOKUP(K132,'Correl CIIU'!$A$1:$F$26,3,FALSE)</f>
        <v>Agricultura</v>
      </c>
      <c r="N132" s="8" t="str">
        <f>+VLOOKUP(K132,'Correl CIIU'!$A$1:$F$26,4,FALSE)</f>
        <v>Agriculture, forestry and fishing</v>
      </c>
      <c r="O132" s="8">
        <v>1</v>
      </c>
      <c r="P132" s="31" t="str">
        <f>+VLOOKUP(O132,bio!$A$2:$B$4,2,FALSE)</f>
        <v>Bioeconomía</v>
      </c>
    </row>
    <row r="133" spans="1:16" x14ac:dyDescent="0.35">
      <c r="A133" s="30" t="s">
        <v>615</v>
      </c>
      <c r="B133" s="20" t="s">
        <v>149</v>
      </c>
      <c r="C133" s="9" t="str">
        <f>+VLOOKUP(B133,'transacciones '!$A$2:$I$39,2,FALSE)</f>
        <v>ATC01</v>
      </c>
      <c r="D133" s="9" t="str">
        <f>+VLOOKUP(B133,'transacciones '!$A$2:$I$39,3,FALSE)</f>
        <v>Producción / Consumo intermedio</v>
      </c>
      <c r="E133" s="9" t="str">
        <f>+VLOOKUP(B133,'transacciones '!$A$2:$I$39,4,FALSE)</f>
        <v>Consumo</v>
      </c>
      <c r="F133" s="9">
        <f>+VLOOKUP(B133,'transacciones '!$A$2:$I$39,5,FALSE)</f>
        <v>2</v>
      </c>
      <c r="G133" s="9" t="str">
        <f>+VLOOKUP(B133,'transacciones '!$A$2:$I$39,6,FALSE)</f>
        <v>P2</v>
      </c>
      <c r="H133" s="9" t="str">
        <f>+VLOOKUP(B133,'transacciones '!$A$2:$I$39,7,FALSE)</f>
        <v>Consumo intermedio</v>
      </c>
      <c r="I133" s="18" t="s">
        <v>22</v>
      </c>
      <c r="J133" s="18" t="s">
        <v>290</v>
      </c>
      <c r="K133" s="8" t="s">
        <v>17</v>
      </c>
      <c r="L133" s="8" t="str">
        <f>+VLOOKUP(K133,'Correl CIIU'!$A$1:$F$26,2,FALSE)</f>
        <v>Agricultura, ganadería, silvicultura y pesca</v>
      </c>
      <c r="M133" s="8" t="str">
        <f>+VLOOKUP(K133,'Correl CIIU'!$A$1:$F$26,3,FALSE)</f>
        <v>Agricultura</v>
      </c>
      <c r="N133" s="8" t="str">
        <f>+VLOOKUP(K133,'Correl CIIU'!$A$1:$F$26,4,FALSE)</f>
        <v>Agriculture, forestry and fishing</v>
      </c>
      <c r="O133" s="8">
        <v>1</v>
      </c>
      <c r="P133" s="31" t="str">
        <f>+VLOOKUP(O133,bio!$A$2:$B$4,2,FALSE)</f>
        <v>Bioeconomía</v>
      </c>
    </row>
    <row r="134" spans="1:16" x14ac:dyDescent="0.35">
      <c r="A134" s="30" t="s">
        <v>616</v>
      </c>
      <c r="B134" s="20" t="s">
        <v>149</v>
      </c>
      <c r="C134" s="9" t="str">
        <f>+VLOOKUP(B134,'transacciones '!$A$2:$I$39,2,FALSE)</f>
        <v>ATC01</v>
      </c>
      <c r="D134" s="9" t="str">
        <f>+VLOOKUP(B134,'transacciones '!$A$2:$I$39,3,FALSE)</f>
        <v>Producción / Consumo intermedio</v>
      </c>
      <c r="E134" s="9" t="str">
        <f>+VLOOKUP(B134,'transacciones '!$A$2:$I$39,4,FALSE)</f>
        <v>Consumo</v>
      </c>
      <c r="F134" s="9">
        <f>+VLOOKUP(B134,'transacciones '!$A$2:$I$39,5,FALSE)</f>
        <v>2</v>
      </c>
      <c r="G134" s="9" t="str">
        <f>+VLOOKUP(B134,'transacciones '!$A$2:$I$39,6,FALSE)</f>
        <v>P2</v>
      </c>
      <c r="H134" s="9" t="str">
        <f>+VLOOKUP(B134,'transacciones '!$A$2:$I$39,7,FALSE)</f>
        <v>Consumo intermedio</v>
      </c>
      <c r="I134" s="18" t="s">
        <v>23</v>
      </c>
      <c r="J134" s="18" t="s">
        <v>291</v>
      </c>
      <c r="K134" s="8" t="s">
        <v>17</v>
      </c>
      <c r="L134" s="8" t="str">
        <f>+VLOOKUP(K134,'Correl CIIU'!$A$1:$F$26,2,FALSE)</f>
        <v>Agricultura, ganadería, silvicultura y pesca</v>
      </c>
      <c r="M134" s="8" t="str">
        <f>+VLOOKUP(K134,'Correl CIIU'!$A$1:$F$26,3,FALSE)</f>
        <v>Agricultura</v>
      </c>
      <c r="N134" s="8" t="str">
        <f>+VLOOKUP(K134,'Correl CIIU'!$A$1:$F$26,4,FALSE)</f>
        <v>Agriculture, forestry and fishing</v>
      </c>
      <c r="O134" s="8">
        <v>1</v>
      </c>
      <c r="P134" s="31" t="str">
        <f>+VLOOKUP(O134,bio!$A$2:$B$4,2,FALSE)</f>
        <v>Bioeconomía</v>
      </c>
    </row>
    <row r="135" spans="1:16" x14ac:dyDescent="0.35">
      <c r="A135" s="30" t="s">
        <v>617</v>
      </c>
      <c r="B135" s="20" t="s">
        <v>149</v>
      </c>
      <c r="C135" s="9" t="str">
        <f>+VLOOKUP(B135,'transacciones '!$A$2:$I$39,2,FALSE)</f>
        <v>ATC01</v>
      </c>
      <c r="D135" s="9" t="str">
        <f>+VLOOKUP(B135,'transacciones '!$A$2:$I$39,3,FALSE)</f>
        <v>Producción / Consumo intermedio</v>
      </c>
      <c r="E135" s="9" t="str">
        <f>+VLOOKUP(B135,'transacciones '!$A$2:$I$39,4,FALSE)</f>
        <v>Consumo</v>
      </c>
      <c r="F135" s="9">
        <f>+VLOOKUP(B135,'transacciones '!$A$2:$I$39,5,FALSE)</f>
        <v>2</v>
      </c>
      <c r="G135" s="9" t="str">
        <f>+VLOOKUP(B135,'transacciones '!$A$2:$I$39,6,FALSE)</f>
        <v>P2</v>
      </c>
      <c r="H135" s="9" t="str">
        <f>+VLOOKUP(B135,'transacciones '!$A$2:$I$39,7,FALSE)</f>
        <v>Consumo intermedio</v>
      </c>
      <c r="I135" s="18" t="s">
        <v>24</v>
      </c>
      <c r="J135" s="18" t="s">
        <v>292</v>
      </c>
      <c r="K135" s="8" t="s">
        <v>17</v>
      </c>
      <c r="L135" s="8" t="str">
        <f>+VLOOKUP(K135,'Correl CIIU'!$A$1:$F$26,2,FALSE)</f>
        <v>Agricultura, ganadería, silvicultura y pesca</v>
      </c>
      <c r="M135" s="8" t="str">
        <f>+VLOOKUP(K135,'Correl CIIU'!$A$1:$F$26,3,FALSE)</f>
        <v>Agricultura</v>
      </c>
      <c r="N135" s="8" t="str">
        <f>+VLOOKUP(K135,'Correl CIIU'!$A$1:$F$26,4,FALSE)</f>
        <v>Agriculture, forestry and fishing</v>
      </c>
      <c r="O135" s="8">
        <v>1</v>
      </c>
      <c r="P135" s="31" t="str">
        <f>+VLOOKUP(O135,bio!$A$2:$B$4,2,FALSE)</f>
        <v>Bioeconomía</v>
      </c>
    </row>
    <row r="136" spans="1:16" x14ac:dyDescent="0.35">
      <c r="A136" s="30" t="s">
        <v>618</v>
      </c>
      <c r="B136" s="20" t="s">
        <v>149</v>
      </c>
      <c r="C136" s="9" t="str">
        <f>+VLOOKUP(B136,'transacciones '!$A$2:$I$39,2,FALSE)</f>
        <v>ATC01</v>
      </c>
      <c r="D136" s="9" t="str">
        <f>+VLOOKUP(B136,'transacciones '!$A$2:$I$39,3,FALSE)</f>
        <v>Producción / Consumo intermedio</v>
      </c>
      <c r="E136" s="9" t="str">
        <f>+VLOOKUP(B136,'transacciones '!$A$2:$I$39,4,FALSE)</f>
        <v>Consumo</v>
      </c>
      <c r="F136" s="9">
        <f>+VLOOKUP(B136,'transacciones '!$A$2:$I$39,5,FALSE)</f>
        <v>2</v>
      </c>
      <c r="G136" s="9" t="str">
        <f>+VLOOKUP(B136,'transacciones '!$A$2:$I$39,6,FALSE)</f>
        <v>P2</v>
      </c>
      <c r="H136" s="9" t="str">
        <f>+VLOOKUP(B136,'transacciones '!$A$2:$I$39,7,FALSE)</f>
        <v>Consumo intermedio</v>
      </c>
      <c r="I136" s="18" t="s">
        <v>293</v>
      </c>
      <c r="J136" s="18" t="s">
        <v>294</v>
      </c>
      <c r="K136" s="8" t="s">
        <v>19</v>
      </c>
      <c r="L136" s="8" t="str">
        <f>+VLOOKUP(K136,'Correl CIIU'!$A$1:$F$26,2,FALSE)</f>
        <v>Explotación de minas y canteras</v>
      </c>
      <c r="M136" s="8" t="str">
        <f>+VLOOKUP(K136,'Correl CIIU'!$A$1:$F$26,3,FALSE)</f>
        <v>Minería</v>
      </c>
      <c r="N136" s="8" t="str">
        <f>+VLOOKUP(K136,'Correl CIIU'!$A$1:$F$26,4,FALSE)</f>
        <v>Mining and quarrying</v>
      </c>
      <c r="O136" s="8">
        <v>3</v>
      </c>
      <c r="P136" s="31" t="str">
        <f>+VLOOKUP(O136,bio!$A$2:$B$4,2,FALSE)</f>
        <v>No bioeconomía</v>
      </c>
    </row>
    <row r="137" spans="1:16" x14ac:dyDescent="0.35">
      <c r="A137" s="30" t="s">
        <v>619</v>
      </c>
      <c r="B137" s="20" t="s">
        <v>149</v>
      </c>
      <c r="C137" s="9" t="str">
        <f>+VLOOKUP(B137,'transacciones '!$A$2:$I$39,2,FALSE)</f>
        <v>ATC01</v>
      </c>
      <c r="D137" s="9" t="str">
        <f>+VLOOKUP(B137,'transacciones '!$A$2:$I$39,3,FALSE)</f>
        <v>Producción / Consumo intermedio</v>
      </c>
      <c r="E137" s="9" t="str">
        <f>+VLOOKUP(B137,'transacciones '!$A$2:$I$39,4,FALSE)</f>
        <v>Consumo</v>
      </c>
      <c r="F137" s="9">
        <f>+VLOOKUP(B137,'transacciones '!$A$2:$I$39,5,FALSE)</f>
        <v>2</v>
      </c>
      <c r="G137" s="9" t="str">
        <f>+VLOOKUP(B137,'transacciones '!$A$2:$I$39,6,FALSE)</f>
        <v>P2</v>
      </c>
      <c r="H137" s="9" t="str">
        <f>+VLOOKUP(B137,'transacciones '!$A$2:$I$39,7,FALSE)</f>
        <v>Consumo intermedio</v>
      </c>
      <c r="I137" s="18" t="s">
        <v>295</v>
      </c>
      <c r="J137" s="18" t="s">
        <v>296</v>
      </c>
      <c r="K137" s="8" t="s">
        <v>19</v>
      </c>
      <c r="L137" s="8" t="str">
        <f>+VLOOKUP(K137,'Correl CIIU'!$A$1:$F$26,2,FALSE)</f>
        <v>Explotación de minas y canteras</v>
      </c>
      <c r="M137" s="8" t="str">
        <f>+VLOOKUP(K137,'Correl CIIU'!$A$1:$F$26,3,FALSE)</f>
        <v>Minería</v>
      </c>
      <c r="N137" s="8" t="str">
        <f>+VLOOKUP(K137,'Correl CIIU'!$A$1:$F$26,4,FALSE)</f>
        <v>Mining and quarrying</v>
      </c>
      <c r="O137" s="8">
        <v>3</v>
      </c>
      <c r="P137" s="31" t="str">
        <f>+VLOOKUP(O137,bio!$A$2:$B$4,2,FALSE)</f>
        <v>No bioeconomía</v>
      </c>
    </row>
    <row r="138" spans="1:16" x14ac:dyDescent="0.35">
      <c r="A138" s="30" t="s">
        <v>620</v>
      </c>
      <c r="B138" s="20" t="s">
        <v>149</v>
      </c>
      <c r="C138" s="9" t="str">
        <f>+VLOOKUP(B138,'transacciones '!$A$2:$I$39,2,FALSE)</f>
        <v>ATC01</v>
      </c>
      <c r="D138" s="9" t="str">
        <f>+VLOOKUP(B138,'transacciones '!$A$2:$I$39,3,FALSE)</f>
        <v>Producción / Consumo intermedio</v>
      </c>
      <c r="E138" s="9" t="str">
        <f>+VLOOKUP(B138,'transacciones '!$A$2:$I$39,4,FALSE)</f>
        <v>Consumo</v>
      </c>
      <c r="F138" s="9">
        <f>+VLOOKUP(B138,'transacciones '!$A$2:$I$39,5,FALSE)</f>
        <v>2</v>
      </c>
      <c r="G138" s="9" t="str">
        <f>+VLOOKUP(B138,'transacciones '!$A$2:$I$39,6,FALSE)</f>
        <v>P2</v>
      </c>
      <c r="H138" s="9" t="str">
        <f>+VLOOKUP(B138,'transacciones '!$A$2:$I$39,7,FALSE)</f>
        <v>Consumo intermedio</v>
      </c>
      <c r="I138" s="18" t="s">
        <v>25</v>
      </c>
      <c r="J138" s="18" t="s">
        <v>297</v>
      </c>
      <c r="K138" s="8" t="s">
        <v>19</v>
      </c>
      <c r="L138" s="8" t="str">
        <f>+VLOOKUP(K138,'Correl CIIU'!$A$1:$F$26,2,FALSE)</f>
        <v>Explotación de minas y canteras</v>
      </c>
      <c r="M138" s="8" t="str">
        <f>+VLOOKUP(K138,'Correl CIIU'!$A$1:$F$26,3,FALSE)</f>
        <v>Minería</v>
      </c>
      <c r="N138" s="8" t="str">
        <f>+VLOOKUP(K138,'Correl CIIU'!$A$1:$F$26,4,FALSE)</f>
        <v>Mining and quarrying</v>
      </c>
      <c r="O138" s="8">
        <v>3</v>
      </c>
      <c r="P138" s="31" t="str">
        <f>+VLOOKUP(O138,bio!$A$2:$B$4,2,FALSE)</f>
        <v>No bioeconomía</v>
      </c>
    </row>
    <row r="139" spans="1:16" x14ac:dyDescent="0.35">
      <c r="A139" s="30" t="s">
        <v>621</v>
      </c>
      <c r="B139" s="20" t="s">
        <v>149</v>
      </c>
      <c r="C139" s="9" t="str">
        <f>+VLOOKUP(B139,'transacciones '!$A$2:$I$39,2,FALSE)</f>
        <v>ATC01</v>
      </c>
      <c r="D139" s="9" t="str">
        <f>+VLOOKUP(B139,'transacciones '!$A$2:$I$39,3,FALSE)</f>
        <v>Producción / Consumo intermedio</v>
      </c>
      <c r="E139" s="9" t="str">
        <f>+VLOOKUP(B139,'transacciones '!$A$2:$I$39,4,FALSE)</f>
        <v>Consumo</v>
      </c>
      <c r="F139" s="9">
        <f>+VLOOKUP(B139,'transacciones '!$A$2:$I$39,5,FALSE)</f>
        <v>2</v>
      </c>
      <c r="G139" s="9" t="str">
        <f>+VLOOKUP(B139,'transacciones '!$A$2:$I$39,6,FALSE)</f>
        <v>P2</v>
      </c>
      <c r="H139" s="9" t="str">
        <f>+VLOOKUP(B139,'transacciones '!$A$2:$I$39,7,FALSE)</f>
        <v>Consumo intermedio</v>
      </c>
      <c r="I139" s="18" t="s">
        <v>298</v>
      </c>
      <c r="J139" s="18" t="s">
        <v>299</v>
      </c>
      <c r="K139" s="8" t="s">
        <v>19</v>
      </c>
      <c r="L139" s="8" t="str">
        <f>+VLOOKUP(K139,'Correl CIIU'!$A$1:$F$26,2,FALSE)</f>
        <v>Explotación de minas y canteras</v>
      </c>
      <c r="M139" s="8" t="str">
        <f>+VLOOKUP(K139,'Correl CIIU'!$A$1:$F$26,3,FALSE)</f>
        <v>Minería</v>
      </c>
      <c r="N139" s="8" t="str">
        <f>+VLOOKUP(K139,'Correl CIIU'!$A$1:$F$26,4,FALSE)</f>
        <v>Mining and quarrying</v>
      </c>
      <c r="O139" s="8">
        <v>3</v>
      </c>
      <c r="P139" s="31" t="str">
        <f>+VLOOKUP(O139,bio!$A$2:$B$4,2,FALSE)</f>
        <v>No bioeconomía</v>
      </c>
    </row>
    <row r="140" spans="1:16" x14ac:dyDescent="0.35">
      <c r="A140" s="30" t="s">
        <v>622</v>
      </c>
      <c r="B140" s="20" t="s">
        <v>149</v>
      </c>
      <c r="C140" s="9" t="str">
        <f>+VLOOKUP(B140,'transacciones '!$A$2:$I$39,2,FALSE)</f>
        <v>ATC01</v>
      </c>
      <c r="D140" s="9" t="str">
        <f>+VLOOKUP(B140,'transacciones '!$A$2:$I$39,3,FALSE)</f>
        <v>Producción / Consumo intermedio</v>
      </c>
      <c r="E140" s="9" t="str">
        <f>+VLOOKUP(B140,'transacciones '!$A$2:$I$39,4,FALSE)</f>
        <v>Consumo</v>
      </c>
      <c r="F140" s="9">
        <f>+VLOOKUP(B140,'transacciones '!$A$2:$I$39,5,FALSE)</f>
        <v>2</v>
      </c>
      <c r="G140" s="9" t="str">
        <f>+VLOOKUP(B140,'transacciones '!$A$2:$I$39,6,FALSE)</f>
        <v>P2</v>
      </c>
      <c r="H140" s="9" t="str">
        <f>+VLOOKUP(B140,'transacciones '!$A$2:$I$39,7,FALSE)</f>
        <v>Consumo intermedio</v>
      </c>
      <c r="I140" s="18" t="s">
        <v>26</v>
      </c>
      <c r="J140" s="18" t="s">
        <v>300</v>
      </c>
      <c r="K140" s="8" t="s">
        <v>19</v>
      </c>
      <c r="L140" s="8" t="str">
        <f>+VLOOKUP(K140,'Correl CIIU'!$A$1:$F$26,2,FALSE)</f>
        <v>Explotación de minas y canteras</v>
      </c>
      <c r="M140" s="8" t="str">
        <f>+VLOOKUP(K140,'Correl CIIU'!$A$1:$F$26,3,FALSE)</f>
        <v>Minería</v>
      </c>
      <c r="N140" s="8" t="str">
        <f>+VLOOKUP(K140,'Correl CIIU'!$A$1:$F$26,4,FALSE)</f>
        <v>Mining and quarrying</v>
      </c>
      <c r="O140" s="8">
        <v>3</v>
      </c>
      <c r="P140" s="31" t="str">
        <f>+VLOOKUP(O140,bio!$A$2:$B$4,2,FALSE)</f>
        <v>No bioeconomía</v>
      </c>
    </row>
    <row r="141" spans="1:16" x14ac:dyDescent="0.35">
      <c r="A141" s="30" t="s">
        <v>623</v>
      </c>
      <c r="B141" s="20" t="s">
        <v>149</v>
      </c>
      <c r="C141" s="9" t="str">
        <f>+VLOOKUP(B141,'transacciones '!$A$2:$I$39,2,FALSE)</f>
        <v>ATC01</v>
      </c>
      <c r="D141" s="9" t="str">
        <f>+VLOOKUP(B141,'transacciones '!$A$2:$I$39,3,FALSE)</f>
        <v>Producción / Consumo intermedio</v>
      </c>
      <c r="E141" s="9" t="str">
        <f>+VLOOKUP(B141,'transacciones '!$A$2:$I$39,4,FALSE)</f>
        <v>Consumo</v>
      </c>
      <c r="F141" s="9">
        <f>+VLOOKUP(B141,'transacciones '!$A$2:$I$39,5,FALSE)</f>
        <v>2</v>
      </c>
      <c r="G141" s="9" t="str">
        <f>+VLOOKUP(B141,'transacciones '!$A$2:$I$39,6,FALSE)</f>
        <v>P2</v>
      </c>
      <c r="H141" s="9" t="str">
        <f>+VLOOKUP(B141,'transacciones '!$A$2:$I$39,7,FALSE)</f>
        <v>Consumo intermedio</v>
      </c>
      <c r="I141" s="18" t="s">
        <v>27</v>
      </c>
      <c r="J141" s="18" t="s">
        <v>301</v>
      </c>
      <c r="K141" s="8" t="s">
        <v>19</v>
      </c>
      <c r="L141" s="8" t="str">
        <f>+VLOOKUP(K141,'Correl CIIU'!$A$1:$F$26,2,FALSE)</f>
        <v>Explotación de minas y canteras</v>
      </c>
      <c r="M141" s="8" t="str">
        <f>+VLOOKUP(K141,'Correl CIIU'!$A$1:$F$26,3,FALSE)</f>
        <v>Minería</v>
      </c>
      <c r="N141" s="8" t="str">
        <f>+VLOOKUP(K141,'Correl CIIU'!$A$1:$F$26,4,FALSE)</f>
        <v>Mining and quarrying</v>
      </c>
      <c r="O141" s="8">
        <v>3</v>
      </c>
      <c r="P141" s="31" t="str">
        <f>+VLOOKUP(O141,bio!$A$2:$B$4,2,FALSE)</f>
        <v>No bioeconomía</v>
      </c>
    </row>
    <row r="142" spans="1:16" x14ac:dyDescent="0.35">
      <c r="A142" s="30" t="s">
        <v>624</v>
      </c>
      <c r="B142" s="20" t="s">
        <v>149</v>
      </c>
      <c r="C142" s="9" t="str">
        <f>+VLOOKUP(B142,'transacciones '!$A$2:$I$39,2,FALSE)</f>
        <v>ATC01</v>
      </c>
      <c r="D142" s="9" t="str">
        <f>+VLOOKUP(B142,'transacciones '!$A$2:$I$39,3,FALSE)</f>
        <v>Producción / Consumo intermedio</v>
      </c>
      <c r="E142" s="9" t="str">
        <f>+VLOOKUP(B142,'transacciones '!$A$2:$I$39,4,FALSE)</f>
        <v>Consumo</v>
      </c>
      <c r="F142" s="9">
        <f>+VLOOKUP(B142,'transacciones '!$A$2:$I$39,5,FALSE)</f>
        <v>2</v>
      </c>
      <c r="G142" s="9" t="str">
        <f>+VLOOKUP(B142,'transacciones '!$A$2:$I$39,6,FALSE)</f>
        <v>P2</v>
      </c>
      <c r="H142" s="9" t="str">
        <f>+VLOOKUP(B142,'transacciones '!$A$2:$I$39,7,FALSE)</f>
        <v>Consumo intermedio</v>
      </c>
      <c r="I142" s="18" t="s">
        <v>28</v>
      </c>
      <c r="J142" s="18" t="s">
        <v>302</v>
      </c>
      <c r="K142" s="8" t="s">
        <v>20</v>
      </c>
      <c r="L142" s="8" t="str">
        <f>+VLOOKUP(K142,'Correl CIIU'!$A$1:$F$26,2,FALSE)</f>
        <v>Industrias manufactureras</v>
      </c>
      <c r="M142" s="8" t="str">
        <f>+VLOOKUP(K142,'Correl CIIU'!$A$1:$F$26,3,FALSE)</f>
        <v>Manufacturas</v>
      </c>
      <c r="N142" s="8" t="str">
        <f>+VLOOKUP(K142,'Correl CIIU'!$A$1:$F$26,4,FALSE)</f>
        <v>Manufacturing</v>
      </c>
      <c r="O142" s="8">
        <v>1</v>
      </c>
      <c r="P142" s="31" t="str">
        <f>+VLOOKUP(O142,bio!$A$2:$B$4,2,FALSE)</f>
        <v>Bioeconomía</v>
      </c>
    </row>
    <row r="143" spans="1:16" x14ac:dyDescent="0.35">
      <c r="A143" s="30" t="s">
        <v>625</v>
      </c>
      <c r="B143" s="20" t="s">
        <v>149</v>
      </c>
      <c r="C143" s="9" t="str">
        <f>+VLOOKUP(B143,'transacciones '!$A$2:$I$39,2,FALSE)</f>
        <v>ATC01</v>
      </c>
      <c r="D143" s="9" t="str">
        <f>+VLOOKUP(B143,'transacciones '!$A$2:$I$39,3,FALSE)</f>
        <v>Producción / Consumo intermedio</v>
      </c>
      <c r="E143" s="9" t="str">
        <f>+VLOOKUP(B143,'transacciones '!$A$2:$I$39,4,FALSE)</f>
        <v>Consumo</v>
      </c>
      <c r="F143" s="9">
        <f>+VLOOKUP(B143,'transacciones '!$A$2:$I$39,5,FALSE)</f>
        <v>2</v>
      </c>
      <c r="G143" s="9" t="str">
        <f>+VLOOKUP(B143,'transacciones '!$A$2:$I$39,6,FALSE)</f>
        <v>P2</v>
      </c>
      <c r="H143" s="9" t="str">
        <f>+VLOOKUP(B143,'transacciones '!$A$2:$I$39,7,FALSE)</f>
        <v>Consumo intermedio</v>
      </c>
      <c r="I143" s="18" t="s">
        <v>303</v>
      </c>
      <c r="J143" s="18" t="s">
        <v>304</v>
      </c>
      <c r="K143" s="8" t="s">
        <v>20</v>
      </c>
      <c r="L143" s="8" t="str">
        <f>+VLOOKUP(K143,'Correl CIIU'!$A$1:$F$26,2,FALSE)</f>
        <v>Industrias manufactureras</v>
      </c>
      <c r="M143" s="8" t="str">
        <f>+VLOOKUP(K143,'Correl CIIU'!$A$1:$F$26,3,FALSE)</f>
        <v>Manufacturas</v>
      </c>
      <c r="N143" s="8" t="str">
        <f>+VLOOKUP(K143,'Correl CIIU'!$A$1:$F$26,4,FALSE)</f>
        <v>Manufacturing</v>
      </c>
      <c r="O143" s="8">
        <v>1</v>
      </c>
      <c r="P143" s="31" t="str">
        <f>+VLOOKUP(O143,bio!$A$2:$B$4,2,FALSE)</f>
        <v>Bioeconomía</v>
      </c>
    </row>
    <row r="144" spans="1:16" x14ac:dyDescent="0.35">
      <c r="A144" s="30" t="s">
        <v>626</v>
      </c>
      <c r="B144" s="20" t="s">
        <v>149</v>
      </c>
      <c r="C144" s="9" t="str">
        <f>+VLOOKUP(B144,'transacciones '!$A$2:$I$39,2,FALSE)</f>
        <v>ATC01</v>
      </c>
      <c r="D144" s="9" t="str">
        <f>+VLOOKUP(B144,'transacciones '!$A$2:$I$39,3,FALSE)</f>
        <v>Producción / Consumo intermedio</v>
      </c>
      <c r="E144" s="9" t="str">
        <f>+VLOOKUP(B144,'transacciones '!$A$2:$I$39,4,FALSE)</f>
        <v>Consumo</v>
      </c>
      <c r="F144" s="9">
        <f>+VLOOKUP(B144,'transacciones '!$A$2:$I$39,5,FALSE)</f>
        <v>2</v>
      </c>
      <c r="G144" s="9" t="str">
        <f>+VLOOKUP(B144,'transacciones '!$A$2:$I$39,6,FALSE)</f>
        <v>P2</v>
      </c>
      <c r="H144" s="9" t="str">
        <f>+VLOOKUP(B144,'transacciones '!$A$2:$I$39,7,FALSE)</f>
        <v>Consumo intermedio</v>
      </c>
      <c r="I144" s="18" t="s">
        <v>29</v>
      </c>
      <c r="J144" s="18" t="s">
        <v>305</v>
      </c>
      <c r="K144" s="8" t="s">
        <v>20</v>
      </c>
      <c r="L144" s="8" t="str">
        <f>+VLOOKUP(K144,'Correl CIIU'!$A$1:$F$26,2,FALSE)</f>
        <v>Industrias manufactureras</v>
      </c>
      <c r="M144" s="8" t="str">
        <f>+VLOOKUP(K144,'Correl CIIU'!$A$1:$F$26,3,FALSE)</f>
        <v>Manufacturas</v>
      </c>
      <c r="N144" s="8" t="str">
        <f>+VLOOKUP(K144,'Correl CIIU'!$A$1:$F$26,4,FALSE)</f>
        <v>Manufacturing</v>
      </c>
      <c r="O144" s="8">
        <v>1</v>
      </c>
      <c r="P144" s="31" t="str">
        <f>+VLOOKUP(O144,bio!$A$2:$B$4,2,FALSE)</f>
        <v>Bioeconomía</v>
      </c>
    </row>
    <row r="145" spans="1:16" x14ac:dyDescent="0.35">
      <c r="A145" s="30" t="s">
        <v>627</v>
      </c>
      <c r="B145" s="20" t="s">
        <v>149</v>
      </c>
      <c r="C145" s="9" t="str">
        <f>+VLOOKUP(B145,'transacciones '!$A$2:$I$39,2,FALSE)</f>
        <v>ATC01</v>
      </c>
      <c r="D145" s="9" t="str">
        <f>+VLOOKUP(B145,'transacciones '!$A$2:$I$39,3,FALSE)</f>
        <v>Producción / Consumo intermedio</v>
      </c>
      <c r="E145" s="9" t="str">
        <f>+VLOOKUP(B145,'transacciones '!$A$2:$I$39,4,FALSE)</f>
        <v>Consumo</v>
      </c>
      <c r="F145" s="9">
        <f>+VLOOKUP(B145,'transacciones '!$A$2:$I$39,5,FALSE)</f>
        <v>2</v>
      </c>
      <c r="G145" s="9" t="str">
        <f>+VLOOKUP(B145,'transacciones '!$A$2:$I$39,6,FALSE)</f>
        <v>P2</v>
      </c>
      <c r="H145" s="9" t="str">
        <f>+VLOOKUP(B145,'transacciones '!$A$2:$I$39,7,FALSE)</f>
        <v>Consumo intermedio</v>
      </c>
      <c r="I145" s="18" t="s">
        <v>31</v>
      </c>
      <c r="J145" s="18" t="s">
        <v>306</v>
      </c>
      <c r="K145" s="8" t="s">
        <v>20</v>
      </c>
      <c r="L145" s="8" t="str">
        <f>+VLOOKUP(K145,'Correl CIIU'!$A$1:$F$26,2,FALSE)</f>
        <v>Industrias manufactureras</v>
      </c>
      <c r="M145" s="8" t="str">
        <f>+VLOOKUP(K145,'Correl CIIU'!$A$1:$F$26,3,FALSE)</f>
        <v>Manufacturas</v>
      </c>
      <c r="N145" s="8" t="str">
        <f>+VLOOKUP(K145,'Correl CIIU'!$A$1:$F$26,4,FALSE)</f>
        <v>Manufacturing</v>
      </c>
      <c r="O145" s="8">
        <v>1</v>
      </c>
      <c r="P145" s="31" t="str">
        <f>+VLOOKUP(O145,bio!$A$2:$B$4,2,FALSE)</f>
        <v>Bioeconomía</v>
      </c>
    </row>
    <row r="146" spans="1:16" x14ac:dyDescent="0.35">
      <c r="A146" s="30" t="s">
        <v>628</v>
      </c>
      <c r="B146" s="20" t="s">
        <v>149</v>
      </c>
      <c r="C146" s="9" t="str">
        <f>+VLOOKUP(B146,'transacciones '!$A$2:$I$39,2,FALSE)</f>
        <v>ATC01</v>
      </c>
      <c r="D146" s="9" t="str">
        <f>+VLOOKUP(B146,'transacciones '!$A$2:$I$39,3,FALSE)</f>
        <v>Producción / Consumo intermedio</v>
      </c>
      <c r="E146" s="9" t="str">
        <f>+VLOOKUP(B146,'transacciones '!$A$2:$I$39,4,FALSE)</f>
        <v>Consumo</v>
      </c>
      <c r="F146" s="9">
        <f>+VLOOKUP(B146,'transacciones '!$A$2:$I$39,5,FALSE)</f>
        <v>2</v>
      </c>
      <c r="G146" s="9" t="str">
        <f>+VLOOKUP(B146,'transacciones '!$A$2:$I$39,6,FALSE)</f>
        <v>P2</v>
      </c>
      <c r="H146" s="9" t="str">
        <f>+VLOOKUP(B146,'transacciones '!$A$2:$I$39,7,FALSE)</f>
        <v>Consumo intermedio</v>
      </c>
      <c r="I146" s="18" t="s">
        <v>33</v>
      </c>
      <c r="J146" s="18" t="s">
        <v>307</v>
      </c>
      <c r="K146" s="8" t="s">
        <v>20</v>
      </c>
      <c r="L146" s="8" t="str">
        <f>+VLOOKUP(K146,'Correl CIIU'!$A$1:$F$26,2,FALSE)</f>
        <v>Industrias manufactureras</v>
      </c>
      <c r="M146" s="8" t="str">
        <f>+VLOOKUP(K146,'Correl CIIU'!$A$1:$F$26,3,FALSE)</f>
        <v>Manufacturas</v>
      </c>
      <c r="N146" s="8" t="str">
        <f>+VLOOKUP(K146,'Correl CIIU'!$A$1:$F$26,4,FALSE)</f>
        <v>Manufacturing</v>
      </c>
      <c r="O146" s="8">
        <v>1</v>
      </c>
      <c r="P146" s="31" t="str">
        <f>+VLOOKUP(O146,bio!$A$2:$B$4,2,FALSE)</f>
        <v>Bioeconomía</v>
      </c>
    </row>
    <row r="147" spans="1:16" x14ac:dyDescent="0.35">
      <c r="A147" s="30" t="s">
        <v>629</v>
      </c>
      <c r="B147" s="20" t="s">
        <v>149</v>
      </c>
      <c r="C147" s="9" t="str">
        <f>+VLOOKUP(B147,'transacciones '!$A$2:$I$39,2,FALSE)</f>
        <v>ATC01</v>
      </c>
      <c r="D147" s="9" t="str">
        <f>+VLOOKUP(B147,'transacciones '!$A$2:$I$39,3,FALSE)</f>
        <v>Producción / Consumo intermedio</v>
      </c>
      <c r="E147" s="9" t="str">
        <f>+VLOOKUP(B147,'transacciones '!$A$2:$I$39,4,FALSE)</f>
        <v>Consumo</v>
      </c>
      <c r="F147" s="9">
        <f>+VLOOKUP(B147,'transacciones '!$A$2:$I$39,5,FALSE)</f>
        <v>2</v>
      </c>
      <c r="G147" s="9" t="str">
        <f>+VLOOKUP(B147,'transacciones '!$A$2:$I$39,6,FALSE)</f>
        <v>P2</v>
      </c>
      <c r="H147" s="9" t="str">
        <f>+VLOOKUP(B147,'transacciones '!$A$2:$I$39,7,FALSE)</f>
        <v>Consumo intermedio</v>
      </c>
      <c r="I147" s="18" t="s">
        <v>36</v>
      </c>
      <c r="J147" s="18" t="s">
        <v>21</v>
      </c>
      <c r="K147" s="8" t="s">
        <v>20</v>
      </c>
      <c r="L147" s="8" t="str">
        <f>+VLOOKUP(K147,'Correl CIIU'!$A$1:$F$26,2,FALSE)</f>
        <v>Industrias manufactureras</v>
      </c>
      <c r="M147" s="8" t="str">
        <f>+VLOOKUP(K147,'Correl CIIU'!$A$1:$F$26,3,FALSE)</f>
        <v>Manufacturas</v>
      </c>
      <c r="N147" s="8" t="str">
        <f>+VLOOKUP(K147,'Correl CIIU'!$A$1:$F$26,4,FALSE)</f>
        <v>Manufacturing</v>
      </c>
      <c r="O147" s="8">
        <v>1</v>
      </c>
      <c r="P147" s="31" t="str">
        <f>+VLOOKUP(O147,bio!$A$2:$B$4,2,FALSE)</f>
        <v>Bioeconomía</v>
      </c>
    </row>
    <row r="148" spans="1:16" x14ac:dyDescent="0.35">
      <c r="A148" s="30" t="s">
        <v>630</v>
      </c>
      <c r="B148" s="20" t="s">
        <v>149</v>
      </c>
      <c r="C148" s="9" t="str">
        <f>+VLOOKUP(B148,'transacciones '!$A$2:$I$39,2,FALSE)</f>
        <v>ATC01</v>
      </c>
      <c r="D148" s="9" t="str">
        <f>+VLOOKUP(B148,'transacciones '!$A$2:$I$39,3,FALSE)</f>
        <v>Producción / Consumo intermedio</v>
      </c>
      <c r="E148" s="9" t="str">
        <f>+VLOOKUP(B148,'transacciones '!$A$2:$I$39,4,FALSE)</f>
        <v>Consumo</v>
      </c>
      <c r="F148" s="9">
        <f>+VLOOKUP(B148,'transacciones '!$A$2:$I$39,5,FALSE)</f>
        <v>2</v>
      </c>
      <c r="G148" s="9" t="str">
        <f>+VLOOKUP(B148,'transacciones '!$A$2:$I$39,6,FALSE)</f>
        <v>P2</v>
      </c>
      <c r="H148" s="9" t="str">
        <f>+VLOOKUP(B148,'transacciones '!$A$2:$I$39,7,FALSE)</f>
        <v>Consumo intermedio</v>
      </c>
      <c r="I148" s="18" t="s">
        <v>39</v>
      </c>
      <c r="J148" s="18" t="s">
        <v>308</v>
      </c>
      <c r="K148" s="8" t="s">
        <v>20</v>
      </c>
      <c r="L148" s="8" t="str">
        <f>+VLOOKUP(K148,'Correl CIIU'!$A$1:$F$26,2,FALSE)</f>
        <v>Industrias manufactureras</v>
      </c>
      <c r="M148" s="8" t="str">
        <f>+VLOOKUP(K148,'Correl CIIU'!$A$1:$F$26,3,FALSE)</f>
        <v>Manufacturas</v>
      </c>
      <c r="N148" s="8" t="str">
        <f>+VLOOKUP(K148,'Correl CIIU'!$A$1:$F$26,4,FALSE)</f>
        <v>Manufacturing</v>
      </c>
      <c r="O148" s="8">
        <v>1</v>
      </c>
      <c r="P148" s="31" t="str">
        <f>+VLOOKUP(O148,bio!$A$2:$B$4,2,FALSE)</f>
        <v>Bioeconomía</v>
      </c>
    </row>
    <row r="149" spans="1:16" x14ac:dyDescent="0.35">
      <c r="A149" s="30" t="s">
        <v>631</v>
      </c>
      <c r="B149" s="20" t="s">
        <v>149</v>
      </c>
      <c r="C149" s="9" t="str">
        <f>+VLOOKUP(B149,'transacciones '!$A$2:$I$39,2,FALSE)</f>
        <v>ATC01</v>
      </c>
      <c r="D149" s="9" t="str">
        <f>+VLOOKUP(B149,'transacciones '!$A$2:$I$39,3,FALSE)</f>
        <v>Producción / Consumo intermedio</v>
      </c>
      <c r="E149" s="9" t="str">
        <f>+VLOOKUP(B149,'transacciones '!$A$2:$I$39,4,FALSE)</f>
        <v>Consumo</v>
      </c>
      <c r="F149" s="9">
        <f>+VLOOKUP(B149,'transacciones '!$A$2:$I$39,5,FALSE)</f>
        <v>2</v>
      </c>
      <c r="G149" s="9" t="str">
        <f>+VLOOKUP(B149,'transacciones '!$A$2:$I$39,6,FALSE)</f>
        <v>P2</v>
      </c>
      <c r="H149" s="9" t="str">
        <f>+VLOOKUP(B149,'transacciones '!$A$2:$I$39,7,FALSE)</f>
        <v>Consumo intermedio</v>
      </c>
      <c r="I149" s="18" t="s">
        <v>42</v>
      </c>
      <c r="J149" s="18" t="s">
        <v>309</v>
      </c>
      <c r="K149" s="8" t="s">
        <v>20</v>
      </c>
      <c r="L149" s="8" t="str">
        <f>+VLOOKUP(K149,'Correl CIIU'!$A$1:$F$26,2,FALSE)</f>
        <v>Industrias manufactureras</v>
      </c>
      <c r="M149" s="8" t="str">
        <f>+VLOOKUP(K149,'Correl CIIU'!$A$1:$F$26,3,FALSE)</f>
        <v>Manufacturas</v>
      </c>
      <c r="N149" s="8" t="str">
        <f>+VLOOKUP(K149,'Correl CIIU'!$A$1:$F$26,4,FALSE)</f>
        <v>Manufacturing</v>
      </c>
      <c r="O149" s="8">
        <v>1</v>
      </c>
      <c r="P149" s="31" t="str">
        <f>+VLOOKUP(O149,bio!$A$2:$B$4,2,FALSE)</f>
        <v>Bioeconomía</v>
      </c>
    </row>
    <row r="150" spans="1:16" x14ac:dyDescent="0.35">
      <c r="A150" s="30" t="s">
        <v>632</v>
      </c>
      <c r="B150" s="20" t="s">
        <v>149</v>
      </c>
      <c r="C150" s="9" t="str">
        <f>+VLOOKUP(B150,'transacciones '!$A$2:$I$39,2,FALSE)</f>
        <v>ATC01</v>
      </c>
      <c r="D150" s="9" t="str">
        <f>+VLOOKUP(B150,'transacciones '!$A$2:$I$39,3,FALSE)</f>
        <v>Producción / Consumo intermedio</v>
      </c>
      <c r="E150" s="9" t="str">
        <f>+VLOOKUP(B150,'transacciones '!$A$2:$I$39,4,FALSE)</f>
        <v>Consumo</v>
      </c>
      <c r="F150" s="9">
        <f>+VLOOKUP(B150,'transacciones '!$A$2:$I$39,5,FALSE)</f>
        <v>2</v>
      </c>
      <c r="G150" s="9" t="str">
        <f>+VLOOKUP(B150,'transacciones '!$A$2:$I$39,6,FALSE)</f>
        <v>P2</v>
      </c>
      <c r="H150" s="9" t="str">
        <f>+VLOOKUP(B150,'transacciones '!$A$2:$I$39,7,FALSE)</f>
        <v>Consumo intermedio</v>
      </c>
      <c r="I150" s="18" t="s">
        <v>44</v>
      </c>
      <c r="J150" s="18" t="s">
        <v>310</v>
      </c>
      <c r="K150" s="8" t="s">
        <v>20</v>
      </c>
      <c r="L150" s="8" t="str">
        <f>+VLOOKUP(K150,'Correl CIIU'!$A$1:$F$26,2,FALSE)</f>
        <v>Industrias manufactureras</v>
      </c>
      <c r="M150" s="8" t="str">
        <f>+VLOOKUP(K150,'Correl CIIU'!$A$1:$F$26,3,FALSE)</f>
        <v>Manufacturas</v>
      </c>
      <c r="N150" s="8" t="str">
        <f>+VLOOKUP(K150,'Correl CIIU'!$A$1:$F$26,4,FALSE)</f>
        <v>Manufacturing</v>
      </c>
      <c r="O150" s="8">
        <v>1</v>
      </c>
      <c r="P150" s="31" t="str">
        <f>+VLOOKUP(O150,bio!$A$2:$B$4,2,FALSE)</f>
        <v>Bioeconomía</v>
      </c>
    </row>
    <row r="151" spans="1:16" x14ac:dyDescent="0.35">
      <c r="A151" s="30" t="s">
        <v>633</v>
      </c>
      <c r="B151" s="20" t="s">
        <v>149</v>
      </c>
      <c r="C151" s="9" t="str">
        <f>+VLOOKUP(B151,'transacciones '!$A$2:$I$39,2,FALSE)</f>
        <v>ATC01</v>
      </c>
      <c r="D151" s="9" t="str">
        <f>+VLOOKUP(B151,'transacciones '!$A$2:$I$39,3,FALSE)</f>
        <v>Producción / Consumo intermedio</v>
      </c>
      <c r="E151" s="9" t="str">
        <f>+VLOOKUP(B151,'transacciones '!$A$2:$I$39,4,FALSE)</f>
        <v>Consumo</v>
      </c>
      <c r="F151" s="9">
        <f>+VLOOKUP(B151,'transacciones '!$A$2:$I$39,5,FALSE)</f>
        <v>2</v>
      </c>
      <c r="G151" s="9" t="str">
        <f>+VLOOKUP(B151,'transacciones '!$A$2:$I$39,6,FALSE)</f>
        <v>P2</v>
      </c>
      <c r="H151" s="9" t="str">
        <f>+VLOOKUP(B151,'transacciones '!$A$2:$I$39,7,FALSE)</f>
        <v>Consumo intermedio</v>
      </c>
      <c r="I151" s="18" t="s">
        <v>46</v>
      </c>
      <c r="J151" s="18" t="s">
        <v>311</v>
      </c>
      <c r="K151" s="8" t="s">
        <v>20</v>
      </c>
      <c r="L151" s="8" t="str">
        <f>+VLOOKUP(K151,'Correl CIIU'!$A$1:$F$26,2,FALSE)</f>
        <v>Industrias manufactureras</v>
      </c>
      <c r="M151" s="8" t="str">
        <f>+VLOOKUP(K151,'Correl CIIU'!$A$1:$F$26,3,FALSE)</f>
        <v>Manufacturas</v>
      </c>
      <c r="N151" s="8" t="str">
        <f>+VLOOKUP(K151,'Correl CIIU'!$A$1:$F$26,4,FALSE)</f>
        <v>Manufacturing</v>
      </c>
      <c r="O151" s="8">
        <v>1</v>
      </c>
      <c r="P151" s="31" t="str">
        <f>+VLOOKUP(O151,bio!$A$2:$B$4,2,FALSE)</f>
        <v>Bioeconomía</v>
      </c>
    </row>
    <row r="152" spans="1:16" x14ac:dyDescent="0.35">
      <c r="A152" s="30" t="s">
        <v>634</v>
      </c>
      <c r="B152" s="20" t="s">
        <v>149</v>
      </c>
      <c r="C152" s="9" t="str">
        <f>+VLOOKUP(B152,'transacciones '!$A$2:$I$39,2,FALSE)</f>
        <v>ATC01</v>
      </c>
      <c r="D152" s="9" t="str">
        <f>+VLOOKUP(B152,'transacciones '!$A$2:$I$39,3,FALSE)</f>
        <v>Producción / Consumo intermedio</v>
      </c>
      <c r="E152" s="9" t="str">
        <f>+VLOOKUP(B152,'transacciones '!$A$2:$I$39,4,FALSE)</f>
        <v>Consumo</v>
      </c>
      <c r="F152" s="9">
        <f>+VLOOKUP(B152,'transacciones '!$A$2:$I$39,5,FALSE)</f>
        <v>2</v>
      </c>
      <c r="G152" s="9" t="str">
        <f>+VLOOKUP(B152,'transacciones '!$A$2:$I$39,6,FALSE)</f>
        <v>P2</v>
      </c>
      <c r="H152" s="9" t="str">
        <f>+VLOOKUP(B152,'transacciones '!$A$2:$I$39,7,FALSE)</f>
        <v>Consumo intermedio</v>
      </c>
      <c r="I152" s="18" t="s">
        <v>49</v>
      </c>
      <c r="J152" s="18" t="s">
        <v>312</v>
      </c>
      <c r="K152" s="8" t="s">
        <v>20</v>
      </c>
      <c r="L152" s="8" t="str">
        <f>+VLOOKUP(K152,'Correl CIIU'!$A$1:$F$26,2,FALSE)</f>
        <v>Industrias manufactureras</v>
      </c>
      <c r="M152" s="8" t="str">
        <f>+VLOOKUP(K152,'Correl CIIU'!$A$1:$F$26,3,FALSE)</f>
        <v>Manufacturas</v>
      </c>
      <c r="N152" s="8" t="str">
        <f>+VLOOKUP(K152,'Correl CIIU'!$A$1:$F$26,4,FALSE)</f>
        <v>Manufacturing</v>
      </c>
      <c r="O152" s="8">
        <v>1</v>
      </c>
      <c r="P152" s="31" t="str">
        <f>+VLOOKUP(O152,bio!$A$2:$B$4,2,FALSE)</f>
        <v>Bioeconomía</v>
      </c>
    </row>
    <row r="153" spans="1:16" x14ac:dyDescent="0.35">
      <c r="A153" s="30" t="s">
        <v>635</v>
      </c>
      <c r="B153" s="20" t="s">
        <v>149</v>
      </c>
      <c r="C153" s="9" t="str">
        <f>+VLOOKUP(B153,'transacciones '!$A$2:$I$39,2,FALSE)</f>
        <v>ATC01</v>
      </c>
      <c r="D153" s="9" t="str">
        <f>+VLOOKUP(B153,'transacciones '!$A$2:$I$39,3,FALSE)</f>
        <v>Producción / Consumo intermedio</v>
      </c>
      <c r="E153" s="9" t="str">
        <f>+VLOOKUP(B153,'transacciones '!$A$2:$I$39,4,FALSE)</f>
        <v>Consumo</v>
      </c>
      <c r="F153" s="9">
        <f>+VLOOKUP(B153,'transacciones '!$A$2:$I$39,5,FALSE)</f>
        <v>2</v>
      </c>
      <c r="G153" s="9" t="str">
        <f>+VLOOKUP(B153,'transacciones '!$A$2:$I$39,6,FALSE)</f>
        <v>P2</v>
      </c>
      <c r="H153" s="9" t="str">
        <f>+VLOOKUP(B153,'transacciones '!$A$2:$I$39,7,FALSE)</f>
        <v>Consumo intermedio</v>
      </c>
      <c r="I153" s="18" t="s">
        <v>52</v>
      </c>
      <c r="J153" s="18" t="s">
        <v>313</v>
      </c>
      <c r="K153" s="8" t="s">
        <v>20</v>
      </c>
      <c r="L153" s="8" t="str">
        <f>+VLOOKUP(K153,'Correl CIIU'!$A$1:$F$26,2,FALSE)</f>
        <v>Industrias manufactureras</v>
      </c>
      <c r="M153" s="8" t="str">
        <f>+VLOOKUP(K153,'Correl CIIU'!$A$1:$F$26,3,FALSE)</f>
        <v>Manufacturas</v>
      </c>
      <c r="N153" s="8" t="str">
        <f>+VLOOKUP(K153,'Correl CIIU'!$A$1:$F$26,4,FALSE)</f>
        <v>Manufacturing</v>
      </c>
      <c r="O153" s="8">
        <v>1</v>
      </c>
      <c r="P153" s="31" t="str">
        <f>+VLOOKUP(O153,bio!$A$2:$B$4,2,FALSE)</f>
        <v>Bioeconomía</v>
      </c>
    </row>
    <row r="154" spans="1:16" x14ac:dyDescent="0.35">
      <c r="A154" s="30" t="s">
        <v>636</v>
      </c>
      <c r="B154" s="20" t="s">
        <v>149</v>
      </c>
      <c r="C154" s="9" t="str">
        <f>+VLOOKUP(B154,'transacciones '!$A$2:$I$39,2,FALSE)</f>
        <v>ATC01</v>
      </c>
      <c r="D154" s="9" t="str">
        <f>+VLOOKUP(B154,'transacciones '!$A$2:$I$39,3,FALSE)</f>
        <v>Producción / Consumo intermedio</v>
      </c>
      <c r="E154" s="9" t="str">
        <f>+VLOOKUP(B154,'transacciones '!$A$2:$I$39,4,FALSE)</f>
        <v>Consumo</v>
      </c>
      <c r="F154" s="9">
        <f>+VLOOKUP(B154,'transacciones '!$A$2:$I$39,5,FALSE)</f>
        <v>2</v>
      </c>
      <c r="G154" s="9" t="str">
        <f>+VLOOKUP(B154,'transacciones '!$A$2:$I$39,6,FALSE)</f>
        <v>P2</v>
      </c>
      <c r="H154" s="9" t="str">
        <f>+VLOOKUP(B154,'transacciones '!$A$2:$I$39,7,FALSE)</f>
        <v>Consumo intermedio</v>
      </c>
      <c r="I154" s="18" t="s">
        <v>66</v>
      </c>
      <c r="J154" s="18" t="s">
        <v>314</v>
      </c>
      <c r="K154" s="8" t="s">
        <v>20</v>
      </c>
      <c r="L154" s="8" t="str">
        <f>+VLOOKUP(K154,'Correl CIIU'!$A$1:$F$26,2,FALSE)</f>
        <v>Industrias manufactureras</v>
      </c>
      <c r="M154" s="8" t="str">
        <f>+VLOOKUP(K154,'Correl CIIU'!$A$1:$F$26,3,FALSE)</f>
        <v>Manufacturas</v>
      </c>
      <c r="N154" s="8" t="str">
        <f>+VLOOKUP(K154,'Correl CIIU'!$A$1:$F$26,4,FALSE)</f>
        <v>Manufacturing</v>
      </c>
      <c r="O154" s="8">
        <v>1</v>
      </c>
      <c r="P154" s="31" t="str">
        <f>+VLOOKUP(O154,bio!$A$2:$B$4,2,FALSE)</f>
        <v>Bioeconomía</v>
      </c>
    </row>
    <row r="155" spans="1:16" x14ac:dyDescent="0.35">
      <c r="A155" s="30" t="s">
        <v>637</v>
      </c>
      <c r="B155" s="20" t="s">
        <v>149</v>
      </c>
      <c r="C155" s="9" t="str">
        <f>+VLOOKUP(B155,'transacciones '!$A$2:$I$39,2,FALSE)</f>
        <v>ATC01</v>
      </c>
      <c r="D155" s="9" t="str">
        <f>+VLOOKUP(B155,'transacciones '!$A$2:$I$39,3,FALSE)</f>
        <v>Producción / Consumo intermedio</v>
      </c>
      <c r="E155" s="9" t="str">
        <f>+VLOOKUP(B155,'transacciones '!$A$2:$I$39,4,FALSE)</f>
        <v>Consumo</v>
      </c>
      <c r="F155" s="9">
        <f>+VLOOKUP(B155,'transacciones '!$A$2:$I$39,5,FALSE)</f>
        <v>2</v>
      </c>
      <c r="G155" s="9" t="str">
        <f>+VLOOKUP(B155,'transacciones '!$A$2:$I$39,6,FALSE)</f>
        <v>P2</v>
      </c>
      <c r="H155" s="9" t="str">
        <f>+VLOOKUP(B155,'transacciones '!$A$2:$I$39,7,FALSE)</f>
        <v>Consumo intermedio</v>
      </c>
      <c r="I155" s="18" t="s">
        <v>55</v>
      </c>
      <c r="J155" s="18" t="s">
        <v>315</v>
      </c>
      <c r="K155" s="8" t="s">
        <v>20</v>
      </c>
      <c r="L155" s="8" t="str">
        <f>+VLOOKUP(K155,'Correl CIIU'!$A$1:$F$26,2,FALSE)</f>
        <v>Industrias manufactureras</v>
      </c>
      <c r="M155" s="8" t="str">
        <f>+VLOOKUP(K155,'Correl CIIU'!$A$1:$F$26,3,FALSE)</f>
        <v>Manufacturas</v>
      </c>
      <c r="N155" s="8" t="str">
        <f>+VLOOKUP(K155,'Correl CIIU'!$A$1:$F$26,4,FALSE)</f>
        <v>Manufacturing</v>
      </c>
      <c r="O155" s="8">
        <v>1</v>
      </c>
      <c r="P155" s="31" t="str">
        <f>+VLOOKUP(O155,bio!$A$2:$B$4,2,FALSE)</f>
        <v>Bioeconomía</v>
      </c>
    </row>
    <row r="156" spans="1:16" x14ac:dyDescent="0.35">
      <c r="A156" s="30" t="s">
        <v>638</v>
      </c>
      <c r="B156" s="20" t="s">
        <v>149</v>
      </c>
      <c r="C156" s="9" t="str">
        <f>+VLOOKUP(B156,'transacciones '!$A$2:$I$39,2,FALSE)</f>
        <v>ATC01</v>
      </c>
      <c r="D156" s="9" t="str">
        <f>+VLOOKUP(B156,'transacciones '!$A$2:$I$39,3,FALSE)</f>
        <v>Producción / Consumo intermedio</v>
      </c>
      <c r="E156" s="9" t="str">
        <f>+VLOOKUP(B156,'transacciones '!$A$2:$I$39,4,FALSE)</f>
        <v>Consumo</v>
      </c>
      <c r="F156" s="9">
        <f>+VLOOKUP(B156,'transacciones '!$A$2:$I$39,5,FALSE)</f>
        <v>2</v>
      </c>
      <c r="G156" s="9" t="str">
        <f>+VLOOKUP(B156,'transacciones '!$A$2:$I$39,6,FALSE)</f>
        <v>P2</v>
      </c>
      <c r="H156" s="9" t="str">
        <f>+VLOOKUP(B156,'transacciones '!$A$2:$I$39,7,FALSE)</f>
        <v>Consumo intermedio</v>
      </c>
      <c r="I156" s="18" t="s">
        <v>58</v>
      </c>
      <c r="J156" s="18" t="s">
        <v>316</v>
      </c>
      <c r="K156" s="8" t="s">
        <v>20</v>
      </c>
      <c r="L156" s="8" t="str">
        <f>+VLOOKUP(K156,'Correl CIIU'!$A$1:$F$26,2,FALSE)</f>
        <v>Industrias manufactureras</v>
      </c>
      <c r="M156" s="8" t="str">
        <f>+VLOOKUP(K156,'Correl CIIU'!$A$1:$F$26,3,FALSE)</f>
        <v>Manufacturas</v>
      </c>
      <c r="N156" s="8" t="str">
        <f>+VLOOKUP(K156,'Correl CIIU'!$A$1:$F$26,4,FALSE)</f>
        <v>Manufacturing</v>
      </c>
      <c r="O156" s="8">
        <v>1</v>
      </c>
      <c r="P156" s="31" t="str">
        <f>+VLOOKUP(O156,bio!$A$2:$B$4,2,FALSE)</f>
        <v>Bioeconomía</v>
      </c>
    </row>
    <row r="157" spans="1:16" x14ac:dyDescent="0.35">
      <c r="A157" s="30" t="s">
        <v>639</v>
      </c>
      <c r="B157" s="20" t="s">
        <v>149</v>
      </c>
      <c r="C157" s="9" t="str">
        <f>+VLOOKUP(B157,'transacciones '!$A$2:$I$39,2,FALSE)</f>
        <v>ATC01</v>
      </c>
      <c r="D157" s="9" t="str">
        <f>+VLOOKUP(B157,'transacciones '!$A$2:$I$39,3,FALSE)</f>
        <v>Producción / Consumo intermedio</v>
      </c>
      <c r="E157" s="9" t="str">
        <f>+VLOOKUP(B157,'transacciones '!$A$2:$I$39,4,FALSE)</f>
        <v>Consumo</v>
      </c>
      <c r="F157" s="9">
        <f>+VLOOKUP(B157,'transacciones '!$A$2:$I$39,5,FALSE)</f>
        <v>2</v>
      </c>
      <c r="G157" s="9" t="str">
        <f>+VLOOKUP(B157,'transacciones '!$A$2:$I$39,6,FALSE)</f>
        <v>P2</v>
      </c>
      <c r="H157" s="9" t="str">
        <f>+VLOOKUP(B157,'transacciones '!$A$2:$I$39,7,FALSE)</f>
        <v>Consumo intermedio</v>
      </c>
      <c r="I157" s="18" t="s">
        <v>61</v>
      </c>
      <c r="J157" s="18" t="s">
        <v>317</v>
      </c>
      <c r="K157" s="8" t="s">
        <v>20</v>
      </c>
      <c r="L157" s="8" t="str">
        <f>+VLOOKUP(K157,'Correl CIIU'!$A$1:$F$26,2,FALSE)</f>
        <v>Industrias manufactureras</v>
      </c>
      <c r="M157" s="8" t="str">
        <f>+VLOOKUP(K157,'Correl CIIU'!$A$1:$F$26,3,FALSE)</f>
        <v>Manufacturas</v>
      </c>
      <c r="N157" s="8" t="str">
        <f>+VLOOKUP(K157,'Correl CIIU'!$A$1:$F$26,4,FALSE)</f>
        <v>Manufacturing</v>
      </c>
      <c r="O157" s="8">
        <v>1</v>
      </c>
      <c r="P157" s="31" t="str">
        <f>+VLOOKUP(O157,bio!$A$2:$B$4,2,FALSE)</f>
        <v>Bioeconomía</v>
      </c>
    </row>
    <row r="158" spans="1:16" x14ac:dyDescent="0.35">
      <c r="A158" s="30" t="s">
        <v>640</v>
      </c>
      <c r="B158" s="20" t="s">
        <v>149</v>
      </c>
      <c r="C158" s="9" t="str">
        <f>+VLOOKUP(B158,'transacciones '!$A$2:$I$39,2,FALSE)</f>
        <v>ATC01</v>
      </c>
      <c r="D158" s="9" t="str">
        <f>+VLOOKUP(B158,'transacciones '!$A$2:$I$39,3,FALSE)</f>
        <v>Producción / Consumo intermedio</v>
      </c>
      <c r="E158" s="9" t="str">
        <f>+VLOOKUP(B158,'transacciones '!$A$2:$I$39,4,FALSE)</f>
        <v>Consumo</v>
      </c>
      <c r="F158" s="9">
        <f>+VLOOKUP(B158,'transacciones '!$A$2:$I$39,5,FALSE)</f>
        <v>2</v>
      </c>
      <c r="G158" s="9" t="str">
        <f>+VLOOKUP(B158,'transacciones '!$A$2:$I$39,6,FALSE)</f>
        <v>P2</v>
      </c>
      <c r="H158" s="9" t="str">
        <f>+VLOOKUP(B158,'transacciones '!$A$2:$I$39,7,FALSE)</f>
        <v>Consumo intermedio</v>
      </c>
      <c r="I158" s="18" t="s">
        <v>64</v>
      </c>
      <c r="J158" s="18" t="s">
        <v>318</v>
      </c>
      <c r="K158" s="8" t="s">
        <v>20</v>
      </c>
      <c r="L158" s="8" t="str">
        <f>+VLOOKUP(K158,'Correl CIIU'!$A$1:$F$26,2,FALSE)</f>
        <v>Industrias manufactureras</v>
      </c>
      <c r="M158" s="8" t="str">
        <f>+VLOOKUP(K158,'Correl CIIU'!$A$1:$F$26,3,FALSE)</f>
        <v>Manufacturas</v>
      </c>
      <c r="N158" s="8" t="str">
        <f>+VLOOKUP(K158,'Correl CIIU'!$A$1:$F$26,4,FALSE)</f>
        <v>Manufacturing</v>
      </c>
      <c r="O158" s="8">
        <v>2</v>
      </c>
      <c r="P158" s="31" t="str">
        <f>+VLOOKUP(O158,bio!$A$2:$B$4,2,FALSE)</f>
        <v>Bioeconomía extendida</v>
      </c>
    </row>
    <row r="159" spans="1:16" x14ac:dyDescent="0.35">
      <c r="A159" s="30" t="s">
        <v>641</v>
      </c>
      <c r="B159" s="20" t="s">
        <v>149</v>
      </c>
      <c r="C159" s="9" t="str">
        <f>+VLOOKUP(B159,'transacciones '!$A$2:$I$39,2,FALSE)</f>
        <v>ATC01</v>
      </c>
      <c r="D159" s="9" t="str">
        <f>+VLOOKUP(B159,'transacciones '!$A$2:$I$39,3,FALSE)</f>
        <v>Producción / Consumo intermedio</v>
      </c>
      <c r="E159" s="9" t="str">
        <f>+VLOOKUP(B159,'transacciones '!$A$2:$I$39,4,FALSE)</f>
        <v>Consumo</v>
      </c>
      <c r="F159" s="9">
        <f>+VLOOKUP(B159,'transacciones '!$A$2:$I$39,5,FALSE)</f>
        <v>2</v>
      </c>
      <c r="G159" s="9" t="str">
        <f>+VLOOKUP(B159,'transacciones '!$A$2:$I$39,6,FALSE)</f>
        <v>P2</v>
      </c>
      <c r="H159" s="9" t="str">
        <f>+VLOOKUP(B159,'transacciones '!$A$2:$I$39,7,FALSE)</f>
        <v>Consumo intermedio</v>
      </c>
      <c r="I159" s="18" t="s">
        <v>319</v>
      </c>
      <c r="J159" s="18" t="s">
        <v>320</v>
      </c>
      <c r="K159" s="8" t="s">
        <v>20</v>
      </c>
      <c r="L159" s="8" t="str">
        <f>+VLOOKUP(K159,'Correl CIIU'!$A$1:$F$26,2,FALSE)</f>
        <v>Industrias manufactureras</v>
      </c>
      <c r="M159" s="8" t="str">
        <f>+VLOOKUP(K159,'Correl CIIU'!$A$1:$F$26,3,FALSE)</f>
        <v>Manufacturas</v>
      </c>
      <c r="N159" s="8" t="str">
        <f>+VLOOKUP(K159,'Correl CIIU'!$A$1:$F$26,4,FALSE)</f>
        <v>Manufacturing</v>
      </c>
      <c r="O159" s="8">
        <v>2</v>
      </c>
      <c r="P159" s="31" t="str">
        <f>+VLOOKUP(O159,bio!$A$2:$B$4,2,FALSE)</f>
        <v>Bioeconomía extendida</v>
      </c>
    </row>
    <row r="160" spans="1:16" x14ac:dyDescent="0.35">
      <c r="A160" s="30" t="s">
        <v>642</v>
      </c>
      <c r="B160" s="20" t="s">
        <v>149</v>
      </c>
      <c r="C160" s="9" t="str">
        <f>+VLOOKUP(B160,'transacciones '!$A$2:$I$39,2,FALSE)</f>
        <v>ATC01</v>
      </c>
      <c r="D160" s="9" t="str">
        <f>+VLOOKUP(B160,'transacciones '!$A$2:$I$39,3,FALSE)</f>
        <v>Producción / Consumo intermedio</v>
      </c>
      <c r="E160" s="9" t="str">
        <f>+VLOOKUP(B160,'transacciones '!$A$2:$I$39,4,FALSE)</f>
        <v>Consumo</v>
      </c>
      <c r="F160" s="9">
        <f>+VLOOKUP(B160,'transacciones '!$A$2:$I$39,5,FALSE)</f>
        <v>2</v>
      </c>
      <c r="G160" s="9" t="str">
        <f>+VLOOKUP(B160,'transacciones '!$A$2:$I$39,6,FALSE)</f>
        <v>P2</v>
      </c>
      <c r="H160" s="9" t="str">
        <f>+VLOOKUP(B160,'transacciones '!$A$2:$I$39,7,FALSE)</f>
        <v>Consumo intermedio</v>
      </c>
      <c r="I160" s="18" t="s">
        <v>321</v>
      </c>
      <c r="J160" s="18" t="s">
        <v>322</v>
      </c>
      <c r="K160" s="8" t="s">
        <v>20</v>
      </c>
      <c r="L160" s="8" t="str">
        <f>+VLOOKUP(K160,'Correl CIIU'!$A$1:$F$26,2,FALSE)</f>
        <v>Industrias manufactureras</v>
      </c>
      <c r="M160" s="8" t="str">
        <f>+VLOOKUP(K160,'Correl CIIU'!$A$1:$F$26,3,FALSE)</f>
        <v>Manufacturas</v>
      </c>
      <c r="N160" s="8" t="str">
        <f>+VLOOKUP(K160,'Correl CIIU'!$A$1:$F$26,4,FALSE)</f>
        <v>Manufacturing</v>
      </c>
      <c r="O160" s="8">
        <v>1</v>
      </c>
      <c r="P160" s="31" t="str">
        <f>+VLOOKUP(O160,bio!$A$2:$B$4,2,FALSE)</f>
        <v>Bioeconomía</v>
      </c>
    </row>
    <row r="161" spans="1:16" x14ac:dyDescent="0.35">
      <c r="A161" s="30" t="s">
        <v>643</v>
      </c>
      <c r="B161" s="20" t="s">
        <v>149</v>
      </c>
      <c r="C161" s="9" t="str">
        <f>+VLOOKUP(B161,'transacciones '!$A$2:$I$39,2,FALSE)</f>
        <v>ATC01</v>
      </c>
      <c r="D161" s="9" t="str">
        <f>+VLOOKUP(B161,'transacciones '!$A$2:$I$39,3,FALSE)</f>
        <v>Producción / Consumo intermedio</v>
      </c>
      <c r="E161" s="9" t="str">
        <f>+VLOOKUP(B161,'transacciones '!$A$2:$I$39,4,FALSE)</f>
        <v>Consumo</v>
      </c>
      <c r="F161" s="9">
        <f>+VLOOKUP(B161,'transacciones '!$A$2:$I$39,5,FALSE)</f>
        <v>2</v>
      </c>
      <c r="G161" s="9" t="str">
        <f>+VLOOKUP(B161,'transacciones '!$A$2:$I$39,6,FALSE)</f>
        <v>P2</v>
      </c>
      <c r="H161" s="9" t="str">
        <f>+VLOOKUP(B161,'transacciones '!$A$2:$I$39,7,FALSE)</f>
        <v>Consumo intermedio</v>
      </c>
      <c r="I161" s="18" t="s">
        <v>323</v>
      </c>
      <c r="J161" s="18" t="s">
        <v>324</v>
      </c>
      <c r="K161" s="8" t="s">
        <v>20</v>
      </c>
      <c r="L161" s="8" t="str">
        <f>+VLOOKUP(K161,'Correl CIIU'!$A$1:$F$26,2,FALSE)</f>
        <v>Industrias manufactureras</v>
      </c>
      <c r="M161" s="8" t="str">
        <f>+VLOOKUP(K161,'Correl CIIU'!$A$1:$F$26,3,FALSE)</f>
        <v>Manufacturas</v>
      </c>
      <c r="N161" s="8" t="str">
        <f>+VLOOKUP(K161,'Correl CIIU'!$A$1:$F$26,4,FALSE)</f>
        <v>Manufacturing</v>
      </c>
      <c r="O161" s="8">
        <v>2</v>
      </c>
      <c r="P161" s="31" t="str">
        <f>+VLOOKUP(O161,bio!$A$2:$B$4,2,FALSE)</f>
        <v>Bioeconomía extendida</v>
      </c>
    </row>
    <row r="162" spans="1:16" x14ac:dyDescent="0.35">
      <c r="A162" s="30" t="s">
        <v>644</v>
      </c>
      <c r="B162" s="20" t="s">
        <v>149</v>
      </c>
      <c r="C162" s="9" t="str">
        <f>+VLOOKUP(B162,'transacciones '!$A$2:$I$39,2,FALSE)</f>
        <v>ATC01</v>
      </c>
      <c r="D162" s="9" t="str">
        <f>+VLOOKUP(B162,'transacciones '!$A$2:$I$39,3,FALSE)</f>
        <v>Producción / Consumo intermedio</v>
      </c>
      <c r="E162" s="9" t="str">
        <f>+VLOOKUP(B162,'transacciones '!$A$2:$I$39,4,FALSE)</f>
        <v>Consumo</v>
      </c>
      <c r="F162" s="9">
        <f>+VLOOKUP(B162,'transacciones '!$A$2:$I$39,5,FALSE)</f>
        <v>2</v>
      </c>
      <c r="G162" s="9" t="str">
        <f>+VLOOKUP(B162,'transacciones '!$A$2:$I$39,6,FALSE)</f>
        <v>P2</v>
      </c>
      <c r="H162" s="9" t="str">
        <f>+VLOOKUP(B162,'transacciones '!$A$2:$I$39,7,FALSE)</f>
        <v>Consumo intermedio</v>
      </c>
      <c r="I162" s="18" t="s">
        <v>325</v>
      </c>
      <c r="J162" s="18" t="s">
        <v>326</v>
      </c>
      <c r="K162" s="8" t="s">
        <v>20</v>
      </c>
      <c r="L162" s="8" t="str">
        <f>+VLOOKUP(K162,'Correl CIIU'!$A$1:$F$26,2,FALSE)</f>
        <v>Industrias manufactureras</v>
      </c>
      <c r="M162" s="8" t="str">
        <f>+VLOOKUP(K162,'Correl CIIU'!$A$1:$F$26,3,FALSE)</f>
        <v>Manufacturas</v>
      </c>
      <c r="N162" s="8" t="str">
        <f>+VLOOKUP(K162,'Correl CIIU'!$A$1:$F$26,4,FALSE)</f>
        <v>Manufacturing</v>
      </c>
      <c r="O162" s="8">
        <v>1</v>
      </c>
      <c r="P162" s="31" t="str">
        <f>+VLOOKUP(O162,bio!$A$2:$B$4,2,FALSE)</f>
        <v>Bioeconomía</v>
      </c>
    </row>
    <row r="163" spans="1:16" x14ac:dyDescent="0.35">
      <c r="A163" s="30" t="s">
        <v>645</v>
      </c>
      <c r="B163" s="20" t="s">
        <v>149</v>
      </c>
      <c r="C163" s="9" t="str">
        <f>+VLOOKUP(B163,'transacciones '!$A$2:$I$39,2,FALSE)</f>
        <v>ATC01</v>
      </c>
      <c r="D163" s="9" t="str">
        <f>+VLOOKUP(B163,'transacciones '!$A$2:$I$39,3,FALSE)</f>
        <v>Producción / Consumo intermedio</v>
      </c>
      <c r="E163" s="9" t="str">
        <f>+VLOOKUP(B163,'transacciones '!$A$2:$I$39,4,FALSE)</f>
        <v>Consumo</v>
      </c>
      <c r="F163" s="9">
        <f>+VLOOKUP(B163,'transacciones '!$A$2:$I$39,5,FALSE)</f>
        <v>2</v>
      </c>
      <c r="G163" s="9" t="str">
        <f>+VLOOKUP(B163,'transacciones '!$A$2:$I$39,6,FALSE)</f>
        <v>P2</v>
      </c>
      <c r="H163" s="9" t="str">
        <f>+VLOOKUP(B163,'transacciones '!$A$2:$I$39,7,FALSE)</f>
        <v>Consumo intermedio</v>
      </c>
      <c r="I163" s="18" t="s">
        <v>327</v>
      </c>
      <c r="J163" s="18" t="s">
        <v>328</v>
      </c>
      <c r="K163" s="8" t="s">
        <v>20</v>
      </c>
      <c r="L163" s="8" t="str">
        <f>+VLOOKUP(K163,'Correl CIIU'!$A$1:$F$26,2,FALSE)</f>
        <v>Industrias manufactureras</v>
      </c>
      <c r="M163" s="8" t="str">
        <f>+VLOOKUP(K163,'Correl CIIU'!$A$1:$F$26,3,FALSE)</f>
        <v>Manufacturas</v>
      </c>
      <c r="N163" s="8" t="str">
        <f>+VLOOKUP(K163,'Correl CIIU'!$A$1:$F$26,4,FALSE)</f>
        <v>Manufacturing</v>
      </c>
      <c r="O163" s="8">
        <v>1</v>
      </c>
      <c r="P163" s="31" t="str">
        <f>+VLOOKUP(O163,bio!$A$2:$B$4,2,FALSE)</f>
        <v>Bioeconomía</v>
      </c>
    </row>
    <row r="164" spans="1:16" x14ac:dyDescent="0.35">
      <c r="A164" s="30" t="s">
        <v>646</v>
      </c>
      <c r="B164" s="20" t="s">
        <v>149</v>
      </c>
      <c r="C164" s="9" t="str">
        <f>+VLOOKUP(B164,'transacciones '!$A$2:$I$39,2,FALSE)</f>
        <v>ATC01</v>
      </c>
      <c r="D164" s="9" t="str">
        <f>+VLOOKUP(B164,'transacciones '!$A$2:$I$39,3,FALSE)</f>
        <v>Producción / Consumo intermedio</v>
      </c>
      <c r="E164" s="9" t="str">
        <f>+VLOOKUP(B164,'transacciones '!$A$2:$I$39,4,FALSE)</f>
        <v>Consumo</v>
      </c>
      <c r="F164" s="9">
        <f>+VLOOKUP(B164,'transacciones '!$A$2:$I$39,5,FALSE)</f>
        <v>2</v>
      </c>
      <c r="G164" s="9" t="str">
        <f>+VLOOKUP(B164,'transacciones '!$A$2:$I$39,6,FALSE)</f>
        <v>P2</v>
      </c>
      <c r="H164" s="9" t="str">
        <f>+VLOOKUP(B164,'transacciones '!$A$2:$I$39,7,FALSE)</f>
        <v>Consumo intermedio</v>
      </c>
      <c r="I164" s="18" t="s">
        <v>329</v>
      </c>
      <c r="J164" s="18" t="s">
        <v>330</v>
      </c>
      <c r="K164" s="8" t="s">
        <v>20</v>
      </c>
      <c r="L164" s="8" t="str">
        <f>+VLOOKUP(K164,'Correl CIIU'!$A$1:$F$26,2,FALSE)</f>
        <v>Industrias manufactureras</v>
      </c>
      <c r="M164" s="8" t="str">
        <f>+VLOOKUP(K164,'Correl CIIU'!$A$1:$F$26,3,FALSE)</f>
        <v>Manufacturas</v>
      </c>
      <c r="N164" s="8" t="str">
        <f>+VLOOKUP(K164,'Correl CIIU'!$A$1:$F$26,4,FALSE)</f>
        <v>Manufacturing</v>
      </c>
      <c r="O164" s="8">
        <v>1</v>
      </c>
      <c r="P164" s="31" t="str">
        <f>+VLOOKUP(O164,bio!$A$2:$B$4,2,FALSE)</f>
        <v>Bioeconomía</v>
      </c>
    </row>
    <row r="165" spans="1:16" x14ac:dyDescent="0.35">
      <c r="A165" s="30" t="s">
        <v>647</v>
      </c>
      <c r="B165" s="20" t="s">
        <v>149</v>
      </c>
      <c r="C165" s="9" t="str">
        <f>+VLOOKUP(B165,'transacciones '!$A$2:$I$39,2,FALSE)</f>
        <v>ATC01</v>
      </c>
      <c r="D165" s="9" t="str">
        <f>+VLOOKUP(B165,'transacciones '!$A$2:$I$39,3,FALSE)</f>
        <v>Producción / Consumo intermedio</v>
      </c>
      <c r="E165" s="9" t="str">
        <f>+VLOOKUP(B165,'transacciones '!$A$2:$I$39,4,FALSE)</f>
        <v>Consumo</v>
      </c>
      <c r="F165" s="9">
        <f>+VLOOKUP(B165,'transacciones '!$A$2:$I$39,5,FALSE)</f>
        <v>2</v>
      </c>
      <c r="G165" s="9" t="str">
        <f>+VLOOKUP(B165,'transacciones '!$A$2:$I$39,6,FALSE)</f>
        <v>P2</v>
      </c>
      <c r="H165" s="9" t="str">
        <f>+VLOOKUP(B165,'transacciones '!$A$2:$I$39,7,FALSE)</f>
        <v>Consumo intermedio</v>
      </c>
      <c r="I165" s="18" t="s">
        <v>331</v>
      </c>
      <c r="J165" s="18" t="s">
        <v>332</v>
      </c>
      <c r="K165" s="8" t="s">
        <v>20</v>
      </c>
      <c r="L165" s="8" t="str">
        <f>+VLOOKUP(K165,'Correl CIIU'!$A$1:$F$26,2,FALSE)</f>
        <v>Industrias manufactureras</v>
      </c>
      <c r="M165" s="8" t="str">
        <f>+VLOOKUP(K165,'Correl CIIU'!$A$1:$F$26,3,FALSE)</f>
        <v>Manufacturas</v>
      </c>
      <c r="N165" s="8" t="str">
        <f>+VLOOKUP(K165,'Correl CIIU'!$A$1:$F$26,4,FALSE)</f>
        <v>Manufacturing</v>
      </c>
      <c r="O165" s="8">
        <v>1</v>
      </c>
      <c r="P165" s="31" t="str">
        <f>+VLOOKUP(O165,bio!$A$2:$B$4,2,FALSE)</f>
        <v>Bioeconomía</v>
      </c>
    </row>
    <row r="166" spans="1:16" x14ac:dyDescent="0.35">
      <c r="A166" s="30" t="s">
        <v>648</v>
      </c>
      <c r="B166" s="20" t="s">
        <v>149</v>
      </c>
      <c r="C166" s="9" t="str">
        <f>+VLOOKUP(B166,'transacciones '!$A$2:$I$39,2,FALSE)</f>
        <v>ATC01</v>
      </c>
      <c r="D166" s="9" t="str">
        <f>+VLOOKUP(B166,'transacciones '!$A$2:$I$39,3,FALSE)</f>
        <v>Producción / Consumo intermedio</v>
      </c>
      <c r="E166" s="9" t="str">
        <f>+VLOOKUP(B166,'transacciones '!$A$2:$I$39,4,FALSE)</f>
        <v>Consumo</v>
      </c>
      <c r="F166" s="9">
        <f>+VLOOKUP(B166,'transacciones '!$A$2:$I$39,5,FALSE)</f>
        <v>2</v>
      </c>
      <c r="G166" s="9" t="str">
        <f>+VLOOKUP(B166,'transacciones '!$A$2:$I$39,6,FALSE)</f>
        <v>P2</v>
      </c>
      <c r="H166" s="9" t="str">
        <f>+VLOOKUP(B166,'transacciones '!$A$2:$I$39,7,FALSE)</f>
        <v>Consumo intermedio</v>
      </c>
      <c r="I166" s="18" t="s">
        <v>333</v>
      </c>
      <c r="J166" s="18" t="s">
        <v>334</v>
      </c>
      <c r="K166" s="8" t="s">
        <v>20</v>
      </c>
      <c r="L166" s="8" t="str">
        <f>+VLOOKUP(K166,'Correl CIIU'!$A$1:$F$26,2,FALSE)</f>
        <v>Industrias manufactureras</v>
      </c>
      <c r="M166" s="8" t="str">
        <f>+VLOOKUP(K166,'Correl CIIU'!$A$1:$F$26,3,FALSE)</f>
        <v>Manufacturas</v>
      </c>
      <c r="N166" s="8" t="str">
        <f>+VLOOKUP(K166,'Correl CIIU'!$A$1:$F$26,4,FALSE)</f>
        <v>Manufacturing</v>
      </c>
      <c r="O166" s="8">
        <v>2</v>
      </c>
      <c r="P166" s="31" t="str">
        <f>+VLOOKUP(O166,bio!$A$2:$B$4,2,FALSE)</f>
        <v>Bioeconomía extendida</v>
      </c>
    </row>
    <row r="167" spans="1:16" x14ac:dyDescent="0.35">
      <c r="A167" s="30" t="s">
        <v>649</v>
      </c>
      <c r="B167" s="20" t="s">
        <v>149</v>
      </c>
      <c r="C167" s="9" t="str">
        <f>+VLOOKUP(B167,'transacciones '!$A$2:$I$39,2,FALSE)</f>
        <v>ATC01</v>
      </c>
      <c r="D167" s="9" t="str">
        <f>+VLOOKUP(B167,'transacciones '!$A$2:$I$39,3,FALSE)</f>
        <v>Producción / Consumo intermedio</v>
      </c>
      <c r="E167" s="9" t="str">
        <f>+VLOOKUP(B167,'transacciones '!$A$2:$I$39,4,FALSE)</f>
        <v>Consumo</v>
      </c>
      <c r="F167" s="9">
        <f>+VLOOKUP(B167,'transacciones '!$A$2:$I$39,5,FALSE)</f>
        <v>2</v>
      </c>
      <c r="G167" s="9" t="str">
        <f>+VLOOKUP(B167,'transacciones '!$A$2:$I$39,6,FALSE)</f>
        <v>P2</v>
      </c>
      <c r="H167" s="9" t="str">
        <f>+VLOOKUP(B167,'transacciones '!$A$2:$I$39,7,FALSE)</f>
        <v>Consumo intermedio</v>
      </c>
      <c r="I167" s="18" t="s">
        <v>335</v>
      </c>
      <c r="J167" s="18" t="s">
        <v>336</v>
      </c>
      <c r="K167" s="8" t="s">
        <v>20</v>
      </c>
      <c r="L167" s="8" t="str">
        <f>+VLOOKUP(K167,'Correl CIIU'!$A$1:$F$26,2,FALSE)</f>
        <v>Industrias manufactureras</v>
      </c>
      <c r="M167" s="8" t="str">
        <f>+VLOOKUP(K167,'Correl CIIU'!$A$1:$F$26,3,FALSE)</f>
        <v>Manufacturas</v>
      </c>
      <c r="N167" s="8" t="str">
        <f>+VLOOKUP(K167,'Correl CIIU'!$A$1:$F$26,4,FALSE)</f>
        <v>Manufacturing</v>
      </c>
      <c r="O167" s="8">
        <v>3</v>
      </c>
      <c r="P167" s="31" t="str">
        <f>+VLOOKUP(O167,bio!$A$2:$B$4,2,FALSE)</f>
        <v>No bioeconomía</v>
      </c>
    </row>
    <row r="168" spans="1:16" x14ac:dyDescent="0.35">
      <c r="A168" s="30" t="s">
        <v>650</v>
      </c>
      <c r="B168" s="20" t="s">
        <v>149</v>
      </c>
      <c r="C168" s="9" t="str">
        <f>+VLOOKUP(B168,'transacciones '!$A$2:$I$39,2,FALSE)</f>
        <v>ATC01</v>
      </c>
      <c r="D168" s="9" t="str">
        <f>+VLOOKUP(B168,'transacciones '!$A$2:$I$39,3,FALSE)</f>
        <v>Producción / Consumo intermedio</v>
      </c>
      <c r="E168" s="9" t="str">
        <f>+VLOOKUP(B168,'transacciones '!$A$2:$I$39,4,FALSE)</f>
        <v>Consumo</v>
      </c>
      <c r="F168" s="9">
        <f>+VLOOKUP(B168,'transacciones '!$A$2:$I$39,5,FALSE)</f>
        <v>2</v>
      </c>
      <c r="G168" s="9" t="str">
        <f>+VLOOKUP(B168,'transacciones '!$A$2:$I$39,6,FALSE)</f>
        <v>P2</v>
      </c>
      <c r="H168" s="9" t="str">
        <f>+VLOOKUP(B168,'transacciones '!$A$2:$I$39,7,FALSE)</f>
        <v>Consumo intermedio</v>
      </c>
      <c r="I168" s="18" t="s">
        <v>337</v>
      </c>
      <c r="J168" s="18" t="s">
        <v>338</v>
      </c>
      <c r="K168" s="8" t="s">
        <v>20</v>
      </c>
      <c r="L168" s="8" t="str">
        <f>+VLOOKUP(K168,'Correl CIIU'!$A$1:$F$26,2,FALSE)</f>
        <v>Industrias manufactureras</v>
      </c>
      <c r="M168" s="8" t="str">
        <f>+VLOOKUP(K168,'Correl CIIU'!$A$1:$F$26,3,FALSE)</f>
        <v>Manufacturas</v>
      </c>
      <c r="N168" s="8" t="str">
        <f>+VLOOKUP(K168,'Correl CIIU'!$A$1:$F$26,4,FALSE)</f>
        <v>Manufacturing</v>
      </c>
      <c r="O168" s="8">
        <v>3</v>
      </c>
      <c r="P168" s="31" t="str">
        <f>+VLOOKUP(O168,bio!$A$2:$B$4,2,FALSE)</f>
        <v>No bioeconomía</v>
      </c>
    </row>
    <row r="169" spans="1:16" x14ac:dyDescent="0.35">
      <c r="A169" s="30" t="s">
        <v>651</v>
      </c>
      <c r="B169" s="20" t="s">
        <v>149</v>
      </c>
      <c r="C169" s="9" t="str">
        <f>+VLOOKUP(B169,'transacciones '!$A$2:$I$39,2,FALSE)</f>
        <v>ATC01</v>
      </c>
      <c r="D169" s="9" t="str">
        <f>+VLOOKUP(B169,'transacciones '!$A$2:$I$39,3,FALSE)</f>
        <v>Producción / Consumo intermedio</v>
      </c>
      <c r="E169" s="9" t="str">
        <f>+VLOOKUP(B169,'transacciones '!$A$2:$I$39,4,FALSE)</f>
        <v>Consumo</v>
      </c>
      <c r="F169" s="9">
        <f>+VLOOKUP(B169,'transacciones '!$A$2:$I$39,5,FALSE)</f>
        <v>2</v>
      </c>
      <c r="G169" s="9" t="str">
        <f>+VLOOKUP(B169,'transacciones '!$A$2:$I$39,6,FALSE)</f>
        <v>P2</v>
      </c>
      <c r="H169" s="9" t="str">
        <f>+VLOOKUP(B169,'transacciones '!$A$2:$I$39,7,FALSE)</f>
        <v>Consumo intermedio</v>
      </c>
      <c r="I169" s="18" t="s">
        <v>339</v>
      </c>
      <c r="J169" s="18" t="s">
        <v>340</v>
      </c>
      <c r="K169" s="8" t="s">
        <v>20</v>
      </c>
      <c r="L169" s="8" t="str">
        <f>+VLOOKUP(K169,'Correl CIIU'!$A$1:$F$26,2,FALSE)</f>
        <v>Industrias manufactureras</v>
      </c>
      <c r="M169" s="8" t="str">
        <f>+VLOOKUP(K169,'Correl CIIU'!$A$1:$F$26,3,FALSE)</f>
        <v>Manufacturas</v>
      </c>
      <c r="N169" s="8" t="str">
        <f>+VLOOKUP(K169,'Correl CIIU'!$A$1:$F$26,4,FALSE)</f>
        <v>Manufacturing</v>
      </c>
      <c r="O169" s="8">
        <v>2</v>
      </c>
      <c r="P169" s="31" t="str">
        <f>+VLOOKUP(O169,bio!$A$2:$B$4,2,FALSE)</f>
        <v>Bioeconomía extendida</v>
      </c>
    </row>
    <row r="170" spans="1:16" x14ac:dyDescent="0.35">
      <c r="A170" s="30" t="s">
        <v>652</v>
      </c>
      <c r="B170" s="20" t="s">
        <v>149</v>
      </c>
      <c r="C170" s="9" t="str">
        <f>+VLOOKUP(B170,'transacciones '!$A$2:$I$39,2,FALSE)</f>
        <v>ATC01</v>
      </c>
      <c r="D170" s="9" t="str">
        <f>+VLOOKUP(B170,'transacciones '!$A$2:$I$39,3,FALSE)</f>
        <v>Producción / Consumo intermedio</v>
      </c>
      <c r="E170" s="9" t="str">
        <f>+VLOOKUP(B170,'transacciones '!$A$2:$I$39,4,FALSE)</f>
        <v>Consumo</v>
      </c>
      <c r="F170" s="9">
        <f>+VLOOKUP(B170,'transacciones '!$A$2:$I$39,5,FALSE)</f>
        <v>2</v>
      </c>
      <c r="G170" s="9" t="str">
        <f>+VLOOKUP(B170,'transacciones '!$A$2:$I$39,6,FALSE)</f>
        <v>P2</v>
      </c>
      <c r="H170" s="9" t="str">
        <f>+VLOOKUP(B170,'transacciones '!$A$2:$I$39,7,FALSE)</f>
        <v>Consumo intermedio</v>
      </c>
      <c r="I170" s="18" t="s">
        <v>341</v>
      </c>
      <c r="J170" s="18" t="s">
        <v>342</v>
      </c>
      <c r="K170" s="8" t="s">
        <v>20</v>
      </c>
      <c r="L170" s="8" t="str">
        <f>+VLOOKUP(K170,'Correl CIIU'!$A$1:$F$26,2,FALSE)</f>
        <v>Industrias manufactureras</v>
      </c>
      <c r="M170" s="8" t="str">
        <f>+VLOOKUP(K170,'Correl CIIU'!$A$1:$F$26,3,FALSE)</f>
        <v>Manufacturas</v>
      </c>
      <c r="N170" s="8" t="str">
        <f>+VLOOKUP(K170,'Correl CIIU'!$A$1:$F$26,4,FALSE)</f>
        <v>Manufacturing</v>
      </c>
      <c r="O170" s="8">
        <v>3</v>
      </c>
      <c r="P170" s="31" t="str">
        <f>+VLOOKUP(O170,bio!$A$2:$B$4,2,FALSE)</f>
        <v>No bioeconomía</v>
      </c>
    </row>
    <row r="171" spans="1:16" x14ac:dyDescent="0.35">
      <c r="A171" s="30" t="s">
        <v>653</v>
      </c>
      <c r="B171" s="20" t="s">
        <v>149</v>
      </c>
      <c r="C171" s="9" t="str">
        <f>+VLOOKUP(B171,'transacciones '!$A$2:$I$39,2,FALSE)</f>
        <v>ATC01</v>
      </c>
      <c r="D171" s="9" t="str">
        <f>+VLOOKUP(B171,'transacciones '!$A$2:$I$39,3,FALSE)</f>
        <v>Producción / Consumo intermedio</v>
      </c>
      <c r="E171" s="9" t="str">
        <f>+VLOOKUP(B171,'transacciones '!$A$2:$I$39,4,FALSE)</f>
        <v>Consumo</v>
      </c>
      <c r="F171" s="9">
        <f>+VLOOKUP(B171,'transacciones '!$A$2:$I$39,5,FALSE)</f>
        <v>2</v>
      </c>
      <c r="G171" s="9" t="str">
        <f>+VLOOKUP(B171,'transacciones '!$A$2:$I$39,6,FALSE)</f>
        <v>P2</v>
      </c>
      <c r="H171" s="9" t="str">
        <f>+VLOOKUP(B171,'transacciones '!$A$2:$I$39,7,FALSE)</f>
        <v>Consumo intermedio</v>
      </c>
      <c r="I171" s="18" t="s">
        <v>343</v>
      </c>
      <c r="J171" s="18" t="s">
        <v>344</v>
      </c>
      <c r="K171" s="8" t="s">
        <v>20</v>
      </c>
      <c r="L171" s="8" t="str">
        <f>+VLOOKUP(K171,'Correl CIIU'!$A$1:$F$26,2,FALSE)</f>
        <v>Industrias manufactureras</v>
      </c>
      <c r="M171" s="8" t="str">
        <f>+VLOOKUP(K171,'Correl CIIU'!$A$1:$F$26,3,FALSE)</f>
        <v>Manufacturas</v>
      </c>
      <c r="N171" s="8" t="str">
        <f>+VLOOKUP(K171,'Correl CIIU'!$A$1:$F$26,4,FALSE)</f>
        <v>Manufacturing</v>
      </c>
      <c r="O171" s="8">
        <v>2</v>
      </c>
      <c r="P171" s="31" t="str">
        <f>+VLOOKUP(O171,bio!$A$2:$B$4,2,FALSE)</f>
        <v>Bioeconomía extendida</v>
      </c>
    </row>
    <row r="172" spans="1:16" x14ac:dyDescent="0.35">
      <c r="A172" s="30" t="s">
        <v>654</v>
      </c>
      <c r="B172" s="20" t="s">
        <v>149</v>
      </c>
      <c r="C172" s="9" t="str">
        <f>+VLOOKUP(B172,'transacciones '!$A$2:$I$39,2,FALSE)</f>
        <v>ATC01</v>
      </c>
      <c r="D172" s="9" t="str">
        <f>+VLOOKUP(B172,'transacciones '!$A$2:$I$39,3,FALSE)</f>
        <v>Producción / Consumo intermedio</v>
      </c>
      <c r="E172" s="9" t="str">
        <f>+VLOOKUP(B172,'transacciones '!$A$2:$I$39,4,FALSE)</f>
        <v>Consumo</v>
      </c>
      <c r="F172" s="9">
        <f>+VLOOKUP(B172,'transacciones '!$A$2:$I$39,5,FALSE)</f>
        <v>2</v>
      </c>
      <c r="G172" s="9" t="str">
        <f>+VLOOKUP(B172,'transacciones '!$A$2:$I$39,6,FALSE)</f>
        <v>P2</v>
      </c>
      <c r="H172" s="9" t="str">
        <f>+VLOOKUP(B172,'transacciones '!$A$2:$I$39,7,FALSE)</f>
        <v>Consumo intermedio</v>
      </c>
      <c r="I172" s="18" t="s">
        <v>345</v>
      </c>
      <c r="J172" s="18" t="s">
        <v>346</v>
      </c>
      <c r="K172" s="8" t="s">
        <v>20</v>
      </c>
      <c r="L172" s="8" t="str">
        <f>+VLOOKUP(K172,'Correl CIIU'!$A$1:$F$26,2,FALSE)</f>
        <v>Industrias manufactureras</v>
      </c>
      <c r="M172" s="8" t="str">
        <f>+VLOOKUP(K172,'Correl CIIU'!$A$1:$F$26,3,FALSE)</f>
        <v>Manufacturas</v>
      </c>
      <c r="N172" s="8" t="str">
        <f>+VLOOKUP(K172,'Correl CIIU'!$A$1:$F$26,4,FALSE)</f>
        <v>Manufacturing</v>
      </c>
      <c r="O172" s="8">
        <v>2</v>
      </c>
      <c r="P172" s="31" t="str">
        <f>+VLOOKUP(O172,bio!$A$2:$B$4,2,FALSE)</f>
        <v>Bioeconomía extendida</v>
      </c>
    </row>
    <row r="173" spans="1:16" x14ac:dyDescent="0.35">
      <c r="A173" s="30" t="s">
        <v>655</v>
      </c>
      <c r="B173" s="20" t="s">
        <v>149</v>
      </c>
      <c r="C173" s="9" t="str">
        <f>+VLOOKUP(B173,'transacciones '!$A$2:$I$39,2,FALSE)</f>
        <v>ATC01</v>
      </c>
      <c r="D173" s="9" t="str">
        <f>+VLOOKUP(B173,'transacciones '!$A$2:$I$39,3,FALSE)</f>
        <v>Producción / Consumo intermedio</v>
      </c>
      <c r="E173" s="9" t="str">
        <f>+VLOOKUP(B173,'transacciones '!$A$2:$I$39,4,FALSE)</f>
        <v>Consumo</v>
      </c>
      <c r="F173" s="9">
        <f>+VLOOKUP(B173,'transacciones '!$A$2:$I$39,5,FALSE)</f>
        <v>2</v>
      </c>
      <c r="G173" s="9" t="str">
        <f>+VLOOKUP(B173,'transacciones '!$A$2:$I$39,6,FALSE)</f>
        <v>P2</v>
      </c>
      <c r="H173" s="9" t="str">
        <f>+VLOOKUP(B173,'transacciones '!$A$2:$I$39,7,FALSE)</f>
        <v>Consumo intermedio</v>
      </c>
      <c r="I173" s="18" t="s">
        <v>347</v>
      </c>
      <c r="J173" s="18" t="s">
        <v>348</v>
      </c>
      <c r="K173" s="8" t="s">
        <v>20</v>
      </c>
      <c r="L173" s="8" t="str">
        <f>+VLOOKUP(K173,'Correl CIIU'!$A$1:$F$26,2,FALSE)</f>
        <v>Industrias manufactureras</v>
      </c>
      <c r="M173" s="8" t="str">
        <f>+VLOOKUP(K173,'Correl CIIU'!$A$1:$F$26,3,FALSE)</f>
        <v>Manufacturas</v>
      </c>
      <c r="N173" s="8" t="str">
        <f>+VLOOKUP(K173,'Correl CIIU'!$A$1:$F$26,4,FALSE)</f>
        <v>Manufacturing</v>
      </c>
      <c r="O173" s="8">
        <v>3</v>
      </c>
      <c r="P173" s="31" t="str">
        <f>+VLOOKUP(O173,bio!$A$2:$B$4,2,FALSE)</f>
        <v>No bioeconomía</v>
      </c>
    </row>
    <row r="174" spans="1:16" x14ac:dyDescent="0.35">
      <c r="A174" s="30" t="s">
        <v>656</v>
      </c>
      <c r="B174" s="20" t="s">
        <v>149</v>
      </c>
      <c r="C174" s="9" t="str">
        <f>+VLOOKUP(B174,'transacciones '!$A$2:$I$39,2,FALSE)</f>
        <v>ATC01</v>
      </c>
      <c r="D174" s="9" t="str">
        <f>+VLOOKUP(B174,'transacciones '!$A$2:$I$39,3,FALSE)</f>
        <v>Producción / Consumo intermedio</v>
      </c>
      <c r="E174" s="9" t="str">
        <f>+VLOOKUP(B174,'transacciones '!$A$2:$I$39,4,FALSE)</f>
        <v>Consumo</v>
      </c>
      <c r="F174" s="9">
        <f>+VLOOKUP(B174,'transacciones '!$A$2:$I$39,5,FALSE)</f>
        <v>2</v>
      </c>
      <c r="G174" s="9" t="str">
        <f>+VLOOKUP(B174,'transacciones '!$A$2:$I$39,6,FALSE)</f>
        <v>P2</v>
      </c>
      <c r="H174" s="9" t="str">
        <f>+VLOOKUP(B174,'transacciones '!$A$2:$I$39,7,FALSE)</f>
        <v>Consumo intermedio</v>
      </c>
      <c r="I174" s="18" t="s">
        <v>349</v>
      </c>
      <c r="J174" s="18" t="s">
        <v>350</v>
      </c>
      <c r="K174" s="8" t="s">
        <v>20</v>
      </c>
      <c r="L174" s="8" t="str">
        <f>+VLOOKUP(K174,'Correl CIIU'!$A$1:$F$26,2,FALSE)</f>
        <v>Industrias manufactureras</v>
      </c>
      <c r="M174" s="8" t="str">
        <f>+VLOOKUP(K174,'Correl CIIU'!$A$1:$F$26,3,FALSE)</f>
        <v>Manufacturas</v>
      </c>
      <c r="N174" s="8" t="str">
        <f>+VLOOKUP(K174,'Correl CIIU'!$A$1:$F$26,4,FALSE)</f>
        <v>Manufacturing</v>
      </c>
      <c r="O174" s="8">
        <v>3</v>
      </c>
      <c r="P174" s="31" t="str">
        <f>+VLOOKUP(O174,bio!$A$2:$B$4,2,FALSE)</f>
        <v>No bioeconomía</v>
      </c>
    </row>
    <row r="175" spans="1:16" x14ac:dyDescent="0.35">
      <c r="A175" s="30" t="s">
        <v>657</v>
      </c>
      <c r="B175" s="20" t="s">
        <v>149</v>
      </c>
      <c r="C175" s="9" t="str">
        <f>+VLOOKUP(B175,'transacciones '!$A$2:$I$39,2,FALSE)</f>
        <v>ATC01</v>
      </c>
      <c r="D175" s="9" t="str">
        <f>+VLOOKUP(B175,'transacciones '!$A$2:$I$39,3,FALSE)</f>
        <v>Producción / Consumo intermedio</v>
      </c>
      <c r="E175" s="9" t="str">
        <f>+VLOOKUP(B175,'transacciones '!$A$2:$I$39,4,FALSE)</f>
        <v>Consumo</v>
      </c>
      <c r="F175" s="9">
        <f>+VLOOKUP(B175,'transacciones '!$A$2:$I$39,5,FALSE)</f>
        <v>2</v>
      </c>
      <c r="G175" s="9" t="str">
        <f>+VLOOKUP(B175,'transacciones '!$A$2:$I$39,6,FALSE)</f>
        <v>P2</v>
      </c>
      <c r="H175" s="9" t="str">
        <f>+VLOOKUP(B175,'transacciones '!$A$2:$I$39,7,FALSE)</f>
        <v>Consumo intermedio</v>
      </c>
      <c r="I175" s="18" t="s">
        <v>351</v>
      </c>
      <c r="J175" s="18" t="s">
        <v>352</v>
      </c>
      <c r="K175" s="8" t="s">
        <v>20</v>
      </c>
      <c r="L175" s="8" t="str">
        <f>+VLOOKUP(K175,'Correl CIIU'!$A$1:$F$26,2,FALSE)</f>
        <v>Industrias manufactureras</v>
      </c>
      <c r="M175" s="8" t="str">
        <f>+VLOOKUP(K175,'Correl CIIU'!$A$1:$F$26,3,FALSE)</f>
        <v>Manufacturas</v>
      </c>
      <c r="N175" s="8" t="str">
        <f>+VLOOKUP(K175,'Correl CIIU'!$A$1:$F$26,4,FALSE)</f>
        <v>Manufacturing</v>
      </c>
      <c r="O175" s="8">
        <v>3</v>
      </c>
      <c r="P175" s="31" t="str">
        <f>+VLOOKUP(O175,bio!$A$2:$B$4,2,FALSE)</f>
        <v>No bioeconomía</v>
      </c>
    </row>
    <row r="176" spans="1:16" x14ac:dyDescent="0.35">
      <c r="A176" s="30" t="s">
        <v>658</v>
      </c>
      <c r="B176" s="20" t="s">
        <v>149</v>
      </c>
      <c r="C176" s="9" t="str">
        <f>+VLOOKUP(B176,'transacciones '!$A$2:$I$39,2,FALSE)</f>
        <v>ATC01</v>
      </c>
      <c r="D176" s="9" t="str">
        <f>+VLOOKUP(B176,'transacciones '!$A$2:$I$39,3,FALSE)</f>
        <v>Producción / Consumo intermedio</v>
      </c>
      <c r="E176" s="9" t="str">
        <f>+VLOOKUP(B176,'transacciones '!$A$2:$I$39,4,FALSE)</f>
        <v>Consumo</v>
      </c>
      <c r="F176" s="9">
        <f>+VLOOKUP(B176,'transacciones '!$A$2:$I$39,5,FALSE)</f>
        <v>2</v>
      </c>
      <c r="G176" s="9" t="str">
        <f>+VLOOKUP(B176,'transacciones '!$A$2:$I$39,6,FALSE)</f>
        <v>P2</v>
      </c>
      <c r="H176" s="9" t="str">
        <f>+VLOOKUP(B176,'transacciones '!$A$2:$I$39,7,FALSE)</f>
        <v>Consumo intermedio</v>
      </c>
      <c r="I176" s="18" t="s">
        <v>353</v>
      </c>
      <c r="J176" s="18" t="s">
        <v>354</v>
      </c>
      <c r="K176" s="8" t="s">
        <v>20</v>
      </c>
      <c r="L176" s="8" t="str">
        <f>+VLOOKUP(K176,'Correl CIIU'!$A$1:$F$26,2,FALSE)</f>
        <v>Industrias manufactureras</v>
      </c>
      <c r="M176" s="8" t="str">
        <f>+VLOOKUP(K176,'Correl CIIU'!$A$1:$F$26,3,FALSE)</f>
        <v>Manufacturas</v>
      </c>
      <c r="N176" s="8" t="str">
        <f>+VLOOKUP(K176,'Correl CIIU'!$A$1:$F$26,4,FALSE)</f>
        <v>Manufacturing</v>
      </c>
      <c r="O176" s="8">
        <v>3</v>
      </c>
      <c r="P176" s="31" t="str">
        <f>+VLOOKUP(O176,bio!$A$2:$B$4,2,FALSE)</f>
        <v>No bioeconomía</v>
      </c>
    </row>
    <row r="177" spans="1:16" x14ac:dyDescent="0.35">
      <c r="A177" s="30" t="s">
        <v>659</v>
      </c>
      <c r="B177" s="20" t="s">
        <v>149</v>
      </c>
      <c r="C177" s="9" t="str">
        <f>+VLOOKUP(B177,'transacciones '!$A$2:$I$39,2,FALSE)</f>
        <v>ATC01</v>
      </c>
      <c r="D177" s="9" t="str">
        <f>+VLOOKUP(B177,'transacciones '!$A$2:$I$39,3,FALSE)</f>
        <v>Producción / Consumo intermedio</v>
      </c>
      <c r="E177" s="9" t="str">
        <f>+VLOOKUP(B177,'transacciones '!$A$2:$I$39,4,FALSE)</f>
        <v>Consumo</v>
      </c>
      <c r="F177" s="9">
        <f>+VLOOKUP(B177,'transacciones '!$A$2:$I$39,5,FALSE)</f>
        <v>2</v>
      </c>
      <c r="G177" s="9" t="str">
        <f>+VLOOKUP(B177,'transacciones '!$A$2:$I$39,6,FALSE)</f>
        <v>P2</v>
      </c>
      <c r="H177" s="9" t="str">
        <f>+VLOOKUP(B177,'transacciones '!$A$2:$I$39,7,FALSE)</f>
        <v>Consumo intermedio</v>
      </c>
      <c r="I177" s="18" t="s">
        <v>355</v>
      </c>
      <c r="J177" s="18" t="s">
        <v>356</v>
      </c>
      <c r="K177" s="8" t="s">
        <v>20</v>
      </c>
      <c r="L177" s="8" t="str">
        <f>+VLOOKUP(K177,'Correl CIIU'!$A$1:$F$26,2,FALSE)</f>
        <v>Industrias manufactureras</v>
      </c>
      <c r="M177" s="8" t="str">
        <f>+VLOOKUP(K177,'Correl CIIU'!$A$1:$F$26,3,FALSE)</f>
        <v>Manufacturas</v>
      </c>
      <c r="N177" s="8" t="str">
        <f>+VLOOKUP(K177,'Correl CIIU'!$A$1:$F$26,4,FALSE)</f>
        <v>Manufacturing</v>
      </c>
      <c r="O177" s="8">
        <v>3</v>
      </c>
      <c r="P177" s="31" t="str">
        <f>+VLOOKUP(O177,bio!$A$2:$B$4,2,FALSE)</f>
        <v>No bioeconomía</v>
      </c>
    </row>
    <row r="178" spans="1:16" x14ac:dyDescent="0.35">
      <c r="A178" s="30" t="s">
        <v>660</v>
      </c>
      <c r="B178" s="20" t="s">
        <v>149</v>
      </c>
      <c r="C178" s="9" t="str">
        <f>+VLOOKUP(B178,'transacciones '!$A$2:$I$39,2,FALSE)</f>
        <v>ATC01</v>
      </c>
      <c r="D178" s="9" t="str">
        <f>+VLOOKUP(B178,'transacciones '!$A$2:$I$39,3,FALSE)</f>
        <v>Producción / Consumo intermedio</v>
      </c>
      <c r="E178" s="9" t="str">
        <f>+VLOOKUP(B178,'transacciones '!$A$2:$I$39,4,FALSE)</f>
        <v>Consumo</v>
      </c>
      <c r="F178" s="9">
        <f>+VLOOKUP(B178,'transacciones '!$A$2:$I$39,5,FALSE)</f>
        <v>2</v>
      </c>
      <c r="G178" s="9" t="str">
        <f>+VLOOKUP(B178,'transacciones '!$A$2:$I$39,6,FALSE)</f>
        <v>P2</v>
      </c>
      <c r="H178" s="9" t="str">
        <f>+VLOOKUP(B178,'transacciones '!$A$2:$I$39,7,FALSE)</f>
        <v>Consumo intermedio</v>
      </c>
      <c r="I178" s="18" t="s">
        <v>357</v>
      </c>
      <c r="J178" s="18" t="s">
        <v>358</v>
      </c>
      <c r="K178" s="8" t="s">
        <v>20</v>
      </c>
      <c r="L178" s="8" t="str">
        <f>+VLOOKUP(K178,'Correl CIIU'!$A$1:$F$26,2,FALSE)</f>
        <v>Industrias manufactureras</v>
      </c>
      <c r="M178" s="8" t="str">
        <f>+VLOOKUP(K178,'Correl CIIU'!$A$1:$F$26,3,FALSE)</f>
        <v>Manufacturas</v>
      </c>
      <c r="N178" s="8" t="str">
        <f>+VLOOKUP(K178,'Correl CIIU'!$A$1:$F$26,4,FALSE)</f>
        <v>Manufacturing</v>
      </c>
      <c r="O178" s="8">
        <v>3</v>
      </c>
      <c r="P178" s="31" t="str">
        <f>+VLOOKUP(O178,bio!$A$2:$B$4,2,FALSE)</f>
        <v>No bioeconomía</v>
      </c>
    </row>
    <row r="179" spans="1:16" x14ac:dyDescent="0.35">
      <c r="A179" s="30" t="s">
        <v>661</v>
      </c>
      <c r="B179" s="20" t="s">
        <v>149</v>
      </c>
      <c r="C179" s="9" t="str">
        <f>+VLOOKUP(B179,'transacciones '!$A$2:$I$39,2,FALSE)</f>
        <v>ATC01</v>
      </c>
      <c r="D179" s="9" t="str">
        <f>+VLOOKUP(B179,'transacciones '!$A$2:$I$39,3,FALSE)</f>
        <v>Producción / Consumo intermedio</v>
      </c>
      <c r="E179" s="9" t="str">
        <f>+VLOOKUP(B179,'transacciones '!$A$2:$I$39,4,FALSE)</f>
        <v>Consumo</v>
      </c>
      <c r="F179" s="9">
        <f>+VLOOKUP(B179,'transacciones '!$A$2:$I$39,5,FALSE)</f>
        <v>2</v>
      </c>
      <c r="G179" s="9" t="str">
        <f>+VLOOKUP(B179,'transacciones '!$A$2:$I$39,6,FALSE)</f>
        <v>P2</v>
      </c>
      <c r="H179" s="9" t="str">
        <f>+VLOOKUP(B179,'transacciones '!$A$2:$I$39,7,FALSE)</f>
        <v>Consumo intermedio</v>
      </c>
      <c r="I179" s="18" t="s">
        <v>359</v>
      </c>
      <c r="J179" s="18" t="s">
        <v>360</v>
      </c>
      <c r="K179" s="8" t="s">
        <v>20</v>
      </c>
      <c r="L179" s="8" t="str">
        <f>+VLOOKUP(K179,'Correl CIIU'!$A$1:$F$26,2,FALSE)</f>
        <v>Industrias manufactureras</v>
      </c>
      <c r="M179" s="8" t="str">
        <f>+VLOOKUP(K179,'Correl CIIU'!$A$1:$F$26,3,FALSE)</f>
        <v>Manufacturas</v>
      </c>
      <c r="N179" s="8" t="str">
        <f>+VLOOKUP(K179,'Correl CIIU'!$A$1:$F$26,4,FALSE)</f>
        <v>Manufacturing</v>
      </c>
      <c r="O179" s="8">
        <v>3</v>
      </c>
      <c r="P179" s="31" t="str">
        <f>+VLOOKUP(O179,bio!$A$2:$B$4,2,FALSE)</f>
        <v>No bioeconomía</v>
      </c>
    </row>
    <row r="180" spans="1:16" x14ac:dyDescent="0.35">
      <c r="A180" s="30" t="s">
        <v>662</v>
      </c>
      <c r="B180" s="20" t="s">
        <v>149</v>
      </c>
      <c r="C180" s="9" t="str">
        <f>+VLOOKUP(B180,'transacciones '!$A$2:$I$39,2,FALSE)</f>
        <v>ATC01</v>
      </c>
      <c r="D180" s="9" t="str">
        <f>+VLOOKUP(B180,'transacciones '!$A$2:$I$39,3,FALSE)</f>
        <v>Producción / Consumo intermedio</v>
      </c>
      <c r="E180" s="9" t="str">
        <f>+VLOOKUP(B180,'transacciones '!$A$2:$I$39,4,FALSE)</f>
        <v>Consumo</v>
      </c>
      <c r="F180" s="9">
        <f>+VLOOKUP(B180,'transacciones '!$A$2:$I$39,5,FALSE)</f>
        <v>2</v>
      </c>
      <c r="G180" s="9" t="str">
        <f>+VLOOKUP(B180,'transacciones '!$A$2:$I$39,6,FALSE)</f>
        <v>P2</v>
      </c>
      <c r="H180" s="9" t="str">
        <f>+VLOOKUP(B180,'transacciones '!$A$2:$I$39,7,FALSE)</f>
        <v>Consumo intermedio</v>
      </c>
      <c r="I180" s="18" t="s">
        <v>361</v>
      </c>
      <c r="J180" s="18" t="s">
        <v>362</v>
      </c>
      <c r="K180" s="8" t="s">
        <v>20</v>
      </c>
      <c r="L180" s="8" t="str">
        <f>+VLOOKUP(K180,'Correl CIIU'!$A$1:$F$26,2,FALSE)</f>
        <v>Industrias manufactureras</v>
      </c>
      <c r="M180" s="8" t="str">
        <f>+VLOOKUP(K180,'Correl CIIU'!$A$1:$F$26,3,FALSE)</f>
        <v>Manufacturas</v>
      </c>
      <c r="N180" s="8" t="str">
        <f>+VLOOKUP(K180,'Correl CIIU'!$A$1:$F$26,4,FALSE)</f>
        <v>Manufacturing</v>
      </c>
      <c r="O180" s="8">
        <v>3</v>
      </c>
      <c r="P180" s="31" t="str">
        <f>+VLOOKUP(O180,bio!$A$2:$B$4,2,FALSE)</f>
        <v>No bioeconomía</v>
      </c>
    </row>
    <row r="181" spans="1:16" x14ac:dyDescent="0.35">
      <c r="A181" s="30" t="s">
        <v>663</v>
      </c>
      <c r="B181" s="20" t="s">
        <v>149</v>
      </c>
      <c r="C181" s="9" t="str">
        <f>+VLOOKUP(B181,'transacciones '!$A$2:$I$39,2,FALSE)</f>
        <v>ATC01</v>
      </c>
      <c r="D181" s="9" t="str">
        <f>+VLOOKUP(B181,'transacciones '!$A$2:$I$39,3,FALSE)</f>
        <v>Producción / Consumo intermedio</v>
      </c>
      <c r="E181" s="9" t="str">
        <f>+VLOOKUP(B181,'transacciones '!$A$2:$I$39,4,FALSE)</f>
        <v>Consumo</v>
      </c>
      <c r="F181" s="9">
        <f>+VLOOKUP(B181,'transacciones '!$A$2:$I$39,5,FALSE)</f>
        <v>2</v>
      </c>
      <c r="G181" s="9" t="str">
        <f>+VLOOKUP(B181,'transacciones '!$A$2:$I$39,6,FALSE)</f>
        <v>P2</v>
      </c>
      <c r="H181" s="9" t="str">
        <f>+VLOOKUP(B181,'transacciones '!$A$2:$I$39,7,FALSE)</f>
        <v>Consumo intermedio</v>
      </c>
      <c r="I181" s="18" t="s">
        <v>363</v>
      </c>
      <c r="J181" s="18" t="s">
        <v>364</v>
      </c>
      <c r="K181" s="8" t="s">
        <v>20</v>
      </c>
      <c r="L181" s="8" t="str">
        <f>+VLOOKUP(K181,'Correl CIIU'!$A$1:$F$26,2,FALSE)</f>
        <v>Industrias manufactureras</v>
      </c>
      <c r="M181" s="8" t="str">
        <f>+VLOOKUP(K181,'Correl CIIU'!$A$1:$F$26,3,FALSE)</f>
        <v>Manufacturas</v>
      </c>
      <c r="N181" s="8" t="str">
        <f>+VLOOKUP(K181,'Correl CIIU'!$A$1:$F$26,4,FALSE)</f>
        <v>Manufacturing</v>
      </c>
      <c r="O181" s="8">
        <v>3</v>
      </c>
      <c r="P181" s="31" t="str">
        <f>+VLOOKUP(O181,bio!$A$2:$B$4,2,FALSE)</f>
        <v>No bioeconomía</v>
      </c>
    </row>
    <row r="182" spans="1:16" x14ac:dyDescent="0.35">
      <c r="A182" s="30" t="s">
        <v>664</v>
      </c>
      <c r="B182" s="20" t="s">
        <v>149</v>
      </c>
      <c r="C182" s="9" t="str">
        <f>+VLOOKUP(B182,'transacciones '!$A$2:$I$39,2,FALSE)</f>
        <v>ATC01</v>
      </c>
      <c r="D182" s="9" t="str">
        <f>+VLOOKUP(B182,'transacciones '!$A$2:$I$39,3,FALSE)</f>
        <v>Producción / Consumo intermedio</v>
      </c>
      <c r="E182" s="9" t="str">
        <f>+VLOOKUP(B182,'transacciones '!$A$2:$I$39,4,FALSE)</f>
        <v>Consumo</v>
      </c>
      <c r="F182" s="9">
        <f>+VLOOKUP(B182,'transacciones '!$A$2:$I$39,5,FALSE)</f>
        <v>2</v>
      </c>
      <c r="G182" s="9" t="str">
        <f>+VLOOKUP(B182,'transacciones '!$A$2:$I$39,6,FALSE)</f>
        <v>P2</v>
      </c>
      <c r="H182" s="9" t="str">
        <f>+VLOOKUP(B182,'transacciones '!$A$2:$I$39,7,FALSE)</f>
        <v>Consumo intermedio</v>
      </c>
      <c r="I182" s="18" t="s">
        <v>365</v>
      </c>
      <c r="J182" s="18" t="s">
        <v>366</v>
      </c>
      <c r="K182" s="8" t="s">
        <v>20</v>
      </c>
      <c r="L182" s="8" t="str">
        <f>+VLOOKUP(K182,'Correl CIIU'!$A$1:$F$26,2,FALSE)</f>
        <v>Industrias manufactureras</v>
      </c>
      <c r="M182" s="8" t="str">
        <f>+VLOOKUP(K182,'Correl CIIU'!$A$1:$F$26,3,FALSE)</f>
        <v>Manufacturas</v>
      </c>
      <c r="N182" s="8" t="str">
        <f>+VLOOKUP(K182,'Correl CIIU'!$A$1:$F$26,4,FALSE)</f>
        <v>Manufacturing</v>
      </c>
      <c r="O182" s="8">
        <v>3</v>
      </c>
      <c r="P182" s="31" t="str">
        <f>+VLOOKUP(O182,bio!$A$2:$B$4,2,FALSE)</f>
        <v>No bioeconomía</v>
      </c>
    </row>
    <row r="183" spans="1:16" x14ac:dyDescent="0.35">
      <c r="A183" s="30" t="s">
        <v>665</v>
      </c>
      <c r="B183" s="20" t="s">
        <v>149</v>
      </c>
      <c r="C183" s="9" t="str">
        <f>+VLOOKUP(B183,'transacciones '!$A$2:$I$39,2,FALSE)</f>
        <v>ATC01</v>
      </c>
      <c r="D183" s="9" t="str">
        <f>+VLOOKUP(B183,'transacciones '!$A$2:$I$39,3,FALSE)</f>
        <v>Producción / Consumo intermedio</v>
      </c>
      <c r="E183" s="9" t="str">
        <f>+VLOOKUP(B183,'transacciones '!$A$2:$I$39,4,FALSE)</f>
        <v>Consumo</v>
      </c>
      <c r="F183" s="9">
        <f>+VLOOKUP(B183,'transacciones '!$A$2:$I$39,5,FALSE)</f>
        <v>2</v>
      </c>
      <c r="G183" s="9" t="str">
        <f>+VLOOKUP(B183,'transacciones '!$A$2:$I$39,6,FALSE)</f>
        <v>P2</v>
      </c>
      <c r="H183" s="9" t="str">
        <f>+VLOOKUP(B183,'transacciones '!$A$2:$I$39,7,FALSE)</f>
        <v>Consumo intermedio</v>
      </c>
      <c r="I183" s="18" t="s">
        <v>367</v>
      </c>
      <c r="J183" s="18" t="s">
        <v>368</v>
      </c>
      <c r="K183" s="8" t="s">
        <v>20</v>
      </c>
      <c r="L183" s="8" t="str">
        <f>+VLOOKUP(K183,'Correl CIIU'!$A$1:$F$26,2,FALSE)</f>
        <v>Industrias manufactureras</v>
      </c>
      <c r="M183" s="8" t="str">
        <f>+VLOOKUP(K183,'Correl CIIU'!$A$1:$F$26,3,FALSE)</f>
        <v>Manufacturas</v>
      </c>
      <c r="N183" s="8" t="str">
        <f>+VLOOKUP(K183,'Correl CIIU'!$A$1:$F$26,4,FALSE)</f>
        <v>Manufacturing</v>
      </c>
      <c r="O183" s="8">
        <v>3</v>
      </c>
      <c r="P183" s="31" t="str">
        <f>+VLOOKUP(O183,bio!$A$2:$B$4,2,FALSE)</f>
        <v>No bioeconomía</v>
      </c>
    </row>
    <row r="184" spans="1:16" x14ac:dyDescent="0.35">
      <c r="A184" s="30" t="s">
        <v>666</v>
      </c>
      <c r="B184" s="20" t="s">
        <v>149</v>
      </c>
      <c r="C184" s="9" t="str">
        <f>+VLOOKUP(B184,'transacciones '!$A$2:$I$39,2,FALSE)</f>
        <v>ATC01</v>
      </c>
      <c r="D184" s="9" t="str">
        <f>+VLOOKUP(B184,'transacciones '!$A$2:$I$39,3,FALSE)</f>
        <v>Producción / Consumo intermedio</v>
      </c>
      <c r="E184" s="9" t="str">
        <f>+VLOOKUP(B184,'transacciones '!$A$2:$I$39,4,FALSE)</f>
        <v>Consumo</v>
      </c>
      <c r="F184" s="9">
        <f>+VLOOKUP(B184,'transacciones '!$A$2:$I$39,5,FALSE)</f>
        <v>2</v>
      </c>
      <c r="G184" s="9" t="str">
        <f>+VLOOKUP(B184,'transacciones '!$A$2:$I$39,6,FALSE)</f>
        <v>P2</v>
      </c>
      <c r="H184" s="9" t="str">
        <f>+VLOOKUP(B184,'transacciones '!$A$2:$I$39,7,FALSE)</f>
        <v>Consumo intermedio</v>
      </c>
      <c r="I184" s="18" t="s">
        <v>369</v>
      </c>
      <c r="J184" s="18" t="s">
        <v>370</v>
      </c>
      <c r="K184" s="8" t="s">
        <v>20</v>
      </c>
      <c r="L184" s="8" t="str">
        <f>+VLOOKUP(K184,'Correl CIIU'!$A$1:$F$26,2,FALSE)</f>
        <v>Industrias manufactureras</v>
      </c>
      <c r="M184" s="8" t="str">
        <f>+VLOOKUP(K184,'Correl CIIU'!$A$1:$F$26,3,FALSE)</f>
        <v>Manufacturas</v>
      </c>
      <c r="N184" s="8" t="str">
        <f>+VLOOKUP(K184,'Correl CIIU'!$A$1:$F$26,4,FALSE)</f>
        <v>Manufacturing</v>
      </c>
      <c r="O184" s="8">
        <v>3</v>
      </c>
      <c r="P184" s="31" t="str">
        <f>+VLOOKUP(O184,bio!$A$2:$B$4,2,FALSE)</f>
        <v>No bioeconomía</v>
      </c>
    </row>
    <row r="185" spans="1:16" x14ac:dyDescent="0.35">
      <c r="A185" s="30" t="s">
        <v>667</v>
      </c>
      <c r="B185" s="20" t="s">
        <v>149</v>
      </c>
      <c r="C185" s="9" t="str">
        <f>+VLOOKUP(B185,'transacciones '!$A$2:$I$39,2,FALSE)</f>
        <v>ATC01</v>
      </c>
      <c r="D185" s="9" t="str">
        <f>+VLOOKUP(B185,'transacciones '!$A$2:$I$39,3,FALSE)</f>
        <v>Producción / Consumo intermedio</v>
      </c>
      <c r="E185" s="9" t="str">
        <f>+VLOOKUP(B185,'transacciones '!$A$2:$I$39,4,FALSE)</f>
        <v>Consumo</v>
      </c>
      <c r="F185" s="9">
        <f>+VLOOKUP(B185,'transacciones '!$A$2:$I$39,5,FALSE)</f>
        <v>2</v>
      </c>
      <c r="G185" s="9" t="str">
        <f>+VLOOKUP(B185,'transacciones '!$A$2:$I$39,6,FALSE)</f>
        <v>P2</v>
      </c>
      <c r="H185" s="9" t="str">
        <f>+VLOOKUP(B185,'transacciones '!$A$2:$I$39,7,FALSE)</f>
        <v>Consumo intermedio</v>
      </c>
      <c r="I185" s="18" t="s">
        <v>371</v>
      </c>
      <c r="J185" s="18" t="s">
        <v>372</v>
      </c>
      <c r="K185" s="8" t="s">
        <v>20</v>
      </c>
      <c r="L185" s="8" t="str">
        <f>+VLOOKUP(K185,'Correl CIIU'!$A$1:$F$26,2,FALSE)</f>
        <v>Industrias manufactureras</v>
      </c>
      <c r="M185" s="8" t="str">
        <f>+VLOOKUP(K185,'Correl CIIU'!$A$1:$F$26,3,FALSE)</f>
        <v>Manufacturas</v>
      </c>
      <c r="N185" s="8" t="str">
        <f>+VLOOKUP(K185,'Correl CIIU'!$A$1:$F$26,4,FALSE)</f>
        <v>Manufacturing</v>
      </c>
      <c r="O185" s="8">
        <v>3</v>
      </c>
      <c r="P185" s="31" t="str">
        <f>+VLOOKUP(O185,bio!$A$2:$B$4,2,FALSE)</f>
        <v>No bioeconomía</v>
      </c>
    </row>
    <row r="186" spans="1:16" x14ac:dyDescent="0.35">
      <c r="A186" s="30" t="s">
        <v>668</v>
      </c>
      <c r="B186" s="20" t="s">
        <v>149</v>
      </c>
      <c r="C186" s="9" t="str">
        <f>+VLOOKUP(B186,'transacciones '!$A$2:$I$39,2,FALSE)</f>
        <v>ATC01</v>
      </c>
      <c r="D186" s="9" t="str">
        <f>+VLOOKUP(B186,'transacciones '!$A$2:$I$39,3,FALSE)</f>
        <v>Producción / Consumo intermedio</v>
      </c>
      <c r="E186" s="9" t="str">
        <f>+VLOOKUP(B186,'transacciones '!$A$2:$I$39,4,FALSE)</f>
        <v>Consumo</v>
      </c>
      <c r="F186" s="9">
        <f>+VLOOKUP(B186,'transacciones '!$A$2:$I$39,5,FALSE)</f>
        <v>2</v>
      </c>
      <c r="G186" s="9" t="str">
        <f>+VLOOKUP(B186,'transacciones '!$A$2:$I$39,6,FALSE)</f>
        <v>P2</v>
      </c>
      <c r="H186" s="9" t="str">
        <f>+VLOOKUP(B186,'transacciones '!$A$2:$I$39,7,FALSE)</f>
        <v>Consumo intermedio</v>
      </c>
      <c r="I186" s="18" t="s">
        <v>373</v>
      </c>
      <c r="J186" s="18" t="s">
        <v>374</v>
      </c>
      <c r="K186" s="8" t="s">
        <v>20</v>
      </c>
      <c r="L186" s="8" t="str">
        <f>+VLOOKUP(K186,'Correl CIIU'!$A$1:$F$26,2,FALSE)</f>
        <v>Industrias manufactureras</v>
      </c>
      <c r="M186" s="8" t="str">
        <f>+VLOOKUP(K186,'Correl CIIU'!$A$1:$F$26,3,FALSE)</f>
        <v>Manufacturas</v>
      </c>
      <c r="N186" s="8" t="str">
        <f>+VLOOKUP(K186,'Correl CIIU'!$A$1:$F$26,4,FALSE)</f>
        <v>Manufacturing</v>
      </c>
      <c r="O186" s="8">
        <v>3</v>
      </c>
      <c r="P186" s="31" t="str">
        <f>+VLOOKUP(O186,bio!$A$2:$B$4,2,FALSE)</f>
        <v>No bioeconomía</v>
      </c>
    </row>
    <row r="187" spans="1:16" x14ac:dyDescent="0.35">
      <c r="A187" s="30" t="s">
        <v>669</v>
      </c>
      <c r="B187" s="20" t="s">
        <v>149</v>
      </c>
      <c r="C187" s="9" t="str">
        <f>+VLOOKUP(B187,'transacciones '!$A$2:$I$39,2,FALSE)</f>
        <v>ATC01</v>
      </c>
      <c r="D187" s="9" t="str">
        <f>+VLOOKUP(B187,'transacciones '!$A$2:$I$39,3,FALSE)</f>
        <v>Producción / Consumo intermedio</v>
      </c>
      <c r="E187" s="9" t="str">
        <f>+VLOOKUP(B187,'transacciones '!$A$2:$I$39,4,FALSE)</f>
        <v>Consumo</v>
      </c>
      <c r="F187" s="9">
        <f>+VLOOKUP(B187,'transacciones '!$A$2:$I$39,5,FALSE)</f>
        <v>2</v>
      </c>
      <c r="G187" s="9" t="str">
        <f>+VLOOKUP(B187,'transacciones '!$A$2:$I$39,6,FALSE)</f>
        <v>P2</v>
      </c>
      <c r="H187" s="9" t="str">
        <f>+VLOOKUP(B187,'transacciones '!$A$2:$I$39,7,FALSE)</f>
        <v>Consumo intermedio</v>
      </c>
      <c r="I187" s="18" t="s">
        <v>375</v>
      </c>
      <c r="J187" s="18" t="s">
        <v>376</v>
      </c>
      <c r="K187" s="8" t="s">
        <v>30</v>
      </c>
      <c r="L187" s="8" t="str">
        <f>+VLOOKUP(K187,'Correl CIIU'!$A$1:$F$26,2,FALSE)</f>
        <v>Suministro de electricidad, gas, vapor y aire acondicionado</v>
      </c>
      <c r="M187" s="8" t="str">
        <f>+VLOOKUP(K187,'Correl CIIU'!$A$1:$F$26,3,FALSE)</f>
        <v>Servicios básicos</v>
      </c>
      <c r="N187" s="8" t="str">
        <f>+VLOOKUP(K187,'Correl CIIU'!$A$1:$F$26,4,FALSE)</f>
        <v>Electricity, gas, steam and air conditioning supply</v>
      </c>
      <c r="O187" s="8">
        <v>3</v>
      </c>
      <c r="P187" s="31" t="str">
        <f>+VLOOKUP(O187,bio!$A$2:$B$4,2,FALSE)</f>
        <v>No bioeconomía</v>
      </c>
    </row>
    <row r="188" spans="1:16" x14ac:dyDescent="0.35">
      <c r="A188" s="30" t="s">
        <v>670</v>
      </c>
      <c r="B188" s="20" t="s">
        <v>149</v>
      </c>
      <c r="C188" s="9" t="str">
        <f>+VLOOKUP(B188,'transacciones '!$A$2:$I$39,2,FALSE)</f>
        <v>ATC01</v>
      </c>
      <c r="D188" s="9" t="str">
        <f>+VLOOKUP(B188,'transacciones '!$A$2:$I$39,3,FALSE)</f>
        <v>Producción / Consumo intermedio</v>
      </c>
      <c r="E188" s="9" t="str">
        <f>+VLOOKUP(B188,'transacciones '!$A$2:$I$39,4,FALSE)</f>
        <v>Consumo</v>
      </c>
      <c r="F188" s="9">
        <f>+VLOOKUP(B188,'transacciones '!$A$2:$I$39,5,FALSE)</f>
        <v>2</v>
      </c>
      <c r="G188" s="9" t="str">
        <f>+VLOOKUP(B188,'transacciones '!$A$2:$I$39,6,FALSE)</f>
        <v>P2</v>
      </c>
      <c r="H188" s="9" t="str">
        <f>+VLOOKUP(B188,'transacciones '!$A$2:$I$39,7,FALSE)</f>
        <v>Consumo intermedio</v>
      </c>
      <c r="I188" s="18" t="s">
        <v>377</v>
      </c>
      <c r="J188" s="18" t="s">
        <v>378</v>
      </c>
      <c r="K188" s="8" t="s">
        <v>30</v>
      </c>
      <c r="L188" s="8" t="str">
        <f>+VLOOKUP(K188,'Correl CIIU'!$A$1:$F$26,2,FALSE)</f>
        <v>Suministro de electricidad, gas, vapor y aire acondicionado</v>
      </c>
      <c r="M188" s="8" t="str">
        <f>+VLOOKUP(K188,'Correl CIIU'!$A$1:$F$26,3,FALSE)</f>
        <v>Servicios básicos</v>
      </c>
      <c r="N188" s="8" t="str">
        <f>+VLOOKUP(K188,'Correl CIIU'!$A$1:$F$26,4,FALSE)</f>
        <v>Electricity, gas, steam and air conditioning supply</v>
      </c>
      <c r="O188" s="8">
        <v>3</v>
      </c>
      <c r="P188" s="31" t="str">
        <f>+VLOOKUP(O188,bio!$A$2:$B$4,2,FALSE)</f>
        <v>No bioeconomía</v>
      </c>
    </row>
    <row r="189" spans="1:16" x14ac:dyDescent="0.35">
      <c r="A189" s="30" t="s">
        <v>671</v>
      </c>
      <c r="B189" s="20" t="s">
        <v>149</v>
      </c>
      <c r="C189" s="9" t="str">
        <f>+VLOOKUP(B189,'transacciones '!$A$2:$I$39,2,FALSE)</f>
        <v>ATC01</v>
      </c>
      <c r="D189" s="9" t="str">
        <f>+VLOOKUP(B189,'transacciones '!$A$2:$I$39,3,FALSE)</f>
        <v>Producción / Consumo intermedio</v>
      </c>
      <c r="E189" s="9" t="str">
        <f>+VLOOKUP(B189,'transacciones '!$A$2:$I$39,4,FALSE)</f>
        <v>Consumo</v>
      </c>
      <c r="F189" s="9">
        <f>+VLOOKUP(B189,'transacciones '!$A$2:$I$39,5,FALSE)</f>
        <v>2</v>
      </c>
      <c r="G189" s="9" t="str">
        <f>+VLOOKUP(B189,'transacciones '!$A$2:$I$39,6,FALSE)</f>
        <v>P2</v>
      </c>
      <c r="H189" s="9" t="str">
        <f>+VLOOKUP(B189,'transacciones '!$A$2:$I$39,7,FALSE)</f>
        <v>Consumo intermedio</v>
      </c>
      <c r="I189" s="18" t="s">
        <v>379</v>
      </c>
      <c r="J189" s="18" t="s">
        <v>380</v>
      </c>
      <c r="K189" s="8" t="s">
        <v>30</v>
      </c>
      <c r="L189" s="8" t="str">
        <f>+VLOOKUP(K189,'Correl CIIU'!$A$1:$F$26,2,FALSE)</f>
        <v>Suministro de electricidad, gas, vapor y aire acondicionado</v>
      </c>
      <c r="M189" s="8" t="str">
        <f>+VLOOKUP(K189,'Correl CIIU'!$A$1:$F$26,3,FALSE)</f>
        <v>Servicios básicos</v>
      </c>
      <c r="N189" s="8" t="str">
        <f>+VLOOKUP(K189,'Correl CIIU'!$A$1:$F$26,4,FALSE)</f>
        <v>Electricity, gas, steam and air conditioning supply</v>
      </c>
      <c r="O189" s="8">
        <v>3</v>
      </c>
      <c r="P189" s="31" t="str">
        <f>+VLOOKUP(O189,bio!$A$2:$B$4,2,FALSE)</f>
        <v>No bioeconomía</v>
      </c>
    </row>
    <row r="190" spans="1:16" x14ac:dyDescent="0.35">
      <c r="A190" s="30" t="s">
        <v>672</v>
      </c>
      <c r="B190" s="20" t="s">
        <v>149</v>
      </c>
      <c r="C190" s="9" t="str">
        <f>+VLOOKUP(B190,'transacciones '!$A$2:$I$39,2,FALSE)</f>
        <v>ATC01</v>
      </c>
      <c r="D190" s="9" t="str">
        <f>+VLOOKUP(B190,'transacciones '!$A$2:$I$39,3,FALSE)</f>
        <v>Producción / Consumo intermedio</v>
      </c>
      <c r="E190" s="9" t="str">
        <f>+VLOOKUP(B190,'transacciones '!$A$2:$I$39,4,FALSE)</f>
        <v>Consumo</v>
      </c>
      <c r="F190" s="9">
        <f>+VLOOKUP(B190,'transacciones '!$A$2:$I$39,5,FALSE)</f>
        <v>2</v>
      </c>
      <c r="G190" s="9" t="str">
        <f>+VLOOKUP(B190,'transacciones '!$A$2:$I$39,6,FALSE)</f>
        <v>P2</v>
      </c>
      <c r="H190" s="9" t="str">
        <f>+VLOOKUP(B190,'transacciones '!$A$2:$I$39,7,FALSE)</f>
        <v>Consumo intermedio</v>
      </c>
      <c r="I190" s="18" t="s">
        <v>381</v>
      </c>
      <c r="J190" s="18" t="s">
        <v>382</v>
      </c>
      <c r="K190" s="8" t="s">
        <v>30</v>
      </c>
      <c r="L190" s="8" t="str">
        <f>+VLOOKUP(K190,'Correl CIIU'!$A$1:$F$26,2,FALSE)</f>
        <v>Suministro de electricidad, gas, vapor y aire acondicionado</v>
      </c>
      <c r="M190" s="8" t="str">
        <f>+VLOOKUP(K190,'Correl CIIU'!$A$1:$F$26,3,FALSE)</f>
        <v>Servicios básicos</v>
      </c>
      <c r="N190" s="8" t="str">
        <f>+VLOOKUP(K190,'Correl CIIU'!$A$1:$F$26,4,FALSE)</f>
        <v>Electricity, gas, steam and air conditioning supply</v>
      </c>
      <c r="O190" s="8">
        <v>3</v>
      </c>
      <c r="P190" s="31" t="str">
        <f>+VLOOKUP(O190,bio!$A$2:$B$4,2,FALSE)</f>
        <v>No bioeconomía</v>
      </c>
    </row>
    <row r="191" spans="1:16" x14ac:dyDescent="0.35">
      <c r="A191" s="30" t="s">
        <v>673</v>
      </c>
      <c r="B191" s="20" t="s">
        <v>149</v>
      </c>
      <c r="C191" s="9" t="str">
        <f>+VLOOKUP(B191,'transacciones '!$A$2:$I$39,2,FALSE)</f>
        <v>ATC01</v>
      </c>
      <c r="D191" s="9" t="str">
        <f>+VLOOKUP(B191,'transacciones '!$A$2:$I$39,3,FALSE)</f>
        <v>Producción / Consumo intermedio</v>
      </c>
      <c r="E191" s="9" t="str">
        <f>+VLOOKUP(B191,'transacciones '!$A$2:$I$39,4,FALSE)</f>
        <v>Consumo</v>
      </c>
      <c r="F191" s="9">
        <f>+VLOOKUP(B191,'transacciones '!$A$2:$I$39,5,FALSE)</f>
        <v>2</v>
      </c>
      <c r="G191" s="9" t="str">
        <f>+VLOOKUP(B191,'transacciones '!$A$2:$I$39,6,FALSE)</f>
        <v>P2</v>
      </c>
      <c r="H191" s="9" t="str">
        <f>+VLOOKUP(B191,'transacciones '!$A$2:$I$39,7,FALSE)</f>
        <v>Consumo intermedio</v>
      </c>
      <c r="I191" s="18" t="s">
        <v>383</v>
      </c>
      <c r="J191" s="18" t="s">
        <v>101</v>
      </c>
      <c r="K191" s="8" t="s">
        <v>32</v>
      </c>
      <c r="L191" s="8" t="str">
        <f>+VLOOKUP(K191,'Correl CIIU'!$A$1:$F$26,2,FALSE)</f>
        <v>Suministro de agua; evacuación de aguas residuales, gestión de desechos y descontaminación</v>
      </c>
      <c r="M191" s="8" t="str">
        <f>+VLOOKUP(K191,'Correl CIIU'!$A$1:$F$26,3,FALSE)</f>
        <v>Suministro de agua</v>
      </c>
      <c r="N191" s="8" t="str">
        <f>+VLOOKUP(K191,'Correl CIIU'!$A$1:$F$26,4,FALSE)</f>
        <v>Water supply; sewerage, waste management and remediation activities</v>
      </c>
      <c r="O191" s="8">
        <v>2</v>
      </c>
      <c r="P191" s="31" t="str">
        <f>+VLOOKUP(O191,bio!$A$2:$B$4,2,FALSE)</f>
        <v>Bioeconomía extendida</v>
      </c>
    </row>
    <row r="192" spans="1:16" x14ac:dyDescent="0.35">
      <c r="A192" s="30" t="s">
        <v>674</v>
      </c>
      <c r="B192" s="20" t="s">
        <v>149</v>
      </c>
      <c r="C192" s="9" t="str">
        <f>+VLOOKUP(B192,'transacciones '!$A$2:$I$39,2,FALSE)</f>
        <v>ATC01</v>
      </c>
      <c r="D192" s="9" t="str">
        <f>+VLOOKUP(B192,'transacciones '!$A$2:$I$39,3,FALSE)</f>
        <v>Producción / Consumo intermedio</v>
      </c>
      <c r="E192" s="9" t="str">
        <f>+VLOOKUP(B192,'transacciones '!$A$2:$I$39,4,FALSE)</f>
        <v>Consumo</v>
      </c>
      <c r="F192" s="9">
        <f>+VLOOKUP(B192,'transacciones '!$A$2:$I$39,5,FALSE)</f>
        <v>2</v>
      </c>
      <c r="G192" s="9" t="str">
        <f>+VLOOKUP(B192,'transacciones '!$A$2:$I$39,6,FALSE)</f>
        <v>P2</v>
      </c>
      <c r="H192" s="9" t="str">
        <f>+VLOOKUP(B192,'transacciones '!$A$2:$I$39,7,FALSE)</f>
        <v>Consumo intermedio</v>
      </c>
      <c r="I192" s="18" t="s">
        <v>384</v>
      </c>
      <c r="J192" s="18" t="s">
        <v>385</v>
      </c>
      <c r="K192" s="8" t="s">
        <v>32</v>
      </c>
      <c r="L192" s="8" t="str">
        <f>+VLOOKUP(K192,'Correl CIIU'!$A$1:$F$26,2,FALSE)</f>
        <v>Suministro de agua; evacuación de aguas residuales, gestión de desechos y descontaminación</v>
      </c>
      <c r="M192" s="8" t="str">
        <f>+VLOOKUP(K192,'Correl CIIU'!$A$1:$F$26,3,FALSE)</f>
        <v>Suministro de agua</v>
      </c>
      <c r="N192" s="8" t="str">
        <f>+VLOOKUP(K192,'Correl CIIU'!$A$1:$F$26,4,FALSE)</f>
        <v>Water supply; sewerage, waste management and remediation activities</v>
      </c>
      <c r="O192" s="8">
        <v>2</v>
      </c>
      <c r="P192" s="31" t="str">
        <f>+VLOOKUP(O192,bio!$A$2:$B$4,2,FALSE)</f>
        <v>Bioeconomía extendida</v>
      </c>
    </row>
    <row r="193" spans="1:16" x14ac:dyDescent="0.35">
      <c r="A193" s="30" t="s">
        <v>675</v>
      </c>
      <c r="B193" s="20" t="s">
        <v>149</v>
      </c>
      <c r="C193" s="9" t="str">
        <f>+VLOOKUP(B193,'transacciones '!$A$2:$I$39,2,FALSE)</f>
        <v>ATC01</v>
      </c>
      <c r="D193" s="9" t="str">
        <f>+VLOOKUP(B193,'transacciones '!$A$2:$I$39,3,FALSE)</f>
        <v>Producción / Consumo intermedio</v>
      </c>
      <c r="E193" s="9" t="str">
        <f>+VLOOKUP(B193,'transacciones '!$A$2:$I$39,4,FALSE)</f>
        <v>Consumo</v>
      </c>
      <c r="F193" s="9">
        <f>+VLOOKUP(B193,'transacciones '!$A$2:$I$39,5,FALSE)</f>
        <v>2</v>
      </c>
      <c r="G193" s="9" t="str">
        <f>+VLOOKUP(B193,'transacciones '!$A$2:$I$39,6,FALSE)</f>
        <v>P2</v>
      </c>
      <c r="H193" s="9" t="str">
        <f>+VLOOKUP(B193,'transacciones '!$A$2:$I$39,7,FALSE)</f>
        <v>Consumo intermedio</v>
      </c>
      <c r="I193" s="18" t="s">
        <v>386</v>
      </c>
      <c r="J193" s="18" t="s">
        <v>387</v>
      </c>
      <c r="K193" s="8" t="s">
        <v>35</v>
      </c>
      <c r="L193" s="8" t="str">
        <f>+VLOOKUP(K193,'Correl CIIU'!$A$1:$F$26,2,FALSE)</f>
        <v>Construcción</v>
      </c>
      <c r="M193" s="8" t="str">
        <f>+VLOOKUP(K193,'Correl CIIU'!$A$1:$F$26,3,FALSE)</f>
        <v>Construcción</v>
      </c>
      <c r="N193" s="8" t="str">
        <f>+VLOOKUP(K193,'Correl CIIU'!$A$1:$F$26,4,FALSE)</f>
        <v>Construction</v>
      </c>
      <c r="O193" s="8">
        <v>3</v>
      </c>
      <c r="P193" s="31" t="str">
        <f>+VLOOKUP(O193,bio!$A$2:$B$4,2,FALSE)</f>
        <v>No bioeconomía</v>
      </c>
    </row>
    <row r="194" spans="1:16" x14ac:dyDescent="0.35">
      <c r="A194" s="30" t="s">
        <v>676</v>
      </c>
      <c r="B194" s="20" t="s">
        <v>149</v>
      </c>
      <c r="C194" s="9" t="str">
        <f>+VLOOKUP(B194,'transacciones '!$A$2:$I$39,2,FALSE)</f>
        <v>ATC01</v>
      </c>
      <c r="D194" s="9" t="str">
        <f>+VLOOKUP(B194,'transacciones '!$A$2:$I$39,3,FALSE)</f>
        <v>Producción / Consumo intermedio</v>
      </c>
      <c r="E194" s="9" t="str">
        <f>+VLOOKUP(B194,'transacciones '!$A$2:$I$39,4,FALSE)</f>
        <v>Consumo</v>
      </c>
      <c r="F194" s="9">
        <f>+VLOOKUP(B194,'transacciones '!$A$2:$I$39,5,FALSE)</f>
        <v>2</v>
      </c>
      <c r="G194" s="9" t="str">
        <f>+VLOOKUP(B194,'transacciones '!$A$2:$I$39,6,FALSE)</f>
        <v>P2</v>
      </c>
      <c r="H194" s="9" t="str">
        <f>+VLOOKUP(B194,'transacciones '!$A$2:$I$39,7,FALSE)</f>
        <v>Consumo intermedio</v>
      </c>
      <c r="I194" s="18" t="s">
        <v>388</v>
      </c>
      <c r="J194" s="18" t="s">
        <v>389</v>
      </c>
      <c r="K194" s="8" t="s">
        <v>35</v>
      </c>
      <c r="L194" s="8" t="str">
        <f>+VLOOKUP(K194,'Correl CIIU'!$A$1:$F$26,2,FALSE)</f>
        <v>Construcción</v>
      </c>
      <c r="M194" s="8" t="str">
        <f>+VLOOKUP(K194,'Correl CIIU'!$A$1:$F$26,3,FALSE)</f>
        <v>Construcción</v>
      </c>
      <c r="N194" s="8" t="str">
        <f>+VLOOKUP(K194,'Correl CIIU'!$A$1:$F$26,4,FALSE)</f>
        <v>Construction</v>
      </c>
      <c r="O194" s="8">
        <v>3</v>
      </c>
      <c r="P194" s="31" t="str">
        <f>+VLOOKUP(O194,bio!$A$2:$B$4,2,FALSE)</f>
        <v>No bioeconomía</v>
      </c>
    </row>
    <row r="195" spans="1:16" x14ac:dyDescent="0.35">
      <c r="A195" s="30" t="s">
        <v>677</v>
      </c>
      <c r="B195" s="20" t="s">
        <v>149</v>
      </c>
      <c r="C195" s="9" t="str">
        <f>+VLOOKUP(B195,'transacciones '!$A$2:$I$39,2,FALSE)</f>
        <v>ATC01</v>
      </c>
      <c r="D195" s="9" t="str">
        <f>+VLOOKUP(B195,'transacciones '!$A$2:$I$39,3,FALSE)</f>
        <v>Producción / Consumo intermedio</v>
      </c>
      <c r="E195" s="9" t="str">
        <f>+VLOOKUP(B195,'transacciones '!$A$2:$I$39,4,FALSE)</f>
        <v>Consumo</v>
      </c>
      <c r="F195" s="9">
        <f>+VLOOKUP(B195,'transacciones '!$A$2:$I$39,5,FALSE)</f>
        <v>2</v>
      </c>
      <c r="G195" s="9" t="str">
        <f>+VLOOKUP(B195,'transacciones '!$A$2:$I$39,6,FALSE)</f>
        <v>P2</v>
      </c>
      <c r="H195" s="9" t="str">
        <f>+VLOOKUP(B195,'transacciones '!$A$2:$I$39,7,FALSE)</f>
        <v>Consumo intermedio</v>
      </c>
      <c r="I195" s="18" t="s">
        <v>390</v>
      </c>
      <c r="J195" s="18" t="s">
        <v>391</v>
      </c>
      <c r="K195" s="8" t="s">
        <v>35</v>
      </c>
      <c r="L195" s="8" t="str">
        <f>+VLOOKUP(K195,'Correl CIIU'!$A$1:$F$26,2,FALSE)</f>
        <v>Construcción</v>
      </c>
      <c r="M195" s="8" t="str">
        <f>+VLOOKUP(K195,'Correl CIIU'!$A$1:$F$26,3,FALSE)</f>
        <v>Construcción</v>
      </c>
      <c r="N195" s="8" t="str">
        <f>+VLOOKUP(K195,'Correl CIIU'!$A$1:$F$26,4,FALSE)</f>
        <v>Construction</v>
      </c>
      <c r="O195" s="8">
        <v>3</v>
      </c>
      <c r="P195" s="31" t="str">
        <f>+VLOOKUP(O195,bio!$A$2:$B$4,2,FALSE)</f>
        <v>No bioeconomía</v>
      </c>
    </row>
    <row r="196" spans="1:16" x14ac:dyDescent="0.35">
      <c r="A196" s="30" t="s">
        <v>678</v>
      </c>
      <c r="B196" s="20" t="s">
        <v>149</v>
      </c>
      <c r="C196" s="9" t="str">
        <f>+VLOOKUP(B196,'transacciones '!$A$2:$I$39,2,FALSE)</f>
        <v>ATC01</v>
      </c>
      <c r="D196" s="9" t="str">
        <f>+VLOOKUP(B196,'transacciones '!$A$2:$I$39,3,FALSE)</f>
        <v>Producción / Consumo intermedio</v>
      </c>
      <c r="E196" s="9" t="str">
        <f>+VLOOKUP(B196,'transacciones '!$A$2:$I$39,4,FALSE)</f>
        <v>Consumo</v>
      </c>
      <c r="F196" s="9">
        <f>+VLOOKUP(B196,'transacciones '!$A$2:$I$39,5,FALSE)</f>
        <v>2</v>
      </c>
      <c r="G196" s="9" t="str">
        <f>+VLOOKUP(B196,'transacciones '!$A$2:$I$39,6,FALSE)</f>
        <v>P2</v>
      </c>
      <c r="H196" s="9" t="str">
        <f>+VLOOKUP(B196,'transacciones '!$A$2:$I$39,7,FALSE)</f>
        <v>Consumo intermedio</v>
      </c>
      <c r="I196" s="18" t="s">
        <v>392</v>
      </c>
      <c r="J196" s="18" t="s">
        <v>393</v>
      </c>
      <c r="K196" s="8" t="s">
        <v>35</v>
      </c>
      <c r="L196" s="8" t="str">
        <f>+VLOOKUP(K196,'Correl CIIU'!$A$1:$F$26,2,FALSE)</f>
        <v>Construcción</v>
      </c>
      <c r="M196" s="8" t="str">
        <f>+VLOOKUP(K196,'Correl CIIU'!$A$1:$F$26,3,FALSE)</f>
        <v>Construcción</v>
      </c>
      <c r="N196" s="8" t="str">
        <f>+VLOOKUP(K196,'Correl CIIU'!$A$1:$F$26,4,FALSE)</f>
        <v>Construction</v>
      </c>
      <c r="O196" s="8">
        <v>3</v>
      </c>
      <c r="P196" s="31" t="str">
        <f>+VLOOKUP(O196,bio!$A$2:$B$4,2,FALSE)</f>
        <v>No bioeconomía</v>
      </c>
    </row>
    <row r="197" spans="1:16" x14ac:dyDescent="0.35">
      <c r="A197" s="30" t="s">
        <v>679</v>
      </c>
      <c r="B197" s="20" t="s">
        <v>149</v>
      </c>
      <c r="C197" s="9" t="str">
        <f>+VLOOKUP(B197,'transacciones '!$A$2:$I$39,2,FALSE)</f>
        <v>ATC01</v>
      </c>
      <c r="D197" s="9" t="str">
        <f>+VLOOKUP(B197,'transacciones '!$A$2:$I$39,3,FALSE)</f>
        <v>Producción / Consumo intermedio</v>
      </c>
      <c r="E197" s="9" t="str">
        <f>+VLOOKUP(B197,'transacciones '!$A$2:$I$39,4,FALSE)</f>
        <v>Consumo</v>
      </c>
      <c r="F197" s="9">
        <f>+VLOOKUP(B197,'transacciones '!$A$2:$I$39,5,FALSE)</f>
        <v>2</v>
      </c>
      <c r="G197" s="9" t="str">
        <f>+VLOOKUP(B197,'transacciones '!$A$2:$I$39,6,FALSE)</f>
        <v>P2</v>
      </c>
      <c r="H197" s="9" t="str">
        <f>+VLOOKUP(B197,'transacciones '!$A$2:$I$39,7,FALSE)</f>
        <v>Consumo intermedio</v>
      </c>
      <c r="I197" s="18" t="s">
        <v>394</v>
      </c>
      <c r="J197" s="18" t="s">
        <v>395</v>
      </c>
      <c r="K197" s="8" t="s">
        <v>38</v>
      </c>
      <c r="L197" s="8" t="str">
        <f>+VLOOKUP(K197,'Correl CIIU'!$A$1:$F$26,2,FALSE)</f>
        <v>Comercio al por mayor y al por menor; reparación de vehículos automotores y motocicletas</v>
      </c>
      <c r="M197" s="8" t="str">
        <f>+VLOOKUP(K197,'Correl CIIU'!$A$1:$F$26,3,FALSE)</f>
        <v>Comercio</v>
      </c>
      <c r="N197" s="8" t="str">
        <f>+VLOOKUP(K197,'Correl CIIU'!$A$1:$F$26,4,FALSE)</f>
        <v>Wholesale and retail trade; repair of motor vehicles and motorcycles</v>
      </c>
      <c r="O197" s="8">
        <v>3</v>
      </c>
      <c r="P197" s="31" t="str">
        <f>+VLOOKUP(O197,bio!$A$2:$B$4,2,FALSE)</f>
        <v>No bioeconomía</v>
      </c>
    </row>
    <row r="198" spans="1:16" x14ac:dyDescent="0.35">
      <c r="A198" s="30" t="s">
        <v>680</v>
      </c>
      <c r="B198" s="20" t="s">
        <v>149</v>
      </c>
      <c r="C198" s="9" t="str">
        <f>+VLOOKUP(B198,'transacciones '!$A$2:$I$39,2,FALSE)</f>
        <v>ATC01</v>
      </c>
      <c r="D198" s="9" t="str">
        <f>+VLOOKUP(B198,'transacciones '!$A$2:$I$39,3,FALSE)</f>
        <v>Producción / Consumo intermedio</v>
      </c>
      <c r="E198" s="9" t="str">
        <f>+VLOOKUP(B198,'transacciones '!$A$2:$I$39,4,FALSE)</f>
        <v>Consumo</v>
      </c>
      <c r="F198" s="9">
        <f>+VLOOKUP(B198,'transacciones '!$A$2:$I$39,5,FALSE)</f>
        <v>2</v>
      </c>
      <c r="G198" s="9" t="str">
        <f>+VLOOKUP(B198,'transacciones '!$A$2:$I$39,6,FALSE)</f>
        <v>P2</v>
      </c>
      <c r="H198" s="9" t="str">
        <f>+VLOOKUP(B198,'transacciones '!$A$2:$I$39,7,FALSE)</f>
        <v>Consumo intermedio</v>
      </c>
      <c r="I198" s="18" t="s">
        <v>396</v>
      </c>
      <c r="J198" s="18" t="s">
        <v>397</v>
      </c>
      <c r="K198" s="8" t="s">
        <v>38</v>
      </c>
      <c r="L198" s="8" t="str">
        <f>+VLOOKUP(K198,'Correl CIIU'!$A$1:$F$26,2,FALSE)</f>
        <v>Comercio al por mayor y al por menor; reparación de vehículos automotores y motocicletas</v>
      </c>
      <c r="M198" s="8" t="str">
        <f>+VLOOKUP(K198,'Correl CIIU'!$A$1:$F$26,3,FALSE)</f>
        <v>Comercio</v>
      </c>
      <c r="N198" s="8" t="str">
        <f>+VLOOKUP(K198,'Correl CIIU'!$A$1:$F$26,4,FALSE)</f>
        <v>Wholesale and retail trade; repair of motor vehicles and motorcycles</v>
      </c>
      <c r="O198" s="8">
        <v>3</v>
      </c>
      <c r="P198" s="31" t="str">
        <f>+VLOOKUP(O198,bio!$A$2:$B$4,2,FALSE)</f>
        <v>No bioeconomía</v>
      </c>
    </row>
    <row r="199" spans="1:16" x14ac:dyDescent="0.35">
      <c r="A199" s="30" t="s">
        <v>681</v>
      </c>
      <c r="B199" s="20" t="s">
        <v>149</v>
      </c>
      <c r="C199" s="9" t="str">
        <f>+VLOOKUP(B199,'transacciones '!$A$2:$I$39,2,FALSE)</f>
        <v>ATC01</v>
      </c>
      <c r="D199" s="9" t="str">
        <f>+VLOOKUP(B199,'transacciones '!$A$2:$I$39,3,FALSE)</f>
        <v>Producción / Consumo intermedio</v>
      </c>
      <c r="E199" s="9" t="str">
        <f>+VLOOKUP(B199,'transacciones '!$A$2:$I$39,4,FALSE)</f>
        <v>Consumo</v>
      </c>
      <c r="F199" s="9">
        <f>+VLOOKUP(B199,'transacciones '!$A$2:$I$39,5,FALSE)</f>
        <v>2</v>
      </c>
      <c r="G199" s="9" t="str">
        <f>+VLOOKUP(B199,'transacciones '!$A$2:$I$39,6,FALSE)</f>
        <v>P2</v>
      </c>
      <c r="H199" s="9" t="str">
        <f>+VLOOKUP(B199,'transacciones '!$A$2:$I$39,7,FALSE)</f>
        <v>Consumo intermedio</v>
      </c>
      <c r="I199" s="18" t="s">
        <v>398</v>
      </c>
      <c r="J199" s="18" t="s">
        <v>399</v>
      </c>
      <c r="K199" s="8" t="s">
        <v>38</v>
      </c>
      <c r="L199" s="8" t="str">
        <f>+VLOOKUP(K199,'Correl CIIU'!$A$1:$F$26,2,FALSE)</f>
        <v>Comercio al por mayor y al por menor; reparación de vehículos automotores y motocicletas</v>
      </c>
      <c r="M199" s="8" t="str">
        <f>+VLOOKUP(K199,'Correl CIIU'!$A$1:$F$26,3,FALSE)</f>
        <v>Comercio</v>
      </c>
      <c r="N199" s="8" t="str">
        <f>+VLOOKUP(K199,'Correl CIIU'!$A$1:$F$26,4,FALSE)</f>
        <v>Wholesale and retail trade; repair of motor vehicles and motorcycles</v>
      </c>
      <c r="O199" s="8">
        <v>3</v>
      </c>
      <c r="P199" s="31" t="str">
        <f>+VLOOKUP(O199,bio!$A$2:$B$4,2,FALSE)</f>
        <v>No bioeconomía</v>
      </c>
    </row>
    <row r="200" spans="1:16" x14ac:dyDescent="0.35">
      <c r="A200" s="30" t="s">
        <v>682</v>
      </c>
      <c r="B200" s="20" t="s">
        <v>149</v>
      </c>
      <c r="C200" s="9" t="str">
        <f>+VLOOKUP(B200,'transacciones '!$A$2:$I$39,2,FALSE)</f>
        <v>ATC01</v>
      </c>
      <c r="D200" s="9" t="str">
        <f>+VLOOKUP(B200,'transacciones '!$A$2:$I$39,3,FALSE)</f>
        <v>Producción / Consumo intermedio</v>
      </c>
      <c r="E200" s="9" t="str">
        <f>+VLOOKUP(B200,'transacciones '!$A$2:$I$39,4,FALSE)</f>
        <v>Consumo</v>
      </c>
      <c r="F200" s="9">
        <f>+VLOOKUP(B200,'transacciones '!$A$2:$I$39,5,FALSE)</f>
        <v>2</v>
      </c>
      <c r="G200" s="9" t="str">
        <f>+VLOOKUP(B200,'transacciones '!$A$2:$I$39,6,FALSE)</f>
        <v>P2</v>
      </c>
      <c r="H200" s="9" t="str">
        <f>+VLOOKUP(B200,'transacciones '!$A$2:$I$39,7,FALSE)</f>
        <v>Consumo intermedio</v>
      </c>
      <c r="I200" s="18" t="s">
        <v>400</v>
      </c>
      <c r="J200" s="18" t="s">
        <v>401</v>
      </c>
      <c r="K200" s="8" t="s">
        <v>43</v>
      </c>
      <c r="L200" s="8" t="str">
        <f>+VLOOKUP(K200,'Correl CIIU'!$A$1:$F$26,2,FALSE)</f>
        <v>Actividades de alojamiento y de servicio de comidas</v>
      </c>
      <c r="M200" s="8" t="str">
        <f>+VLOOKUP(K200,'Correl CIIU'!$A$1:$F$26,3,FALSE)</f>
        <v>Alojamiento y alimentación</v>
      </c>
      <c r="N200" s="8" t="str">
        <f>+VLOOKUP(K200,'Correl CIIU'!$A$1:$F$26,4,FALSE)</f>
        <v>Accommodation and food service activities</v>
      </c>
      <c r="O200" s="8">
        <v>3</v>
      </c>
      <c r="P200" s="31" t="str">
        <f>+VLOOKUP(O200,bio!$A$2:$B$4,2,FALSE)</f>
        <v>No bioeconomía</v>
      </c>
    </row>
    <row r="201" spans="1:16" x14ac:dyDescent="0.35">
      <c r="A201" s="30" t="s">
        <v>683</v>
      </c>
      <c r="B201" s="20" t="s">
        <v>149</v>
      </c>
      <c r="C201" s="9" t="str">
        <f>+VLOOKUP(B201,'transacciones '!$A$2:$I$39,2,FALSE)</f>
        <v>ATC01</v>
      </c>
      <c r="D201" s="9" t="str">
        <f>+VLOOKUP(B201,'transacciones '!$A$2:$I$39,3,FALSE)</f>
        <v>Producción / Consumo intermedio</v>
      </c>
      <c r="E201" s="9" t="str">
        <f>+VLOOKUP(B201,'transacciones '!$A$2:$I$39,4,FALSE)</f>
        <v>Consumo</v>
      </c>
      <c r="F201" s="9">
        <f>+VLOOKUP(B201,'transacciones '!$A$2:$I$39,5,FALSE)</f>
        <v>2</v>
      </c>
      <c r="G201" s="9" t="str">
        <f>+VLOOKUP(B201,'transacciones '!$A$2:$I$39,6,FALSE)</f>
        <v>P2</v>
      </c>
      <c r="H201" s="9" t="str">
        <f>+VLOOKUP(B201,'transacciones '!$A$2:$I$39,7,FALSE)</f>
        <v>Consumo intermedio</v>
      </c>
      <c r="I201" s="18" t="s">
        <v>402</v>
      </c>
      <c r="J201" s="18" t="s">
        <v>403</v>
      </c>
      <c r="K201" s="8" t="s">
        <v>43</v>
      </c>
      <c r="L201" s="8" t="str">
        <f>+VLOOKUP(K201,'Correl CIIU'!$A$1:$F$26,2,FALSE)</f>
        <v>Actividades de alojamiento y de servicio de comidas</v>
      </c>
      <c r="M201" s="8" t="str">
        <f>+VLOOKUP(K201,'Correl CIIU'!$A$1:$F$26,3,FALSE)</f>
        <v>Alojamiento y alimentación</v>
      </c>
      <c r="N201" s="8" t="str">
        <f>+VLOOKUP(K201,'Correl CIIU'!$A$1:$F$26,4,FALSE)</f>
        <v>Accommodation and food service activities</v>
      </c>
      <c r="O201" s="8">
        <v>2</v>
      </c>
      <c r="P201" s="31" t="str">
        <f>+VLOOKUP(O201,bio!$A$2:$B$4,2,FALSE)</f>
        <v>Bioeconomía extendida</v>
      </c>
    </row>
    <row r="202" spans="1:16" x14ac:dyDescent="0.35">
      <c r="A202" s="30" t="s">
        <v>684</v>
      </c>
      <c r="B202" s="20" t="s">
        <v>149</v>
      </c>
      <c r="C202" s="9" t="str">
        <f>+VLOOKUP(B202,'transacciones '!$A$2:$I$39,2,FALSE)</f>
        <v>ATC01</v>
      </c>
      <c r="D202" s="9" t="str">
        <f>+VLOOKUP(B202,'transacciones '!$A$2:$I$39,3,FALSE)</f>
        <v>Producción / Consumo intermedio</v>
      </c>
      <c r="E202" s="9" t="str">
        <f>+VLOOKUP(B202,'transacciones '!$A$2:$I$39,4,FALSE)</f>
        <v>Consumo</v>
      </c>
      <c r="F202" s="9">
        <f>+VLOOKUP(B202,'transacciones '!$A$2:$I$39,5,FALSE)</f>
        <v>2</v>
      </c>
      <c r="G202" s="9" t="str">
        <f>+VLOOKUP(B202,'transacciones '!$A$2:$I$39,6,FALSE)</f>
        <v>P2</v>
      </c>
      <c r="H202" s="9" t="str">
        <f>+VLOOKUP(B202,'transacciones '!$A$2:$I$39,7,FALSE)</f>
        <v>Consumo intermedio</v>
      </c>
      <c r="I202" s="18" t="s">
        <v>404</v>
      </c>
      <c r="J202" s="18" t="s">
        <v>405</v>
      </c>
      <c r="K202" s="8" t="s">
        <v>41</v>
      </c>
      <c r="L202" s="8" t="str">
        <f>+VLOOKUP(K202,'Correl CIIU'!$A$1:$F$26,2,FALSE)</f>
        <v>Transporte y almacenamiento</v>
      </c>
      <c r="M202" s="8" t="str">
        <f>+VLOOKUP(K202,'Correl CIIU'!$A$1:$F$26,3,FALSE)</f>
        <v>Transporte y almacenamiento</v>
      </c>
      <c r="N202" s="8" t="str">
        <f>+VLOOKUP(K202,'Correl CIIU'!$A$1:$F$26,4,FALSE)</f>
        <v>Transportation and storage</v>
      </c>
      <c r="O202" s="8">
        <v>3</v>
      </c>
      <c r="P202" s="31" t="str">
        <f>+VLOOKUP(O202,bio!$A$2:$B$4,2,FALSE)</f>
        <v>No bioeconomía</v>
      </c>
    </row>
    <row r="203" spans="1:16" x14ac:dyDescent="0.35">
      <c r="A203" s="30" t="s">
        <v>685</v>
      </c>
      <c r="B203" s="20" t="s">
        <v>149</v>
      </c>
      <c r="C203" s="9" t="str">
        <f>+VLOOKUP(B203,'transacciones '!$A$2:$I$39,2,FALSE)</f>
        <v>ATC01</v>
      </c>
      <c r="D203" s="9" t="str">
        <f>+VLOOKUP(B203,'transacciones '!$A$2:$I$39,3,FALSE)</f>
        <v>Producción / Consumo intermedio</v>
      </c>
      <c r="E203" s="9" t="str">
        <f>+VLOOKUP(B203,'transacciones '!$A$2:$I$39,4,FALSE)</f>
        <v>Consumo</v>
      </c>
      <c r="F203" s="9">
        <f>+VLOOKUP(B203,'transacciones '!$A$2:$I$39,5,FALSE)</f>
        <v>2</v>
      </c>
      <c r="G203" s="9" t="str">
        <f>+VLOOKUP(B203,'transacciones '!$A$2:$I$39,6,FALSE)</f>
        <v>P2</v>
      </c>
      <c r="H203" s="9" t="str">
        <f>+VLOOKUP(B203,'transacciones '!$A$2:$I$39,7,FALSE)</f>
        <v>Consumo intermedio</v>
      </c>
      <c r="I203" s="18" t="s">
        <v>406</v>
      </c>
      <c r="J203" s="18" t="s">
        <v>407</v>
      </c>
      <c r="K203" s="8" t="s">
        <v>41</v>
      </c>
      <c r="L203" s="8" t="str">
        <f>+VLOOKUP(K203,'Correl CIIU'!$A$1:$F$26,2,FALSE)</f>
        <v>Transporte y almacenamiento</v>
      </c>
      <c r="M203" s="8" t="str">
        <f>+VLOOKUP(K203,'Correl CIIU'!$A$1:$F$26,3,FALSE)</f>
        <v>Transporte y almacenamiento</v>
      </c>
      <c r="N203" s="8" t="str">
        <f>+VLOOKUP(K203,'Correl CIIU'!$A$1:$F$26,4,FALSE)</f>
        <v>Transportation and storage</v>
      </c>
      <c r="O203" s="8">
        <v>3</v>
      </c>
      <c r="P203" s="31" t="str">
        <f>+VLOOKUP(O203,bio!$A$2:$B$4,2,FALSE)</f>
        <v>No bioeconomía</v>
      </c>
    </row>
    <row r="204" spans="1:16" x14ac:dyDescent="0.35">
      <c r="A204" s="30" t="s">
        <v>686</v>
      </c>
      <c r="B204" s="20" t="s">
        <v>149</v>
      </c>
      <c r="C204" s="9" t="str">
        <f>+VLOOKUP(B204,'transacciones '!$A$2:$I$39,2,FALSE)</f>
        <v>ATC01</v>
      </c>
      <c r="D204" s="9" t="str">
        <f>+VLOOKUP(B204,'transacciones '!$A$2:$I$39,3,FALSE)</f>
        <v>Producción / Consumo intermedio</v>
      </c>
      <c r="E204" s="9" t="str">
        <f>+VLOOKUP(B204,'transacciones '!$A$2:$I$39,4,FALSE)</f>
        <v>Consumo</v>
      </c>
      <c r="F204" s="9">
        <f>+VLOOKUP(B204,'transacciones '!$A$2:$I$39,5,FALSE)</f>
        <v>2</v>
      </c>
      <c r="G204" s="9" t="str">
        <f>+VLOOKUP(B204,'transacciones '!$A$2:$I$39,6,FALSE)</f>
        <v>P2</v>
      </c>
      <c r="H204" s="9" t="str">
        <f>+VLOOKUP(B204,'transacciones '!$A$2:$I$39,7,FALSE)</f>
        <v>Consumo intermedio</v>
      </c>
      <c r="I204" s="18" t="s">
        <v>408</v>
      </c>
      <c r="J204" s="18" t="s">
        <v>409</v>
      </c>
      <c r="K204" s="8" t="s">
        <v>41</v>
      </c>
      <c r="L204" s="8" t="str">
        <f>+VLOOKUP(K204,'Correl CIIU'!$A$1:$F$26,2,FALSE)</f>
        <v>Transporte y almacenamiento</v>
      </c>
      <c r="M204" s="8" t="str">
        <f>+VLOOKUP(K204,'Correl CIIU'!$A$1:$F$26,3,FALSE)</f>
        <v>Transporte y almacenamiento</v>
      </c>
      <c r="N204" s="8" t="str">
        <f>+VLOOKUP(K204,'Correl CIIU'!$A$1:$F$26,4,FALSE)</f>
        <v>Transportation and storage</v>
      </c>
      <c r="O204" s="8">
        <v>3</v>
      </c>
      <c r="P204" s="31" t="str">
        <f>+VLOOKUP(O204,bio!$A$2:$B$4,2,FALSE)</f>
        <v>No bioeconomía</v>
      </c>
    </row>
    <row r="205" spans="1:16" x14ac:dyDescent="0.35">
      <c r="A205" s="30" t="s">
        <v>687</v>
      </c>
      <c r="B205" s="20" t="s">
        <v>149</v>
      </c>
      <c r="C205" s="9" t="str">
        <f>+VLOOKUP(B205,'transacciones '!$A$2:$I$39,2,FALSE)</f>
        <v>ATC01</v>
      </c>
      <c r="D205" s="9" t="str">
        <f>+VLOOKUP(B205,'transacciones '!$A$2:$I$39,3,FALSE)</f>
        <v>Producción / Consumo intermedio</v>
      </c>
      <c r="E205" s="9" t="str">
        <f>+VLOOKUP(B205,'transacciones '!$A$2:$I$39,4,FALSE)</f>
        <v>Consumo</v>
      </c>
      <c r="F205" s="9">
        <f>+VLOOKUP(B205,'transacciones '!$A$2:$I$39,5,FALSE)</f>
        <v>2</v>
      </c>
      <c r="G205" s="9" t="str">
        <f>+VLOOKUP(B205,'transacciones '!$A$2:$I$39,6,FALSE)</f>
        <v>P2</v>
      </c>
      <c r="H205" s="9" t="str">
        <f>+VLOOKUP(B205,'transacciones '!$A$2:$I$39,7,FALSE)</f>
        <v>Consumo intermedio</v>
      </c>
      <c r="I205" s="18" t="s">
        <v>410</v>
      </c>
      <c r="J205" s="18" t="s">
        <v>411</v>
      </c>
      <c r="K205" s="8" t="s">
        <v>41</v>
      </c>
      <c r="L205" s="8" t="str">
        <f>+VLOOKUP(K205,'Correl CIIU'!$A$1:$F$26,2,FALSE)</f>
        <v>Transporte y almacenamiento</v>
      </c>
      <c r="M205" s="8" t="str">
        <f>+VLOOKUP(K205,'Correl CIIU'!$A$1:$F$26,3,FALSE)</f>
        <v>Transporte y almacenamiento</v>
      </c>
      <c r="N205" s="8" t="str">
        <f>+VLOOKUP(K205,'Correl CIIU'!$A$1:$F$26,4,FALSE)</f>
        <v>Transportation and storage</v>
      </c>
      <c r="O205" s="8">
        <v>3</v>
      </c>
      <c r="P205" s="31" t="str">
        <f>+VLOOKUP(O205,bio!$A$2:$B$4,2,FALSE)</f>
        <v>No bioeconomía</v>
      </c>
    </row>
    <row r="206" spans="1:16" x14ac:dyDescent="0.35">
      <c r="A206" s="30" t="s">
        <v>688</v>
      </c>
      <c r="B206" s="20" t="s">
        <v>149</v>
      </c>
      <c r="C206" s="9" t="str">
        <f>+VLOOKUP(B206,'transacciones '!$A$2:$I$39,2,FALSE)</f>
        <v>ATC01</v>
      </c>
      <c r="D206" s="9" t="str">
        <f>+VLOOKUP(B206,'transacciones '!$A$2:$I$39,3,FALSE)</f>
        <v>Producción / Consumo intermedio</v>
      </c>
      <c r="E206" s="9" t="str">
        <f>+VLOOKUP(B206,'transacciones '!$A$2:$I$39,4,FALSE)</f>
        <v>Consumo</v>
      </c>
      <c r="F206" s="9">
        <f>+VLOOKUP(B206,'transacciones '!$A$2:$I$39,5,FALSE)</f>
        <v>2</v>
      </c>
      <c r="G206" s="9" t="str">
        <f>+VLOOKUP(B206,'transacciones '!$A$2:$I$39,6,FALSE)</f>
        <v>P2</v>
      </c>
      <c r="H206" s="9" t="str">
        <f>+VLOOKUP(B206,'transacciones '!$A$2:$I$39,7,FALSE)</f>
        <v>Consumo intermedio</v>
      </c>
      <c r="I206" s="18" t="s">
        <v>412</v>
      </c>
      <c r="J206" s="18" t="s">
        <v>413</v>
      </c>
      <c r="K206" s="8" t="s">
        <v>41</v>
      </c>
      <c r="L206" s="8" t="str">
        <f>+VLOOKUP(K206,'Correl CIIU'!$A$1:$F$26,2,FALSE)</f>
        <v>Transporte y almacenamiento</v>
      </c>
      <c r="M206" s="8" t="str">
        <f>+VLOOKUP(K206,'Correl CIIU'!$A$1:$F$26,3,FALSE)</f>
        <v>Transporte y almacenamiento</v>
      </c>
      <c r="N206" s="8" t="str">
        <f>+VLOOKUP(K206,'Correl CIIU'!$A$1:$F$26,4,FALSE)</f>
        <v>Transportation and storage</v>
      </c>
      <c r="O206" s="8">
        <v>3</v>
      </c>
      <c r="P206" s="31" t="str">
        <f>+VLOOKUP(O206,bio!$A$2:$B$4,2,FALSE)</f>
        <v>No bioeconomía</v>
      </c>
    </row>
    <row r="207" spans="1:16" x14ac:dyDescent="0.35">
      <c r="A207" s="30" t="s">
        <v>689</v>
      </c>
      <c r="B207" s="20" t="s">
        <v>149</v>
      </c>
      <c r="C207" s="9" t="str">
        <f>+VLOOKUP(B207,'transacciones '!$A$2:$I$39,2,FALSE)</f>
        <v>ATC01</v>
      </c>
      <c r="D207" s="9" t="str">
        <f>+VLOOKUP(B207,'transacciones '!$A$2:$I$39,3,FALSE)</f>
        <v>Producción / Consumo intermedio</v>
      </c>
      <c r="E207" s="9" t="str">
        <f>+VLOOKUP(B207,'transacciones '!$A$2:$I$39,4,FALSE)</f>
        <v>Consumo</v>
      </c>
      <c r="F207" s="9">
        <f>+VLOOKUP(B207,'transacciones '!$A$2:$I$39,5,FALSE)</f>
        <v>2</v>
      </c>
      <c r="G207" s="9" t="str">
        <f>+VLOOKUP(B207,'transacciones '!$A$2:$I$39,6,FALSE)</f>
        <v>P2</v>
      </c>
      <c r="H207" s="9" t="str">
        <f>+VLOOKUP(B207,'transacciones '!$A$2:$I$39,7,FALSE)</f>
        <v>Consumo intermedio</v>
      </c>
      <c r="I207" s="18" t="s">
        <v>414</v>
      </c>
      <c r="J207" s="18" t="s">
        <v>415</v>
      </c>
      <c r="K207" s="8" t="s">
        <v>41</v>
      </c>
      <c r="L207" s="8" t="str">
        <f>+VLOOKUP(K207,'Correl CIIU'!$A$1:$F$26,2,FALSE)</f>
        <v>Transporte y almacenamiento</v>
      </c>
      <c r="M207" s="8" t="str">
        <f>+VLOOKUP(K207,'Correl CIIU'!$A$1:$F$26,3,FALSE)</f>
        <v>Transporte y almacenamiento</v>
      </c>
      <c r="N207" s="8" t="str">
        <f>+VLOOKUP(K207,'Correl CIIU'!$A$1:$F$26,4,FALSE)</f>
        <v>Transportation and storage</v>
      </c>
      <c r="O207" s="8">
        <v>3</v>
      </c>
      <c r="P207" s="31" t="str">
        <f>+VLOOKUP(O207,bio!$A$2:$B$4,2,FALSE)</f>
        <v>No bioeconomía</v>
      </c>
    </row>
    <row r="208" spans="1:16" x14ac:dyDescent="0.35">
      <c r="A208" s="30" t="s">
        <v>690</v>
      </c>
      <c r="B208" s="20" t="s">
        <v>149</v>
      </c>
      <c r="C208" s="9" t="str">
        <f>+VLOOKUP(B208,'transacciones '!$A$2:$I$39,2,FALSE)</f>
        <v>ATC01</v>
      </c>
      <c r="D208" s="9" t="str">
        <f>+VLOOKUP(B208,'transacciones '!$A$2:$I$39,3,FALSE)</f>
        <v>Producción / Consumo intermedio</v>
      </c>
      <c r="E208" s="9" t="str">
        <f>+VLOOKUP(B208,'transacciones '!$A$2:$I$39,4,FALSE)</f>
        <v>Consumo</v>
      </c>
      <c r="F208" s="9">
        <f>+VLOOKUP(B208,'transacciones '!$A$2:$I$39,5,FALSE)</f>
        <v>2</v>
      </c>
      <c r="G208" s="9" t="str">
        <f>+VLOOKUP(B208,'transacciones '!$A$2:$I$39,6,FALSE)</f>
        <v>P2</v>
      </c>
      <c r="H208" s="9" t="str">
        <f>+VLOOKUP(B208,'transacciones '!$A$2:$I$39,7,FALSE)</f>
        <v>Consumo intermedio</v>
      </c>
      <c r="I208" s="18" t="s">
        <v>416</v>
      </c>
      <c r="J208" s="18" t="s">
        <v>417</v>
      </c>
      <c r="K208" s="8" t="s">
        <v>41</v>
      </c>
      <c r="L208" s="8" t="str">
        <f>+VLOOKUP(K208,'Correl CIIU'!$A$1:$F$26,2,FALSE)</f>
        <v>Transporte y almacenamiento</v>
      </c>
      <c r="M208" s="8" t="str">
        <f>+VLOOKUP(K208,'Correl CIIU'!$A$1:$F$26,3,FALSE)</f>
        <v>Transporte y almacenamiento</v>
      </c>
      <c r="N208" s="8" t="str">
        <f>+VLOOKUP(K208,'Correl CIIU'!$A$1:$F$26,4,FALSE)</f>
        <v>Transportation and storage</v>
      </c>
      <c r="O208" s="8">
        <v>3</v>
      </c>
      <c r="P208" s="31" t="str">
        <f>+VLOOKUP(O208,bio!$A$2:$B$4,2,FALSE)</f>
        <v>No bioeconomía</v>
      </c>
    </row>
    <row r="209" spans="1:16" x14ac:dyDescent="0.35">
      <c r="A209" s="30" t="s">
        <v>691</v>
      </c>
      <c r="B209" s="20" t="s">
        <v>149</v>
      </c>
      <c r="C209" s="9" t="str">
        <f>+VLOOKUP(B209,'transacciones '!$A$2:$I$39,2,FALSE)</f>
        <v>ATC01</v>
      </c>
      <c r="D209" s="9" t="str">
        <f>+VLOOKUP(B209,'transacciones '!$A$2:$I$39,3,FALSE)</f>
        <v>Producción / Consumo intermedio</v>
      </c>
      <c r="E209" s="9" t="str">
        <f>+VLOOKUP(B209,'transacciones '!$A$2:$I$39,4,FALSE)</f>
        <v>Consumo</v>
      </c>
      <c r="F209" s="9">
        <f>+VLOOKUP(B209,'transacciones '!$A$2:$I$39,5,FALSE)</f>
        <v>2</v>
      </c>
      <c r="G209" s="9" t="str">
        <f>+VLOOKUP(B209,'transacciones '!$A$2:$I$39,6,FALSE)</f>
        <v>P2</v>
      </c>
      <c r="H209" s="9" t="str">
        <f>+VLOOKUP(B209,'transacciones '!$A$2:$I$39,7,FALSE)</f>
        <v>Consumo intermedio</v>
      </c>
      <c r="I209" s="18" t="s">
        <v>418</v>
      </c>
      <c r="J209" s="18" t="s">
        <v>419</v>
      </c>
      <c r="K209" s="8" t="s">
        <v>41</v>
      </c>
      <c r="L209" s="8" t="str">
        <f>+VLOOKUP(K209,'Correl CIIU'!$A$1:$F$26,2,FALSE)</f>
        <v>Transporte y almacenamiento</v>
      </c>
      <c r="M209" s="8" t="str">
        <f>+VLOOKUP(K209,'Correl CIIU'!$A$1:$F$26,3,FALSE)</f>
        <v>Transporte y almacenamiento</v>
      </c>
      <c r="N209" s="8" t="str">
        <f>+VLOOKUP(K209,'Correl CIIU'!$A$1:$F$26,4,FALSE)</f>
        <v>Transportation and storage</v>
      </c>
      <c r="O209" s="8">
        <v>3</v>
      </c>
      <c r="P209" s="31" t="str">
        <f>+VLOOKUP(O209,bio!$A$2:$B$4,2,FALSE)</f>
        <v>No bioeconomía</v>
      </c>
    </row>
    <row r="210" spans="1:16" x14ac:dyDescent="0.35">
      <c r="A210" s="30" t="s">
        <v>692</v>
      </c>
      <c r="B210" s="20" t="s">
        <v>149</v>
      </c>
      <c r="C210" s="9" t="str">
        <f>+VLOOKUP(B210,'transacciones '!$A$2:$I$39,2,FALSE)</f>
        <v>ATC01</v>
      </c>
      <c r="D210" s="9" t="str">
        <f>+VLOOKUP(B210,'transacciones '!$A$2:$I$39,3,FALSE)</f>
        <v>Producción / Consumo intermedio</v>
      </c>
      <c r="E210" s="9" t="str">
        <f>+VLOOKUP(B210,'transacciones '!$A$2:$I$39,4,FALSE)</f>
        <v>Consumo</v>
      </c>
      <c r="F210" s="9">
        <f>+VLOOKUP(B210,'transacciones '!$A$2:$I$39,5,FALSE)</f>
        <v>2</v>
      </c>
      <c r="G210" s="9" t="str">
        <f>+VLOOKUP(B210,'transacciones '!$A$2:$I$39,6,FALSE)</f>
        <v>P2</v>
      </c>
      <c r="H210" s="9" t="str">
        <f>+VLOOKUP(B210,'transacciones '!$A$2:$I$39,7,FALSE)</f>
        <v>Consumo intermedio</v>
      </c>
      <c r="I210" s="18" t="s">
        <v>420</v>
      </c>
      <c r="J210" s="18" t="s">
        <v>421</v>
      </c>
      <c r="K210" s="8" t="s">
        <v>41</v>
      </c>
      <c r="L210" s="8" t="str">
        <f>+VLOOKUP(K210,'Correl CIIU'!$A$1:$F$26,2,FALSE)</f>
        <v>Transporte y almacenamiento</v>
      </c>
      <c r="M210" s="8" t="str">
        <f>+VLOOKUP(K210,'Correl CIIU'!$A$1:$F$26,3,FALSE)</f>
        <v>Transporte y almacenamiento</v>
      </c>
      <c r="N210" s="8" t="str">
        <f>+VLOOKUP(K210,'Correl CIIU'!$A$1:$F$26,4,FALSE)</f>
        <v>Transportation and storage</v>
      </c>
      <c r="O210" s="8">
        <v>3</v>
      </c>
      <c r="P210" s="31" t="str">
        <f>+VLOOKUP(O210,bio!$A$2:$B$4,2,FALSE)</f>
        <v>No bioeconomía</v>
      </c>
    </row>
    <row r="211" spans="1:16" x14ac:dyDescent="0.35">
      <c r="A211" s="30" t="s">
        <v>693</v>
      </c>
      <c r="B211" s="20" t="s">
        <v>149</v>
      </c>
      <c r="C211" s="9" t="str">
        <f>+VLOOKUP(B211,'transacciones '!$A$2:$I$39,2,FALSE)</f>
        <v>ATC01</v>
      </c>
      <c r="D211" s="9" t="str">
        <f>+VLOOKUP(B211,'transacciones '!$A$2:$I$39,3,FALSE)</f>
        <v>Producción / Consumo intermedio</v>
      </c>
      <c r="E211" s="9" t="str">
        <f>+VLOOKUP(B211,'transacciones '!$A$2:$I$39,4,FALSE)</f>
        <v>Consumo</v>
      </c>
      <c r="F211" s="9">
        <f>+VLOOKUP(B211,'transacciones '!$A$2:$I$39,5,FALSE)</f>
        <v>2</v>
      </c>
      <c r="G211" s="9" t="str">
        <f>+VLOOKUP(B211,'transacciones '!$A$2:$I$39,6,FALSE)</f>
        <v>P2</v>
      </c>
      <c r="H211" s="9" t="str">
        <f>+VLOOKUP(B211,'transacciones '!$A$2:$I$39,7,FALSE)</f>
        <v>Consumo intermedio</v>
      </c>
      <c r="I211" s="18" t="s">
        <v>422</v>
      </c>
      <c r="J211" s="18" t="s">
        <v>423</v>
      </c>
      <c r="K211" s="8" t="s">
        <v>45</v>
      </c>
      <c r="L211" s="8" t="str">
        <f>+VLOOKUP(K211,'Correl CIIU'!$A$1:$F$26,2,FALSE)</f>
        <v>Información y comunicaciones</v>
      </c>
      <c r="M211" s="8" t="str">
        <f>+VLOOKUP(K211,'Correl CIIU'!$A$1:$F$26,3,FALSE)</f>
        <v>Información y comunicaciones</v>
      </c>
      <c r="N211" s="8" t="str">
        <f>+VLOOKUP(K211,'Correl CIIU'!$A$1:$F$26,4,FALSE)</f>
        <v>Information and communication</v>
      </c>
      <c r="O211" s="8">
        <v>3</v>
      </c>
      <c r="P211" s="31" t="str">
        <f>+VLOOKUP(O211,bio!$A$2:$B$4,2,FALSE)</f>
        <v>No bioeconomía</v>
      </c>
    </row>
    <row r="212" spans="1:16" x14ac:dyDescent="0.35">
      <c r="A212" s="30" t="s">
        <v>694</v>
      </c>
      <c r="B212" s="20" t="s">
        <v>149</v>
      </c>
      <c r="C212" s="9" t="str">
        <f>+VLOOKUP(B212,'transacciones '!$A$2:$I$39,2,FALSE)</f>
        <v>ATC01</v>
      </c>
      <c r="D212" s="9" t="str">
        <f>+VLOOKUP(B212,'transacciones '!$A$2:$I$39,3,FALSE)</f>
        <v>Producción / Consumo intermedio</v>
      </c>
      <c r="E212" s="9" t="str">
        <f>+VLOOKUP(B212,'transacciones '!$A$2:$I$39,4,FALSE)</f>
        <v>Consumo</v>
      </c>
      <c r="F212" s="9">
        <f>+VLOOKUP(B212,'transacciones '!$A$2:$I$39,5,FALSE)</f>
        <v>2</v>
      </c>
      <c r="G212" s="9" t="str">
        <f>+VLOOKUP(B212,'transacciones '!$A$2:$I$39,6,FALSE)</f>
        <v>P2</v>
      </c>
      <c r="H212" s="9" t="str">
        <f>+VLOOKUP(B212,'transacciones '!$A$2:$I$39,7,FALSE)</f>
        <v>Consumo intermedio</v>
      </c>
      <c r="I212" s="18" t="s">
        <v>424</v>
      </c>
      <c r="J212" s="18" t="s">
        <v>425</v>
      </c>
      <c r="K212" s="8" t="s">
        <v>45</v>
      </c>
      <c r="L212" s="8" t="str">
        <f>+VLOOKUP(K212,'Correl CIIU'!$A$1:$F$26,2,FALSE)</f>
        <v>Información y comunicaciones</v>
      </c>
      <c r="M212" s="8" t="str">
        <f>+VLOOKUP(K212,'Correl CIIU'!$A$1:$F$26,3,FALSE)</f>
        <v>Información y comunicaciones</v>
      </c>
      <c r="N212" s="8" t="str">
        <f>+VLOOKUP(K212,'Correl CIIU'!$A$1:$F$26,4,FALSE)</f>
        <v>Information and communication</v>
      </c>
      <c r="O212" s="8">
        <v>3</v>
      </c>
      <c r="P212" s="31" t="str">
        <f>+VLOOKUP(O212,bio!$A$2:$B$4,2,FALSE)</f>
        <v>No bioeconomía</v>
      </c>
    </row>
    <row r="213" spans="1:16" x14ac:dyDescent="0.35">
      <c r="A213" s="30" t="s">
        <v>695</v>
      </c>
      <c r="B213" s="20" t="s">
        <v>149</v>
      </c>
      <c r="C213" s="9" t="str">
        <f>+VLOOKUP(B213,'transacciones '!$A$2:$I$39,2,FALSE)</f>
        <v>ATC01</v>
      </c>
      <c r="D213" s="9" t="str">
        <f>+VLOOKUP(B213,'transacciones '!$A$2:$I$39,3,FALSE)</f>
        <v>Producción / Consumo intermedio</v>
      </c>
      <c r="E213" s="9" t="str">
        <f>+VLOOKUP(B213,'transacciones '!$A$2:$I$39,4,FALSE)</f>
        <v>Consumo</v>
      </c>
      <c r="F213" s="9">
        <f>+VLOOKUP(B213,'transacciones '!$A$2:$I$39,5,FALSE)</f>
        <v>2</v>
      </c>
      <c r="G213" s="9" t="str">
        <f>+VLOOKUP(B213,'transacciones '!$A$2:$I$39,6,FALSE)</f>
        <v>P2</v>
      </c>
      <c r="H213" s="9" t="str">
        <f>+VLOOKUP(B213,'transacciones '!$A$2:$I$39,7,FALSE)</f>
        <v>Consumo intermedio</v>
      </c>
      <c r="I213" s="18" t="s">
        <v>426</v>
      </c>
      <c r="J213" s="18" t="s">
        <v>427</v>
      </c>
      <c r="K213" s="8" t="s">
        <v>45</v>
      </c>
      <c r="L213" s="8" t="str">
        <f>+VLOOKUP(K213,'Correl CIIU'!$A$1:$F$26,2,FALSE)</f>
        <v>Información y comunicaciones</v>
      </c>
      <c r="M213" s="8" t="str">
        <f>+VLOOKUP(K213,'Correl CIIU'!$A$1:$F$26,3,FALSE)</f>
        <v>Información y comunicaciones</v>
      </c>
      <c r="N213" s="8" t="str">
        <f>+VLOOKUP(K213,'Correl CIIU'!$A$1:$F$26,4,FALSE)</f>
        <v>Information and communication</v>
      </c>
      <c r="O213" s="8">
        <v>3</v>
      </c>
      <c r="P213" s="31" t="str">
        <f>+VLOOKUP(O213,bio!$A$2:$B$4,2,FALSE)</f>
        <v>No bioeconomía</v>
      </c>
    </row>
    <row r="214" spans="1:16" x14ac:dyDescent="0.35">
      <c r="A214" s="30" t="s">
        <v>696</v>
      </c>
      <c r="B214" s="20" t="s">
        <v>149</v>
      </c>
      <c r="C214" s="9" t="str">
        <f>+VLOOKUP(B214,'transacciones '!$A$2:$I$39,2,FALSE)</f>
        <v>ATC01</v>
      </c>
      <c r="D214" s="9" t="str">
        <f>+VLOOKUP(B214,'transacciones '!$A$2:$I$39,3,FALSE)</f>
        <v>Producción / Consumo intermedio</v>
      </c>
      <c r="E214" s="9" t="str">
        <f>+VLOOKUP(B214,'transacciones '!$A$2:$I$39,4,FALSE)</f>
        <v>Consumo</v>
      </c>
      <c r="F214" s="9">
        <f>+VLOOKUP(B214,'transacciones '!$A$2:$I$39,5,FALSE)</f>
        <v>2</v>
      </c>
      <c r="G214" s="9" t="str">
        <f>+VLOOKUP(B214,'transacciones '!$A$2:$I$39,6,FALSE)</f>
        <v>P2</v>
      </c>
      <c r="H214" s="9" t="str">
        <f>+VLOOKUP(B214,'transacciones '!$A$2:$I$39,7,FALSE)</f>
        <v>Consumo intermedio</v>
      </c>
      <c r="I214" s="18" t="s">
        <v>428</v>
      </c>
      <c r="J214" s="18" t="s">
        <v>429</v>
      </c>
      <c r="K214" s="8" t="s">
        <v>45</v>
      </c>
      <c r="L214" s="8" t="str">
        <f>+VLOOKUP(K214,'Correl CIIU'!$A$1:$F$26,2,FALSE)</f>
        <v>Información y comunicaciones</v>
      </c>
      <c r="M214" s="8" t="str">
        <f>+VLOOKUP(K214,'Correl CIIU'!$A$1:$F$26,3,FALSE)</f>
        <v>Información y comunicaciones</v>
      </c>
      <c r="N214" s="8" t="str">
        <f>+VLOOKUP(K214,'Correl CIIU'!$A$1:$F$26,4,FALSE)</f>
        <v>Information and communication</v>
      </c>
      <c r="O214" s="8">
        <v>3</v>
      </c>
      <c r="P214" s="31" t="str">
        <f>+VLOOKUP(O214,bio!$A$2:$B$4,2,FALSE)</f>
        <v>No bioeconomía</v>
      </c>
    </row>
    <row r="215" spans="1:16" x14ac:dyDescent="0.35">
      <c r="A215" s="30" t="s">
        <v>697</v>
      </c>
      <c r="B215" s="20" t="s">
        <v>149</v>
      </c>
      <c r="C215" s="9" t="str">
        <f>+VLOOKUP(B215,'transacciones '!$A$2:$I$39,2,FALSE)</f>
        <v>ATC01</v>
      </c>
      <c r="D215" s="9" t="str">
        <f>+VLOOKUP(B215,'transacciones '!$A$2:$I$39,3,FALSE)</f>
        <v>Producción / Consumo intermedio</v>
      </c>
      <c r="E215" s="9" t="str">
        <f>+VLOOKUP(B215,'transacciones '!$A$2:$I$39,4,FALSE)</f>
        <v>Consumo</v>
      </c>
      <c r="F215" s="9">
        <f>+VLOOKUP(B215,'transacciones '!$A$2:$I$39,5,FALSE)</f>
        <v>2</v>
      </c>
      <c r="G215" s="9" t="str">
        <f>+VLOOKUP(B215,'transacciones '!$A$2:$I$39,6,FALSE)</f>
        <v>P2</v>
      </c>
      <c r="H215" s="9" t="str">
        <f>+VLOOKUP(B215,'transacciones '!$A$2:$I$39,7,FALSE)</f>
        <v>Consumo intermedio</v>
      </c>
      <c r="I215" s="18" t="s">
        <v>430</v>
      </c>
      <c r="J215" s="18" t="s">
        <v>431</v>
      </c>
      <c r="K215" s="8" t="s">
        <v>45</v>
      </c>
      <c r="L215" s="8" t="str">
        <f>+VLOOKUP(K215,'Correl CIIU'!$A$1:$F$26,2,FALSE)</f>
        <v>Información y comunicaciones</v>
      </c>
      <c r="M215" s="8" t="str">
        <f>+VLOOKUP(K215,'Correl CIIU'!$A$1:$F$26,3,FALSE)</f>
        <v>Información y comunicaciones</v>
      </c>
      <c r="N215" s="8" t="str">
        <f>+VLOOKUP(K215,'Correl CIIU'!$A$1:$F$26,4,FALSE)</f>
        <v>Information and communication</v>
      </c>
      <c r="O215" s="8">
        <v>3</v>
      </c>
      <c r="P215" s="31" t="str">
        <f>+VLOOKUP(O215,bio!$A$2:$B$4,2,FALSE)</f>
        <v>No bioeconomía</v>
      </c>
    </row>
    <row r="216" spans="1:16" x14ac:dyDescent="0.35">
      <c r="A216" s="30" t="s">
        <v>698</v>
      </c>
      <c r="B216" s="20" t="s">
        <v>149</v>
      </c>
      <c r="C216" s="9" t="str">
        <f>+VLOOKUP(B216,'transacciones '!$A$2:$I$39,2,FALSE)</f>
        <v>ATC01</v>
      </c>
      <c r="D216" s="9" t="str">
        <f>+VLOOKUP(B216,'transacciones '!$A$2:$I$39,3,FALSE)</f>
        <v>Producción / Consumo intermedio</v>
      </c>
      <c r="E216" s="9" t="str">
        <f>+VLOOKUP(B216,'transacciones '!$A$2:$I$39,4,FALSE)</f>
        <v>Consumo</v>
      </c>
      <c r="F216" s="9">
        <f>+VLOOKUP(B216,'transacciones '!$A$2:$I$39,5,FALSE)</f>
        <v>2</v>
      </c>
      <c r="G216" s="9" t="str">
        <f>+VLOOKUP(B216,'transacciones '!$A$2:$I$39,6,FALSE)</f>
        <v>P2</v>
      </c>
      <c r="H216" s="9" t="str">
        <f>+VLOOKUP(B216,'transacciones '!$A$2:$I$39,7,FALSE)</f>
        <v>Consumo intermedio</v>
      </c>
      <c r="I216" s="18" t="s">
        <v>432</v>
      </c>
      <c r="J216" s="18" t="s">
        <v>433</v>
      </c>
      <c r="K216" s="8" t="s">
        <v>45</v>
      </c>
      <c r="L216" s="8" t="str">
        <f>+VLOOKUP(K216,'Correl CIIU'!$A$1:$F$26,2,FALSE)</f>
        <v>Información y comunicaciones</v>
      </c>
      <c r="M216" s="8" t="str">
        <f>+VLOOKUP(K216,'Correl CIIU'!$A$1:$F$26,3,FALSE)</f>
        <v>Información y comunicaciones</v>
      </c>
      <c r="N216" s="8" t="str">
        <f>+VLOOKUP(K216,'Correl CIIU'!$A$1:$F$26,4,FALSE)</f>
        <v>Information and communication</v>
      </c>
      <c r="O216" s="8">
        <v>3</v>
      </c>
      <c r="P216" s="31" t="str">
        <f>+VLOOKUP(O216,bio!$A$2:$B$4,2,FALSE)</f>
        <v>No bioeconomía</v>
      </c>
    </row>
    <row r="217" spans="1:16" x14ac:dyDescent="0.35">
      <c r="A217" s="30" t="s">
        <v>699</v>
      </c>
      <c r="B217" s="20" t="s">
        <v>149</v>
      </c>
      <c r="C217" s="9" t="str">
        <f>+VLOOKUP(B217,'transacciones '!$A$2:$I$39,2,FALSE)</f>
        <v>ATC01</v>
      </c>
      <c r="D217" s="9" t="str">
        <f>+VLOOKUP(B217,'transacciones '!$A$2:$I$39,3,FALSE)</f>
        <v>Producción / Consumo intermedio</v>
      </c>
      <c r="E217" s="9" t="str">
        <f>+VLOOKUP(B217,'transacciones '!$A$2:$I$39,4,FALSE)</f>
        <v>Consumo</v>
      </c>
      <c r="F217" s="9">
        <f>+VLOOKUP(B217,'transacciones '!$A$2:$I$39,5,FALSE)</f>
        <v>2</v>
      </c>
      <c r="G217" s="9" t="str">
        <f>+VLOOKUP(B217,'transacciones '!$A$2:$I$39,6,FALSE)</f>
        <v>P2</v>
      </c>
      <c r="H217" s="9" t="str">
        <f>+VLOOKUP(B217,'transacciones '!$A$2:$I$39,7,FALSE)</f>
        <v>Consumo intermedio</v>
      </c>
      <c r="I217" s="18" t="s">
        <v>434</v>
      </c>
      <c r="J217" s="18" t="s">
        <v>435</v>
      </c>
      <c r="K217" s="8" t="s">
        <v>48</v>
      </c>
      <c r="L217" s="8" t="str">
        <f>+VLOOKUP(K217,'Correl CIIU'!$A$1:$F$26,2,FALSE)</f>
        <v>Actividades financieras y de seguros</v>
      </c>
      <c r="M217" s="8" t="str">
        <f>+VLOOKUP(K217,'Correl CIIU'!$A$1:$F$26,3,FALSE)</f>
        <v>Finanzas y seguros</v>
      </c>
      <c r="N217" s="8" t="str">
        <f>+VLOOKUP(K217,'Correl CIIU'!$A$1:$F$26,4,FALSE)</f>
        <v>Financial and insurance activities</v>
      </c>
      <c r="O217" s="8">
        <v>3</v>
      </c>
      <c r="P217" s="31" t="str">
        <f>+VLOOKUP(O217,bio!$A$2:$B$4,2,FALSE)</f>
        <v>No bioeconomía</v>
      </c>
    </row>
    <row r="218" spans="1:16" x14ac:dyDescent="0.35">
      <c r="A218" s="30" t="s">
        <v>700</v>
      </c>
      <c r="B218" s="20" t="s">
        <v>149</v>
      </c>
      <c r="C218" s="9" t="str">
        <f>+VLOOKUP(B218,'transacciones '!$A$2:$I$39,2,FALSE)</f>
        <v>ATC01</v>
      </c>
      <c r="D218" s="9" t="str">
        <f>+VLOOKUP(B218,'transacciones '!$A$2:$I$39,3,FALSE)</f>
        <v>Producción / Consumo intermedio</v>
      </c>
      <c r="E218" s="9" t="str">
        <f>+VLOOKUP(B218,'transacciones '!$A$2:$I$39,4,FALSE)</f>
        <v>Consumo</v>
      </c>
      <c r="F218" s="9">
        <f>+VLOOKUP(B218,'transacciones '!$A$2:$I$39,5,FALSE)</f>
        <v>2</v>
      </c>
      <c r="G218" s="9" t="str">
        <f>+VLOOKUP(B218,'transacciones '!$A$2:$I$39,6,FALSE)</f>
        <v>P2</v>
      </c>
      <c r="H218" s="9" t="str">
        <f>+VLOOKUP(B218,'transacciones '!$A$2:$I$39,7,FALSE)</f>
        <v>Consumo intermedio</v>
      </c>
      <c r="I218" s="18" t="s">
        <v>436</v>
      </c>
      <c r="J218" s="18" t="s">
        <v>437</v>
      </c>
      <c r="K218" s="8" t="s">
        <v>48</v>
      </c>
      <c r="L218" s="8" t="str">
        <f>+VLOOKUP(K218,'Correl CIIU'!$A$1:$F$26,2,FALSE)</f>
        <v>Actividades financieras y de seguros</v>
      </c>
      <c r="M218" s="8" t="str">
        <f>+VLOOKUP(K218,'Correl CIIU'!$A$1:$F$26,3,FALSE)</f>
        <v>Finanzas y seguros</v>
      </c>
      <c r="N218" s="8" t="str">
        <f>+VLOOKUP(K218,'Correl CIIU'!$A$1:$F$26,4,FALSE)</f>
        <v>Financial and insurance activities</v>
      </c>
      <c r="O218" s="8">
        <v>3</v>
      </c>
      <c r="P218" s="31" t="str">
        <f>+VLOOKUP(O218,bio!$A$2:$B$4,2,FALSE)</f>
        <v>No bioeconomía</v>
      </c>
    </row>
    <row r="219" spans="1:16" x14ac:dyDescent="0.35">
      <c r="A219" s="30" t="s">
        <v>701</v>
      </c>
      <c r="B219" s="20" t="s">
        <v>149</v>
      </c>
      <c r="C219" s="9" t="str">
        <f>+VLOOKUP(B219,'transacciones '!$A$2:$I$39,2,FALSE)</f>
        <v>ATC01</v>
      </c>
      <c r="D219" s="9" t="str">
        <f>+VLOOKUP(B219,'transacciones '!$A$2:$I$39,3,FALSE)</f>
        <v>Producción / Consumo intermedio</v>
      </c>
      <c r="E219" s="9" t="str">
        <f>+VLOOKUP(B219,'transacciones '!$A$2:$I$39,4,FALSE)</f>
        <v>Consumo</v>
      </c>
      <c r="F219" s="9">
        <f>+VLOOKUP(B219,'transacciones '!$A$2:$I$39,5,FALSE)</f>
        <v>2</v>
      </c>
      <c r="G219" s="9" t="str">
        <f>+VLOOKUP(B219,'transacciones '!$A$2:$I$39,6,FALSE)</f>
        <v>P2</v>
      </c>
      <c r="H219" s="9" t="str">
        <f>+VLOOKUP(B219,'transacciones '!$A$2:$I$39,7,FALSE)</f>
        <v>Consumo intermedio</v>
      </c>
      <c r="I219" s="18" t="s">
        <v>438</v>
      </c>
      <c r="J219" s="18" t="s">
        <v>439</v>
      </c>
      <c r="K219" s="8" t="s">
        <v>48</v>
      </c>
      <c r="L219" s="8" t="str">
        <f>+VLOOKUP(K219,'Correl CIIU'!$A$1:$F$26,2,FALSE)</f>
        <v>Actividades financieras y de seguros</v>
      </c>
      <c r="M219" s="8" t="str">
        <f>+VLOOKUP(K219,'Correl CIIU'!$A$1:$F$26,3,FALSE)</f>
        <v>Finanzas y seguros</v>
      </c>
      <c r="N219" s="8" t="str">
        <f>+VLOOKUP(K219,'Correl CIIU'!$A$1:$F$26,4,FALSE)</f>
        <v>Financial and insurance activities</v>
      </c>
      <c r="O219" s="8">
        <v>3</v>
      </c>
      <c r="P219" s="31" t="str">
        <f>+VLOOKUP(O219,bio!$A$2:$B$4,2,FALSE)</f>
        <v>No bioeconomía</v>
      </c>
    </row>
    <row r="220" spans="1:16" x14ac:dyDescent="0.35">
      <c r="A220" s="30" t="s">
        <v>702</v>
      </c>
      <c r="B220" s="20" t="s">
        <v>149</v>
      </c>
      <c r="C220" s="9" t="str">
        <f>+VLOOKUP(B220,'transacciones '!$A$2:$I$39,2,FALSE)</f>
        <v>ATC01</v>
      </c>
      <c r="D220" s="9" t="str">
        <f>+VLOOKUP(B220,'transacciones '!$A$2:$I$39,3,FALSE)</f>
        <v>Producción / Consumo intermedio</v>
      </c>
      <c r="E220" s="9" t="str">
        <f>+VLOOKUP(B220,'transacciones '!$A$2:$I$39,4,FALSE)</f>
        <v>Consumo</v>
      </c>
      <c r="F220" s="9">
        <f>+VLOOKUP(B220,'transacciones '!$A$2:$I$39,5,FALSE)</f>
        <v>2</v>
      </c>
      <c r="G220" s="9" t="str">
        <f>+VLOOKUP(B220,'transacciones '!$A$2:$I$39,6,FALSE)</f>
        <v>P2</v>
      </c>
      <c r="H220" s="9" t="str">
        <f>+VLOOKUP(B220,'transacciones '!$A$2:$I$39,7,FALSE)</f>
        <v>Consumo intermedio</v>
      </c>
      <c r="I220" s="18" t="s">
        <v>440</v>
      </c>
      <c r="J220" s="18" t="s">
        <v>50</v>
      </c>
      <c r="K220" s="8" t="s">
        <v>51</v>
      </c>
      <c r="L220" s="8" t="str">
        <f>+VLOOKUP(K220,'Correl CIIU'!$A$1:$F$26,2,FALSE)</f>
        <v>Actividades inmobiliarias</v>
      </c>
      <c r="M220" s="8" t="str">
        <f>+VLOOKUP(K220,'Correl CIIU'!$A$1:$F$26,3,FALSE)</f>
        <v>Inmobiliarios</v>
      </c>
      <c r="N220" s="8" t="str">
        <f>+VLOOKUP(K220,'Correl CIIU'!$A$1:$F$26,4,FALSE)</f>
        <v>Real estate activities</v>
      </c>
      <c r="O220" s="8">
        <v>3</v>
      </c>
      <c r="P220" s="31" t="str">
        <f>+VLOOKUP(O220,bio!$A$2:$B$4,2,FALSE)</f>
        <v>No bioeconomía</v>
      </c>
    </row>
    <row r="221" spans="1:16" x14ac:dyDescent="0.35">
      <c r="A221" s="30" t="s">
        <v>703</v>
      </c>
      <c r="B221" s="20" t="s">
        <v>149</v>
      </c>
      <c r="C221" s="9" t="str">
        <f>+VLOOKUP(B221,'transacciones '!$A$2:$I$39,2,FALSE)</f>
        <v>ATC01</v>
      </c>
      <c r="D221" s="9" t="str">
        <f>+VLOOKUP(B221,'transacciones '!$A$2:$I$39,3,FALSE)</f>
        <v>Producción / Consumo intermedio</v>
      </c>
      <c r="E221" s="9" t="str">
        <f>+VLOOKUP(B221,'transacciones '!$A$2:$I$39,4,FALSE)</f>
        <v>Consumo</v>
      </c>
      <c r="F221" s="9">
        <f>+VLOOKUP(B221,'transacciones '!$A$2:$I$39,5,FALSE)</f>
        <v>2</v>
      </c>
      <c r="G221" s="9" t="str">
        <f>+VLOOKUP(B221,'transacciones '!$A$2:$I$39,6,FALSE)</f>
        <v>P2</v>
      </c>
      <c r="H221" s="9" t="str">
        <f>+VLOOKUP(B221,'transacciones '!$A$2:$I$39,7,FALSE)</f>
        <v>Consumo intermedio</v>
      </c>
      <c r="I221" s="18" t="s">
        <v>441</v>
      </c>
      <c r="J221" s="18" t="s">
        <v>442</v>
      </c>
      <c r="K221" s="8" t="s">
        <v>51</v>
      </c>
      <c r="L221" s="8" t="str">
        <f>+VLOOKUP(K221,'Correl CIIU'!$A$1:$F$26,2,FALSE)</f>
        <v>Actividades inmobiliarias</v>
      </c>
      <c r="M221" s="8" t="str">
        <f>+VLOOKUP(K221,'Correl CIIU'!$A$1:$F$26,3,FALSE)</f>
        <v>Inmobiliarios</v>
      </c>
      <c r="N221" s="8" t="str">
        <f>+VLOOKUP(K221,'Correl CIIU'!$A$1:$F$26,4,FALSE)</f>
        <v>Real estate activities</v>
      </c>
      <c r="O221" s="8">
        <v>3</v>
      </c>
      <c r="P221" s="31" t="str">
        <f>+VLOOKUP(O221,bio!$A$2:$B$4,2,FALSE)</f>
        <v>No bioeconomía</v>
      </c>
    </row>
    <row r="222" spans="1:16" x14ac:dyDescent="0.35">
      <c r="A222" s="30" t="s">
        <v>704</v>
      </c>
      <c r="B222" s="20" t="s">
        <v>149</v>
      </c>
      <c r="C222" s="9" t="str">
        <f>+VLOOKUP(B222,'transacciones '!$A$2:$I$39,2,FALSE)</f>
        <v>ATC01</v>
      </c>
      <c r="D222" s="9" t="str">
        <f>+VLOOKUP(B222,'transacciones '!$A$2:$I$39,3,FALSE)</f>
        <v>Producción / Consumo intermedio</v>
      </c>
      <c r="E222" s="9" t="str">
        <f>+VLOOKUP(B222,'transacciones '!$A$2:$I$39,4,FALSE)</f>
        <v>Consumo</v>
      </c>
      <c r="F222" s="9">
        <f>+VLOOKUP(B222,'transacciones '!$A$2:$I$39,5,FALSE)</f>
        <v>2</v>
      </c>
      <c r="G222" s="9" t="str">
        <f>+VLOOKUP(B222,'transacciones '!$A$2:$I$39,6,FALSE)</f>
        <v>P2</v>
      </c>
      <c r="H222" s="9" t="str">
        <f>+VLOOKUP(B222,'transacciones '!$A$2:$I$39,7,FALSE)</f>
        <v>Consumo intermedio</v>
      </c>
      <c r="I222" s="18" t="s">
        <v>443</v>
      </c>
      <c r="J222" s="18" t="s">
        <v>444</v>
      </c>
      <c r="K222" s="8" t="s">
        <v>54</v>
      </c>
      <c r="L222" s="8" t="str">
        <f>+VLOOKUP(K222,'Correl CIIU'!$A$1:$F$26,2,FALSE)</f>
        <v>Actividades profesionales, científicas y técnicas</v>
      </c>
      <c r="M222" s="8" t="str">
        <f>+VLOOKUP(K222,'Correl CIIU'!$A$1:$F$26,3,FALSE)</f>
        <v>Servicios profesionales</v>
      </c>
      <c r="N222" s="8" t="str">
        <f>+VLOOKUP(K222,'Correl CIIU'!$A$1:$F$26,4,FALSE)</f>
        <v>Professional, scientific and technical activities</v>
      </c>
      <c r="O222" s="8">
        <v>3</v>
      </c>
      <c r="P222" s="31" t="str">
        <f>+VLOOKUP(O222,bio!$A$2:$B$4,2,FALSE)</f>
        <v>No bioeconomía</v>
      </c>
    </row>
    <row r="223" spans="1:16" x14ac:dyDescent="0.35">
      <c r="A223" s="30" t="s">
        <v>705</v>
      </c>
      <c r="B223" s="20" t="s">
        <v>149</v>
      </c>
      <c r="C223" s="9" t="str">
        <f>+VLOOKUP(B223,'transacciones '!$A$2:$I$39,2,FALSE)</f>
        <v>ATC01</v>
      </c>
      <c r="D223" s="9" t="str">
        <f>+VLOOKUP(B223,'transacciones '!$A$2:$I$39,3,FALSE)</f>
        <v>Producción / Consumo intermedio</v>
      </c>
      <c r="E223" s="9" t="str">
        <f>+VLOOKUP(B223,'transacciones '!$A$2:$I$39,4,FALSE)</f>
        <v>Consumo</v>
      </c>
      <c r="F223" s="9">
        <f>+VLOOKUP(B223,'transacciones '!$A$2:$I$39,5,FALSE)</f>
        <v>2</v>
      </c>
      <c r="G223" s="9" t="str">
        <f>+VLOOKUP(B223,'transacciones '!$A$2:$I$39,6,FALSE)</f>
        <v>P2</v>
      </c>
      <c r="H223" s="9" t="str">
        <f>+VLOOKUP(B223,'transacciones '!$A$2:$I$39,7,FALSE)</f>
        <v>Consumo intermedio</v>
      </c>
      <c r="I223" s="18" t="s">
        <v>445</v>
      </c>
      <c r="J223" s="18" t="s">
        <v>446</v>
      </c>
      <c r="K223" s="8" t="s">
        <v>54</v>
      </c>
      <c r="L223" s="8" t="str">
        <f>+VLOOKUP(K223,'Correl CIIU'!$A$1:$F$26,2,FALSE)</f>
        <v>Actividades profesionales, científicas y técnicas</v>
      </c>
      <c r="M223" s="8" t="str">
        <f>+VLOOKUP(K223,'Correl CIIU'!$A$1:$F$26,3,FALSE)</f>
        <v>Servicios profesionales</v>
      </c>
      <c r="N223" s="8" t="str">
        <f>+VLOOKUP(K223,'Correl CIIU'!$A$1:$F$26,4,FALSE)</f>
        <v>Professional, scientific and technical activities</v>
      </c>
      <c r="O223" s="8">
        <v>3</v>
      </c>
      <c r="P223" s="31" t="str">
        <f>+VLOOKUP(O223,bio!$A$2:$B$4,2,FALSE)</f>
        <v>No bioeconomía</v>
      </c>
    </row>
    <row r="224" spans="1:16" x14ac:dyDescent="0.35">
      <c r="A224" s="30" t="s">
        <v>706</v>
      </c>
      <c r="B224" s="20" t="s">
        <v>149</v>
      </c>
      <c r="C224" s="9" t="str">
        <f>+VLOOKUP(B224,'transacciones '!$A$2:$I$39,2,FALSE)</f>
        <v>ATC01</v>
      </c>
      <c r="D224" s="9" t="str">
        <f>+VLOOKUP(B224,'transacciones '!$A$2:$I$39,3,FALSE)</f>
        <v>Producción / Consumo intermedio</v>
      </c>
      <c r="E224" s="9" t="str">
        <f>+VLOOKUP(B224,'transacciones '!$A$2:$I$39,4,FALSE)</f>
        <v>Consumo</v>
      </c>
      <c r="F224" s="9">
        <f>+VLOOKUP(B224,'transacciones '!$A$2:$I$39,5,FALSE)</f>
        <v>2</v>
      </c>
      <c r="G224" s="9" t="str">
        <f>+VLOOKUP(B224,'transacciones '!$A$2:$I$39,6,FALSE)</f>
        <v>P2</v>
      </c>
      <c r="H224" s="9" t="str">
        <f>+VLOOKUP(B224,'transacciones '!$A$2:$I$39,7,FALSE)</f>
        <v>Consumo intermedio</v>
      </c>
      <c r="I224" s="18" t="s">
        <v>447</v>
      </c>
      <c r="J224" s="18" t="s">
        <v>448</v>
      </c>
      <c r="K224" s="8" t="s">
        <v>54</v>
      </c>
      <c r="L224" s="8" t="str">
        <f>+VLOOKUP(K224,'Correl CIIU'!$A$1:$F$26,2,FALSE)</f>
        <v>Actividades profesionales, científicas y técnicas</v>
      </c>
      <c r="M224" s="8" t="str">
        <f>+VLOOKUP(K224,'Correl CIIU'!$A$1:$F$26,3,FALSE)</f>
        <v>Servicios profesionales</v>
      </c>
      <c r="N224" s="8" t="str">
        <f>+VLOOKUP(K224,'Correl CIIU'!$A$1:$F$26,4,FALSE)</f>
        <v>Professional, scientific and technical activities</v>
      </c>
      <c r="O224" s="8">
        <v>2</v>
      </c>
      <c r="P224" s="31" t="str">
        <f>+VLOOKUP(O224,bio!$A$2:$B$4,2,FALSE)</f>
        <v>Bioeconomía extendida</v>
      </c>
    </row>
    <row r="225" spans="1:16" x14ac:dyDescent="0.35">
      <c r="A225" s="30" t="s">
        <v>707</v>
      </c>
      <c r="B225" s="20" t="s">
        <v>149</v>
      </c>
      <c r="C225" s="9" t="str">
        <f>+VLOOKUP(B225,'transacciones '!$A$2:$I$39,2,FALSE)</f>
        <v>ATC01</v>
      </c>
      <c r="D225" s="9" t="str">
        <f>+VLOOKUP(B225,'transacciones '!$A$2:$I$39,3,FALSE)</f>
        <v>Producción / Consumo intermedio</v>
      </c>
      <c r="E225" s="9" t="str">
        <f>+VLOOKUP(B225,'transacciones '!$A$2:$I$39,4,FALSE)</f>
        <v>Consumo</v>
      </c>
      <c r="F225" s="9">
        <f>+VLOOKUP(B225,'transacciones '!$A$2:$I$39,5,FALSE)</f>
        <v>2</v>
      </c>
      <c r="G225" s="9" t="str">
        <f>+VLOOKUP(B225,'transacciones '!$A$2:$I$39,6,FALSE)</f>
        <v>P2</v>
      </c>
      <c r="H225" s="9" t="str">
        <f>+VLOOKUP(B225,'transacciones '!$A$2:$I$39,7,FALSE)</f>
        <v>Consumo intermedio</v>
      </c>
      <c r="I225" s="18" t="s">
        <v>449</v>
      </c>
      <c r="J225" s="18" t="s">
        <v>450</v>
      </c>
      <c r="K225" s="8" t="s">
        <v>118</v>
      </c>
      <c r="L225" s="8" t="str">
        <f>+VLOOKUP(K225,'Correl CIIU'!$A$1:$F$26,2,FALSE)</f>
        <v>Actividades de servicios administrativos y de apoyo</v>
      </c>
      <c r="M225" s="8" t="str">
        <f>+VLOOKUP(K225,'Correl CIIU'!$A$1:$F$26,3,FALSE)</f>
        <v>Servicios administrativos</v>
      </c>
      <c r="N225" s="8" t="str">
        <f>+VLOOKUP(K225,'Correl CIIU'!$A$1:$F$26,4,FALSE)</f>
        <v>Administrative and support service activities</v>
      </c>
      <c r="O225" s="8">
        <v>3</v>
      </c>
      <c r="P225" s="31" t="str">
        <f>+VLOOKUP(O225,bio!$A$2:$B$4,2,FALSE)</f>
        <v>No bioeconomía</v>
      </c>
    </row>
    <row r="226" spans="1:16" x14ac:dyDescent="0.35">
      <c r="A226" s="30" t="s">
        <v>708</v>
      </c>
      <c r="B226" s="20" t="s">
        <v>149</v>
      </c>
      <c r="C226" s="9" t="str">
        <f>+VLOOKUP(B226,'transacciones '!$A$2:$I$39,2,FALSE)</f>
        <v>ATC01</v>
      </c>
      <c r="D226" s="9" t="str">
        <f>+VLOOKUP(B226,'transacciones '!$A$2:$I$39,3,FALSE)</f>
        <v>Producción / Consumo intermedio</v>
      </c>
      <c r="E226" s="9" t="str">
        <f>+VLOOKUP(B226,'transacciones '!$A$2:$I$39,4,FALSE)</f>
        <v>Consumo</v>
      </c>
      <c r="F226" s="9">
        <f>+VLOOKUP(B226,'transacciones '!$A$2:$I$39,5,FALSE)</f>
        <v>2</v>
      </c>
      <c r="G226" s="9" t="str">
        <f>+VLOOKUP(B226,'transacciones '!$A$2:$I$39,6,FALSE)</f>
        <v>P2</v>
      </c>
      <c r="H226" s="9" t="str">
        <f>+VLOOKUP(B226,'transacciones '!$A$2:$I$39,7,FALSE)</f>
        <v>Consumo intermedio</v>
      </c>
      <c r="I226" s="18" t="s">
        <v>451</v>
      </c>
      <c r="J226" s="18" t="s">
        <v>452</v>
      </c>
      <c r="K226" s="8" t="s">
        <v>118</v>
      </c>
      <c r="L226" s="8" t="str">
        <f>+VLOOKUP(K226,'Correl CIIU'!$A$1:$F$26,2,FALSE)</f>
        <v>Actividades de servicios administrativos y de apoyo</v>
      </c>
      <c r="M226" s="8" t="str">
        <f>+VLOOKUP(K226,'Correl CIIU'!$A$1:$F$26,3,FALSE)</f>
        <v>Servicios administrativos</v>
      </c>
      <c r="N226" s="8" t="str">
        <f>+VLOOKUP(K226,'Correl CIIU'!$A$1:$F$26,4,FALSE)</f>
        <v>Administrative and support service activities</v>
      </c>
      <c r="O226" s="8">
        <v>3</v>
      </c>
      <c r="P226" s="31" t="str">
        <f>+VLOOKUP(O226,bio!$A$2:$B$4,2,FALSE)</f>
        <v>No bioeconomía</v>
      </c>
    </row>
    <row r="227" spans="1:16" x14ac:dyDescent="0.35">
      <c r="A227" s="30" t="s">
        <v>709</v>
      </c>
      <c r="B227" s="20" t="s">
        <v>149</v>
      </c>
      <c r="C227" s="9" t="str">
        <f>+VLOOKUP(B227,'transacciones '!$A$2:$I$39,2,FALSE)</f>
        <v>ATC01</v>
      </c>
      <c r="D227" s="9" t="str">
        <f>+VLOOKUP(B227,'transacciones '!$A$2:$I$39,3,FALSE)</f>
        <v>Producción / Consumo intermedio</v>
      </c>
      <c r="E227" s="9" t="str">
        <f>+VLOOKUP(B227,'transacciones '!$A$2:$I$39,4,FALSE)</f>
        <v>Consumo</v>
      </c>
      <c r="F227" s="9">
        <f>+VLOOKUP(B227,'transacciones '!$A$2:$I$39,5,FALSE)</f>
        <v>2</v>
      </c>
      <c r="G227" s="9" t="str">
        <f>+VLOOKUP(B227,'transacciones '!$A$2:$I$39,6,FALSE)</f>
        <v>P2</v>
      </c>
      <c r="H227" s="9" t="str">
        <f>+VLOOKUP(B227,'transacciones '!$A$2:$I$39,7,FALSE)</f>
        <v>Consumo intermedio</v>
      </c>
      <c r="I227" s="18" t="s">
        <v>453</v>
      </c>
      <c r="J227" s="18" t="s">
        <v>137</v>
      </c>
      <c r="K227" s="8" t="s">
        <v>67</v>
      </c>
      <c r="L227" s="8" t="str">
        <f>+VLOOKUP(K227,'Correl CIIU'!$A$1:$F$26,2,FALSE)</f>
        <v>Administración pública y defensa; planes de seguridad social de afiliación obligatoria</v>
      </c>
      <c r="M227" s="8" t="str">
        <f>+VLOOKUP(K227,'Correl CIIU'!$A$1:$F$26,3,FALSE)</f>
        <v>Administración pública</v>
      </c>
      <c r="N227" s="8" t="str">
        <f>+VLOOKUP(K227,'Correl CIIU'!$A$1:$F$26,4,FALSE)</f>
        <v>Public administration and defence; compulsory social security</v>
      </c>
      <c r="O227" s="8">
        <v>3</v>
      </c>
      <c r="P227" s="31" t="str">
        <f>+VLOOKUP(O227,bio!$A$2:$B$4,2,FALSE)</f>
        <v>No bioeconomía</v>
      </c>
    </row>
    <row r="228" spans="1:16" x14ac:dyDescent="0.35">
      <c r="A228" s="30" t="s">
        <v>710</v>
      </c>
      <c r="B228" s="20" t="s">
        <v>149</v>
      </c>
      <c r="C228" s="9" t="str">
        <f>+VLOOKUP(B228,'transacciones '!$A$2:$I$39,2,FALSE)</f>
        <v>ATC01</v>
      </c>
      <c r="D228" s="9" t="str">
        <f>+VLOOKUP(B228,'transacciones '!$A$2:$I$39,3,FALSE)</f>
        <v>Producción / Consumo intermedio</v>
      </c>
      <c r="E228" s="9" t="str">
        <f>+VLOOKUP(B228,'transacciones '!$A$2:$I$39,4,FALSE)</f>
        <v>Consumo</v>
      </c>
      <c r="F228" s="9">
        <f>+VLOOKUP(B228,'transacciones '!$A$2:$I$39,5,FALSE)</f>
        <v>2</v>
      </c>
      <c r="G228" s="9" t="str">
        <f>+VLOOKUP(B228,'transacciones '!$A$2:$I$39,6,FALSE)</f>
        <v>P2</v>
      </c>
      <c r="H228" s="9" t="str">
        <f>+VLOOKUP(B228,'transacciones '!$A$2:$I$39,7,FALSE)</f>
        <v>Consumo intermedio</v>
      </c>
      <c r="I228" s="18" t="s">
        <v>454</v>
      </c>
      <c r="J228" s="18" t="s">
        <v>455</v>
      </c>
      <c r="K228" s="8" t="s">
        <v>57</v>
      </c>
      <c r="L228" s="8" t="str">
        <f>+VLOOKUP(K228,'Correl CIIU'!$A$1:$F$26,2,FALSE)</f>
        <v>Enseñanza</v>
      </c>
      <c r="M228" s="8" t="str">
        <f>+VLOOKUP(K228,'Correl CIIU'!$A$1:$F$26,3,FALSE)</f>
        <v>Enseñanza</v>
      </c>
      <c r="N228" s="8" t="str">
        <f>+VLOOKUP(K228,'Correl CIIU'!$A$1:$F$26,4,FALSE)</f>
        <v>Education</v>
      </c>
      <c r="O228" s="8">
        <v>3</v>
      </c>
      <c r="P228" s="31" t="str">
        <f>+VLOOKUP(O228,bio!$A$2:$B$4,2,FALSE)</f>
        <v>No bioeconomía</v>
      </c>
    </row>
    <row r="229" spans="1:16" x14ac:dyDescent="0.35">
      <c r="A229" s="30" t="s">
        <v>711</v>
      </c>
      <c r="B229" s="20" t="s">
        <v>149</v>
      </c>
      <c r="C229" s="9" t="str">
        <f>+VLOOKUP(B229,'transacciones '!$A$2:$I$39,2,FALSE)</f>
        <v>ATC01</v>
      </c>
      <c r="D229" s="9" t="str">
        <f>+VLOOKUP(B229,'transacciones '!$A$2:$I$39,3,FALSE)</f>
        <v>Producción / Consumo intermedio</v>
      </c>
      <c r="E229" s="9" t="str">
        <f>+VLOOKUP(B229,'transacciones '!$A$2:$I$39,4,FALSE)</f>
        <v>Consumo</v>
      </c>
      <c r="F229" s="9">
        <f>+VLOOKUP(B229,'transacciones '!$A$2:$I$39,5,FALSE)</f>
        <v>2</v>
      </c>
      <c r="G229" s="9" t="str">
        <f>+VLOOKUP(B229,'transacciones '!$A$2:$I$39,6,FALSE)</f>
        <v>P2</v>
      </c>
      <c r="H229" s="9" t="str">
        <f>+VLOOKUP(B229,'transacciones '!$A$2:$I$39,7,FALSE)</f>
        <v>Consumo intermedio</v>
      </c>
      <c r="I229" s="18" t="s">
        <v>456</v>
      </c>
      <c r="J229" s="18" t="s">
        <v>457</v>
      </c>
      <c r="K229" s="8" t="s">
        <v>57</v>
      </c>
      <c r="L229" s="8" t="str">
        <f>+VLOOKUP(K229,'Correl CIIU'!$A$1:$F$26,2,FALSE)</f>
        <v>Enseñanza</v>
      </c>
      <c r="M229" s="8" t="str">
        <f>+VLOOKUP(K229,'Correl CIIU'!$A$1:$F$26,3,FALSE)</f>
        <v>Enseñanza</v>
      </c>
      <c r="N229" s="8" t="str">
        <f>+VLOOKUP(K229,'Correl CIIU'!$A$1:$F$26,4,FALSE)</f>
        <v>Education</v>
      </c>
      <c r="O229" s="8">
        <v>3</v>
      </c>
      <c r="P229" s="31" t="str">
        <f>+VLOOKUP(O229,bio!$A$2:$B$4,2,FALSE)</f>
        <v>No bioeconomía</v>
      </c>
    </row>
    <row r="230" spans="1:16" x14ac:dyDescent="0.35">
      <c r="A230" s="30" t="s">
        <v>712</v>
      </c>
      <c r="B230" s="20" t="s">
        <v>149</v>
      </c>
      <c r="C230" s="9" t="str">
        <f>+VLOOKUP(B230,'transacciones '!$A$2:$I$39,2,FALSE)</f>
        <v>ATC01</v>
      </c>
      <c r="D230" s="9" t="str">
        <f>+VLOOKUP(B230,'transacciones '!$A$2:$I$39,3,FALSE)</f>
        <v>Producción / Consumo intermedio</v>
      </c>
      <c r="E230" s="9" t="str">
        <f>+VLOOKUP(B230,'transacciones '!$A$2:$I$39,4,FALSE)</f>
        <v>Consumo</v>
      </c>
      <c r="F230" s="9">
        <f>+VLOOKUP(B230,'transacciones '!$A$2:$I$39,5,FALSE)</f>
        <v>2</v>
      </c>
      <c r="G230" s="9" t="str">
        <f>+VLOOKUP(B230,'transacciones '!$A$2:$I$39,6,FALSE)</f>
        <v>P2</v>
      </c>
      <c r="H230" s="9" t="str">
        <f>+VLOOKUP(B230,'transacciones '!$A$2:$I$39,7,FALSE)</f>
        <v>Consumo intermedio</v>
      </c>
      <c r="I230" s="18" t="s">
        <v>458</v>
      </c>
      <c r="J230" s="18" t="s">
        <v>459</v>
      </c>
      <c r="K230" s="8" t="s">
        <v>60</v>
      </c>
      <c r="L230" s="8" t="str">
        <f>+VLOOKUP(K230,'Correl CIIU'!$A$1:$F$26,2,FALSE)</f>
        <v>Actividades de atención de la salud humana y de asistencia social</v>
      </c>
      <c r="M230" s="8" t="str">
        <f>+VLOOKUP(K230,'Correl CIIU'!$A$1:$F$26,3,FALSE)</f>
        <v>Salud</v>
      </c>
      <c r="N230" s="8" t="str">
        <f>+VLOOKUP(K230,'Correl CIIU'!$A$1:$F$26,4,FALSE)</f>
        <v>Human health and social work activities</v>
      </c>
      <c r="O230" s="8">
        <v>3</v>
      </c>
      <c r="P230" s="31" t="str">
        <f>+VLOOKUP(O230,bio!$A$2:$B$4,2,FALSE)</f>
        <v>No bioeconomía</v>
      </c>
    </row>
    <row r="231" spans="1:16" x14ac:dyDescent="0.35">
      <c r="A231" s="30" t="s">
        <v>713</v>
      </c>
      <c r="B231" s="20" t="s">
        <v>149</v>
      </c>
      <c r="C231" s="9" t="str">
        <f>+VLOOKUP(B231,'transacciones '!$A$2:$I$39,2,FALSE)</f>
        <v>ATC01</v>
      </c>
      <c r="D231" s="9" t="str">
        <f>+VLOOKUP(B231,'transacciones '!$A$2:$I$39,3,FALSE)</f>
        <v>Producción / Consumo intermedio</v>
      </c>
      <c r="E231" s="9" t="str">
        <f>+VLOOKUP(B231,'transacciones '!$A$2:$I$39,4,FALSE)</f>
        <v>Consumo</v>
      </c>
      <c r="F231" s="9">
        <f>+VLOOKUP(B231,'transacciones '!$A$2:$I$39,5,FALSE)</f>
        <v>2</v>
      </c>
      <c r="G231" s="9" t="str">
        <f>+VLOOKUP(B231,'transacciones '!$A$2:$I$39,6,FALSE)</f>
        <v>P2</v>
      </c>
      <c r="H231" s="9" t="str">
        <f>+VLOOKUP(B231,'transacciones '!$A$2:$I$39,7,FALSE)</f>
        <v>Consumo intermedio</v>
      </c>
      <c r="I231" s="18" t="s">
        <v>460</v>
      </c>
      <c r="J231" s="18" t="s">
        <v>461</v>
      </c>
      <c r="K231" s="8" t="s">
        <v>60</v>
      </c>
      <c r="L231" s="8" t="str">
        <f>+VLOOKUP(K231,'Correl CIIU'!$A$1:$F$26,2,FALSE)</f>
        <v>Actividades de atención de la salud humana y de asistencia social</v>
      </c>
      <c r="M231" s="8" t="str">
        <f>+VLOOKUP(K231,'Correl CIIU'!$A$1:$F$26,3,FALSE)</f>
        <v>Salud</v>
      </c>
      <c r="N231" s="8" t="str">
        <f>+VLOOKUP(K231,'Correl CIIU'!$A$1:$F$26,4,FALSE)</f>
        <v>Human health and social work activities</v>
      </c>
      <c r="O231" s="8">
        <v>3</v>
      </c>
      <c r="P231" s="31" t="str">
        <f>+VLOOKUP(O231,bio!$A$2:$B$4,2,FALSE)</f>
        <v>No bioeconomía</v>
      </c>
    </row>
    <row r="232" spans="1:16" x14ac:dyDescent="0.35">
      <c r="A232" s="30" t="s">
        <v>714</v>
      </c>
      <c r="B232" s="20" t="s">
        <v>149</v>
      </c>
      <c r="C232" s="9" t="str">
        <f>+VLOOKUP(B232,'transacciones '!$A$2:$I$39,2,FALSE)</f>
        <v>ATC01</v>
      </c>
      <c r="D232" s="9" t="str">
        <f>+VLOOKUP(B232,'transacciones '!$A$2:$I$39,3,FALSE)</f>
        <v>Producción / Consumo intermedio</v>
      </c>
      <c r="E232" s="9" t="str">
        <f>+VLOOKUP(B232,'transacciones '!$A$2:$I$39,4,FALSE)</f>
        <v>Consumo</v>
      </c>
      <c r="F232" s="9">
        <f>+VLOOKUP(B232,'transacciones '!$A$2:$I$39,5,FALSE)</f>
        <v>2</v>
      </c>
      <c r="G232" s="9" t="str">
        <f>+VLOOKUP(B232,'transacciones '!$A$2:$I$39,6,FALSE)</f>
        <v>P2</v>
      </c>
      <c r="H232" s="9" t="str">
        <f>+VLOOKUP(B232,'transacciones '!$A$2:$I$39,7,FALSE)</f>
        <v>Consumo intermedio</v>
      </c>
      <c r="I232" s="18" t="s">
        <v>462</v>
      </c>
      <c r="J232" s="18" t="s">
        <v>463</v>
      </c>
      <c r="K232" s="8" t="s">
        <v>125</v>
      </c>
      <c r="L232" s="8" t="str">
        <f>+VLOOKUP(K232,'Correl CIIU'!$A$1:$F$26,2,FALSE)</f>
        <v>Actividades artísticas, de entretenimiento y recreativas</v>
      </c>
      <c r="M232" s="8" t="str">
        <f>+VLOOKUP(K232,'Correl CIIU'!$A$1:$F$26,3,FALSE)</f>
        <v>Recreación</v>
      </c>
      <c r="N232" s="8" t="str">
        <f>+VLOOKUP(K232,'Correl CIIU'!$A$1:$F$26,4,FALSE)</f>
        <v>Arts, entertainment and recreation</v>
      </c>
      <c r="O232" s="8">
        <v>3</v>
      </c>
      <c r="P232" s="31" t="str">
        <f>+VLOOKUP(O232,bio!$A$2:$B$4,2,FALSE)</f>
        <v>No bioeconomía</v>
      </c>
    </row>
    <row r="233" spans="1:16" x14ac:dyDescent="0.35">
      <c r="A233" s="30" t="s">
        <v>715</v>
      </c>
      <c r="B233" s="20" t="s">
        <v>149</v>
      </c>
      <c r="C233" s="9" t="str">
        <f>+VLOOKUP(B233,'transacciones '!$A$2:$I$39,2,FALSE)</f>
        <v>ATC01</v>
      </c>
      <c r="D233" s="9" t="str">
        <f>+VLOOKUP(B233,'transacciones '!$A$2:$I$39,3,FALSE)</f>
        <v>Producción / Consumo intermedio</v>
      </c>
      <c r="E233" s="9" t="str">
        <f>+VLOOKUP(B233,'transacciones '!$A$2:$I$39,4,FALSE)</f>
        <v>Consumo</v>
      </c>
      <c r="F233" s="9">
        <f>+VLOOKUP(B233,'transacciones '!$A$2:$I$39,5,FALSE)</f>
        <v>2</v>
      </c>
      <c r="G233" s="9" t="str">
        <f>+VLOOKUP(B233,'transacciones '!$A$2:$I$39,6,FALSE)</f>
        <v>P2</v>
      </c>
      <c r="H233" s="9" t="str">
        <f>+VLOOKUP(B233,'transacciones '!$A$2:$I$39,7,FALSE)</f>
        <v>Consumo intermedio</v>
      </c>
      <c r="I233" s="18" t="s">
        <v>464</v>
      </c>
      <c r="J233" s="18" t="s">
        <v>465</v>
      </c>
      <c r="K233" s="8" t="s">
        <v>125</v>
      </c>
      <c r="L233" s="8" t="str">
        <f>+VLOOKUP(K233,'Correl CIIU'!$A$1:$F$26,2,FALSE)</f>
        <v>Actividades artísticas, de entretenimiento y recreativas</v>
      </c>
      <c r="M233" s="8" t="str">
        <f>+VLOOKUP(K233,'Correl CIIU'!$A$1:$F$26,3,FALSE)</f>
        <v>Recreación</v>
      </c>
      <c r="N233" s="8" t="str">
        <f>+VLOOKUP(K233,'Correl CIIU'!$A$1:$F$26,4,FALSE)</f>
        <v>Arts, entertainment and recreation</v>
      </c>
      <c r="O233" s="8">
        <v>3</v>
      </c>
      <c r="P233" s="31" t="str">
        <f>+VLOOKUP(O233,bio!$A$2:$B$4,2,FALSE)</f>
        <v>No bioeconomía</v>
      </c>
    </row>
    <row r="234" spans="1:16" x14ac:dyDescent="0.35">
      <c r="A234" s="30" t="s">
        <v>716</v>
      </c>
      <c r="B234" s="20" t="s">
        <v>149</v>
      </c>
      <c r="C234" s="9" t="str">
        <f>+VLOOKUP(B234,'transacciones '!$A$2:$I$39,2,FALSE)</f>
        <v>ATC01</v>
      </c>
      <c r="D234" s="9" t="str">
        <f>+VLOOKUP(B234,'transacciones '!$A$2:$I$39,3,FALSE)</f>
        <v>Producción / Consumo intermedio</v>
      </c>
      <c r="E234" s="9" t="str">
        <f>+VLOOKUP(B234,'transacciones '!$A$2:$I$39,4,FALSE)</f>
        <v>Consumo</v>
      </c>
      <c r="F234" s="9">
        <f>+VLOOKUP(B234,'transacciones '!$A$2:$I$39,5,FALSE)</f>
        <v>2</v>
      </c>
      <c r="G234" s="9" t="str">
        <f>+VLOOKUP(B234,'transacciones '!$A$2:$I$39,6,FALSE)</f>
        <v>P2</v>
      </c>
      <c r="H234" s="9" t="str">
        <f>+VLOOKUP(B234,'transacciones '!$A$2:$I$39,7,FALSE)</f>
        <v>Consumo intermedio</v>
      </c>
      <c r="I234" s="18" t="s">
        <v>466</v>
      </c>
      <c r="J234" s="18" t="s">
        <v>467</v>
      </c>
      <c r="K234" s="49" t="s">
        <v>62</v>
      </c>
      <c r="L234" s="49" t="str">
        <f>+VLOOKUP(K234,'Correl CIIU'!$A$1:$F$26,2,FALSE)</f>
        <v>Otras actividades de servicios</v>
      </c>
      <c r="M234" s="49" t="str">
        <f>+VLOOKUP(K234,'Correl CIIU'!$A$1:$F$26,3,FALSE)</f>
        <v>Otros servicios</v>
      </c>
      <c r="N234" s="49" t="str">
        <f>+VLOOKUP(K234,'Correl CIIU'!$A$1:$F$26,4,FALSE)</f>
        <v>Other service activities</v>
      </c>
      <c r="O234" s="49">
        <v>3</v>
      </c>
      <c r="P234" s="50" t="str">
        <f>+VLOOKUP(O234,bio!$A$2:$B$4,2,FALSE)</f>
        <v>No bioeconomía</v>
      </c>
    </row>
    <row r="235" spans="1:16" x14ac:dyDescent="0.35">
      <c r="A235" s="32" t="s">
        <v>717</v>
      </c>
      <c r="B235" s="14"/>
      <c r="C235" s="11"/>
      <c r="D235" s="11"/>
      <c r="E235" s="11"/>
      <c r="F235" s="11"/>
      <c r="G235" s="11"/>
      <c r="H235" s="11"/>
      <c r="I235" s="22" t="s">
        <v>468</v>
      </c>
      <c r="J235" s="22" t="s">
        <v>468</v>
      </c>
      <c r="K235" s="16"/>
      <c r="L235" s="13"/>
      <c r="M235" s="13"/>
      <c r="N235" s="13"/>
      <c r="O235" s="13"/>
      <c r="P235" s="33"/>
    </row>
    <row r="236" spans="1:16" x14ac:dyDescent="0.35">
      <c r="A236" s="32" t="s">
        <v>718</v>
      </c>
      <c r="B236" s="14"/>
      <c r="C236" s="11"/>
      <c r="D236" s="11"/>
      <c r="E236" s="11"/>
      <c r="F236" s="11"/>
      <c r="G236" s="11"/>
      <c r="H236" s="11"/>
      <c r="I236" s="22" t="s">
        <v>469</v>
      </c>
      <c r="J236" s="22" t="s">
        <v>469</v>
      </c>
      <c r="K236" s="16"/>
      <c r="L236" s="13"/>
      <c r="M236" s="13"/>
      <c r="N236" s="13"/>
      <c r="O236" s="13"/>
      <c r="P236" s="33"/>
    </row>
    <row r="237" spans="1:16" x14ac:dyDescent="0.35">
      <c r="A237" s="32" t="s">
        <v>719</v>
      </c>
      <c r="B237" s="14"/>
      <c r="C237" s="11"/>
      <c r="D237" s="11"/>
      <c r="E237" s="11"/>
      <c r="F237" s="11"/>
      <c r="G237" s="11"/>
      <c r="H237" s="11"/>
      <c r="I237" s="22" t="s">
        <v>152</v>
      </c>
      <c r="J237" s="22" t="s">
        <v>152</v>
      </c>
      <c r="K237" s="16"/>
      <c r="L237" s="13"/>
      <c r="M237" s="13"/>
      <c r="N237" s="13"/>
      <c r="O237" s="13"/>
      <c r="P237" s="33"/>
    </row>
    <row r="238" spans="1:16" x14ac:dyDescent="0.35">
      <c r="A238" s="30" t="s">
        <v>720</v>
      </c>
      <c r="B238" s="20" t="s">
        <v>83</v>
      </c>
      <c r="C238" s="9" t="str">
        <f>+VLOOKUP(B238,'transacciones '!$A$2:$I$39,2,FALSE)</f>
        <v>ATC06</v>
      </c>
      <c r="D238" s="20" t="str">
        <f>+VLOOKUP(B238,'transacciones '!$A$2:$I$39,3,FALSE)</f>
        <v>Gasto de consumo final</v>
      </c>
      <c r="E238" s="9" t="str">
        <f>+VLOOKUP(B238,'transacciones '!$A$2:$I$39,4,FALSE)</f>
        <v>Gasto de consumo final de los hogares</v>
      </c>
      <c r="F238" s="9">
        <f>+VLOOKUP(B238,'transacciones '!$A$2:$I$39,5,FALSE)</f>
        <v>3</v>
      </c>
      <c r="G238" s="9" t="str">
        <f>+VLOOKUP(B238,'transacciones '!$A$2:$I$39,6,FALSE)</f>
        <v>P3</v>
      </c>
      <c r="H238" s="9" t="str">
        <f>+VLOOKUP(B238,'transacciones '!$A$2:$I$39,7,FALSE)</f>
        <v>Gasto de consumo final</v>
      </c>
      <c r="I238" s="18" t="s">
        <v>479</v>
      </c>
      <c r="J238" s="18" t="s">
        <v>479</v>
      </c>
      <c r="K238" s="76" t="s">
        <v>238</v>
      </c>
      <c r="L238" s="8" t="s">
        <v>238</v>
      </c>
      <c r="M238" s="8" t="s">
        <v>238</v>
      </c>
      <c r="N238" s="8" t="s">
        <v>238</v>
      </c>
      <c r="O238" s="8" t="s">
        <v>238</v>
      </c>
      <c r="P238" s="31" t="s">
        <v>238</v>
      </c>
    </row>
    <row r="239" spans="1:16" x14ac:dyDescent="0.35">
      <c r="A239" s="30" t="s">
        <v>721</v>
      </c>
      <c r="B239" s="20" t="s">
        <v>84</v>
      </c>
      <c r="C239" s="9" t="str">
        <f>+VLOOKUP(B239,'transacciones '!$A$2:$I$39,2,FALSE)</f>
        <v>ATC06</v>
      </c>
      <c r="D239" s="20" t="str">
        <f>+VLOOKUP(B239,'transacciones '!$A$2:$I$39,3,FALSE)</f>
        <v>Consumo final</v>
      </c>
      <c r="E239" s="9" t="str">
        <f>+VLOOKUP(B239,'transacciones '!$A$2:$I$39,4,FALSE)</f>
        <v>Gasto de consumo ISFLH</v>
      </c>
      <c r="F239" s="9">
        <f>+VLOOKUP(B239,'transacciones '!$A$2:$I$39,5,FALSE)</f>
        <v>3</v>
      </c>
      <c r="G239" s="9" t="str">
        <f>+VLOOKUP(B239,'transacciones '!$A$2:$I$39,6,FALSE)</f>
        <v>P3</v>
      </c>
      <c r="H239" s="9" t="str">
        <f>+VLOOKUP(B239,'transacciones '!$A$2:$I$39,7,FALSE)</f>
        <v>Gasto de consumo final</v>
      </c>
      <c r="I239" s="18" t="s">
        <v>480</v>
      </c>
      <c r="J239" s="18" t="s">
        <v>480</v>
      </c>
      <c r="K239" s="76" t="s">
        <v>238</v>
      </c>
      <c r="L239" s="8" t="s">
        <v>238</v>
      </c>
      <c r="M239" s="8" t="s">
        <v>238</v>
      </c>
      <c r="N239" s="8" t="s">
        <v>238</v>
      </c>
      <c r="O239" s="8" t="s">
        <v>238</v>
      </c>
      <c r="P239" s="31" t="s">
        <v>238</v>
      </c>
    </row>
    <row r="240" spans="1:16" x14ac:dyDescent="0.35">
      <c r="A240" s="30" t="s">
        <v>722</v>
      </c>
      <c r="B240" s="20" t="s">
        <v>166</v>
      </c>
      <c r="C240" s="9" t="str">
        <f>+VLOOKUP(B240,'transacciones '!$A$2:$I$39,2,FALSE)</f>
        <v>ATC06</v>
      </c>
      <c r="D240" s="20" t="str">
        <f>+VLOOKUP(B240,'transacciones '!$A$2:$I$39,3,FALSE)</f>
        <v>Consumo final</v>
      </c>
      <c r="E240" s="9" t="str">
        <f>+VLOOKUP(B240,'transacciones '!$A$2:$I$39,4,FALSE)</f>
        <v>Gasto de consumo de gobierno</v>
      </c>
      <c r="F240" s="9">
        <f>+VLOOKUP(B240,'transacciones '!$A$2:$I$39,5,FALSE)</f>
        <v>3</v>
      </c>
      <c r="G240" s="9" t="str">
        <f>+VLOOKUP(B240,'transacciones '!$A$2:$I$39,6,FALSE)</f>
        <v>P3</v>
      </c>
      <c r="H240" s="9" t="str">
        <f>+VLOOKUP(B240,'transacciones '!$A$2:$I$39,7,FALSE)</f>
        <v>Gasto de consumo final</v>
      </c>
      <c r="I240" s="18" t="s">
        <v>481</v>
      </c>
      <c r="J240" s="18" t="s">
        <v>481</v>
      </c>
      <c r="K240" s="76" t="s">
        <v>238</v>
      </c>
      <c r="L240" s="8" t="s">
        <v>238</v>
      </c>
      <c r="M240" s="8" t="s">
        <v>238</v>
      </c>
      <c r="N240" s="8" t="s">
        <v>238</v>
      </c>
      <c r="O240" s="8" t="s">
        <v>238</v>
      </c>
      <c r="P240" s="31" t="s">
        <v>238</v>
      </c>
    </row>
    <row r="241" spans="1:16" x14ac:dyDescent="0.35">
      <c r="A241" s="30" t="s">
        <v>723</v>
      </c>
      <c r="B241" s="20" t="s">
        <v>176</v>
      </c>
      <c r="C241" s="9" t="str">
        <f>+VLOOKUP(B241,'transacciones '!$A$2:$I$39,2,FALSE)</f>
        <v>ATC07</v>
      </c>
      <c r="D241" s="20" t="str">
        <f>+VLOOKUP(B241,'transacciones '!$A$2:$I$39,3,FALSE)</f>
        <v>Consumo final</v>
      </c>
      <c r="E241" s="9" t="str">
        <f>+VLOOKUP(B241,'transacciones '!$A$2:$I$39,4,FALSE)</f>
        <v>Formación bruta de capital fijo</v>
      </c>
      <c r="F241" s="9">
        <f>+VLOOKUP(B241,'transacciones '!$A$2:$I$39,5,FALSE)</f>
        <v>5</v>
      </c>
      <c r="G241" s="9" t="str">
        <f>+VLOOKUP(B241,'transacciones '!$A$2:$I$39,6,FALSE)</f>
        <v>P5</v>
      </c>
      <c r="H241" s="9" t="str">
        <f>+VLOOKUP(B241,'transacciones '!$A$2:$I$39,7,FALSE)</f>
        <v>Formación de capital</v>
      </c>
      <c r="I241" s="18" t="s">
        <v>178</v>
      </c>
      <c r="J241" s="18" t="s">
        <v>178</v>
      </c>
      <c r="K241" s="76" t="s">
        <v>238</v>
      </c>
      <c r="L241" s="8" t="s">
        <v>238</v>
      </c>
      <c r="M241" s="8" t="s">
        <v>238</v>
      </c>
      <c r="N241" s="8" t="s">
        <v>238</v>
      </c>
      <c r="O241" s="8" t="s">
        <v>238</v>
      </c>
      <c r="P241" s="31" t="s">
        <v>238</v>
      </c>
    </row>
    <row r="242" spans="1:16" x14ac:dyDescent="0.35">
      <c r="A242" s="30" t="s">
        <v>724</v>
      </c>
      <c r="B242" s="20" t="s">
        <v>88</v>
      </c>
      <c r="C242" s="9" t="str">
        <f>+VLOOKUP(B242,'transacciones '!$A$2:$I$39,2,FALSE)</f>
        <v>ATC07</v>
      </c>
      <c r="D242" s="20" t="str">
        <f>+VLOOKUP(B242,'transacciones '!$A$2:$I$39,3,FALSE)</f>
        <v>Consumo final</v>
      </c>
      <c r="E242" s="9" t="str">
        <f>+VLOOKUP(B242,'transacciones '!$A$2:$I$39,4,FALSE)</f>
        <v>Variación de existencias</v>
      </c>
      <c r="F242" s="9">
        <f>+VLOOKUP(B242,'transacciones '!$A$2:$I$39,5,FALSE)</f>
        <v>5</v>
      </c>
      <c r="G242" s="9" t="str">
        <f>+VLOOKUP(B242,'transacciones '!$A$2:$I$39,6,FALSE)</f>
        <v>P5</v>
      </c>
      <c r="H242" s="9" t="str">
        <f>+VLOOKUP(B242,'transacciones '!$A$2:$I$39,7,FALSE)</f>
        <v>Formación de capital</v>
      </c>
      <c r="I242" s="18" t="s">
        <v>182</v>
      </c>
      <c r="J242" s="18" t="s">
        <v>182</v>
      </c>
      <c r="K242" s="77" t="s">
        <v>238</v>
      </c>
      <c r="L242" s="8" t="s">
        <v>238</v>
      </c>
      <c r="M242" s="8" t="s">
        <v>238</v>
      </c>
      <c r="N242" s="8" t="s">
        <v>238</v>
      </c>
      <c r="O242" s="77" t="s">
        <v>238</v>
      </c>
      <c r="P242" s="31" t="s">
        <v>238</v>
      </c>
    </row>
    <row r="243" spans="1:16" x14ac:dyDescent="0.35">
      <c r="A243" s="30" t="s">
        <v>725</v>
      </c>
      <c r="B243" s="20" t="s">
        <v>185</v>
      </c>
      <c r="C243" s="9" t="str">
        <f>+VLOOKUP(B243,'transacciones '!$A$2:$I$39,2,FALSE)</f>
        <v>ATC02</v>
      </c>
      <c r="D243" s="20" t="str">
        <f>+VLOOKUP(B243,'transacciones '!$A$2:$I$39,3,FALSE)</f>
        <v>Exportaciones / Importaciones</v>
      </c>
      <c r="E243" s="9" t="str">
        <f>+VLOOKUP(B243,'transacciones '!$A$2:$I$39,4,FALSE)</f>
        <v>Exportaciones de bienes y servicios</v>
      </c>
      <c r="F243" s="9">
        <f>+VLOOKUP(B243,'transacciones '!$A$2:$I$39,5,FALSE)</f>
        <v>6</v>
      </c>
      <c r="G243" s="9" t="str">
        <f>+VLOOKUP(B243,'transacciones '!$A$2:$I$39,6,FALSE)</f>
        <v>P6</v>
      </c>
      <c r="H243" s="9" t="str">
        <f>+VLOOKUP(B243,'transacciones '!$A$2:$I$39,7,FALSE)</f>
        <v>Exportaciones de bienes y servicios</v>
      </c>
      <c r="I243" s="18" t="s">
        <v>482</v>
      </c>
      <c r="J243" s="18" t="s">
        <v>482</v>
      </c>
      <c r="K243" s="77" t="s">
        <v>238</v>
      </c>
      <c r="L243" s="8" t="s">
        <v>238</v>
      </c>
      <c r="M243" s="8" t="s">
        <v>238</v>
      </c>
      <c r="N243" s="8" t="s">
        <v>238</v>
      </c>
      <c r="O243" s="77" t="s">
        <v>238</v>
      </c>
      <c r="P243" s="31" t="s">
        <v>238</v>
      </c>
    </row>
    <row r="244" spans="1:16" x14ac:dyDescent="0.35">
      <c r="A244" s="32" t="s">
        <v>726</v>
      </c>
      <c r="B244" s="14"/>
      <c r="C244" s="11"/>
      <c r="D244" s="11"/>
      <c r="E244" s="11"/>
      <c r="F244" s="11"/>
      <c r="G244" s="11"/>
      <c r="H244" s="11"/>
      <c r="I244" s="22" t="s">
        <v>468</v>
      </c>
      <c r="J244" s="22" t="s">
        <v>468</v>
      </c>
      <c r="K244" s="12"/>
      <c r="L244" s="13"/>
      <c r="M244" s="13"/>
      <c r="N244" s="13"/>
      <c r="O244" s="12"/>
      <c r="P244" s="33"/>
    </row>
    <row r="245" spans="1:16" x14ac:dyDescent="0.35">
      <c r="A245" s="34" t="s">
        <v>727</v>
      </c>
      <c r="B245" s="35"/>
      <c r="C245" s="36"/>
      <c r="D245" s="36"/>
      <c r="E245" s="36"/>
      <c r="F245" s="36"/>
      <c r="G245" s="36"/>
      <c r="H245" s="36"/>
      <c r="I245" s="37" t="s">
        <v>483</v>
      </c>
      <c r="J245" s="37" t="s">
        <v>483</v>
      </c>
      <c r="K245" s="35"/>
      <c r="L245" s="38"/>
      <c r="M245" s="38"/>
      <c r="N245" s="38"/>
      <c r="O245" s="35"/>
      <c r="P245" s="39"/>
    </row>
    <row r="246" spans="1:16" x14ac:dyDescent="0.35">
      <c r="A246" s="24" t="s">
        <v>728</v>
      </c>
      <c r="B246" s="25" t="s">
        <v>141</v>
      </c>
      <c r="C246" s="26" t="str">
        <f>+VLOOKUP(B246,'transacciones '!$A$2:$I$39,2,FALSE)</f>
        <v>ATC01</v>
      </c>
      <c r="D246" s="26" t="str">
        <f>+VLOOKUP(B246,'transacciones '!$A$2:$I$39,3,FALSE)</f>
        <v>Producción / Consumo intermedio</v>
      </c>
      <c r="E246" s="26" t="str">
        <f>+VLOOKUP(B246,'transacciones '!$A$2:$I$39,4,FALSE)</f>
        <v>Producción</v>
      </c>
      <c r="F246" s="26">
        <f>+VLOOKUP(B246,'transacciones '!$A$2:$I$39,5,FALSE)</f>
        <v>1</v>
      </c>
      <c r="G246" s="26" t="str">
        <f>+VLOOKUP(B246,'transacciones '!$A$2:$I$39,6,FALSE)</f>
        <v>P1</v>
      </c>
      <c r="H246" s="26" t="str">
        <f>+VLOOKUP(B246,'transacciones '!$A$2:$I$39,7,FALSE)</f>
        <v>Producción</v>
      </c>
      <c r="I246" s="27" t="s">
        <v>272</v>
      </c>
      <c r="J246" s="27" t="s">
        <v>273</v>
      </c>
      <c r="K246" s="28" t="s">
        <v>17</v>
      </c>
      <c r="L246" s="28" t="str">
        <f>+VLOOKUP(K246,'Correl CIIU'!$A$1:$F$26,2,FALSE)</f>
        <v>Agricultura, ganadería, silvicultura y pesca</v>
      </c>
      <c r="M246" s="28" t="str">
        <f>+VLOOKUP(K246,'Correl CIIU'!$A$1:$F$26,3,FALSE)</f>
        <v>Agricultura</v>
      </c>
      <c r="N246" s="28" t="str">
        <f>+VLOOKUP(K246,'Correl CIIU'!$A$1:$F$26,4,FALSE)</f>
        <v>Agriculture, forestry and fishing</v>
      </c>
      <c r="O246" s="28">
        <v>1</v>
      </c>
      <c r="P246" s="29" t="str">
        <f>+VLOOKUP(O246,bio!$A$2:$B$4,2,FALSE)</f>
        <v>Bioeconomía</v>
      </c>
    </row>
    <row r="247" spans="1:16" x14ac:dyDescent="0.35">
      <c r="A247" s="30" t="s">
        <v>729</v>
      </c>
      <c r="B247" s="20" t="s">
        <v>141</v>
      </c>
      <c r="C247" s="9" t="str">
        <f>+VLOOKUP(B247,'transacciones '!$A$2:$I$39,2,FALSE)</f>
        <v>ATC01</v>
      </c>
      <c r="D247" s="9" t="str">
        <f>+VLOOKUP(B247,'transacciones '!$A$2:$I$39,3,FALSE)</f>
        <v>Producción / Consumo intermedio</v>
      </c>
      <c r="E247" s="9" t="str">
        <f>+VLOOKUP(B247,'transacciones '!$A$2:$I$39,4,FALSE)</f>
        <v>Producción</v>
      </c>
      <c r="F247" s="9">
        <f>+VLOOKUP(B247,'transacciones '!$A$2:$I$39,5,FALSE)</f>
        <v>1</v>
      </c>
      <c r="G247" s="9" t="str">
        <f>+VLOOKUP(B247,'transacciones '!$A$2:$I$39,6,FALSE)</f>
        <v>P1</v>
      </c>
      <c r="H247" s="9" t="str">
        <f>+VLOOKUP(B247,'transacciones '!$A$2:$I$39,7,FALSE)</f>
        <v>Producción</v>
      </c>
      <c r="I247" s="18" t="s">
        <v>274</v>
      </c>
      <c r="J247" s="18" t="s">
        <v>275</v>
      </c>
      <c r="K247" s="8" t="s">
        <v>17</v>
      </c>
      <c r="L247" s="8" t="str">
        <f>+VLOOKUP(K247,'Correl CIIU'!$A$1:$F$26,2,FALSE)</f>
        <v>Agricultura, ganadería, silvicultura y pesca</v>
      </c>
      <c r="M247" s="8" t="str">
        <f>+VLOOKUP(K247,'Correl CIIU'!$A$1:$F$26,3,FALSE)</f>
        <v>Agricultura</v>
      </c>
      <c r="N247" s="8" t="str">
        <f>+VLOOKUP(K247,'Correl CIIU'!$A$1:$F$26,4,FALSE)</f>
        <v>Agriculture, forestry and fishing</v>
      </c>
      <c r="O247" s="8">
        <v>1</v>
      </c>
      <c r="P247" s="31" t="str">
        <f>+VLOOKUP(O247,bio!$A$2:$B$4,2,FALSE)</f>
        <v>Bioeconomía</v>
      </c>
    </row>
    <row r="248" spans="1:16" x14ac:dyDescent="0.35">
      <c r="A248" s="30" t="s">
        <v>730</v>
      </c>
      <c r="B248" s="20" t="s">
        <v>141</v>
      </c>
      <c r="C248" s="9" t="str">
        <f>+VLOOKUP(B248,'transacciones '!$A$2:$I$39,2,FALSE)</f>
        <v>ATC01</v>
      </c>
      <c r="D248" s="9" t="str">
        <f>+VLOOKUP(B248,'transacciones '!$A$2:$I$39,3,FALSE)</f>
        <v>Producción / Consumo intermedio</v>
      </c>
      <c r="E248" s="9" t="str">
        <f>+VLOOKUP(B248,'transacciones '!$A$2:$I$39,4,FALSE)</f>
        <v>Producción</v>
      </c>
      <c r="F248" s="9">
        <f>+VLOOKUP(B248,'transacciones '!$A$2:$I$39,5,FALSE)</f>
        <v>1</v>
      </c>
      <c r="G248" s="9" t="str">
        <f>+VLOOKUP(B248,'transacciones '!$A$2:$I$39,6,FALSE)</f>
        <v>P1</v>
      </c>
      <c r="H248" s="9" t="str">
        <f>+VLOOKUP(B248,'transacciones '!$A$2:$I$39,7,FALSE)</f>
        <v>Producción</v>
      </c>
      <c r="I248" s="18" t="s">
        <v>276</v>
      </c>
      <c r="J248" s="18" t="s">
        <v>277</v>
      </c>
      <c r="K248" s="8" t="s">
        <v>17</v>
      </c>
      <c r="L248" s="8" t="str">
        <f>+VLOOKUP(K248,'Correl CIIU'!$A$1:$F$26,2,FALSE)</f>
        <v>Agricultura, ganadería, silvicultura y pesca</v>
      </c>
      <c r="M248" s="8" t="str">
        <f>+VLOOKUP(K248,'Correl CIIU'!$A$1:$F$26,3,FALSE)</f>
        <v>Agricultura</v>
      </c>
      <c r="N248" s="8" t="str">
        <f>+VLOOKUP(K248,'Correl CIIU'!$A$1:$F$26,4,FALSE)</f>
        <v>Agriculture, forestry and fishing</v>
      </c>
      <c r="O248" s="8">
        <v>1</v>
      </c>
      <c r="P248" s="31" t="str">
        <f>+VLOOKUP(O248,bio!$A$2:$B$4,2,FALSE)</f>
        <v>Bioeconomía</v>
      </c>
    </row>
    <row r="249" spans="1:16" x14ac:dyDescent="0.35">
      <c r="A249" s="30" t="s">
        <v>731</v>
      </c>
      <c r="B249" s="20" t="s">
        <v>141</v>
      </c>
      <c r="C249" s="9" t="str">
        <f>+VLOOKUP(B249,'transacciones '!$A$2:$I$39,2,FALSE)</f>
        <v>ATC01</v>
      </c>
      <c r="D249" s="9" t="str">
        <f>+VLOOKUP(B249,'transacciones '!$A$2:$I$39,3,FALSE)</f>
        <v>Producción / Consumo intermedio</v>
      </c>
      <c r="E249" s="9" t="str">
        <f>+VLOOKUP(B249,'transacciones '!$A$2:$I$39,4,FALSE)</f>
        <v>Producción</v>
      </c>
      <c r="F249" s="9">
        <f>+VLOOKUP(B249,'transacciones '!$A$2:$I$39,5,FALSE)</f>
        <v>1</v>
      </c>
      <c r="G249" s="9" t="str">
        <f>+VLOOKUP(B249,'transacciones '!$A$2:$I$39,6,FALSE)</f>
        <v>P1</v>
      </c>
      <c r="H249" s="9" t="str">
        <f>+VLOOKUP(B249,'transacciones '!$A$2:$I$39,7,FALSE)</f>
        <v>Producción</v>
      </c>
      <c r="I249" s="18" t="s">
        <v>278</v>
      </c>
      <c r="J249" s="18" t="s">
        <v>279</v>
      </c>
      <c r="K249" s="8" t="s">
        <v>17</v>
      </c>
      <c r="L249" s="8" t="str">
        <f>+VLOOKUP(K249,'Correl CIIU'!$A$1:$F$26,2,FALSE)</f>
        <v>Agricultura, ganadería, silvicultura y pesca</v>
      </c>
      <c r="M249" s="8" t="str">
        <f>+VLOOKUP(K249,'Correl CIIU'!$A$1:$F$26,3,FALSE)</f>
        <v>Agricultura</v>
      </c>
      <c r="N249" s="8" t="str">
        <f>+VLOOKUP(K249,'Correl CIIU'!$A$1:$F$26,4,FALSE)</f>
        <v>Agriculture, forestry and fishing</v>
      </c>
      <c r="O249" s="8">
        <v>1</v>
      </c>
      <c r="P249" s="31" t="str">
        <f>+VLOOKUP(O249,bio!$A$2:$B$4,2,FALSE)</f>
        <v>Bioeconomía</v>
      </c>
    </row>
    <row r="250" spans="1:16" x14ac:dyDescent="0.35">
      <c r="A250" s="30" t="s">
        <v>732</v>
      </c>
      <c r="B250" s="20" t="s">
        <v>141</v>
      </c>
      <c r="C250" s="9" t="str">
        <f>+VLOOKUP(B250,'transacciones '!$A$2:$I$39,2,FALSE)</f>
        <v>ATC01</v>
      </c>
      <c r="D250" s="9" t="str">
        <f>+VLOOKUP(B250,'transacciones '!$A$2:$I$39,3,FALSE)</f>
        <v>Producción / Consumo intermedio</v>
      </c>
      <c r="E250" s="9" t="str">
        <f>+VLOOKUP(B250,'transacciones '!$A$2:$I$39,4,FALSE)</f>
        <v>Producción</v>
      </c>
      <c r="F250" s="9">
        <f>+VLOOKUP(B250,'transacciones '!$A$2:$I$39,5,FALSE)</f>
        <v>1</v>
      </c>
      <c r="G250" s="9" t="str">
        <f>+VLOOKUP(B250,'transacciones '!$A$2:$I$39,6,FALSE)</f>
        <v>P1</v>
      </c>
      <c r="H250" s="9" t="str">
        <f>+VLOOKUP(B250,'transacciones '!$A$2:$I$39,7,FALSE)</f>
        <v>Producción</v>
      </c>
      <c r="I250" s="18" t="s">
        <v>280</v>
      </c>
      <c r="J250" s="18" t="s">
        <v>281</v>
      </c>
      <c r="K250" s="8" t="s">
        <v>17</v>
      </c>
      <c r="L250" s="8" t="str">
        <f>+VLOOKUP(K250,'Correl CIIU'!$A$1:$F$26,2,FALSE)</f>
        <v>Agricultura, ganadería, silvicultura y pesca</v>
      </c>
      <c r="M250" s="8" t="str">
        <f>+VLOOKUP(K250,'Correl CIIU'!$A$1:$F$26,3,FALSE)</f>
        <v>Agricultura</v>
      </c>
      <c r="N250" s="8" t="str">
        <f>+VLOOKUP(K250,'Correl CIIU'!$A$1:$F$26,4,FALSE)</f>
        <v>Agriculture, forestry and fishing</v>
      </c>
      <c r="O250" s="8">
        <v>1</v>
      </c>
      <c r="P250" s="31" t="str">
        <f>+VLOOKUP(O250,bio!$A$2:$B$4,2,FALSE)</f>
        <v>Bioeconomía</v>
      </c>
    </row>
    <row r="251" spans="1:16" x14ac:dyDescent="0.35">
      <c r="A251" s="30" t="s">
        <v>733</v>
      </c>
      <c r="B251" s="20" t="s">
        <v>141</v>
      </c>
      <c r="C251" s="9" t="str">
        <f>+VLOOKUP(B251,'transacciones '!$A$2:$I$39,2,FALSE)</f>
        <v>ATC01</v>
      </c>
      <c r="D251" s="9" t="str">
        <f>+VLOOKUP(B251,'transacciones '!$A$2:$I$39,3,FALSE)</f>
        <v>Producción / Consumo intermedio</v>
      </c>
      <c r="E251" s="9" t="str">
        <f>+VLOOKUP(B251,'transacciones '!$A$2:$I$39,4,FALSE)</f>
        <v>Producción</v>
      </c>
      <c r="F251" s="9">
        <f>+VLOOKUP(B251,'transacciones '!$A$2:$I$39,5,FALSE)</f>
        <v>1</v>
      </c>
      <c r="G251" s="9" t="str">
        <f>+VLOOKUP(B251,'transacciones '!$A$2:$I$39,6,FALSE)</f>
        <v>P1</v>
      </c>
      <c r="H251" s="9" t="str">
        <f>+VLOOKUP(B251,'transacciones '!$A$2:$I$39,7,FALSE)</f>
        <v>Producción</v>
      </c>
      <c r="I251" s="18" t="s">
        <v>282</v>
      </c>
      <c r="J251" s="18" t="s">
        <v>283</v>
      </c>
      <c r="K251" s="8" t="s">
        <v>17</v>
      </c>
      <c r="L251" s="8" t="str">
        <f>+VLOOKUP(K251,'Correl CIIU'!$A$1:$F$26,2,FALSE)</f>
        <v>Agricultura, ganadería, silvicultura y pesca</v>
      </c>
      <c r="M251" s="8" t="str">
        <f>+VLOOKUP(K251,'Correl CIIU'!$A$1:$F$26,3,FALSE)</f>
        <v>Agricultura</v>
      </c>
      <c r="N251" s="8" t="str">
        <f>+VLOOKUP(K251,'Correl CIIU'!$A$1:$F$26,4,FALSE)</f>
        <v>Agriculture, forestry and fishing</v>
      </c>
      <c r="O251" s="8">
        <v>1</v>
      </c>
      <c r="P251" s="31" t="str">
        <f>+VLOOKUP(O251,bio!$A$2:$B$4,2,FALSE)</f>
        <v>Bioeconomía</v>
      </c>
    </row>
    <row r="252" spans="1:16" x14ac:dyDescent="0.35">
      <c r="A252" s="30" t="s">
        <v>734</v>
      </c>
      <c r="B252" s="20" t="s">
        <v>141</v>
      </c>
      <c r="C252" s="9" t="str">
        <f>+VLOOKUP(B252,'transacciones '!$A$2:$I$39,2,FALSE)</f>
        <v>ATC01</v>
      </c>
      <c r="D252" s="9" t="str">
        <f>+VLOOKUP(B252,'transacciones '!$A$2:$I$39,3,FALSE)</f>
        <v>Producción / Consumo intermedio</v>
      </c>
      <c r="E252" s="9" t="str">
        <f>+VLOOKUP(B252,'transacciones '!$A$2:$I$39,4,FALSE)</f>
        <v>Producción</v>
      </c>
      <c r="F252" s="9">
        <f>+VLOOKUP(B252,'transacciones '!$A$2:$I$39,5,FALSE)</f>
        <v>1</v>
      </c>
      <c r="G252" s="9" t="str">
        <f>+VLOOKUP(B252,'transacciones '!$A$2:$I$39,6,FALSE)</f>
        <v>P1</v>
      </c>
      <c r="H252" s="9" t="str">
        <f>+VLOOKUP(B252,'transacciones '!$A$2:$I$39,7,FALSE)</f>
        <v>Producción</v>
      </c>
      <c r="I252" s="18" t="s">
        <v>284</v>
      </c>
      <c r="J252" s="18" t="s">
        <v>285</v>
      </c>
      <c r="K252" s="8" t="s">
        <v>17</v>
      </c>
      <c r="L252" s="8" t="str">
        <f>+VLOOKUP(K252,'Correl CIIU'!$A$1:$F$26,2,FALSE)</f>
        <v>Agricultura, ganadería, silvicultura y pesca</v>
      </c>
      <c r="M252" s="8" t="str">
        <f>+VLOOKUP(K252,'Correl CIIU'!$A$1:$F$26,3,FALSE)</f>
        <v>Agricultura</v>
      </c>
      <c r="N252" s="8" t="str">
        <f>+VLOOKUP(K252,'Correl CIIU'!$A$1:$F$26,4,FALSE)</f>
        <v>Agriculture, forestry and fishing</v>
      </c>
      <c r="O252" s="8">
        <v>1</v>
      </c>
      <c r="P252" s="31" t="str">
        <f>+VLOOKUP(O252,bio!$A$2:$B$4,2,FALSE)</f>
        <v>Bioeconomía</v>
      </c>
    </row>
    <row r="253" spans="1:16" x14ac:dyDescent="0.35">
      <c r="A253" s="30" t="s">
        <v>735</v>
      </c>
      <c r="B253" s="20" t="s">
        <v>141</v>
      </c>
      <c r="C253" s="9" t="str">
        <f>+VLOOKUP(B253,'transacciones '!$A$2:$I$39,2,FALSE)</f>
        <v>ATC01</v>
      </c>
      <c r="D253" s="9" t="str">
        <f>+VLOOKUP(B253,'transacciones '!$A$2:$I$39,3,FALSE)</f>
        <v>Producción / Consumo intermedio</v>
      </c>
      <c r="E253" s="9" t="str">
        <f>+VLOOKUP(B253,'transacciones '!$A$2:$I$39,4,FALSE)</f>
        <v>Producción</v>
      </c>
      <c r="F253" s="9">
        <f>+VLOOKUP(B253,'transacciones '!$A$2:$I$39,5,FALSE)</f>
        <v>1</v>
      </c>
      <c r="G253" s="9" t="str">
        <f>+VLOOKUP(B253,'transacciones '!$A$2:$I$39,6,FALSE)</f>
        <v>P1</v>
      </c>
      <c r="H253" s="9" t="str">
        <f>+VLOOKUP(B253,'transacciones '!$A$2:$I$39,7,FALSE)</f>
        <v>Producción</v>
      </c>
      <c r="I253" s="18" t="s">
        <v>286</v>
      </c>
      <c r="J253" s="18" t="s">
        <v>287</v>
      </c>
      <c r="K253" s="8" t="s">
        <v>17</v>
      </c>
      <c r="L253" s="8" t="str">
        <f>+VLOOKUP(K253,'Correl CIIU'!$A$1:$F$26,2,FALSE)</f>
        <v>Agricultura, ganadería, silvicultura y pesca</v>
      </c>
      <c r="M253" s="8" t="str">
        <f>+VLOOKUP(K253,'Correl CIIU'!$A$1:$F$26,3,FALSE)</f>
        <v>Agricultura</v>
      </c>
      <c r="N253" s="8" t="str">
        <f>+VLOOKUP(K253,'Correl CIIU'!$A$1:$F$26,4,FALSE)</f>
        <v>Agriculture, forestry and fishing</v>
      </c>
      <c r="O253" s="8">
        <v>1</v>
      </c>
      <c r="P253" s="31" t="str">
        <f>+VLOOKUP(O253,bio!$A$2:$B$4,2,FALSE)</f>
        <v>Bioeconomía</v>
      </c>
    </row>
    <row r="254" spans="1:16" x14ac:dyDescent="0.35">
      <c r="A254" s="30" t="s">
        <v>736</v>
      </c>
      <c r="B254" s="20" t="s">
        <v>141</v>
      </c>
      <c r="C254" s="9" t="str">
        <f>+VLOOKUP(B254,'transacciones '!$A$2:$I$39,2,FALSE)</f>
        <v>ATC01</v>
      </c>
      <c r="D254" s="9" t="str">
        <f>+VLOOKUP(B254,'transacciones '!$A$2:$I$39,3,FALSE)</f>
        <v>Producción / Consumo intermedio</v>
      </c>
      <c r="E254" s="9" t="str">
        <f>+VLOOKUP(B254,'transacciones '!$A$2:$I$39,4,FALSE)</f>
        <v>Producción</v>
      </c>
      <c r="F254" s="9">
        <f>+VLOOKUP(B254,'transacciones '!$A$2:$I$39,5,FALSE)</f>
        <v>1</v>
      </c>
      <c r="G254" s="9" t="str">
        <f>+VLOOKUP(B254,'transacciones '!$A$2:$I$39,6,FALSE)</f>
        <v>P1</v>
      </c>
      <c r="H254" s="9" t="str">
        <f>+VLOOKUP(B254,'transacciones '!$A$2:$I$39,7,FALSE)</f>
        <v>Producción</v>
      </c>
      <c r="I254" s="18" t="s">
        <v>288</v>
      </c>
      <c r="J254" s="18" t="s">
        <v>289</v>
      </c>
      <c r="K254" s="8" t="s">
        <v>17</v>
      </c>
      <c r="L254" s="8" t="str">
        <f>+VLOOKUP(K254,'Correl CIIU'!$A$1:$F$26,2,FALSE)</f>
        <v>Agricultura, ganadería, silvicultura y pesca</v>
      </c>
      <c r="M254" s="8" t="str">
        <f>+VLOOKUP(K254,'Correl CIIU'!$A$1:$F$26,3,FALSE)</f>
        <v>Agricultura</v>
      </c>
      <c r="N254" s="8" t="str">
        <f>+VLOOKUP(K254,'Correl CIIU'!$A$1:$F$26,4,FALSE)</f>
        <v>Agriculture, forestry and fishing</v>
      </c>
      <c r="O254" s="8">
        <v>1</v>
      </c>
      <c r="P254" s="31" t="str">
        <f>+VLOOKUP(O254,bio!$A$2:$B$4,2,FALSE)</f>
        <v>Bioeconomía</v>
      </c>
    </row>
    <row r="255" spans="1:16" x14ac:dyDescent="0.35">
      <c r="A255" s="30" t="s">
        <v>737</v>
      </c>
      <c r="B255" s="20" t="s">
        <v>141</v>
      </c>
      <c r="C255" s="9" t="str">
        <f>+VLOOKUP(B255,'transacciones '!$A$2:$I$39,2,FALSE)</f>
        <v>ATC01</v>
      </c>
      <c r="D255" s="9" t="str">
        <f>+VLOOKUP(B255,'transacciones '!$A$2:$I$39,3,FALSE)</f>
        <v>Producción / Consumo intermedio</v>
      </c>
      <c r="E255" s="9" t="str">
        <f>+VLOOKUP(B255,'transacciones '!$A$2:$I$39,4,FALSE)</f>
        <v>Producción</v>
      </c>
      <c r="F255" s="9">
        <f>+VLOOKUP(B255,'transacciones '!$A$2:$I$39,5,FALSE)</f>
        <v>1</v>
      </c>
      <c r="G255" s="9" t="str">
        <f>+VLOOKUP(B255,'transacciones '!$A$2:$I$39,6,FALSE)</f>
        <v>P1</v>
      </c>
      <c r="H255" s="9" t="str">
        <f>+VLOOKUP(B255,'transacciones '!$A$2:$I$39,7,FALSE)</f>
        <v>Producción</v>
      </c>
      <c r="I255" s="18" t="s">
        <v>22</v>
      </c>
      <c r="J255" s="18" t="s">
        <v>290</v>
      </c>
      <c r="K255" s="8" t="s">
        <v>17</v>
      </c>
      <c r="L255" s="8" t="str">
        <f>+VLOOKUP(K255,'Correl CIIU'!$A$1:$F$26,2,FALSE)</f>
        <v>Agricultura, ganadería, silvicultura y pesca</v>
      </c>
      <c r="M255" s="8" t="str">
        <f>+VLOOKUP(K255,'Correl CIIU'!$A$1:$F$26,3,FALSE)</f>
        <v>Agricultura</v>
      </c>
      <c r="N255" s="8" t="str">
        <f>+VLOOKUP(K255,'Correl CIIU'!$A$1:$F$26,4,FALSE)</f>
        <v>Agriculture, forestry and fishing</v>
      </c>
      <c r="O255" s="8">
        <v>1</v>
      </c>
      <c r="P255" s="31" t="str">
        <f>+VLOOKUP(O255,bio!$A$2:$B$4,2,FALSE)</f>
        <v>Bioeconomía</v>
      </c>
    </row>
    <row r="256" spans="1:16" x14ac:dyDescent="0.35">
      <c r="A256" s="30" t="s">
        <v>738</v>
      </c>
      <c r="B256" s="20" t="s">
        <v>141</v>
      </c>
      <c r="C256" s="9" t="str">
        <f>+VLOOKUP(B256,'transacciones '!$A$2:$I$39,2,FALSE)</f>
        <v>ATC01</v>
      </c>
      <c r="D256" s="9" t="str">
        <f>+VLOOKUP(B256,'transacciones '!$A$2:$I$39,3,FALSE)</f>
        <v>Producción / Consumo intermedio</v>
      </c>
      <c r="E256" s="9" t="str">
        <f>+VLOOKUP(B256,'transacciones '!$A$2:$I$39,4,FALSE)</f>
        <v>Producción</v>
      </c>
      <c r="F256" s="9">
        <f>+VLOOKUP(B256,'transacciones '!$A$2:$I$39,5,FALSE)</f>
        <v>1</v>
      </c>
      <c r="G256" s="9" t="str">
        <f>+VLOOKUP(B256,'transacciones '!$A$2:$I$39,6,FALSE)</f>
        <v>P1</v>
      </c>
      <c r="H256" s="9" t="str">
        <f>+VLOOKUP(B256,'transacciones '!$A$2:$I$39,7,FALSE)</f>
        <v>Producción</v>
      </c>
      <c r="I256" s="18" t="s">
        <v>23</v>
      </c>
      <c r="J256" s="18" t="s">
        <v>291</v>
      </c>
      <c r="K256" s="8" t="s">
        <v>17</v>
      </c>
      <c r="L256" s="8" t="str">
        <f>+VLOOKUP(K256,'Correl CIIU'!$A$1:$F$26,2,FALSE)</f>
        <v>Agricultura, ganadería, silvicultura y pesca</v>
      </c>
      <c r="M256" s="8" t="str">
        <f>+VLOOKUP(K256,'Correl CIIU'!$A$1:$F$26,3,FALSE)</f>
        <v>Agricultura</v>
      </c>
      <c r="N256" s="8" t="str">
        <f>+VLOOKUP(K256,'Correl CIIU'!$A$1:$F$26,4,FALSE)</f>
        <v>Agriculture, forestry and fishing</v>
      </c>
      <c r="O256" s="8">
        <v>1</v>
      </c>
      <c r="P256" s="31" t="str">
        <f>+VLOOKUP(O256,bio!$A$2:$B$4,2,FALSE)</f>
        <v>Bioeconomía</v>
      </c>
    </row>
    <row r="257" spans="1:16" x14ac:dyDescent="0.35">
      <c r="A257" s="30" t="s">
        <v>739</v>
      </c>
      <c r="B257" s="20" t="s">
        <v>141</v>
      </c>
      <c r="C257" s="9" t="str">
        <f>+VLOOKUP(B257,'transacciones '!$A$2:$I$39,2,FALSE)</f>
        <v>ATC01</v>
      </c>
      <c r="D257" s="9" t="str">
        <f>+VLOOKUP(B257,'transacciones '!$A$2:$I$39,3,FALSE)</f>
        <v>Producción / Consumo intermedio</v>
      </c>
      <c r="E257" s="9" t="str">
        <f>+VLOOKUP(B257,'transacciones '!$A$2:$I$39,4,FALSE)</f>
        <v>Producción</v>
      </c>
      <c r="F257" s="9">
        <f>+VLOOKUP(B257,'transacciones '!$A$2:$I$39,5,FALSE)</f>
        <v>1</v>
      </c>
      <c r="G257" s="9" t="str">
        <f>+VLOOKUP(B257,'transacciones '!$A$2:$I$39,6,FALSE)</f>
        <v>P1</v>
      </c>
      <c r="H257" s="9" t="str">
        <f>+VLOOKUP(B257,'transacciones '!$A$2:$I$39,7,FALSE)</f>
        <v>Producción</v>
      </c>
      <c r="I257" s="18" t="s">
        <v>24</v>
      </c>
      <c r="J257" s="18" t="s">
        <v>292</v>
      </c>
      <c r="K257" s="8" t="s">
        <v>17</v>
      </c>
      <c r="L257" s="8" t="str">
        <f>+VLOOKUP(K257,'Correl CIIU'!$A$1:$F$26,2,FALSE)</f>
        <v>Agricultura, ganadería, silvicultura y pesca</v>
      </c>
      <c r="M257" s="8" t="str">
        <f>+VLOOKUP(K257,'Correl CIIU'!$A$1:$F$26,3,FALSE)</f>
        <v>Agricultura</v>
      </c>
      <c r="N257" s="8" t="str">
        <f>+VLOOKUP(K257,'Correl CIIU'!$A$1:$F$26,4,FALSE)</f>
        <v>Agriculture, forestry and fishing</v>
      </c>
      <c r="O257" s="8">
        <v>1</v>
      </c>
      <c r="P257" s="31" t="str">
        <f>+VLOOKUP(O257,bio!$A$2:$B$4,2,FALSE)</f>
        <v>Bioeconomía</v>
      </c>
    </row>
    <row r="258" spans="1:16" x14ac:dyDescent="0.35">
      <c r="A258" s="30" t="s">
        <v>740</v>
      </c>
      <c r="B258" s="20" t="s">
        <v>141</v>
      </c>
      <c r="C258" s="9" t="str">
        <f>+VLOOKUP(B258,'transacciones '!$A$2:$I$39,2,FALSE)</f>
        <v>ATC01</v>
      </c>
      <c r="D258" s="9" t="str">
        <f>+VLOOKUP(B258,'transacciones '!$A$2:$I$39,3,FALSE)</f>
        <v>Producción / Consumo intermedio</v>
      </c>
      <c r="E258" s="9" t="str">
        <f>+VLOOKUP(B258,'transacciones '!$A$2:$I$39,4,FALSE)</f>
        <v>Producción</v>
      </c>
      <c r="F258" s="9">
        <f>+VLOOKUP(B258,'transacciones '!$A$2:$I$39,5,FALSE)</f>
        <v>1</v>
      </c>
      <c r="G258" s="9" t="str">
        <f>+VLOOKUP(B258,'transacciones '!$A$2:$I$39,6,FALSE)</f>
        <v>P1</v>
      </c>
      <c r="H258" s="9" t="str">
        <f>+VLOOKUP(B258,'transacciones '!$A$2:$I$39,7,FALSE)</f>
        <v>Producción</v>
      </c>
      <c r="I258" s="18" t="s">
        <v>293</v>
      </c>
      <c r="J258" s="18" t="s">
        <v>294</v>
      </c>
      <c r="K258" s="8" t="s">
        <v>19</v>
      </c>
      <c r="L258" s="8" t="str">
        <f>+VLOOKUP(K258,'Correl CIIU'!$A$1:$F$26,2,FALSE)</f>
        <v>Explotación de minas y canteras</v>
      </c>
      <c r="M258" s="8" t="str">
        <f>+VLOOKUP(K258,'Correl CIIU'!$A$1:$F$26,3,FALSE)</f>
        <v>Minería</v>
      </c>
      <c r="N258" s="8" t="str">
        <f>+VLOOKUP(K258,'Correl CIIU'!$A$1:$F$26,4,FALSE)</f>
        <v>Mining and quarrying</v>
      </c>
      <c r="O258" s="8">
        <v>3</v>
      </c>
      <c r="P258" s="31" t="str">
        <f>+VLOOKUP(O258,bio!$A$2:$B$4,2,FALSE)</f>
        <v>No bioeconomía</v>
      </c>
    </row>
    <row r="259" spans="1:16" x14ac:dyDescent="0.35">
      <c r="A259" s="30" t="s">
        <v>741</v>
      </c>
      <c r="B259" s="20" t="s">
        <v>141</v>
      </c>
      <c r="C259" s="9" t="str">
        <f>+VLOOKUP(B259,'transacciones '!$A$2:$I$39,2,FALSE)</f>
        <v>ATC01</v>
      </c>
      <c r="D259" s="9" t="str">
        <f>+VLOOKUP(B259,'transacciones '!$A$2:$I$39,3,FALSE)</f>
        <v>Producción / Consumo intermedio</v>
      </c>
      <c r="E259" s="9" t="str">
        <f>+VLOOKUP(B259,'transacciones '!$A$2:$I$39,4,FALSE)</f>
        <v>Producción</v>
      </c>
      <c r="F259" s="9">
        <f>+VLOOKUP(B259,'transacciones '!$A$2:$I$39,5,FALSE)</f>
        <v>1</v>
      </c>
      <c r="G259" s="9" t="str">
        <f>+VLOOKUP(B259,'transacciones '!$A$2:$I$39,6,FALSE)</f>
        <v>P1</v>
      </c>
      <c r="H259" s="9" t="str">
        <f>+VLOOKUP(B259,'transacciones '!$A$2:$I$39,7,FALSE)</f>
        <v>Producción</v>
      </c>
      <c r="I259" s="18" t="s">
        <v>295</v>
      </c>
      <c r="J259" s="18" t="s">
        <v>296</v>
      </c>
      <c r="K259" s="8" t="s">
        <v>19</v>
      </c>
      <c r="L259" s="8" t="str">
        <f>+VLOOKUP(K259,'Correl CIIU'!$A$1:$F$26,2,FALSE)</f>
        <v>Explotación de minas y canteras</v>
      </c>
      <c r="M259" s="8" t="str">
        <f>+VLOOKUP(K259,'Correl CIIU'!$A$1:$F$26,3,FALSE)</f>
        <v>Minería</v>
      </c>
      <c r="N259" s="8" t="str">
        <f>+VLOOKUP(K259,'Correl CIIU'!$A$1:$F$26,4,FALSE)</f>
        <v>Mining and quarrying</v>
      </c>
      <c r="O259" s="8">
        <v>3</v>
      </c>
      <c r="P259" s="31" t="str">
        <f>+VLOOKUP(O259,bio!$A$2:$B$4,2,FALSE)</f>
        <v>No bioeconomía</v>
      </c>
    </row>
    <row r="260" spans="1:16" x14ac:dyDescent="0.35">
      <c r="A260" s="30" t="s">
        <v>742</v>
      </c>
      <c r="B260" s="20" t="s">
        <v>141</v>
      </c>
      <c r="C260" s="9" t="str">
        <f>+VLOOKUP(B260,'transacciones '!$A$2:$I$39,2,FALSE)</f>
        <v>ATC01</v>
      </c>
      <c r="D260" s="9" t="str">
        <f>+VLOOKUP(B260,'transacciones '!$A$2:$I$39,3,FALSE)</f>
        <v>Producción / Consumo intermedio</v>
      </c>
      <c r="E260" s="9" t="str">
        <f>+VLOOKUP(B260,'transacciones '!$A$2:$I$39,4,FALSE)</f>
        <v>Producción</v>
      </c>
      <c r="F260" s="9">
        <f>+VLOOKUP(B260,'transacciones '!$A$2:$I$39,5,FALSE)</f>
        <v>1</v>
      </c>
      <c r="G260" s="9" t="str">
        <f>+VLOOKUP(B260,'transacciones '!$A$2:$I$39,6,FALSE)</f>
        <v>P1</v>
      </c>
      <c r="H260" s="9" t="str">
        <f>+VLOOKUP(B260,'transacciones '!$A$2:$I$39,7,FALSE)</f>
        <v>Producción</v>
      </c>
      <c r="I260" s="18" t="s">
        <v>25</v>
      </c>
      <c r="J260" s="18" t="s">
        <v>297</v>
      </c>
      <c r="K260" s="8" t="s">
        <v>19</v>
      </c>
      <c r="L260" s="8" t="str">
        <f>+VLOOKUP(K260,'Correl CIIU'!$A$1:$F$26,2,FALSE)</f>
        <v>Explotación de minas y canteras</v>
      </c>
      <c r="M260" s="8" t="str">
        <f>+VLOOKUP(K260,'Correl CIIU'!$A$1:$F$26,3,FALSE)</f>
        <v>Minería</v>
      </c>
      <c r="N260" s="8" t="str">
        <f>+VLOOKUP(K260,'Correl CIIU'!$A$1:$F$26,4,FALSE)</f>
        <v>Mining and quarrying</v>
      </c>
      <c r="O260" s="8">
        <v>3</v>
      </c>
      <c r="P260" s="31" t="str">
        <f>+VLOOKUP(O260,bio!$A$2:$B$4,2,FALSE)</f>
        <v>No bioeconomía</v>
      </c>
    </row>
    <row r="261" spans="1:16" x14ac:dyDescent="0.35">
      <c r="A261" s="30" t="s">
        <v>743</v>
      </c>
      <c r="B261" s="20" t="s">
        <v>141</v>
      </c>
      <c r="C261" s="9" t="str">
        <f>+VLOOKUP(B261,'transacciones '!$A$2:$I$39,2,FALSE)</f>
        <v>ATC01</v>
      </c>
      <c r="D261" s="9" t="str">
        <f>+VLOOKUP(B261,'transacciones '!$A$2:$I$39,3,FALSE)</f>
        <v>Producción / Consumo intermedio</v>
      </c>
      <c r="E261" s="9" t="str">
        <f>+VLOOKUP(B261,'transacciones '!$A$2:$I$39,4,FALSE)</f>
        <v>Producción</v>
      </c>
      <c r="F261" s="9">
        <f>+VLOOKUP(B261,'transacciones '!$A$2:$I$39,5,FALSE)</f>
        <v>1</v>
      </c>
      <c r="G261" s="9" t="str">
        <f>+VLOOKUP(B261,'transacciones '!$A$2:$I$39,6,FALSE)</f>
        <v>P1</v>
      </c>
      <c r="H261" s="9" t="str">
        <f>+VLOOKUP(B261,'transacciones '!$A$2:$I$39,7,FALSE)</f>
        <v>Producción</v>
      </c>
      <c r="I261" s="18" t="s">
        <v>298</v>
      </c>
      <c r="J261" s="18" t="s">
        <v>299</v>
      </c>
      <c r="K261" s="8" t="s">
        <v>19</v>
      </c>
      <c r="L261" s="8" t="str">
        <f>+VLOOKUP(K261,'Correl CIIU'!$A$1:$F$26,2,FALSE)</f>
        <v>Explotación de minas y canteras</v>
      </c>
      <c r="M261" s="8" t="str">
        <f>+VLOOKUP(K261,'Correl CIIU'!$A$1:$F$26,3,FALSE)</f>
        <v>Minería</v>
      </c>
      <c r="N261" s="8" t="str">
        <f>+VLOOKUP(K261,'Correl CIIU'!$A$1:$F$26,4,FALSE)</f>
        <v>Mining and quarrying</v>
      </c>
      <c r="O261" s="8">
        <v>3</v>
      </c>
      <c r="P261" s="31" t="str">
        <f>+VLOOKUP(O261,bio!$A$2:$B$4,2,FALSE)</f>
        <v>No bioeconomía</v>
      </c>
    </row>
    <row r="262" spans="1:16" x14ac:dyDescent="0.35">
      <c r="A262" s="30" t="s">
        <v>744</v>
      </c>
      <c r="B262" s="20" t="s">
        <v>141</v>
      </c>
      <c r="C262" s="9" t="str">
        <f>+VLOOKUP(B262,'transacciones '!$A$2:$I$39,2,FALSE)</f>
        <v>ATC01</v>
      </c>
      <c r="D262" s="9" t="str">
        <f>+VLOOKUP(B262,'transacciones '!$A$2:$I$39,3,FALSE)</f>
        <v>Producción / Consumo intermedio</v>
      </c>
      <c r="E262" s="9" t="str">
        <f>+VLOOKUP(B262,'transacciones '!$A$2:$I$39,4,FALSE)</f>
        <v>Producción</v>
      </c>
      <c r="F262" s="9">
        <f>+VLOOKUP(B262,'transacciones '!$A$2:$I$39,5,FALSE)</f>
        <v>1</v>
      </c>
      <c r="G262" s="9" t="str">
        <f>+VLOOKUP(B262,'transacciones '!$A$2:$I$39,6,FALSE)</f>
        <v>P1</v>
      </c>
      <c r="H262" s="9" t="str">
        <f>+VLOOKUP(B262,'transacciones '!$A$2:$I$39,7,FALSE)</f>
        <v>Producción</v>
      </c>
      <c r="I262" s="18" t="s">
        <v>26</v>
      </c>
      <c r="J262" s="18" t="s">
        <v>300</v>
      </c>
      <c r="K262" s="8" t="s">
        <v>19</v>
      </c>
      <c r="L262" s="8" t="str">
        <f>+VLOOKUP(K262,'Correl CIIU'!$A$1:$F$26,2,FALSE)</f>
        <v>Explotación de minas y canteras</v>
      </c>
      <c r="M262" s="8" t="str">
        <f>+VLOOKUP(K262,'Correl CIIU'!$A$1:$F$26,3,FALSE)</f>
        <v>Minería</v>
      </c>
      <c r="N262" s="8" t="str">
        <f>+VLOOKUP(K262,'Correl CIIU'!$A$1:$F$26,4,FALSE)</f>
        <v>Mining and quarrying</v>
      </c>
      <c r="O262" s="8">
        <v>3</v>
      </c>
      <c r="P262" s="31" t="str">
        <f>+VLOOKUP(O262,bio!$A$2:$B$4,2,FALSE)</f>
        <v>No bioeconomía</v>
      </c>
    </row>
    <row r="263" spans="1:16" x14ac:dyDescent="0.35">
      <c r="A263" s="30" t="s">
        <v>745</v>
      </c>
      <c r="B263" s="20" t="s">
        <v>141</v>
      </c>
      <c r="C263" s="9" t="str">
        <f>+VLOOKUP(B263,'transacciones '!$A$2:$I$39,2,FALSE)</f>
        <v>ATC01</v>
      </c>
      <c r="D263" s="9" t="str">
        <f>+VLOOKUP(B263,'transacciones '!$A$2:$I$39,3,FALSE)</f>
        <v>Producción / Consumo intermedio</v>
      </c>
      <c r="E263" s="9" t="str">
        <f>+VLOOKUP(B263,'transacciones '!$A$2:$I$39,4,FALSE)</f>
        <v>Producción</v>
      </c>
      <c r="F263" s="9">
        <f>+VLOOKUP(B263,'transacciones '!$A$2:$I$39,5,FALSE)</f>
        <v>1</v>
      </c>
      <c r="G263" s="9" t="str">
        <f>+VLOOKUP(B263,'transacciones '!$A$2:$I$39,6,FALSE)</f>
        <v>P1</v>
      </c>
      <c r="H263" s="9" t="str">
        <f>+VLOOKUP(B263,'transacciones '!$A$2:$I$39,7,FALSE)</f>
        <v>Producción</v>
      </c>
      <c r="I263" s="18" t="s">
        <v>27</v>
      </c>
      <c r="J263" s="18" t="s">
        <v>301</v>
      </c>
      <c r="K263" s="8" t="s">
        <v>19</v>
      </c>
      <c r="L263" s="8" t="str">
        <f>+VLOOKUP(K263,'Correl CIIU'!$A$1:$F$26,2,FALSE)</f>
        <v>Explotación de minas y canteras</v>
      </c>
      <c r="M263" s="8" t="str">
        <f>+VLOOKUP(K263,'Correl CIIU'!$A$1:$F$26,3,FALSE)</f>
        <v>Minería</v>
      </c>
      <c r="N263" s="8" t="str">
        <f>+VLOOKUP(K263,'Correl CIIU'!$A$1:$F$26,4,FALSE)</f>
        <v>Mining and quarrying</v>
      </c>
      <c r="O263" s="8">
        <v>3</v>
      </c>
      <c r="P263" s="31" t="str">
        <f>+VLOOKUP(O263,bio!$A$2:$B$4,2,FALSE)</f>
        <v>No bioeconomía</v>
      </c>
    </row>
    <row r="264" spans="1:16" x14ac:dyDescent="0.35">
      <c r="A264" s="30" t="s">
        <v>746</v>
      </c>
      <c r="B264" s="20" t="s">
        <v>141</v>
      </c>
      <c r="C264" s="9" t="str">
        <f>+VLOOKUP(B264,'transacciones '!$A$2:$I$39,2,FALSE)</f>
        <v>ATC01</v>
      </c>
      <c r="D264" s="9" t="str">
        <f>+VLOOKUP(B264,'transacciones '!$A$2:$I$39,3,FALSE)</f>
        <v>Producción / Consumo intermedio</v>
      </c>
      <c r="E264" s="9" t="str">
        <f>+VLOOKUP(B264,'transacciones '!$A$2:$I$39,4,FALSE)</f>
        <v>Producción</v>
      </c>
      <c r="F264" s="9">
        <f>+VLOOKUP(B264,'transacciones '!$A$2:$I$39,5,FALSE)</f>
        <v>1</v>
      </c>
      <c r="G264" s="9" t="str">
        <f>+VLOOKUP(B264,'transacciones '!$A$2:$I$39,6,FALSE)</f>
        <v>P1</v>
      </c>
      <c r="H264" s="9" t="str">
        <f>+VLOOKUP(B264,'transacciones '!$A$2:$I$39,7,FALSE)</f>
        <v>Producción</v>
      </c>
      <c r="I264" s="18" t="s">
        <v>28</v>
      </c>
      <c r="J264" s="18" t="s">
        <v>302</v>
      </c>
      <c r="K264" s="8" t="s">
        <v>20</v>
      </c>
      <c r="L264" s="8" t="str">
        <f>+VLOOKUP(K264,'Correl CIIU'!$A$1:$F$26,2,FALSE)</f>
        <v>Industrias manufactureras</v>
      </c>
      <c r="M264" s="8" t="str">
        <f>+VLOOKUP(K264,'Correl CIIU'!$A$1:$F$26,3,FALSE)</f>
        <v>Manufacturas</v>
      </c>
      <c r="N264" s="8" t="str">
        <f>+VLOOKUP(K264,'Correl CIIU'!$A$1:$F$26,4,FALSE)</f>
        <v>Manufacturing</v>
      </c>
      <c r="O264" s="8">
        <v>1</v>
      </c>
      <c r="P264" s="31" t="str">
        <f>+VLOOKUP(O264,bio!$A$2:$B$4,2,FALSE)</f>
        <v>Bioeconomía</v>
      </c>
    </row>
    <row r="265" spans="1:16" x14ac:dyDescent="0.35">
      <c r="A265" s="30" t="s">
        <v>747</v>
      </c>
      <c r="B265" s="20" t="s">
        <v>141</v>
      </c>
      <c r="C265" s="9" t="str">
        <f>+VLOOKUP(B265,'transacciones '!$A$2:$I$39,2,FALSE)</f>
        <v>ATC01</v>
      </c>
      <c r="D265" s="9" t="str">
        <f>+VLOOKUP(B265,'transacciones '!$A$2:$I$39,3,FALSE)</f>
        <v>Producción / Consumo intermedio</v>
      </c>
      <c r="E265" s="9" t="str">
        <f>+VLOOKUP(B265,'transacciones '!$A$2:$I$39,4,FALSE)</f>
        <v>Producción</v>
      </c>
      <c r="F265" s="9">
        <f>+VLOOKUP(B265,'transacciones '!$A$2:$I$39,5,FALSE)</f>
        <v>1</v>
      </c>
      <c r="G265" s="9" t="str">
        <f>+VLOOKUP(B265,'transacciones '!$A$2:$I$39,6,FALSE)</f>
        <v>P1</v>
      </c>
      <c r="H265" s="9" t="str">
        <f>+VLOOKUP(B265,'transacciones '!$A$2:$I$39,7,FALSE)</f>
        <v>Producción</v>
      </c>
      <c r="I265" s="18" t="s">
        <v>303</v>
      </c>
      <c r="J265" s="18" t="s">
        <v>304</v>
      </c>
      <c r="K265" s="8" t="s">
        <v>20</v>
      </c>
      <c r="L265" s="8" t="str">
        <f>+VLOOKUP(K265,'Correl CIIU'!$A$1:$F$26,2,FALSE)</f>
        <v>Industrias manufactureras</v>
      </c>
      <c r="M265" s="8" t="str">
        <f>+VLOOKUP(K265,'Correl CIIU'!$A$1:$F$26,3,FALSE)</f>
        <v>Manufacturas</v>
      </c>
      <c r="N265" s="8" t="str">
        <f>+VLOOKUP(K265,'Correl CIIU'!$A$1:$F$26,4,FALSE)</f>
        <v>Manufacturing</v>
      </c>
      <c r="O265" s="8">
        <v>1</v>
      </c>
      <c r="P265" s="31" t="str">
        <f>+VLOOKUP(O265,bio!$A$2:$B$4,2,FALSE)</f>
        <v>Bioeconomía</v>
      </c>
    </row>
    <row r="266" spans="1:16" x14ac:dyDescent="0.35">
      <c r="A266" s="30" t="s">
        <v>748</v>
      </c>
      <c r="B266" s="20" t="s">
        <v>141</v>
      </c>
      <c r="C266" s="9" t="str">
        <f>+VLOOKUP(B266,'transacciones '!$A$2:$I$39,2,FALSE)</f>
        <v>ATC01</v>
      </c>
      <c r="D266" s="9" t="str">
        <f>+VLOOKUP(B266,'transacciones '!$A$2:$I$39,3,FALSE)</f>
        <v>Producción / Consumo intermedio</v>
      </c>
      <c r="E266" s="9" t="str">
        <f>+VLOOKUP(B266,'transacciones '!$A$2:$I$39,4,FALSE)</f>
        <v>Producción</v>
      </c>
      <c r="F266" s="9">
        <f>+VLOOKUP(B266,'transacciones '!$A$2:$I$39,5,FALSE)</f>
        <v>1</v>
      </c>
      <c r="G266" s="9" t="str">
        <f>+VLOOKUP(B266,'transacciones '!$A$2:$I$39,6,FALSE)</f>
        <v>P1</v>
      </c>
      <c r="H266" s="9" t="str">
        <f>+VLOOKUP(B266,'transacciones '!$A$2:$I$39,7,FALSE)</f>
        <v>Producción</v>
      </c>
      <c r="I266" s="18" t="s">
        <v>29</v>
      </c>
      <c r="J266" s="18" t="s">
        <v>305</v>
      </c>
      <c r="K266" s="8" t="s">
        <v>20</v>
      </c>
      <c r="L266" s="8" t="str">
        <f>+VLOOKUP(K266,'Correl CIIU'!$A$1:$F$26,2,FALSE)</f>
        <v>Industrias manufactureras</v>
      </c>
      <c r="M266" s="8" t="str">
        <f>+VLOOKUP(K266,'Correl CIIU'!$A$1:$F$26,3,FALSE)</f>
        <v>Manufacturas</v>
      </c>
      <c r="N266" s="8" t="str">
        <f>+VLOOKUP(K266,'Correl CIIU'!$A$1:$F$26,4,FALSE)</f>
        <v>Manufacturing</v>
      </c>
      <c r="O266" s="8">
        <v>1</v>
      </c>
      <c r="P266" s="31" t="str">
        <f>+VLOOKUP(O266,bio!$A$2:$B$4,2,FALSE)</f>
        <v>Bioeconomía</v>
      </c>
    </row>
    <row r="267" spans="1:16" x14ac:dyDescent="0.35">
      <c r="A267" s="30" t="s">
        <v>749</v>
      </c>
      <c r="B267" s="20" t="s">
        <v>141</v>
      </c>
      <c r="C267" s="9" t="str">
        <f>+VLOOKUP(B267,'transacciones '!$A$2:$I$39,2,FALSE)</f>
        <v>ATC01</v>
      </c>
      <c r="D267" s="9" t="str">
        <f>+VLOOKUP(B267,'transacciones '!$A$2:$I$39,3,FALSE)</f>
        <v>Producción / Consumo intermedio</v>
      </c>
      <c r="E267" s="9" t="str">
        <f>+VLOOKUP(B267,'transacciones '!$A$2:$I$39,4,FALSE)</f>
        <v>Producción</v>
      </c>
      <c r="F267" s="9">
        <f>+VLOOKUP(B267,'transacciones '!$A$2:$I$39,5,FALSE)</f>
        <v>1</v>
      </c>
      <c r="G267" s="9" t="str">
        <f>+VLOOKUP(B267,'transacciones '!$A$2:$I$39,6,FALSE)</f>
        <v>P1</v>
      </c>
      <c r="H267" s="9" t="str">
        <f>+VLOOKUP(B267,'transacciones '!$A$2:$I$39,7,FALSE)</f>
        <v>Producción</v>
      </c>
      <c r="I267" s="18" t="s">
        <v>31</v>
      </c>
      <c r="J267" s="18" t="s">
        <v>306</v>
      </c>
      <c r="K267" s="8" t="s">
        <v>20</v>
      </c>
      <c r="L267" s="8" t="str">
        <f>+VLOOKUP(K267,'Correl CIIU'!$A$1:$F$26,2,FALSE)</f>
        <v>Industrias manufactureras</v>
      </c>
      <c r="M267" s="8" t="str">
        <f>+VLOOKUP(K267,'Correl CIIU'!$A$1:$F$26,3,FALSE)</f>
        <v>Manufacturas</v>
      </c>
      <c r="N267" s="8" t="str">
        <f>+VLOOKUP(K267,'Correl CIIU'!$A$1:$F$26,4,FALSE)</f>
        <v>Manufacturing</v>
      </c>
      <c r="O267" s="8">
        <v>1</v>
      </c>
      <c r="P267" s="31" t="str">
        <f>+VLOOKUP(O267,bio!$A$2:$B$4,2,FALSE)</f>
        <v>Bioeconomía</v>
      </c>
    </row>
    <row r="268" spans="1:16" x14ac:dyDescent="0.35">
      <c r="A268" s="30" t="s">
        <v>750</v>
      </c>
      <c r="B268" s="20" t="s">
        <v>141</v>
      </c>
      <c r="C268" s="9" t="str">
        <f>+VLOOKUP(B268,'transacciones '!$A$2:$I$39,2,FALSE)</f>
        <v>ATC01</v>
      </c>
      <c r="D268" s="9" t="str">
        <f>+VLOOKUP(B268,'transacciones '!$A$2:$I$39,3,FALSE)</f>
        <v>Producción / Consumo intermedio</v>
      </c>
      <c r="E268" s="9" t="str">
        <f>+VLOOKUP(B268,'transacciones '!$A$2:$I$39,4,FALSE)</f>
        <v>Producción</v>
      </c>
      <c r="F268" s="9">
        <f>+VLOOKUP(B268,'transacciones '!$A$2:$I$39,5,FALSE)</f>
        <v>1</v>
      </c>
      <c r="G268" s="9" t="str">
        <f>+VLOOKUP(B268,'transacciones '!$A$2:$I$39,6,FALSE)</f>
        <v>P1</v>
      </c>
      <c r="H268" s="9" t="str">
        <f>+VLOOKUP(B268,'transacciones '!$A$2:$I$39,7,FALSE)</f>
        <v>Producción</v>
      </c>
      <c r="I268" s="18" t="s">
        <v>33</v>
      </c>
      <c r="J268" s="18" t="s">
        <v>307</v>
      </c>
      <c r="K268" s="8" t="s">
        <v>20</v>
      </c>
      <c r="L268" s="8" t="str">
        <f>+VLOOKUP(K268,'Correl CIIU'!$A$1:$F$26,2,FALSE)</f>
        <v>Industrias manufactureras</v>
      </c>
      <c r="M268" s="8" t="str">
        <f>+VLOOKUP(K268,'Correl CIIU'!$A$1:$F$26,3,FALSE)</f>
        <v>Manufacturas</v>
      </c>
      <c r="N268" s="8" t="str">
        <f>+VLOOKUP(K268,'Correl CIIU'!$A$1:$F$26,4,FALSE)</f>
        <v>Manufacturing</v>
      </c>
      <c r="O268" s="8">
        <v>1</v>
      </c>
      <c r="P268" s="31" t="str">
        <f>+VLOOKUP(O268,bio!$A$2:$B$4,2,FALSE)</f>
        <v>Bioeconomía</v>
      </c>
    </row>
    <row r="269" spans="1:16" x14ac:dyDescent="0.35">
      <c r="A269" s="30" t="s">
        <v>751</v>
      </c>
      <c r="B269" s="20" t="s">
        <v>141</v>
      </c>
      <c r="C269" s="9" t="str">
        <f>+VLOOKUP(B269,'transacciones '!$A$2:$I$39,2,FALSE)</f>
        <v>ATC01</v>
      </c>
      <c r="D269" s="9" t="str">
        <f>+VLOOKUP(B269,'transacciones '!$A$2:$I$39,3,FALSE)</f>
        <v>Producción / Consumo intermedio</v>
      </c>
      <c r="E269" s="9" t="str">
        <f>+VLOOKUP(B269,'transacciones '!$A$2:$I$39,4,FALSE)</f>
        <v>Producción</v>
      </c>
      <c r="F269" s="9">
        <f>+VLOOKUP(B269,'transacciones '!$A$2:$I$39,5,FALSE)</f>
        <v>1</v>
      </c>
      <c r="G269" s="9" t="str">
        <f>+VLOOKUP(B269,'transacciones '!$A$2:$I$39,6,FALSE)</f>
        <v>P1</v>
      </c>
      <c r="H269" s="9" t="str">
        <f>+VLOOKUP(B269,'transacciones '!$A$2:$I$39,7,FALSE)</f>
        <v>Producción</v>
      </c>
      <c r="I269" s="18" t="s">
        <v>36</v>
      </c>
      <c r="J269" s="18" t="s">
        <v>21</v>
      </c>
      <c r="K269" s="8" t="s">
        <v>20</v>
      </c>
      <c r="L269" s="8" t="str">
        <f>+VLOOKUP(K269,'Correl CIIU'!$A$1:$F$26,2,FALSE)</f>
        <v>Industrias manufactureras</v>
      </c>
      <c r="M269" s="8" t="str">
        <f>+VLOOKUP(K269,'Correl CIIU'!$A$1:$F$26,3,FALSE)</f>
        <v>Manufacturas</v>
      </c>
      <c r="N269" s="8" t="str">
        <f>+VLOOKUP(K269,'Correl CIIU'!$A$1:$F$26,4,FALSE)</f>
        <v>Manufacturing</v>
      </c>
      <c r="O269" s="8">
        <v>1</v>
      </c>
      <c r="P269" s="31" t="str">
        <f>+VLOOKUP(O269,bio!$A$2:$B$4,2,FALSE)</f>
        <v>Bioeconomía</v>
      </c>
    </row>
    <row r="270" spans="1:16" x14ac:dyDescent="0.35">
      <c r="A270" s="30" t="s">
        <v>752</v>
      </c>
      <c r="B270" s="20" t="s">
        <v>141</v>
      </c>
      <c r="C270" s="9" t="str">
        <f>+VLOOKUP(B270,'transacciones '!$A$2:$I$39,2,FALSE)</f>
        <v>ATC01</v>
      </c>
      <c r="D270" s="9" t="str">
        <f>+VLOOKUP(B270,'transacciones '!$A$2:$I$39,3,FALSE)</f>
        <v>Producción / Consumo intermedio</v>
      </c>
      <c r="E270" s="9" t="str">
        <f>+VLOOKUP(B270,'transacciones '!$A$2:$I$39,4,FALSE)</f>
        <v>Producción</v>
      </c>
      <c r="F270" s="9">
        <f>+VLOOKUP(B270,'transacciones '!$A$2:$I$39,5,FALSE)</f>
        <v>1</v>
      </c>
      <c r="G270" s="9" t="str">
        <f>+VLOOKUP(B270,'transacciones '!$A$2:$I$39,6,FALSE)</f>
        <v>P1</v>
      </c>
      <c r="H270" s="9" t="str">
        <f>+VLOOKUP(B270,'transacciones '!$A$2:$I$39,7,FALSE)</f>
        <v>Producción</v>
      </c>
      <c r="I270" s="18" t="s">
        <v>39</v>
      </c>
      <c r="J270" s="18" t="s">
        <v>308</v>
      </c>
      <c r="K270" s="8" t="s">
        <v>20</v>
      </c>
      <c r="L270" s="8" t="str">
        <f>+VLOOKUP(K270,'Correl CIIU'!$A$1:$F$26,2,FALSE)</f>
        <v>Industrias manufactureras</v>
      </c>
      <c r="M270" s="8" t="str">
        <f>+VLOOKUP(K270,'Correl CIIU'!$A$1:$F$26,3,FALSE)</f>
        <v>Manufacturas</v>
      </c>
      <c r="N270" s="8" t="str">
        <f>+VLOOKUP(K270,'Correl CIIU'!$A$1:$F$26,4,FALSE)</f>
        <v>Manufacturing</v>
      </c>
      <c r="O270" s="8">
        <v>1</v>
      </c>
      <c r="P270" s="31" t="str">
        <f>+VLOOKUP(O270,bio!$A$2:$B$4,2,FALSE)</f>
        <v>Bioeconomía</v>
      </c>
    </row>
    <row r="271" spans="1:16" x14ac:dyDescent="0.35">
      <c r="A271" s="30" t="s">
        <v>753</v>
      </c>
      <c r="B271" s="20" t="s">
        <v>141</v>
      </c>
      <c r="C271" s="9" t="str">
        <f>+VLOOKUP(B271,'transacciones '!$A$2:$I$39,2,FALSE)</f>
        <v>ATC01</v>
      </c>
      <c r="D271" s="9" t="str">
        <f>+VLOOKUP(B271,'transacciones '!$A$2:$I$39,3,FALSE)</f>
        <v>Producción / Consumo intermedio</v>
      </c>
      <c r="E271" s="9" t="str">
        <f>+VLOOKUP(B271,'transacciones '!$A$2:$I$39,4,FALSE)</f>
        <v>Producción</v>
      </c>
      <c r="F271" s="9">
        <f>+VLOOKUP(B271,'transacciones '!$A$2:$I$39,5,FALSE)</f>
        <v>1</v>
      </c>
      <c r="G271" s="9" t="str">
        <f>+VLOOKUP(B271,'transacciones '!$A$2:$I$39,6,FALSE)</f>
        <v>P1</v>
      </c>
      <c r="H271" s="9" t="str">
        <f>+VLOOKUP(B271,'transacciones '!$A$2:$I$39,7,FALSE)</f>
        <v>Producción</v>
      </c>
      <c r="I271" s="18" t="s">
        <v>42</v>
      </c>
      <c r="J271" s="18" t="s">
        <v>309</v>
      </c>
      <c r="K271" s="8" t="s">
        <v>20</v>
      </c>
      <c r="L271" s="8" t="str">
        <f>+VLOOKUP(K271,'Correl CIIU'!$A$1:$F$26,2,FALSE)</f>
        <v>Industrias manufactureras</v>
      </c>
      <c r="M271" s="8" t="str">
        <f>+VLOOKUP(K271,'Correl CIIU'!$A$1:$F$26,3,FALSE)</f>
        <v>Manufacturas</v>
      </c>
      <c r="N271" s="8" t="str">
        <f>+VLOOKUP(K271,'Correl CIIU'!$A$1:$F$26,4,FALSE)</f>
        <v>Manufacturing</v>
      </c>
      <c r="O271" s="8">
        <v>1</v>
      </c>
      <c r="P271" s="31" t="str">
        <f>+VLOOKUP(O271,bio!$A$2:$B$4,2,FALSE)</f>
        <v>Bioeconomía</v>
      </c>
    </row>
    <row r="272" spans="1:16" x14ac:dyDescent="0.35">
      <c r="A272" s="30" t="s">
        <v>754</v>
      </c>
      <c r="B272" s="20" t="s">
        <v>141</v>
      </c>
      <c r="C272" s="9" t="str">
        <f>+VLOOKUP(B272,'transacciones '!$A$2:$I$39,2,FALSE)</f>
        <v>ATC01</v>
      </c>
      <c r="D272" s="9" t="str">
        <f>+VLOOKUP(B272,'transacciones '!$A$2:$I$39,3,FALSE)</f>
        <v>Producción / Consumo intermedio</v>
      </c>
      <c r="E272" s="9" t="str">
        <f>+VLOOKUP(B272,'transacciones '!$A$2:$I$39,4,FALSE)</f>
        <v>Producción</v>
      </c>
      <c r="F272" s="9">
        <f>+VLOOKUP(B272,'transacciones '!$A$2:$I$39,5,FALSE)</f>
        <v>1</v>
      </c>
      <c r="G272" s="9" t="str">
        <f>+VLOOKUP(B272,'transacciones '!$A$2:$I$39,6,FALSE)</f>
        <v>P1</v>
      </c>
      <c r="H272" s="9" t="str">
        <f>+VLOOKUP(B272,'transacciones '!$A$2:$I$39,7,FALSE)</f>
        <v>Producción</v>
      </c>
      <c r="I272" s="18" t="s">
        <v>44</v>
      </c>
      <c r="J272" s="18" t="s">
        <v>310</v>
      </c>
      <c r="K272" s="8" t="s">
        <v>20</v>
      </c>
      <c r="L272" s="8" t="str">
        <f>+VLOOKUP(K272,'Correl CIIU'!$A$1:$F$26,2,FALSE)</f>
        <v>Industrias manufactureras</v>
      </c>
      <c r="M272" s="8" t="str">
        <f>+VLOOKUP(K272,'Correl CIIU'!$A$1:$F$26,3,FALSE)</f>
        <v>Manufacturas</v>
      </c>
      <c r="N272" s="8" t="str">
        <f>+VLOOKUP(K272,'Correl CIIU'!$A$1:$F$26,4,FALSE)</f>
        <v>Manufacturing</v>
      </c>
      <c r="O272" s="8">
        <v>1</v>
      </c>
      <c r="P272" s="31" t="str">
        <f>+VLOOKUP(O272,bio!$A$2:$B$4,2,FALSE)</f>
        <v>Bioeconomía</v>
      </c>
    </row>
    <row r="273" spans="1:16" x14ac:dyDescent="0.35">
      <c r="A273" s="30" t="s">
        <v>755</v>
      </c>
      <c r="B273" s="20" t="s">
        <v>141</v>
      </c>
      <c r="C273" s="9" t="str">
        <f>+VLOOKUP(B273,'transacciones '!$A$2:$I$39,2,FALSE)</f>
        <v>ATC01</v>
      </c>
      <c r="D273" s="9" t="str">
        <f>+VLOOKUP(B273,'transacciones '!$A$2:$I$39,3,FALSE)</f>
        <v>Producción / Consumo intermedio</v>
      </c>
      <c r="E273" s="9" t="str">
        <f>+VLOOKUP(B273,'transacciones '!$A$2:$I$39,4,FALSE)</f>
        <v>Producción</v>
      </c>
      <c r="F273" s="9">
        <f>+VLOOKUP(B273,'transacciones '!$A$2:$I$39,5,FALSE)</f>
        <v>1</v>
      </c>
      <c r="G273" s="9" t="str">
        <f>+VLOOKUP(B273,'transacciones '!$A$2:$I$39,6,FALSE)</f>
        <v>P1</v>
      </c>
      <c r="H273" s="9" t="str">
        <f>+VLOOKUP(B273,'transacciones '!$A$2:$I$39,7,FALSE)</f>
        <v>Producción</v>
      </c>
      <c r="I273" s="18" t="s">
        <v>46</v>
      </c>
      <c r="J273" s="18" t="s">
        <v>311</v>
      </c>
      <c r="K273" s="8" t="s">
        <v>20</v>
      </c>
      <c r="L273" s="8" t="str">
        <f>+VLOOKUP(K273,'Correl CIIU'!$A$1:$F$26,2,FALSE)</f>
        <v>Industrias manufactureras</v>
      </c>
      <c r="M273" s="8" t="str">
        <f>+VLOOKUP(K273,'Correl CIIU'!$A$1:$F$26,3,FALSE)</f>
        <v>Manufacturas</v>
      </c>
      <c r="N273" s="8" t="str">
        <f>+VLOOKUP(K273,'Correl CIIU'!$A$1:$F$26,4,FALSE)</f>
        <v>Manufacturing</v>
      </c>
      <c r="O273" s="8">
        <v>1</v>
      </c>
      <c r="P273" s="31" t="str">
        <f>+VLOOKUP(O273,bio!$A$2:$B$4,2,FALSE)</f>
        <v>Bioeconomía</v>
      </c>
    </row>
    <row r="274" spans="1:16" x14ac:dyDescent="0.35">
      <c r="A274" s="30" t="s">
        <v>756</v>
      </c>
      <c r="B274" s="20" t="s">
        <v>141</v>
      </c>
      <c r="C274" s="9" t="str">
        <f>+VLOOKUP(B274,'transacciones '!$A$2:$I$39,2,FALSE)</f>
        <v>ATC01</v>
      </c>
      <c r="D274" s="9" t="str">
        <f>+VLOOKUP(B274,'transacciones '!$A$2:$I$39,3,FALSE)</f>
        <v>Producción / Consumo intermedio</v>
      </c>
      <c r="E274" s="9" t="str">
        <f>+VLOOKUP(B274,'transacciones '!$A$2:$I$39,4,FALSE)</f>
        <v>Producción</v>
      </c>
      <c r="F274" s="9">
        <f>+VLOOKUP(B274,'transacciones '!$A$2:$I$39,5,FALSE)</f>
        <v>1</v>
      </c>
      <c r="G274" s="9" t="str">
        <f>+VLOOKUP(B274,'transacciones '!$A$2:$I$39,6,FALSE)</f>
        <v>P1</v>
      </c>
      <c r="H274" s="9" t="str">
        <f>+VLOOKUP(B274,'transacciones '!$A$2:$I$39,7,FALSE)</f>
        <v>Producción</v>
      </c>
      <c r="I274" s="18" t="s">
        <v>49</v>
      </c>
      <c r="J274" s="18" t="s">
        <v>312</v>
      </c>
      <c r="K274" s="8" t="s">
        <v>20</v>
      </c>
      <c r="L274" s="8" t="str">
        <f>+VLOOKUP(K274,'Correl CIIU'!$A$1:$F$26,2,FALSE)</f>
        <v>Industrias manufactureras</v>
      </c>
      <c r="M274" s="8" t="str">
        <f>+VLOOKUP(K274,'Correl CIIU'!$A$1:$F$26,3,FALSE)</f>
        <v>Manufacturas</v>
      </c>
      <c r="N274" s="8" t="str">
        <f>+VLOOKUP(K274,'Correl CIIU'!$A$1:$F$26,4,FALSE)</f>
        <v>Manufacturing</v>
      </c>
      <c r="O274" s="8">
        <v>1</v>
      </c>
      <c r="P274" s="31" t="str">
        <f>+VLOOKUP(O274,bio!$A$2:$B$4,2,FALSE)</f>
        <v>Bioeconomía</v>
      </c>
    </row>
    <row r="275" spans="1:16" x14ac:dyDescent="0.35">
      <c r="A275" s="30" t="s">
        <v>757</v>
      </c>
      <c r="B275" s="20" t="s">
        <v>141</v>
      </c>
      <c r="C275" s="9" t="str">
        <f>+VLOOKUP(B275,'transacciones '!$A$2:$I$39,2,FALSE)</f>
        <v>ATC01</v>
      </c>
      <c r="D275" s="9" t="str">
        <f>+VLOOKUP(B275,'transacciones '!$A$2:$I$39,3,FALSE)</f>
        <v>Producción / Consumo intermedio</v>
      </c>
      <c r="E275" s="9" t="str">
        <f>+VLOOKUP(B275,'transacciones '!$A$2:$I$39,4,FALSE)</f>
        <v>Producción</v>
      </c>
      <c r="F275" s="9">
        <f>+VLOOKUP(B275,'transacciones '!$A$2:$I$39,5,FALSE)</f>
        <v>1</v>
      </c>
      <c r="G275" s="9" t="str">
        <f>+VLOOKUP(B275,'transacciones '!$A$2:$I$39,6,FALSE)</f>
        <v>P1</v>
      </c>
      <c r="H275" s="9" t="str">
        <f>+VLOOKUP(B275,'transacciones '!$A$2:$I$39,7,FALSE)</f>
        <v>Producción</v>
      </c>
      <c r="I275" s="18" t="s">
        <v>52</v>
      </c>
      <c r="J275" s="18" t="s">
        <v>313</v>
      </c>
      <c r="K275" s="8" t="s">
        <v>20</v>
      </c>
      <c r="L275" s="8" t="str">
        <f>+VLOOKUP(K275,'Correl CIIU'!$A$1:$F$26,2,FALSE)</f>
        <v>Industrias manufactureras</v>
      </c>
      <c r="M275" s="8" t="str">
        <f>+VLOOKUP(K275,'Correl CIIU'!$A$1:$F$26,3,FALSE)</f>
        <v>Manufacturas</v>
      </c>
      <c r="N275" s="8" t="str">
        <f>+VLOOKUP(K275,'Correl CIIU'!$A$1:$F$26,4,FALSE)</f>
        <v>Manufacturing</v>
      </c>
      <c r="O275" s="8">
        <v>1</v>
      </c>
      <c r="P275" s="31" t="str">
        <f>+VLOOKUP(O275,bio!$A$2:$B$4,2,FALSE)</f>
        <v>Bioeconomía</v>
      </c>
    </row>
    <row r="276" spans="1:16" x14ac:dyDescent="0.35">
      <c r="A276" s="30" t="s">
        <v>758</v>
      </c>
      <c r="B276" s="20" t="s">
        <v>141</v>
      </c>
      <c r="C276" s="9" t="str">
        <f>+VLOOKUP(B276,'transacciones '!$A$2:$I$39,2,FALSE)</f>
        <v>ATC01</v>
      </c>
      <c r="D276" s="9" t="str">
        <f>+VLOOKUP(B276,'transacciones '!$A$2:$I$39,3,FALSE)</f>
        <v>Producción / Consumo intermedio</v>
      </c>
      <c r="E276" s="9" t="str">
        <f>+VLOOKUP(B276,'transacciones '!$A$2:$I$39,4,FALSE)</f>
        <v>Producción</v>
      </c>
      <c r="F276" s="9">
        <f>+VLOOKUP(B276,'transacciones '!$A$2:$I$39,5,FALSE)</f>
        <v>1</v>
      </c>
      <c r="G276" s="9" t="str">
        <f>+VLOOKUP(B276,'transacciones '!$A$2:$I$39,6,FALSE)</f>
        <v>P1</v>
      </c>
      <c r="H276" s="9" t="str">
        <f>+VLOOKUP(B276,'transacciones '!$A$2:$I$39,7,FALSE)</f>
        <v>Producción</v>
      </c>
      <c r="I276" s="18" t="s">
        <v>66</v>
      </c>
      <c r="J276" s="18" t="s">
        <v>314</v>
      </c>
      <c r="K276" s="8" t="s">
        <v>20</v>
      </c>
      <c r="L276" s="8" t="str">
        <f>+VLOOKUP(K276,'Correl CIIU'!$A$1:$F$26,2,FALSE)</f>
        <v>Industrias manufactureras</v>
      </c>
      <c r="M276" s="8" t="str">
        <f>+VLOOKUP(K276,'Correl CIIU'!$A$1:$F$26,3,FALSE)</f>
        <v>Manufacturas</v>
      </c>
      <c r="N276" s="8" t="str">
        <f>+VLOOKUP(K276,'Correl CIIU'!$A$1:$F$26,4,FALSE)</f>
        <v>Manufacturing</v>
      </c>
      <c r="O276" s="8">
        <v>1</v>
      </c>
      <c r="P276" s="31" t="str">
        <f>+VLOOKUP(O276,bio!$A$2:$B$4,2,FALSE)</f>
        <v>Bioeconomía</v>
      </c>
    </row>
    <row r="277" spans="1:16" x14ac:dyDescent="0.35">
      <c r="A277" s="30" t="s">
        <v>759</v>
      </c>
      <c r="B277" s="20" t="s">
        <v>141</v>
      </c>
      <c r="C277" s="9" t="str">
        <f>+VLOOKUP(B277,'transacciones '!$A$2:$I$39,2,FALSE)</f>
        <v>ATC01</v>
      </c>
      <c r="D277" s="9" t="str">
        <f>+VLOOKUP(B277,'transacciones '!$A$2:$I$39,3,FALSE)</f>
        <v>Producción / Consumo intermedio</v>
      </c>
      <c r="E277" s="9" t="str">
        <f>+VLOOKUP(B277,'transacciones '!$A$2:$I$39,4,FALSE)</f>
        <v>Producción</v>
      </c>
      <c r="F277" s="9">
        <f>+VLOOKUP(B277,'transacciones '!$A$2:$I$39,5,FALSE)</f>
        <v>1</v>
      </c>
      <c r="G277" s="9" t="str">
        <f>+VLOOKUP(B277,'transacciones '!$A$2:$I$39,6,FALSE)</f>
        <v>P1</v>
      </c>
      <c r="H277" s="9" t="str">
        <f>+VLOOKUP(B277,'transacciones '!$A$2:$I$39,7,FALSE)</f>
        <v>Producción</v>
      </c>
      <c r="I277" s="18" t="s">
        <v>55</v>
      </c>
      <c r="J277" s="18" t="s">
        <v>315</v>
      </c>
      <c r="K277" s="8" t="s">
        <v>20</v>
      </c>
      <c r="L277" s="8" t="str">
        <f>+VLOOKUP(K277,'Correl CIIU'!$A$1:$F$26,2,FALSE)</f>
        <v>Industrias manufactureras</v>
      </c>
      <c r="M277" s="8" t="str">
        <f>+VLOOKUP(K277,'Correl CIIU'!$A$1:$F$26,3,FALSE)</f>
        <v>Manufacturas</v>
      </c>
      <c r="N277" s="8" t="str">
        <f>+VLOOKUP(K277,'Correl CIIU'!$A$1:$F$26,4,FALSE)</f>
        <v>Manufacturing</v>
      </c>
      <c r="O277" s="8">
        <v>1</v>
      </c>
      <c r="P277" s="31" t="str">
        <f>+VLOOKUP(O277,bio!$A$2:$B$4,2,FALSE)</f>
        <v>Bioeconomía</v>
      </c>
    </row>
    <row r="278" spans="1:16" x14ac:dyDescent="0.35">
      <c r="A278" s="30" t="s">
        <v>760</v>
      </c>
      <c r="B278" s="20" t="s">
        <v>141</v>
      </c>
      <c r="C278" s="9" t="str">
        <f>+VLOOKUP(B278,'transacciones '!$A$2:$I$39,2,FALSE)</f>
        <v>ATC01</v>
      </c>
      <c r="D278" s="9" t="str">
        <f>+VLOOKUP(B278,'transacciones '!$A$2:$I$39,3,FALSE)</f>
        <v>Producción / Consumo intermedio</v>
      </c>
      <c r="E278" s="9" t="str">
        <f>+VLOOKUP(B278,'transacciones '!$A$2:$I$39,4,FALSE)</f>
        <v>Producción</v>
      </c>
      <c r="F278" s="9">
        <f>+VLOOKUP(B278,'transacciones '!$A$2:$I$39,5,FALSE)</f>
        <v>1</v>
      </c>
      <c r="G278" s="9" t="str">
        <f>+VLOOKUP(B278,'transacciones '!$A$2:$I$39,6,FALSE)</f>
        <v>P1</v>
      </c>
      <c r="H278" s="9" t="str">
        <f>+VLOOKUP(B278,'transacciones '!$A$2:$I$39,7,FALSE)</f>
        <v>Producción</v>
      </c>
      <c r="I278" s="18" t="s">
        <v>58</v>
      </c>
      <c r="J278" s="18" t="s">
        <v>316</v>
      </c>
      <c r="K278" s="8" t="s">
        <v>20</v>
      </c>
      <c r="L278" s="8" t="str">
        <f>+VLOOKUP(K278,'Correl CIIU'!$A$1:$F$26,2,FALSE)</f>
        <v>Industrias manufactureras</v>
      </c>
      <c r="M278" s="8" t="str">
        <f>+VLOOKUP(K278,'Correl CIIU'!$A$1:$F$26,3,FALSE)</f>
        <v>Manufacturas</v>
      </c>
      <c r="N278" s="8" t="str">
        <f>+VLOOKUP(K278,'Correl CIIU'!$A$1:$F$26,4,FALSE)</f>
        <v>Manufacturing</v>
      </c>
      <c r="O278" s="8">
        <v>1</v>
      </c>
      <c r="P278" s="31" t="str">
        <f>+VLOOKUP(O278,bio!$A$2:$B$4,2,FALSE)</f>
        <v>Bioeconomía</v>
      </c>
    </row>
    <row r="279" spans="1:16" x14ac:dyDescent="0.35">
      <c r="A279" s="30" t="s">
        <v>761</v>
      </c>
      <c r="B279" s="20" t="s">
        <v>141</v>
      </c>
      <c r="C279" s="9" t="str">
        <f>+VLOOKUP(B279,'transacciones '!$A$2:$I$39,2,FALSE)</f>
        <v>ATC01</v>
      </c>
      <c r="D279" s="9" t="str">
        <f>+VLOOKUP(B279,'transacciones '!$A$2:$I$39,3,FALSE)</f>
        <v>Producción / Consumo intermedio</v>
      </c>
      <c r="E279" s="9" t="str">
        <f>+VLOOKUP(B279,'transacciones '!$A$2:$I$39,4,FALSE)</f>
        <v>Producción</v>
      </c>
      <c r="F279" s="9">
        <f>+VLOOKUP(B279,'transacciones '!$A$2:$I$39,5,FALSE)</f>
        <v>1</v>
      </c>
      <c r="G279" s="9" t="str">
        <f>+VLOOKUP(B279,'transacciones '!$A$2:$I$39,6,FALSE)</f>
        <v>P1</v>
      </c>
      <c r="H279" s="9" t="str">
        <f>+VLOOKUP(B279,'transacciones '!$A$2:$I$39,7,FALSE)</f>
        <v>Producción</v>
      </c>
      <c r="I279" s="18" t="s">
        <v>61</v>
      </c>
      <c r="J279" s="18" t="s">
        <v>317</v>
      </c>
      <c r="K279" s="8" t="s">
        <v>20</v>
      </c>
      <c r="L279" s="8" t="str">
        <f>+VLOOKUP(K279,'Correl CIIU'!$A$1:$F$26,2,FALSE)</f>
        <v>Industrias manufactureras</v>
      </c>
      <c r="M279" s="8" t="str">
        <f>+VLOOKUP(K279,'Correl CIIU'!$A$1:$F$26,3,FALSE)</f>
        <v>Manufacturas</v>
      </c>
      <c r="N279" s="8" t="str">
        <f>+VLOOKUP(K279,'Correl CIIU'!$A$1:$F$26,4,FALSE)</f>
        <v>Manufacturing</v>
      </c>
      <c r="O279" s="8">
        <v>1</v>
      </c>
      <c r="P279" s="31" t="str">
        <f>+VLOOKUP(O279,bio!$A$2:$B$4,2,FALSE)</f>
        <v>Bioeconomía</v>
      </c>
    </row>
    <row r="280" spans="1:16" x14ac:dyDescent="0.35">
      <c r="A280" s="30" t="s">
        <v>762</v>
      </c>
      <c r="B280" s="20" t="s">
        <v>141</v>
      </c>
      <c r="C280" s="9" t="str">
        <f>+VLOOKUP(B280,'transacciones '!$A$2:$I$39,2,FALSE)</f>
        <v>ATC01</v>
      </c>
      <c r="D280" s="9" t="str">
        <f>+VLOOKUP(B280,'transacciones '!$A$2:$I$39,3,FALSE)</f>
        <v>Producción / Consumo intermedio</v>
      </c>
      <c r="E280" s="9" t="str">
        <f>+VLOOKUP(B280,'transacciones '!$A$2:$I$39,4,FALSE)</f>
        <v>Producción</v>
      </c>
      <c r="F280" s="9">
        <f>+VLOOKUP(B280,'transacciones '!$A$2:$I$39,5,FALSE)</f>
        <v>1</v>
      </c>
      <c r="G280" s="9" t="str">
        <f>+VLOOKUP(B280,'transacciones '!$A$2:$I$39,6,FALSE)</f>
        <v>P1</v>
      </c>
      <c r="H280" s="9" t="str">
        <f>+VLOOKUP(B280,'transacciones '!$A$2:$I$39,7,FALSE)</f>
        <v>Producción</v>
      </c>
      <c r="I280" s="18" t="s">
        <v>64</v>
      </c>
      <c r="J280" s="18" t="s">
        <v>318</v>
      </c>
      <c r="K280" s="8" t="s">
        <v>20</v>
      </c>
      <c r="L280" s="8" t="str">
        <f>+VLOOKUP(K280,'Correl CIIU'!$A$1:$F$26,2,FALSE)</f>
        <v>Industrias manufactureras</v>
      </c>
      <c r="M280" s="8" t="str">
        <f>+VLOOKUP(K280,'Correl CIIU'!$A$1:$F$26,3,FALSE)</f>
        <v>Manufacturas</v>
      </c>
      <c r="N280" s="8" t="str">
        <f>+VLOOKUP(K280,'Correl CIIU'!$A$1:$F$26,4,FALSE)</f>
        <v>Manufacturing</v>
      </c>
      <c r="O280" s="8">
        <v>2</v>
      </c>
      <c r="P280" s="31" t="str">
        <f>+VLOOKUP(O280,bio!$A$2:$B$4,2,FALSE)</f>
        <v>Bioeconomía extendida</v>
      </c>
    </row>
    <row r="281" spans="1:16" x14ac:dyDescent="0.35">
      <c r="A281" s="30" t="s">
        <v>763</v>
      </c>
      <c r="B281" s="20" t="s">
        <v>141</v>
      </c>
      <c r="C281" s="9" t="str">
        <f>+VLOOKUP(B281,'transacciones '!$A$2:$I$39,2,FALSE)</f>
        <v>ATC01</v>
      </c>
      <c r="D281" s="9" t="str">
        <f>+VLOOKUP(B281,'transacciones '!$A$2:$I$39,3,FALSE)</f>
        <v>Producción / Consumo intermedio</v>
      </c>
      <c r="E281" s="9" t="str">
        <f>+VLOOKUP(B281,'transacciones '!$A$2:$I$39,4,FALSE)</f>
        <v>Producción</v>
      </c>
      <c r="F281" s="9">
        <f>+VLOOKUP(B281,'transacciones '!$A$2:$I$39,5,FALSE)</f>
        <v>1</v>
      </c>
      <c r="G281" s="9" t="str">
        <f>+VLOOKUP(B281,'transacciones '!$A$2:$I$39,6,FALSE)</f>
        <v>P1</v>
      </c>
      <c r="H281" s="9" t="str">
        <f>+VLOOKUP(B281,'transacciones '!$A$2:$I$39,7,FALSE)</f>
        <v>Producción</v>
      </c>
      <c r="I281" s="18" t="s">
        <v>319</v>
      </c>
      <c r="J281" s="18" t="s">
        <v>320</v>
      </c>
      <c r="K281" s="8" t="s">
        <v>20</v>
      </c>
      <c r="L281" s="8" t="str">
        <f>+VLOOKUP(K281,'Correl CIIU'!$A$1:$F$26,2,FALSE)</f>
        <v>Industrias manufactureras</v>
      </c>
      <c r="M281" s="8" t="str">
        <f>+VLOOKUP(K281,'Correl CIIU'!$A$1:$F$26,3,FALSE)</f>
        <v>Manufacturas</v>
      </c>
      <c r="N281" s="8" t="str">
        <f>+VLOOKUP(K281,'Correl CIIU'!$A$1:$F$26,4,FALSE)</f>
        <v>Manufacturing</v>
      </c>
      <c r="O281" s="8">
        <v>2</v>
      </c>
      <c r="P281" s="31" t="str">
        <f>+VLOOKUP(O281,bio!$A$2:$B$4,2,FALSE)</f>
        <v>Bioeconomía extendida</v>
      </c>
    </row>
    <row r="282" spans="1:16" x14ac:dyDescent="0.35">
      <c r="A282" s="30" t="s">
        <v>764</v>
      </c>
      <c r="B282" s="20" t="s">
        <v>141</v>
      </c>
      <c r="C282" s="9" t="str">
        <f>+VLOOKUP(B282,'transacciones '!$A$2:$I$39,2,FALSE)</f>
        <v>ATC01</v>
      </c>
      <c r="D282" s="9" t="str">
        <f>+VLOOKUP(B282,'transacciones '!$A$2:$I$39,3,FALSE)</f>
        <v>Producción / Consumo intermedio</v>
      </c>
      <c r="E282" s="9" t="str">
        <f>+VLOOKUP(B282,'transacciones '!$A$2:$I$39,4,FALSE)</f>
        <v>Producción</v>
      </c>
      <c r="F282" s="9">
        <f>+VLOOKUP(B282,'transacciones '!$A$2:$I$39,5,FALSE)</f>
        <v>1</v>
      </c>
      <c r="G282" s="9" t="str">
        <f>+VLOOKUP(B282,'transacciones '!$A$2:$I$39,6,FALSE)</f>
        <v>P1</v>
      </c>
      <c r="H282" s="9" t="str">
        <f>+VLOOKUP(B282,'transacciones '!$A$2:$I$39,7,FALSE)</f>
        <v>Producción</v>
      </c>
      <c r="I282" s="18" t="s">
        <v>321</v>
      </c>
      <c r="J282" s="18" t="s">
        <v>322</v>
      </c>
      <c r="K282" s="8" t="s">
        <v>20</v>
      </c>
      <c r="L282" s="8" t="str">
        <f>+VLOOKUP(K282,'Correl CIIU'!$A$1:$F$26,2,FALSE)</f>
        <v>Industrias manufactureras</v>
      </c>
      <c r="M282" s="8" t="str">
        <f>+VLOOKUP(K282,'Correl CIIU'!$A$1:$F$26,3,FALSE)</f>
        <v>Manufacturas</v>
      </c>
      <c r="N282" s="8" t="str">
        <f>+VLOOKUP(K282,'Correl CIIU'!$A$1:$F$26,4,FALSE)</f>
        <v>Manufacturing</v>
      </c>
      <c r="O282" s="8">
        <v>1</v>
      </c>
      <c r="P282" s="31" t="str">
        <f>+VLOOKUP(O282,bio!$A$2:$B$4,2,FALSE)</f>
        <v>Bioeconomía</v>
      </c>
    </row>
    <row r="283" spans="1:16" x14ac:dyDescent="0.35">
      <c r="A283" s="30" t="s">
        <v>765</v>
      </c>
      <c r="B283" s="20" t="s">
        <v>141</v>
      </c>
      <c r="C283" s="9" t="str">
        <f>+VLOOKUP(B283,'transacciones '!$A$2:$I$39,2,FALSE)</f>
        <v>ATC01</v>
      </c>
      <c r="D283" s="9" t="str">
        <f>+VLOOKUP(B283,'transacciones '!$A$2:$I$39,3,FALSE)</f>
        <v>Producción / Consumo intermedio</v>
      </c>
      <c r="E283" s="9" t="str">
        <f>+VLOOKUP(B283,'transacciones '!$A$2:$I$39,4,FALSE)</f>
        <v>Producción</v>
      </c>
      <c r="F283" s="9">
        <f>+VLOOKUP(B283,'transacciones '!$A$2:$I$39,5,FALSE)</f>
        <v>1</v>
      </c>
      <c r="G283" s="9" t="str">
        <f>+VLOOKUP(B283,'transacciones '!$A$2:$I$39,6,FALSE)</f>
        <v>P1</v>
      </c>
      <c r="H283" s="9" t="str">
        <f>+VLOOKUP(B283,'transacciones '!$A$2:$I$39,7,FALSE)</f>
        <v>Producción</v>
      </c>
      <c r="I283" s="18" t="s">
        <v>323</v>
      </c>
      <c r="J283" s="18" t="s">
        <v>324</v>
      </c>
      <c r="K283" s="8" t="s">
        <v>20</v>
      </c>
      <c r="L283" s="8" t="str">
        <f>+VLOOKUP(K283,'Correl CIIU'!$A$1:$F$26,2,FALSE)</f>
        <v>Industrias manufactureras</v>
      </c>
      <c r="M283" s="8" t="str">
        <f>+VLOOKUP(K283,'Correl CIIU'!$A$1:$F$26,3,FALSE)</f>
        <v>Manufacturas</v>
      </c>
      <c r="N283" s="8" t="str">
        <f>+VLOOKUP(K283,'Correl CIIU'!$A$1:$F$26,4,FALSE)</f>
        <v>Manufacturing</v>
      </c>
      <c r="O283" s="8">
        <v>2</v>
      </c>
      <c r="P283" s="31" t="str">
        <f>+VLOOKUP(O283,bio!$A$2:$B$4,2,FALSE)</f>
        <v>Bioeconomía extendida</v>
      </c>
    </row>
    <row r="284" spans="1:16" x14ac:dyDescent="0.35">
      <c r="A284" s="30" t="s">
        <v>766</v>
      </c>
      <c r="B284" s="20" t="s">
        <v>141</v>
      </c>
      <c r="C284" s="9" t="str">
        <f>+VLOOKUP(B284,'transacciones '!$A$2:$I$39,2,FALSE)</f>
        <v>ATC01</v>
      </c>
      <c r="D284" s="9" t="str">
        <f>+VLOOKUP(B284,'transacciones '!$A$2:$I$39,3,FALSE)</f>
        <v>Producción / Consumo intermedio</v>
      </c>
      <c r="E284" s="9" t="str">
        <f>+VLOOKUP(B284,'transacciones '!$A$2:$I$39,4,FALSE)</f>
        <v>Producción</v>
      </c>
      <c r="F284" s="9">
        <f>+VLOOKUP(B284,'transacciones '!$A$2:$I$39,5,FALSE)</f>
        <v>1</v>
      </c>
      <c r="G284" s="9" t="str">
        <f>+VLOOKUP(B284,'transacciones '!$A$2:$I$39,6,FALSE)</f>
        <v>P1</v>
      </c>
      <c r="H284" s="9" t="str">
        <f>+VLOOKUP(B284,'transacciones '!$A$2:$I$39,7,FALSE)</f>
        <v>Producción</v>
      </c>
      <c r="I284" s="18" t="s">
        <v>325</v>
      </c>
      <c r="J284" s="18" t="s">
        <v>326</v>
      </c>
      <c r="K284" s="8" t="s">
        <v>20</v>
      </c>
      <c r="L284" s="8" t="str">
        <f>+VLOOKUP(K284,'Correl CIIU'!$A$1:$F$26,2,FALSE)</f>
        <v>Industrias manufactureras</v>
      </c>
      <c r="M284" s="8" t="str">
        <f>+VLOOKUP(K284,'Correl CIIU'!$A$1:$F$26,3,FALSE)</f>
        <v>Manufacturas</v>
      </c>
      <c r="N284" s="8" t="str">
        <f>+VLOOKUP(K284,'Correl CIIU'!$A$1:$F$26,4,FALSE)</f>
        <v>Manufacturing</v>
      </c>
      <c r="O284" s="8">
        <v>1</v>
      </c>
      <c r="P284" s="31" t="str">
        <f>+VLOOKUP(O284,bio!$A$2:$B$4,2,FALSE)</f>
        <v>Bioeconomía</v>
      </c>
    </row>
    <row r="285" spans="1:16" x14ac:dyDescent="0.35">
      <c r="A285" s="30" t="s">
        <v>767</v>
      </c>
      <c r="B285" s="20" t="s">
        <v>141</v>
      </c>
      <c r="C285" s="9" t="str">
        <f>+VLOOKUP(B285,'transacciones '!$A$2:$I$39,2,FALSE)</f>
        <v>ATC01</v>
      </c>
      <c r="D285" s="9" t="str">
        <f>+VLOOKUP(B285,'transacciones '!$A$2:$I$39,3,FALSE)</f>
        <v>Producción / Consumo intermedio</v>
      </c>
      <c r="E285" s="9" t="str">
        <f>+VLOOKUP(B285,'transacciones '!$A$2:$I$39,4,FALSE)</f>
        <v>Producción</v>
      </c>
      <c r="F285" s="9">
        <f>+VLOOKUP(B285,'transacciones '!$A$2:$I$39,5,FALSE)</f>
        <v>1</v>
      </c>
      <c r="G285" s="9" t="str">
        <f>+VLOOKUP(B285,'transacciones '!$A$2:$I$39,6,FALSE)</f>
        <v>P1</v>
      </c>
      <c r="H285" s="9" t="str">
        <f>+VLOOKUP(B285,'transacciones '!$A$2:$I$39,7,FALSE)</f>
        <v>Producción</v>
      </c>
      <c r="I285" s="18" t="s">
        <v>327</v>
      </c>
      <c r="J285" s="18" t="s">
        <v>328</v>
      </c>
      <c r="K285" s="8" t="s">
        <v>20</v>
      </c>
      <c r="L285" s="8" t="str">
        <f>+VLOOKUP(K285,'Correl CIIU'!$A$1:$F$26,2,FALSE)</f>
        <v>Industrias manufactureras</v>
      </c>
      <c r="M285" s="8" t="str">
        <f>+VLOOKUP(K285,'Correl CIIU'!$A$1:$F$26,3,FALSE)</f>
        <v>Manufacturas</v>
      </c>
      <c r="N285" s="8" t="str">
        <f>+VLOOKUP(K285,'Correl CIIU'!$A$1:$F$26,4,FALSE)</f>
        <v>Manufacturing</v>
      </c>
      <c r="O285" s="8">
        <v>1</v>
      </c>
      <c r="P285" s="31" t="str">
        <f>+VLOOKUP(O285,bio!$A$2:$B$4,2,FALSE)</f>
        <v>Bioeconomía</v>
      </c>
    </row>
    <row r="286" spans="1:16" x14ac:dyDescent="0.35">
      <c r="A286" s="30" t="s">
        <v>768</v>
      </c>
      <c r="B286" s="20" t="s">
        <v>141</v>
      </c>
      <c r="C286" s="9" t="str">
        <f>+VLOOKUP(B286,'transacciones '!$A$2:$I$39,2,FALSE)</f>
        <v>ATC01</v>
      </c>
      <c r="D286" s="9" t="str">
        <f>+VLOOKUP(B286,'transacciones '!$A$2:$I$39,3,FALSE)</f>
        <v>Producción / Consumo intermedio</v>
      </c>
      <c r="E286" s="9" t="str">
        <f>+VLOOKUP(B286,'transacciones '!$A$2:$I$39,4,FALSE)</f>
        <v>Producción</v>
      </c>
      <c r="F286" s="9">
        <f>+VLOOKUP(B286,'transacciones '!$A$2:$I$39,5,FALSE)</f>
        <v>1</v>
      </c>
      <c r="G286" s="9" t="str">
        <f>+VLOOKUP(B286,'transacciones '!$A$2:$I$39,6,FALSE)</f>
        <v>P1</v>
      </c>
      <c r="H286" s="9" t="str">
        <f>+VLOOKUP(B286,'transacciones '!$A$2:$I$39,7,FALSE)</f>
        <v>Producción</v>
      </c>
      <c r="I286" s="18" t="s">
        <v>329</v>
      </c>
      <c r="J286" s="18" t="s">
        <v>330</v>
      </c>
      <c r="K286" s="8" t="s">
        <v>20</v>
      </c>
      <c r="L286" s="8" t="str">
        <f>+VLOOKUP(K286,'Correl CIIU'!$A$1:$F$26,2,FALSE)</f>
        <v>Industrias manufactureras</v>
      </c>
      <c r="M286" s="8" t="str">
        <f>+VLOOKUP(K286,'Correl CIIU'!$A$1:$F$26,3,FALSE)</f>
        <v>Manufacturas</v>
      </c>
      <c r="N286" s="8" t="str">
        <f>+VLOOKUP(K286,'Correl CIIU'!$A$1:$F$26,4,FALSE)</f>
        <v>Manufacturing</v>
      </c>
      <c r="O286" s="8">
        <v>1</v>
      </c>
      <c r="P286" s="31" t="str">
        <f>+VLOOKUP(O286,bio!$A$2:$B$4,2,FALSE)</f>
        <v>Bioeconomía</v>
      </c>
    </row>
    <row r="287" spans="1:16" x14ac:dyDescent="0.35">
      <c r="A287" s="30" t="s">
        <v>769</v>
      </c>
      <c r="B287" s="20" t="s">
        <v>141</v>
      </c>
      <c r="C287" s="9" t="str">
        <f>+VLOOKUP(B287,'transacciones '!$A$2:$I$39,2,FALSE)</f>
        <v>ATC01</v>
      </c>
      <c r="D287" s="9" t="str">
        <f>+VLOOKUP(B287,'transacciones '!$A$2:$I$39,3,FALSE)</f>
        <v>Producción / Consumo intermedio</v>
      </c>
      <c r="E287" s="9" t="str">
        <f>+VLOOKUP(B287,'transacciones '!$A$2:$I$39,4,FALSE)</f>
        <v>Producción</v>
      </c>
      <c r="F287" s="9">
        <f>+VLOOKUP(B287,'transacciones '!$A$2:$I$39,5,FALSE)</f>
        <v>1</v>
      </c>
      <c r="G287" s="9" t="str">
        <f>+VLOOKUP(B287,'transacciones '!$A$2:$I$39,6,FALSE)</f>
        <v>P1</v>
      </c>
      <c r="H287" s="9" t="str">
        <f>+VLOOKUP(B287,'transacciones '!$A$2:$I$39,7,FALSE)</f>
        <v>Producción</v>
      </c>
      <c r="I287" s="18" t="s">
        <v>331</v>
      </c>
      <c r="J287" s="18" t="s">
        <v>332</v>
      </c>
      <c r="K287" s="8" t="s">
        <v>20</v>
      </c>
      <c r="L287" s="8" t="str">
        <f>+VLOOKUP(K287,'Correl CIIU'!$A$1:$F$26,2,FALSE)</f>
        <v>Industrias manufactureras</v>
      </c>
      <c r="M287" s="8" t="str">
        <f>+VLOOKUP(K287,'Correl CIIU'!$A$1:$F$26,3,FALSE)</f>
        <v>Manufacturas</v>
      </c>
      <c r="N287" s="8" t="str">
        <f>+VLOOKUP(K287,'Correl CIIU'!$A$1:$F$26,4,FALSE)</f>
        <v>Manufacturing</v>
      </c>
      <c r="O287" s="8">
        <v>1</v>
      </c>
      <c r="P287" s="31" t="str">
        <f>+VLOOKUP(O287,bio!$A$2:$B$4,2,FALSE)</f>
        <v>Bioeconomía</v>
      </c>
    </row>
    <row r="288" spans="1:16" x14ac:dyDescent="0.35">
      <c r="A288" s="30" t="s">
        <v>770</v>
      </c>
      <c r="B288" s="20" t="s">
        <v>141</v>
      </c>
      <c r="C288" s="9" t="str">
        <f>+VLOOKUP(B288,'transacciones '!$A$2:$I$39,2,FALSE)</f>
        <v>ATC01</v>
      </c>
      <c r="D288" s="9" t="str">
        <f>+VLOOKUP(B288,'transacciones '!$A$2:$I$39,3,FALSE)</f>
        <v>Producción / Consumo intermedio</v>
      </c>
      <c r="E288" s="9" t="str">
        <f>+VLOOKUP(B288,'transacciones '!$A$2:$I$39,4,FALSE)</f>
        <v>Producción</v>
      </c>
      <c r="F288" s="9">
        <f>+VLOOKUP(B288,'transacciones '!$A$2:$I$39,5,FALSE)</f>
        <v>1</v>
      </c>
      <c r="G288" s="9" t="str">
        <f>+VLOOKUP(B288,'transacciones '!$A$2:$I$39,6,FALSE)</f>
        <v>P1</v>
      </c>
      <c r="H288" s="9" t="str">
        <f>+VLOOKUP(B288,'transacciones '!$A$2:$I$39,7,FALSE)</f>
        <v>Producción</v>
      </c>
      <c r="I288" s="18" t="s">
        <v>333</v>
      </c>
      <c r="J288" s="18" t="s">
        <v>334</v>
      </c>
      <c r="K288" s="8" t="s">
        <v>20</v>
      </c>
      <c r="L288" s="8" t="str">
        <f>+VLOOKUP(K288,'Correl CIIU'!$A$1:$F$26,2,FALSE)</f>
        <v>Industrias manufactureras</v>
      </c>
      <c r="M288" s="8" t="str">
        <f>+VLOOKUP(K288,'Correl CIIU'!$A$1:$F$26,3,FALSE)</f>
        <v>Manufacturas</v>
      </c>
      <c r="N288" s="8" t="str">
        <f>+VLOOKUP(K288,'Correl CIIU'!$A$1:$F$26,4,FALSE)</f>
        <v>Manufacturing</v>
      </c>
      <c r="O288" s="8">
        <v>2</v>
      </c>
      <c r="P288" s="31" t="str">
        <f>+VLOOKUP(O288,bio!$A$2:$B$4,2,FALSE)</f>
        <v>Bioeconomía extendida</v>
      </c>
    </row>
    <row r="289" spans="1:16" x14ac:dyDescent="0.35">
      <c r="A289" s="30" t="s">
        <v>771</v>
      </c>
      <c r="B289" s="20" t="s">
        <v>141</v>
      </c>
      <c r="C289" s="9" t="str">
        <f>+VLOOKUP(B289,'transacciones '!$A$2:$I$39,2,FALSE)</f>
        <v>ATC01</v>
      </c>
      <c r="D289" s="9" t="str">
        <f>+VLOOKUP(B289,'transacciones '!$A$2:$I$39,3,FALSE)</f>
        <v>Producción / Consumo intermedio</v>
      </c>
      <c r="E289" s="9" t="str">
        <f>+VLOOKUP(B289,'transacciones '!$A$2:$I$39,4,FALSE)</f>
        <v>Producción</v>
      </c>
      <c r="F289" s="9">
        <f>+VLOOKUP(B289,'transacciones '!$A$2:$I$39,5,FALSE)</f>
        <v>1</v>
      </c>
      <c r="G289" s="9" t="str">
        <f>+VLOOKUP(B289,'transacciones '!$A$2:$I$39,6,FALSE)</f>
        <v>P1</v>
      </c>
      <c r="H289" s="9" t="str">
        <f>+VLOOKUP(B289,'transacciones '!$A$2:$I$39,7,FALSE)</f>
        <v>Producción</v>
      </c>
      <c r="I289" s="18" t="s">
        <v>335</v>
      </c>
      <c r="J289" s="18" t="s">
        <v>336</v>
      </c>
      <c r="K289" s="8" t="s">
        <v>20</v>
      </c>
      <c r="L289" s="8" t="str">
        <f>+VLOOKUP(K289,'Correl CIIU'!$A$1:$F$26,2,FALSE)</f>
        <v>Industrias manufactureras</v>
      </c>
      <c r="M289" s="8" t="str">
        <f>+VLOOKUP(K289,'Correl CIIU'!$A$1:$F$26,3,FALSE)</f>
        <v>Manufacturas</v>
      </c>
      <c r="N289" s="8" t="str">
        <f>+VLOOKUP(K289,'Correl CIIU'!$A$1:$F$26,4,FALSE)</f>
        <v>Manufacturing</v>
      </c>
      <c r="O289" s="8">
        <v>3</v>
      </c>
      <c r="P289" s="31" t="str">
        <f>+VLOOKUP(O289,bio!$A$2:$B$4,2,FALSE)</f>
        <v>No bioeconomía</v>
      </c>
    </row>
    <row r="290" spans="1:16" x14ac:dyDescent="0.35">
      <c r="A290" s="30" t="s">
        <v>772</v>
      </c>
      <c r="B290" s="20" t="s">
        <v>141</v>
      </c>
      <c r="C290" s="9" t="str">
        <f>+VLOOKUP(B290,'transacciones '!$A$2:$I$39,2,FALSE)</f>
        <v>ATC01</v>
      </c>
      <c r="D290" s="9" t="str">
        <f>+VLOOKUP(B290,'transacciones '!$A$2:$I$39,3,FALSE)</f>
        <v>Producción / Consumo intermedio</v>
      </c>
      <c r="E290" s="9" t="str">
        <f>+VLOOKUP(B290,'transacciones '!$A$2:$I$39,4,FALSE)</f>
        <v>Producción</v>
      </c>
      <c r="F290" s="9">
        <f>+VLOOKUP(B290,'transacciones '!$A$2:$I$39,5,FALSE)</f>
        <v>1</v>
      </c>
      <c r="G290" s="9" t="str">
        <f>+VLOOKUP(B290,'transacciones '!$A$2:$I$39,6,FALSE)</f>
        <v>P1</v>
      </c>
      <c r="H290" s="9" t="str">
        <f>+VLOOKUP(B290,'transacciones '!$A$2:$I$39,7,FALSE)</f>
        <v>Producción</v>
      </c>
      <c r="I290" s="18" t="s">
        <v>337</v>
      </c>
      <c r="J290" s="18" t="s">
        <v>338</v>
      </c>
      <c r="K290" s="8" t="s">
        <v>20</v>
      </c>
      <c r="L290" s="8" t="str">
        <f>+VLOOKUP(K290,'Correl CIIU'!$A$1:$F$26,2,FALSE)</f>
        <v>Industrias manufactureras</v>
      </c>
      <c r="M290" s="8" t="str">
        <f>+VLOOKUP(K290,'Correl CIIU'!$A$1:$F$26,3,FALSE)</f>
        <v>Manufacturas</v>
      </c>
      <c r="N290" s="8" t="str">
        <f>+VLOOKUP(K290,'Correl CIIU'!$A$1:$F$26,4,FALSE)</f>
        <v>Manufacturing</v>
      </c>
      <c r="O290" s="8">
        <v>3</v>
      </c>
      <c r="P290" s="31" t="str">
        <f>+VLOOKUP(O290,bio!$A$2:$B$4,2,FALSE)</f>
        <v>No bioeconomía</v>
      </c>
    </row>
    <row r="291" spans="1:16" x14ac:dyDescent="0.35">
      <c r="A291" s="30" t="s">
        <v>773</v>
      </c>
      <c r="B291" s="20" t="s">
        <v>141</v>
      </c>
      <c r="C291" s="9" t="str">
        <f>+VLOOKUP(B291,'transacciones '!$A$2:$I$39,2,FALSE)</f>
        <v>ATC01</v>
      </c>
      <c r="D291" s="9" t="str">
        <f>+VLOOKUP(B291,'transacciones '!$A$2:$I$39,3,FALSE)</f>
        <v>Producción / Consumo intermedio</v>
      </c>
      <c r="E291" s="9" t="str">
        <f>+VLOOKUP(B291,'transacciones '!$A$2:$I$39,4,FALSE)</f>
        <v>Producción</v>
      </c>
      <c r="F291" s="9">
        <f>+VLOOKUP(B291,'transacciones '!$A$2:$I$39,5,FALSE)</f>
        <v>1</v>
      </c>
      <c r="G291" s="9" t="str">
        <f>+VLOOKUP(B291,'transacciones '!$A$2:$I$39,6,FALSE)</f>
        <v>P1</v>
      </c>
      <c r="H291" s="9" t="str">
        <f>+VLOOKUP(B291,'transacciones '!$A$2:$I$39,7,FALSE)</f>
        <v>Producción</v>
      </c>
      <c r="I291" s="18" t="s">
        <v>339</v>
      </c>
      <c r="J291" s="18" t="s">
        <v>340</v>
      </c>
      <c r="K291" s="8" t="s">
        <v>20</v>
      </c>
      <c r="L291" s="8" t="str">
        <f>+VLOOKUP(K291,'Correl CIIU'!$A$1:$F$26,2,FALSE)</f>
        <v>Industrias manufactureras</v>
      </c>
      <c r="M291" s="8" t="str">
        <f>+VLOOKUP(K291,'Correl CIIU'!$A$1:$F$26,3,FALSE)</f>
        <v>Manufacturas</v>
      </c>
      <c r="N291" s="8" t="str">
        <f>+VLOOKUP(K291,'Correl CIIU'!$A$1:$F$26,4,FALSE)</f>
        <v>Manufacturing</v>
      </c>
      <c r="O291" s="8">
        <v>2</v>
      </c>
      <c r="P291" s="31" t="str">
        <f>+VLOOKUP(O291,bio!$A$2:$B$4,2,FALSE)</f>
        <v>Bioeconomía extendida</v>
      </c>
    </row>
    <row r="292" spans="1:16" x14ac:dyDescent="0.35">
      <c r="A292" s="30" t="s">
        <v>774</v>
      </c>
      <c r="B292" s="20" t="s">
        <v>141</v>
      </c>
      <c r="C292" s="9" t="str">
        <f>+VLOOKUP(B292,'transacciones '!$A$2:$I$39,2,FALSE)</f>
        <v>ATC01</v>
      </c>
      <c r="D292" s="9" t="str">
        <f>+VLOOKUP(B292,'transacciones '!$A$2:$I$39,3,FALSE)</f>
        <v>Producción / Consumo intermedio</v>
      </c>
      <c r="E292" s="9" t="str">
        <f>+VLOOKUP(B292,'transacciones '!$A$2:$I$39,4,FALSE)</f>
        <v>Producción</v>
      </c>
      <c r="F292" s="9">
        <f>+VLOOKUP(B292,'transacciones '!$A$2:$I$39,5,FALSE)</f>
        <v>1</v>
      </c>
      <c r="G292" s="9" t="str">
        <f>+VLOOKUP(B292,'transacciones '!$A$2:$I$39,6,FALSE)</f>
        <v>P1</v>
      </c>
      <c r="H292" s="9" t="str">
        <f>+VLOOKUP(B292,'transacciones '!$A$2:$I$39,7,FALSE)</f>
        <v>Producción</v>
      </c>
      <c r="I292" s="18" t="s">
        <v>341</v>
      </c>
      <c r="J292" s="18" t="s">
        <v>342</v>
      </c>
      <c r="K292" s="8" t="s">
        <v>20</v>
      </c>
      <c r="L292" s="8" t="str">
        <f>+VLOOKUP(K292,'Correl CIIU'!$A$1:$F$26,2,FALSE)</f>
        <v>Industrias manufactureras</v>
      </c>
      <c r="M292" s="8" t="str">
        <f>+VLOOKUP(K292,'Correl CIIU'!$A$1:$F$26,3,FALSE)</f>
        <v>Manufacturas</v>
      </c>
      <c r="N292" s="8" t="str">
        <f>+VLOOKUP(K292,'Correl CIIU'!$A$1:$F$26,4,FALSE)</f>
        <v>Manufacturing</v>
      </c>
      <c r="O292" s="8">
        <v>3</v>
      </c>
      <c r="P292" s="31" t="str">
        <f>+VLOOKUP(O292,bio!$A$2:$B$4,2,FALSE)</f>
        <v>No bioeconomía</v>
      </c>
    </row>
    <row r="293" spans="1:16" x14ac:dyDescent="0.35">
      <c r="A293" s="30" t="s">
        <v>775</v>
      </c>
      <c r="B293" s="20" t="s">
        <v>141</v>
      </c>
      <c r="C293" s="9" t="str">
        <f>+VLOOKUP(B293,'transacciones '!$A$2:$I$39,2,FALSE)</f>
        <v>ATC01</v>
      </c>
      <c r="D293" s="9" t="str">
        <f>+VLOOKUP(B293,'transacciones '!$A$2:$I$39,3,FALSE)</f>
        <v>Producción / Consumo intermedio</v>
      </c>
      <c r="E293" s="9" t="str">
        <f>+VLOOKUP(B293,'transacciones '!$A$2:$I$39,4,FALSE)</f>
        <v>Producción</v>
      </c>
      <c r="F293" s="9">
        <f>+VLOOKUP(B293,'transacciones '!$A$2:$I$39,5,FALSE)</f>
        <v>1</v>
      </c>
      <c r="G293" s="9" t="str">
        <f>+VLOOKUP(B293,'transacciones '!$A$2:$I$39,6,FALSE)</f>
        <v>P1</v>
      </c>
      <c r="H293" s="9" t="str">
        <f>+VLOOKUP(B293,'transacciones '!$A$2:$I$39,7,FALSE)</f>
        <v>Producción</v>
      </c>
      <c r="I293" s="18" t="s">
        <v>343</v>
      </c>
      <c r="J293" s="18" t="s">
        <v>344</v>
      </c>
      <c r="K293" s="8" t="s">
        <v>20</v>
      </c>
      <c r="L293" s="8" t="str">
        <f>+VLOOKUP(K293,'Correl CIIU'!$A$1:$F$26,2,FALSE)</f>
        <v>Industrias manufactureras</v>
      </c>
      <c r="M293" s="8" t="str">
        <f>+VLOOKUP(K293,'Correl CIIU'!$A$1:$F$26,3,FALSE)</f>
        <v>Manufacturas</v>
      </c>
      <c r="N293" s="8" t="str">
        <f>+VLOOKUP(K293,'Correl CIIU'!$A$1:$F$26,4,FALSE)</f>
        <v>Manufacturing</v>
      </c>
      <c r="O293" s="8">
        <v>2</v>
      </c>
      <c r="P293" s="31" t="str">
        <f>+VLOOKUP(O293,bio!$A$2:$B$4,2,FALSE)</f>
        <v>Bioeconomía extendida</v>
      </c>
    </row>
    <row r="294" spans="1:16" x14ac:dyDescent="0.35">
      <c r="A294" s="30" t="s">
        <v>776</v>
      </c>
      <c r="B294" s="20" t="s">
        <v>141</v>
      </c>
      <c r="C294" s="9" t="str">
        <f>+VLOOKUP(B294,'transacciones '!$A$2:$I$39,2,FALSE)</f>
        <v>ATC01</v>
      </c>
      <c r="D294" s="9" t="str">
        <f>+VLOOKUP(B294,'transacciones '!$A$2:$I$39,3,FALSE)</f>
        <v>Producción / Consumo intermedio</v>
      </c>
      <c r="E294" s="9" t="str">
        <f>+VLOOKUP(B294,'transacciones '!$A$2:$I$39,4,FALSE)</f>
        <v>Producción</v>
      </c>
      <c r="F294" s="9">
        <f>+VLOOKUP(B294,'transacciones '!$A$2:$I$39,5,FALSE)</f>
        <v>1</v>
      </c>
      <c r="G294" s="9" t="str">
        <f>+VLOOKUP(B294,'transacciones '!$A$2:$I$39,6,FALSE)</f>
        <v>P1</v>
      </c>
      <c r="H294" s="9" t="str">
        <f>+VLOOKUP(B294,'transacciones '!$A$2:$I$39,7,FALSE)</f>
        <v>Producción</v>
      </c>
      <c r="I294" s="18" t="s">
        <v>345</v>
      </c>
      <c r="J294" s="18" t="s">
        <v>346</v>
      </c>
      <c r="K294" s="8" t="s">
        <v>20</v>
      </c>
      <c r="L294" s="8" t="str">
        <f>+VLOOKUP(K294,'Correl CIIU'!$A$1:$F$26,2,FALSE)</f>
        <v>Industrias manufactureras</v>
      </c>
      <c r="M294" s="8" t="str">
        <f>+VLOOKUP(K294,'Correl CIIU'!$A$1:$F$26,3,FALSE)</f>
        <v>Manufacturas</v>
      </c>
      <c r="N294" s="8" t="str">
        <f>+VLOOKUP(K294,'Correl CIIU'!$A$1:$F$26,4,FALSE)</f>
        <v>Manufacturing</v>
      </c>
      <c r="O294" s="8">
        <v>2</v>
      </c>
      <c r="P294" s="31" t="str">
        <f>+VLOOKUP(O294,bio!$A$2:$B$4,2,FALSE)</f>
        <v>Bioeconomía extendida</v>
      </c>
    </row>
    <row r="295" spans="1:16" x14ac:dyDescent="0.35">
      <c r="A295" s="30" t="s">
        <v>777</v>
      </c>
      <c r="B295" s="20" t="s">
        <v>141</v>
      </c>
      <c r="C295" s="9" t="str">
        <f>+VLOOKUP(B295,'transacciones '!$A$2:$I$39,2,FALSE)</f>
        <v>ATC01</v>
      </c>
      <c r="D295" s="9" t="str">
        <f>+VLOOKUP(B295,'transacciones '!$A$2:$I$39,3,FALSE)</f>
        <v>Producción / Consumo intermedio</v>
      </c>
      <c r="E295" s="9" t="str">
        <f>+VLOOKUP(B295,'transacciones '!$A$2:$I$39,4,FALSE)</f>
        <v>Producción</v>
      </c>
      <c r="F295" s="9">
        <f>+VLOOKUP(B295,'transacciones '!$A$2:$I$39,5,FALSE)</f>
        <v>1</v>
      </c>
      <c r="G295" s="9" t="str">
        <f>+VLOOKUP(B295,'transacciones '!$A$2:$I$39,6,FALSE)</f>
        <v>P1</v>
      </c>
      <c r="H295" s="9" t="str">
        <f>+VLOOKUP(B295,'transacciones '!$A$2:$I$39,7,FALSE)</f>
        <v>Producción</v>
      </c>
      <c r="I295" s="18" t="s">
        <v>347</v>
      </c>
      <c r="J295" s="18" t="s">
        <v>348</v>
      </c>
      <c r="K295" s="8" t="s">
        <v>20</v>
      </c>
      <c r="L295" s="8" t="str">
        <f>+VLOOKUP(K295,'Correl CIIU'!$A$1:$F$26,2,FALSE)</f>
        <v>Industrias manufactureras</v>
      </c>
      <c r="M295" s="8" t="str">
        <f>+VLOOKUP(K295,'Correl CIIU'!$A$1:$F$26,3,FALSE)</f>
        <v>Manufacturas</v>
      </c>
      <c r="N295" s="8" t="str">
        <f>+VLOOKUP(K295,'Correl CIIU'!$A$1:$F$26,4,FALSE)</f>
        <v>Manufacturing</v>
      </c>
      <c r="O295" s="8">
        <v>3</v>
      </c>
      <c r="P295" s="31" t="str">
        <f>+VLOOKUP(O295,bio!$A$2:$B$4,2,FALSE)</f>
        <v>No bioeconomía</v>
      </c>
    </row>
    <row r="296" spans="1:16" x14ac:dyDescent="0.35">
      <c r="A296" s="30" t="s">
        <v>778</v>
      </c>
      <c r="B296" s="20" t="s">
        <v>141</v>
      </c>
      <c r="C296" s="9" t="str">
        <f>+VLOOKUP(B296,'transacciones '!$A$2:$I$39,2,FALSE)</f>
        <v>ATC01</v>
      </c>
      <c r="D296" s="9" t="str">
        <f>+VLOOKUP(B296,'transacciones '!$A$2:$I$39,3,FALSE)</f>
        <v>Producción / Consumo intermedio</v>
      </c>
      <c r="E296" s="9" t="str">
        <f>+VLOOKUP(B296,'transacciones '!$A$2:$I$39,4,FALSE)</f>
        <v>Producción</v>
      </c>
      <c r="F296" s="9">
        <f>+VLOOKUP(B296,'transacciones '!$A$2:$I$39,5,FALSE)</f>
        <v>1</v>
      </c>
      <c r="G296" s="9" t="str">
        <f>+VLOOKUP(B296,'transacciones '!$A$2:$I$39,6,FALSE)</f>
        <v>P1</v>
      </c>
      <c r="H296" s="9" t="str">
        <f>+VLOOKUP(B296,'transacciones '!$A$2:$I$39,7,FALSE)</f>
        <v>Producción</v>
      </c>
      <c r="I296" s="18" t="s">
        <v>349</v>
      </c>
      <c r="J296" s="18" t="s">
        <v>350</v>
      </c>
      <c r="K296" s="8" t="s">
        <v>20</v>
      </c>
      <c r="L296" s="8" t="str">
        <f>+VLOOKUP(K296,'Correl CIIU'!$A$1:$F$26,2,FALSE)</f>
        <v>Industrias manufactureras</v>
      </c>
      <c r="M296" s="8" t="str">
        <f>+VLOOKUP(K296,'Correl CIIU'!$A$1:$F$26,3,FALSE)</f>
        <v>Manufacturas</v>
      </c>
      <c r="N296" s="8" t="str">
        <f>+VLOOKUP(K296,'Correl CIIU'!$A$1:$F$26,4,FALSE)</f>
        <v>Manufacturing</v>
      </c>
      <c r="O296" s="8">
        <v>3</v>
      </c>
      <c r="P296" s="31" t="str">
        <f>+VLOOKUP(O296,bio!$A$2:$B$4,2,FALSE)</f>
        <v>No bioeconomía</v>
      </c>
    </row>
    <row r="297" spans="1:16" x14ac:dyDescent="0.35">
      <c r="A297" s="30" t="s">
        <v>779</v>
      </c>
      <c r="B297" s="20" t="s">
        <v>141</v>
      </c>
      <c r="C297" s="9" t="str">
        <f>+VLOOKUP(B297,'transacciones '!$A$2:$I$39,2,FALSE)</f>
        <v>ATC01</v>
      </c>
      <c r="D297" s="9" t="str">
        <f>+VLOOKUP(B297,'transacciones '!$A$2:$I$39,3,FALSE)</f>
        <v>Producción / Consumo intermedio</v>
      </c>
      <c r="E297" s="9" t="str">
        <f>+VLOOKUP(B297,'transacciones '!$A$2:$I$39,4,FALSE)</f>
        <v>Producción</v>
      </c>
      <c r="F297" s="9">
        <f>+VLOOKUP(B297,'transacciones '!$A$2:$I$39,5,FALSE)</f>
        <v>1</v>
      </c>
      <c r="G297" s="9" t="str">
        <f>+VLOOKUP(B297,'transacciones '!$A$2:$I$39,6,FALSE)</f>
        <v>P1</v>
      </c>
      <c r="H297" s="9" t="str">
        <f>+VLOOKUP(B297,'transacciones '!$A$2:$I$39,7,FALSE)</f>
        <v>Producción</v>
      </c>
      <c r="I297" s="18" t="s">
        <v>351</v>
      </c>
      <c r="J297" s="18" t="s">
        <v>352</v>
      </c>
      <c r="K297" s="8" t="s">
        <v>20</v>
      </c>
      <c r="L297" s="8" t="str">
        <f>+VLOOKUP(K297,'Correl CIIU'!$A$1:$F$26,2,FALSE)</f>
        <v>Industrias manufactureras</v>
      </c>
      <c r="M297" s="8" t="str">
        <f>+VLOOKUP(K297,'Correl CIIU'!$A$1:$F$26,3,FALSE)</f>
        <v>Manufacturas</v>
      </c>
      <c r="N297" s="8" t="str">
        <f>+VLOOKUP(K297,'Correl CIIU'!$A$1:$F$26,4,FALSE)</f>
        <v>Manufacturing</v>
      </c>
      <c r="O297" s="8">
        <v>3</v>
      </c>
      <c r="P297" s="31" t="str">
        <f>+VLOOKUP(O297,bio!$A$2:$B$4,2,FALSE)</f>
        <v>No bioeconomía</v>
      </c>
    </row>
    <row r="298" spans="1:16" x14ac:dyDescent="0.35">
      <c r="A298" s="30" t="s">
        <v>780</v>
      </c>
      <c r="B298" s="20" t="s">
        <v>141</v>
      </c>
      <c r="C298" s="9" t="str">
        <f>+VLOOKUP(B298,'transacciones '!$A$2:$I$39,2,FALSE)</f>
        <v>ATC01</v>
      </c>
      <c r="D298" s="9" t="str">
        <f>+VLOOKUP(B298,'transacciones '!$A$2:$I$39,3,FALSE)</f>
        <v>Producción / Consumo intermedio</v>
      </c>
      <c r="E298" s="9" t="str">
        <f>+VLOOKUP(B298,'transacciones '!$A$2:$I$39,4,FALSE)</f>
        <v>Producción</v>
      </c>
      <c r="F298" s="9">
        <f>+VLOOKUP(B298,'transacciones '!$A$2:$I$39,5,FALSE)</f>
        <v>1</v>
      </c>
      <c r="G298" s="9" t="str">
        <f>+VLOOKUP(B298,'transacciones '!$A$2:$I$39,6,FALSE)</f>
        <v>P1</v>
      </c>
      <c r="H298" s="9" t="str">
        <f>+VLOOKUP(B298,'transacciones '!$A$2:$I$39,7,FALSE)</f>
        <v>Producción</v>
      </c>
      <c r="I298" s="18" t="s">
        <v>353</v>
      </c>
      <c r="J298" s="18" t="s">
        <v>354</v>
      </c>
      <c r="K298" s="8" t="s">
        <v>20</v>
      </c>
      <c r="L298" s="8" t="str">
        <f>+VLOOKUP(K298,'Correl CIIU'!$A$1:$F$26,2,FALSE)</f>
        <v>Industrias manufactureras</v>
      </c>
      <c r="M298" s="8" t="str">
        <f>+VLOOKUP(K298,'Correl CIIU'!$A$1:$F$26,3,FALSE)</f>
        <v>Manufacturas</v>
      </c>
      <c r="N298" s="8" t="str">
        <f>+VLOOKUP(K298,'Correl CIIU'!$A$1:$F$26,4,FALSE)</f>
        <v>Manufacturing</v>
      </c>
      <c r="O298" s="8">
        <v>3</v>
      </c>
      <c r="P298" s="31" t="str">
        <f>+VLOOKUP(O298,bio!$A$2:$B$4,2,FALSE)</f>
        <v>No bioeconomía</v>
      </c>
    </row>
    <row r="299" spans="1:16" x14ac:dyDescent="0.35">
      <c r="A299" s="30" t="s">
        <v>781</v>
      </c>
      <c r="B299" s="20" t="s">
        <v>141</v>
      </c>
      <c r="C299" s="9" t="str">
        <f>+VLOOKUP(B299,'transacciones '!$A$2:$I$39,2,FALSE)</f>
        <v>ATC01</v>
      </c>
      <c r="D299" s="9" t="str">
        <f>+VLOOKUP(B299,'transacciones '!$A$2:$I$39,3,FALSE)</f>
        <v>Producción / Consumo intermedio</v>
      </c>
      <c r="E299" s="9" t="str">
        <f>+VLOOKUP(B299,'transacciones '!$A$2:$I$39,4,FALSE)</f>
        <v>Producción</v>
      </c>
      <c r="F299" s="9">
        <f>+VLOOKUP(B299,'transacciones '!$A$2:$I$39,5,FALSE)</f>
        <v>1</v>
      </c>
      <c r="G299" s="9" t="str">
        <f>+VLOOKUP(B299,'transacciones '!$A$2:$I$39,6,FALSE)</f>
        <v>P1</v>
      </c>
      <c r="H299" s="9" t="str">
        <f>+VLOOKUP(B299,'transacciones '!$A$2:$I$39,7,FALSE)</f>
        <v>Producción</v>
      </c>
      <c r="I299" s="18" t="s">
        <v>355</v>
      </c>
      <c r="J299" s="18" t="s">
        <v>356</v>
      </c>
      <c r="K299" s="8" t="s">
        <v>20</v>
      </c>
      <c r="L299" s="8" t="str">
        <f>+VLOOKUP(K299,'Correl CIIU'!$A$1:$F$26,2,FALSE)</f>
        <v>Industrias manufactureras</v>
      </c>
      <c r="M299" s="8" t="str">
        <f>+VLOOKUP(K299,'Correl CIIU'!$A$1:$F$26,3,FALSE)</f>
        <v>Manufacturas</v>
      </c>
      <c r="N299" s="8" t="str">
        <f>+VLOOKUP(K299,'Correl CIIU'!$A$1:$F$26,4,FALSE)</f>
        <v>Manufacturing</v>
      </c>
      <c r="O299" s="8">
        <v>3</v>
      </c>
      <c r="P299" s="31" t="str">
        <f>+VLOOKUP(O299,bio!$A$2:$B$4,2,FALSE)</f>
        <v>No bioeconomía</v>
      </c>
    </row>
    <row r="300" spans="1:16" x14ac:dyDescent="0.35">
      <c r="A300" s="30" t="s">
        <v>782</v>
      </c>
      <c r="B300" s="20" t="s">
        <v>141</v>
      </c>
      <c r="C300" s="9" t="str">
        <f>+VLOOKUP(B300,'transacciones '!$A$2:$I$39,2,FALSE)</f>
        <v>ATC01</v>
      </c>
      <c r="D300" s="9" t="str">
        <f>+VLOOKUP(B300,'transacciones '!$A$2:$I$39,3,FALSE)</f>
        <v>Producción / Consumo intermedio</v>
      </c>
      <c r="E300" s="9" t="str">
        <f>+VLOOKUP(B300,'transacciones '!$A$2:$I$39,4,FALSE)</f>
        <v>Producción</v>
      </c>
      <c r="F300" s="9">
        <f>+VLOOKUP(B300,'transacciones '!$A$2:$I$39,5,FALSE)</f>
        <v>1</v>
      </c>
      <c r="G300" s="9" t="str">
        <f>+VLOOKUP(B300,'transacciones '!$A$2:$I$39,6,FALSE)</f>
        <v>P1</v>
      </c>
      <c r="H300" s="9" t="str">
        <f>+VLOOKUP(B300,'transacciones '!$A$2:$I$39,7,FALSE)</f>
        <v>Producción</v>
      </c>
      <c r="I300" s="18" t="s">
        <v>357</v>
      </c>
      <c r="J300" s="18" t="s">
        <v>358</v>
      </c>
      <c r="K300" s="8" t="s">
        <v>20</v>
      </c>
      <c r="L300" s="8" t="str">
        <f>+VLOOKUP(K300,'Correl CIIU'!$A$1:$F$26,2,FALSE)</f>
        <v>Industrias manufactureras</v>
      </c>
      <c r="M300" s="8" t="str">
        <f>+VLOOKUP(K300,'Correl CIIU'!$A$1:$F$26,3,FALSE)</f>
        <v>Manufacturas</v>
      </c>
      <c r="N300" s="8" t="str">
        <f>+VLOOKUP(K300,'Correl CIIU'!$A$1:$F$26,4,FALSE)</f>
        <v>Manufacturing</v>
      </c>
      <c r="O300" s="8">
        <v>3</v>
      </c>
      <c r="P300" s="31" t="str">
        <f>+VLOOKUP(O300,bio!$A$2:$B$4,2,FALSE)</f>
        <v>No bioeconomía</v>
      </c>
    </row>
    <row r="301" spans="1:16" x14ac:dyDescent="0.35">
      <c r="A301" s="30" t="s">
        <v>783</v>
      </c>
      <c r="B301" s="20" t="s">
        <v>141</v>
      </c>
      <c r="C301" s="9" t="str">
        <f>+VLOOKUP(B301,'transacciones '!$A$2:$I$39,2,FALSE)</f>
        <v>ATC01</v>
      </c>
      <c r="D301" s="9" t="str">
        <f>+VLOOKUP(B301,'transacciones '!$A$2:$I$39,3,FALSE)</f>
        <v>Producción / Consumo intermedio</v>
      </c>
      <c r="E301" s="9" t="str">
        <f>+VLOOKUP(B301,'transacciones '!$A$2:$I$39,4,FALSE)</f>
        <v>Producción</v>
      </c>
      <c r="F301" s="9">
        <f>+VLOOKUP(B301,'transacciones '!$A$2:$I$39,5,FALSE)</f>
        <v>1</v>
      </c>
      <c r="G301" s="9" t="str">
        <f>+VLOOKUP(B301,'transacciones '!$A$2:$I$39,6,FALSE)</f>
        <v>P1</v>
      </c>
      <c r="H301" s="9" t="str">
        <f>+VLOOKUP(B301,'transacciones '!$A$2:$I$39,7,FALSE)</f>
        <v>Producción</v>
      </c>
      <c r="I301" s="18" t="s">
        <v>359</v>
      </c>
      <c r="J301" s="18" t="s">
        <v>360</v>
      </c>
      <c r="K301" s="8" t="s">
        <v>20</v>
      </c>
      <c r="L301" s="8" t="str">
        <f>+VLOOKUP(K301,'Correl CIIU'!$A$1:$F$26,2,FALSE)</f>
        <v>Industrias manufactureras</v>
      </c>
      <c r="M301" s="8" t="str">
        <f>+VLOOKUP(K301,'Correl CIIU'!$A$1:$F$26,3,FALSE)</f>
        <v>Manufacturas</v>
      </c>
      <c r="N301" s="8" t="str">
        <f>+VLOOKUP(K301,'Correl CIIU'!$A$1:$F$26,4,FALSE)</f>
        <v>Manufacturing</v>
      </c>
      <c r="O301" s="8">
        <v>3</v>
      </c>
      <c r="P301" s="31" t="str">
        <f>+VLOOKUP(O301,bio!$A$2:$B$4,2,FALSE)</f>
        <v>No bioeconomía</v>
      </c>
    </row>
    <row r="302" spans="1:16" x14ac:dyDescent="0.35">
      <c r="A302" s="30" t="s">
        <v>784</v>
      </c>
      <c r="B302" s="20" t="s">
        <v>141</v>
      </c>
      <c r="C302" s="9" t="str">
        <f>+VLOOKUP(B302,'transacciones '!$A$2:$I$39,2,FALSE)</f>
        <v>ATC01</v>
      </c>
      <c r="D302" s="9" t="str">
        <f>+VLOOKUP(B302,'transacciones '!$A$2:$I$39,3,FALSE)</f>
        <v>Producción / Consumo intermedio</v>
      </c>
      <c r="E302" s="9" t="str">
        <f>+VLOOKUP(B302,'transacciones '!$A$2:$I$39,4,FALSE)</f>
        <v>Producción</v>
      </c>
      <c r="F302" s="9">
        <f>+VLOOKUP(B302,'transacciones '!$A$2:$I$39,5,FALSE)</f>
        <v>1</v>
      </c>
      <c r="G302" s="9" t="str">
        <f>+VLOOKUP(B302,'transacciones '!$A$2:$I$39,6,FALSE)</f>
        <v>P1</v>
      </c>
      <c r="H302" s="9" t="str">
        <f>+VLOOKUP(B302,'transacciones '!$A$2:$I$39,7,FALSE)</f>
        <v>Producción</v>
      </c>
      <c r="I302" s="18" t="s">
        <v>361</v>
      </c>
      <c r="J302" s="18" t="s">
        <v>362</v>
      </c>
      <c r="K302" s="8" t="s">
        <v>20</v>
      </c>
      <c r="L302" s="8" t="str">
        <f>+VLOOKUP(K302,'Correl CIIU'!$A$1:$F$26,2,FALSE)</f>
        <v>Industrias manufactureras</v>
      </c>
      <c r="M302" s="8" t="str">
        <f>+VLOOKUP(K302,'Correl CIIU'!$A$1:$F$26,3,FALSE)</f>
        <v>Manufacturas</v>
      </c>
      <c r="N302" s="8" t="str">
        <f>+VLOOKUP(K302,'Correl CIIU'!$A$1:$F$26,4,FALSE)</f>
        <v>Manufacturing</v>
      </c>
      <c r="O302" s="8">
        <v>3</v>
      </c>
      <c r="P302" s="31" t="str">
        <f>+VLOOKUP(O302,bio!$A$2:$B$4,2,FALSE)</f>
        <v>No bioeconomía</v>
      </c>
    </row>
    <row r="303" spans="1:16" x14ac:dyDescent="0.35">
      <c r="A303" s="30" t="s">
        <v>785</v>
      </c>
      <c r="B303" s="20" t="s">
        <v>141</v>
      </c>
      <c r="C303" s="9" t="str">
        <f>+VLOOKUP(B303,'transacciones '!$A$2:$I$39,2,FALSE)</f>
        <v>ATC01</v>
      </c>
      <c r="D303" s="9" t="str">
        <f>+VLOOKUP(B303,'transacciones '!$A$2:$I$39,3,FALSE)</f>
        <v>Producción / Consumo intermedio</v>
      </c>
      <c r="E303" s="9" t="str">
        <f>+VLOOKUP(B303,'transacciones '!$A$2:$I$39,4,FALSE)</f>
        <v>Producción</v>
      </c>
      <c r="F303" s="9">
        <f>+VLOOKUP(B303,'transacciones '!$A$2:$I$39,5,FALSE)</f>
        <v>1</v>
      </c>
      <c r="G303" s="9" t="str">
        <f>+VLOOKUP(B303,'transacciones '!$A$2:$I$39,6,FALSE)</f>
        <v>P1</v>
      </c>
      <c r="H303" s="9" t="str">
        <f>+VLOOKUP(B303,'transacciones '!$A$2:$I$39,7,FALSE)</f>
        <v>Producción</v>
      </c>
      <c r="I303" s="18" t="s">
        <v>363</v>
      </c>
      <c r="J303" s="18" t="s">
        <v>364</v>
      </c>
      <c r="K303" s="8" t="s">
        <v>20</v>
      </c>
      <c r="L303" s="8" t="str">
        <f>+VLOOKUP(K303,'Correl CIIU'!$A$1:$F$26,2,FALSE)</f>
        <v>Industrias manufactureras</v>
      </c>
      <c r="M303" s="8" t="str">
        <f>+VLOOKUP(K303,'Correl CIIU'!$A$1:$F$26,3,FALSE)</f>
        <v>Manufacturas</v>
      </c>
      <c r="N303" s="8" t="str">
        <f>+VLOOKUP(K303,'Correl CIIU'!$A$1:$F$26,4,FALSE)</f>
        <v>Manufacturing</v>
      </c>
      <c r="O303" s="8">
        <v>3</v>
      </c>
      <c r="P303" s="31" t="str">
        <f>+VLOOKUP(O303,bio!$A$2:$B$4,2,FALSE)</f>
        <v>No bioeconomía</v>
      </c>
    </row>
    <row r="304" spans="1:16" x14ac:dyDescent="0.35">
      <c r="A304" s="30" t="s">
        <v>786</v>
      </c>
      <c r="B304" s="20" t="s">
        <v>141</v>
      </c>
      <c r="C304" s="9" t="str">
        <f>+VLOOKUP(B304,'transacciones '!$A$2:$I$39,2,FALSE)</f>
        <v>ATC01</v>
      </c>
      <c r="D304" s="9" t="str">
        <f>+VLOOKUP(B304,'transacciones '!$A$2:$I$39,3,FALSE)</f>
        <v>Producción / Consumo intermedio</v>
      </c>
      <c r="E304" s="9" t="str">
        <f>+VLOOKUP(B304,'transacciones '!$A$2:$I$39,4,FALSE)</f>
        <v>Producción</v>
      </c>
      <c r="F304" s="9">
        <f>+VLOOKUP(B304,'transacciones '!$A$2:$I$39,5,FALSE)</f>
        <v>1</v>
      </c>
      <c r="G304" s="9" t="str">
        <f>+VLOOKUP(B304,'transacciones '!$A$2:$I$39,6,FALSE)</f>
        <v>P1</v>
      </c>
      <c r="H304" s="9" t="str">
        <f>+VLOOKUP(B304,'transacciones '!$A$2:$I$39,7,FALSE)</f>
        <v>Producción</v>
      </c>
      <c r="I304" s="18" t="s">
        <v>365</v>
      </c>
      <c r="J304" s="18" t="s">
        <v>366</v>
      </c>
      <c r="K304" s="8" t="s">
        <v>20</v>
      </c>
      <c r="L304" s="8" t="str">
        <f>+VLOOKUP(K304,'Correl CIIU'!$A$1:$F$26,2,FALSE)</f>
        <v>Industrias manufactureras</v>
      </c>
      <c r="M304" s="8" t="str">
        <f>+VLOOKUP(K304,'Correl CIIU'!$A$1:$F$26,3,FALSE)</f>
        <v>Manufacturas</v>
      </c>
      <c r="N304" s="8" t="str">
        <f>+VLOOKUP(K304,'Correl CIIU'!$A$1:$F$26,4,FALSE)</f>
        <v>Manufacturing</v>
      </c>
      <c r="O304" s="8">
        <v>3</v>
      </c>
      <c r="P304" s="31" t="str">
        <f>+VLOOKUP(O304,bio!$A$2:$B$4,2,FALSE)</f>
        <v>No bioeconomía</v>
      </c>
    </row>
    <row r="305" spans="1:16" x14ac:dyDescent="0.35">
      <c r="A305" s="30" t="s">
        <v>787</v>
      </c>
      <c r="B305" s="20" t="s">
        <v>141</v>
      </c>
      <c r="C305" s="9" t="str">
        <f>+VLOOKUP(B305,'transacciones '!$A$2:$I$39,2,FALSE)</f>
        <v>ATC01</v>
      </c>
      <c r="D305" s="9" t="str">
        <f>+VLOOKUP(B305,'transacciones '!$A$2:$I$39,3,FALSE)</f>
        <v>Producción / Consumo intermedio</v>
      </c>
      <c r="E305" s="9" t="str">
        <f>+VLOOKUP(B305,'transacciones '!$A$2:$I$39,4,FALSE)</f>
        <v>Producción</v>
      </c>
      <c r="F305" s="9">
        <f>+VLOOKUP(B305,'transacciones '!$A$2:$I$39,5,FALSE)</f>
        <v>1</v>
      </c>
      <c r="G305" s="9" t="str">
        <f>+VLOOKUP(B305,'transacciones '!$A$2:$I$39,6,FALSE)</f>
        <v>P1</v>
      </c>
      <c r="H305" s="9" t="str">
        <f>+VLOOKUP(B305,'transacciones '!$A$2:$I$39,7,FALSE)</f>
        <v>Producción</v>
      </c>
      <c r="I305" s="18" t="s">
        <v>367</v>
      </c>
      <c r="J305" s="18" t="s">
        <v>368</v>
      </c>
      <c r="K305" s="8" t="s">
        <v>20</v>
      </c>
      <c r="L305" s="8" t="str">
        <f>+VLOOKUP(K305,'Correl CIIU'!$A$1:$F$26,2,FALSE)</f>
        <v>Industrias manufactureras</v>
      </c>
      <c r="M305" s="8" t="str">
        <f>+VLOOKUP(K305,'Correl CIIU'!$A$1:$F$26,3,FALSE)</f>
        <v>Manufacturas</v>
      </c>
      <c r="N305" s="8" t="str">
        <f>+VLOOKUP(K305,'Correl CIIU'!$A$1:$F$26,4,FALSE)</f>
        <v>Manufacturing</v>
      </c>
      <c r="O305" s="8">
        <v>3</v>
      </c>
      <c r="P305" s="31" t="str">
        <f>+VLOOKUP(O305,bio!$A$2:$B$4,2,FALSE)</f>
        <v>No bioeconomía</v>
      </c>
    </row>
    <row r="306" spans="1:16" x14ac:dyDescent="0.35">
      <c r="A306" s="30" t="s">
        <v>788</v>
      </c>
      <c r="B306" s="20" t="s">
        <v>141</v>
      </c>
      <c r="C306" s="9" t="str">
        <f>+VLOOKUP(B306,'transacciones '!$A$2:$I$39,2,FALSE)</f>
        <v>ATC01</v>
      </c>
      <c r="D306" s="9" t="str">
        <f>+VLOOKUP(B306,'transacciones '!$A$2:$I$39,3,FALSE)</f>
        <v>Producción / Consumo intermedio</v>
      </c>
      <c r="E306" s="9" t="str">
        <f>+VLOOKUP(B306,'transacciones '!$A$2:$I$39,4,FALSE)</f>
        <v>Producción</v>
      </c>
      <c r="F306" s="9">
        <f>+VLOOKUP(B306,'transacciones '!$A$2:$I$39,5,FALSE)</f>
        <v>1</v>
      </c>
      <c r="G306" s="9" t="str">
        <f>+VLOOKUP(B306,'transacciones '!$A$2:$I$39,6,FALSE)</f>
        <v>P1</v>
      </c>
      <c r="H306" s="9" t="str">
        <f>+VLOOKUP(B306,'transacciones '!$A$2:$I$39,7,FALSE)</f>
        <v>Producción</v>
      </c>
      <c r="I306" s="18" t="s">
        <v>369</v>
      </c>
      <c r="J306" s="18" t="s">
        <v>370</v>
      </c>
      <c r="K306" s="8" t="s">
        <v>20</v>
      </c>
      <c r="L306" s="8" t="str">
        <f>+VLOOKUP(K306,'Correl CIIU'!$A$1:$F$26,2,FALSE)</f>
        <v>Industrias manufactureras</v>
      </c>
      <c r="M306" s="8" t="str">
        <f>+VLOOKUP(K306,'Correl CIIU'!$A$1:$F$26,3,FALSE)</f>
        <v>Manufacturas</v>
      </c>
      <c r="N306" s="8" t="str">
        <f>+VLOOKUP(K306,'Correl CIIU'!$A$1:$F$26,4,FALSE)</f>
        <v>Manufacturing</v>
      </c>
      <c r="O306" s="8">
        <v>3</v>
      </c>
      <c r="P306" s="31" t="str">
        <f>+VLOOKUP(O306,bio!$A$2:$B$4,2,FALSE)</f>
        <v>No bioeconomía</v>
      </c>
    </row>
    <row r="307" spans="1:16" x14ac:dyDescent="0.35">
      <c r="A307" s="30" t="s">
        <v>789</v>
      </c>
      <c r="B307" s="20" t="s">
        <v>141</v>
      </c>
      <c r="C307" s="9" t="str">
        <f>+VLOOKUP(B307,'transacciones '!$A$2:$I$39,2,FALSE)</f>
        <v>ATC01</v>
      </c>
      <c r="D307" s="9" t="str">
        <f>+VLOOKUP(B307,'transacciones '!$A$2:$I$39,3,FALSE)</f>
        <v>Producción / Consumo intermedio</v>
      </c>
      <c r="E307" s="9" t="str">
        <f>+VLOOKUP(B307,'transacciones '!$A$2:$I$39,4,FALSE)</f>
        <v>Producción</v>
      </c>
      <c r="F307" s="9">
        <f>+VLOOKUP(B307,'transacciones '!$A$2:$I$39,5,FALSE)</f>
        <v>1</v>
      </c>
      <c r="G307" s="9" t="str">
        <f>+VLOOKUP(B307,'transacciones '!$A$2:$I$39,6,FALSE)</f>
        <v>P1</v>
      </c>
      <c r="H307" s="9" t="str">
        <f>+VLOOKUP(B307,'transacciones '!$A$2:$I$39,7,FALSE)</f>
        <v>Producción</v>
      </c>
      <c r="I307" s="18" t="s">
        <v>371</v>
      </c>
      <c r="J307" s="18" t="s">
        <v>372</v>
      </c>
      <c r="K307" s="8" t="s">
        <v>20</v>
      </c>
      <c r="L307" s="8" t="str">
        <f>+VLOOKUP(K307,'Correl CIIU'!$A$1:$F$26,2,FALSE)</f>
        <v>Industrias manufactureras</v>
      </c>
      <c r="M307" s="8" t="str">
        <f>+VLOOKUP(K307,'Correl CIIU'!$A$1:$F$26,3,FALSE)</f>
        <v>Manufacturas</v>
      </c>
      <c r="N307" s="8" t="str">
        <f>+VLOOKUP(K307,'Correl CIIU'!$A$1:$F$26,4,FALSE)</f>
        <v>Manufacturing</v>
      </c>
      <c r="O307" s="8">
        <v>3</v>
      </c>
      <c r="P307" s="31" t="str">
        <f>+VLOOKUP(O307,bio!$A$2:$B$4,2,FALSE)</f>
        <v>No bioeconomía</v>
      </c>
    </row>
    <row r="308" spans="1:16" x14ac:dyDescent="0.35">
      <c r="A308" s="30" t="s">
        <v>790</v>
      </c>
      <c r="B308" s="20" t="s">
        <v>141</v>
      </c>
      <c r="C308" s="9" t="str">
        <f>+VLOOKUP(B308,'transacciones '!$A$2:$I$39,2,FALSE)</f>
        <v>ATC01</v>
      </c>
      <c r="D308" s="9" t="str">
        <f>+VLOOKUP(B308,'transacciones '!$A$2:$I$39,3,FALSE)</f>
        <v>Producción / Consumo intermedio</v>
      </c>
      <c r="E308" s="9" t="str">
        <f>+VLOOKUP(B308,'transacciones '!$A$2:$I$39,4,FALSE)</f>
        <v>Producción</v>
      </c>
      <c r="F308" s="9">
        <f>+VLOOKUP(B308,'transacciones '!$A$2:$I$39,5,FALSE)</f>
        <v>1</v>
      </c>
      <c r="G308" s="9" t="str">
        <f>+VLOOKUP(B308,'transacciones '!$A$2:$I$39,6,FALSE)</f>
        <v>P1</v>
      </c>
      <c r="H308" s="9" t="str">
        <f>+VLOOKUP(B308,'transacciones '!$A$2:$I$39,7,FALSE)</f>
        <v>Producción</v>
      </c>
      <c r="I308" s="18" t="s">
        <v>373</v>
      </c>
      <c r="J308" s="18" t="s">
        <v>374</v>
      </c>
      <c r="K308" s="8" t="s">
        <v>20</v>
      </c>
      <c r="L308" s="8" t="str">
        <f>+VLOOKUP(K308,'Correl CIIU'!$A$1:$F$26,2,FALSE)</f>
        <v>Industrias manufactureras</v>
      </c>
      <c r="M308" s="8" t="str">
        <f>+VLOOKUP(K308,'Correl CIIU'!$A$1:$F$26,3,FALSE)</f>
        <v>Manufacturas</v>
      </c>
      <c r="N308" s="8" t="str">
        <f>+VLOOKUP(K308,'Correl CIIU'!$A$1:$F$26,4,FALSE)</f>
        <v>Manufacturing</v>
      </c>
      <c r="O308" s="8">
        <v>3</v>
      </c>
      <c r="P308" s="31" t="str">
        <f>+VLOOKUP(O308,bio!$A$2:$B$4,2,FALSE)</f>
        <v>No bioeconomía</v>
      </c>
    </row>
    <row r="309" spans="1:16" x14ac:dyDescent="0.35">
      <c r="A309" s="30" t="s">
        <v>791</v>
      </c>
      <c r="B309" s="20" t="s">
        <v>141</v>
      </c>
      <c r="C309" s="9" t="str">
        <f>+VLOOKUP(B309,'transacciones '!$A$2:$I$39,2,FALSE)</f>
        <v>ATC01</v>
      </c>
      <c r="D309" s="9" t="str">
        <f>+VLOOKUP(B309,'transacciones '!$A$2:$I$39,3,FALSE)</f>
        <v>Producción / Consumo intermedio</v>
      </c>
      <c r="E309" s="9" t="str">
        <f>+VLOOKUP(B309,'transacciones '!$A$2:$I$39,4,FALSE)</f>
        <v>Producción</v>
      </c>
      <c r="F309" s="9">
        <f>+VLOOKUP(B309,'transacciones '!$A$2:$I$39,5,FALSE)</f>
        <v>1</v>
      </c>
      <c r="G309" s="9" t="str">
        <f>+VLOOKUP(B309,'transacciones '!$A$2:$I$39,6,FALSE)</f>
        <v>P1</v>
      </c>
      <c r="H309" s="9" t="str">
        <f>+VLOOKUP(B309,'transacciones '!$A$2:$I$39,7,FALSE)</f>
        <v>Producción</v>
      </c>
      <c r="I309" s="18" t="s">
        <v>375</v>
      </c>
      <c r="J309" s="18" t="s">
        <v>376</v>
      </c>
      <c r="K309" s="8" t="s">
        <v>30</v>
      </c>
      <c r="L309" s="8" t="str">
        <f>+VLOOKUP(K309,'Correl CIIU'!$A$1:$F$26,2,FALSE)</f>
        <v>Suministro de electricidad, gas, vapor y aire acondicionado</v>
      </c>
      <c r="M309" s="8" t="str">
        <f>+VLOOKUP(K309,'Correl CIIU'!$A$1:$F$26,3,FALSE)</f>
        <v>Servicios básicos</v>
      </c>
      <c r="N309" s="8" t="str">
        <f>+VLOOKUP(K309,'Correl CIIU'!$A$1:$F$26,4,FALSE)</f>
        <v>Electricity, gas, steam and air conditioning supply</v>
      </c>
      <c r="O309" s="8">
        <v>3</v>
      </c>
      <c r="P309" s="31" t="str">
        <f>+VLOOKUP(O309,bio!$A$2:$B$4,2,FALSE)</f>
        <v>No bioeconomía</v>
      </c>
    </row>
    <row r="310" spans="1:16" x14ac:dyDescent="0.35">
      <c r="A310" s="30" t="s">
        <v>792</v>
      </c>
      <c r="B310" s="20" t="s">
        <v>141</v>
      </c>
      <c r="C310" s="9" t="str">
        <f>+VLOOKUP(B310,'transacciones '!$A$2:$I$39,2,FALSE)</f>
        <v>ATC01</v>
      </c>
      <c r="D310" s="9" t="str">
        <f>+VLOOKUP(B310,'transacciones '!$A$2:$I$39,3,FALSE)</f>
        <v>Producción / Consumo intermedio</v>
      </c>
      <c r="E310" s="9" t="str">
        <f>+VLOOKUP(B310,'transacciones '!$A$2:$I$39,4,FALSE)</f>
        <v>Producción</v>
      </c>
      <c r="F310" s="9">
        <f>+VLOOKUP(B310,'transacciones '!$A$2:$I$39,5,FALSE)</f>
        <v>1</v>
      </c>
      <c r="G310" s="9" t="str">
        <f>+VLOOKUP(B310,'transacciones '!$A$2:$I$39,6,FALSE)</f>
        <v>P1</v>
      </c>
      <c r="H310" s="9" t="str">
        <f>+VLOOKUP(B310,'transacciones '!$A$2:$I$39,7,FALSE)</f>
        <v>Producción</v>
      </c>
      <c r="I310" s="18" t="s">
        <v>377</v>
      </c>
      <c r="J310" s="18" t="s">
        <v>378</v>
      </c>
      <c r="K310" s="8" t="s">
        <v>30</v>
      </c>
      <c r="L310" s="8" t="str">
        <f>+VLOOKUP(K310,'Correl CIIU'!$A$1:$F$26,2,FALSE)</f>
        <v>Suministro de electricidad, gas, vapor y aire acondicionado</v>
      </c>
      <c r="M310" s="8" t="str">
        <f>+VLOOKUP(K310,'Correl CIIU'!$A$1:$F$26,3,FALSE)</f>
        <v>Servicios básicos</v>
      </c>
      <c r="N310" s="8" t="str">
        <f>+VLOOKUP(K310,'Correl CIIU'!$A$1:$F$26,4,FALSE)</f>
        <v>Electricity, gas, steam and air conditioning supply</v>
      </c>
      <c r="O310" s="8">
        <v>3</v>
      </c>
      <c r="P310" s="31" t="str">
        <f>+VLOOKUP(O310,bio!$A$2:$B$4,2,FALSE)</f>
        <v>No bioeconomía</v>
      </c>
    </row>
    <row r="311" spans="1:16" x14ac:dyDescent="0.35">
      <c r="A311" s="30" t="s">
        <v>793</v>
      </c>
      <c r="B311" s="20" t="s">
        <v>141</v>
      </c>
      <c r="C311" s="9" t="str">
        <f>+VLOOKUP(B311,'transacciones '!$A$2:$I$39,2,FALSE)</f>
        <v>ATC01</v>
      </c>
      <c r="D311" s="9" t="str">
        <f>+VLOOKUP(B311,'transacciones '!$A$2:$I$39,3,FALSE)</f>
        <v>Producción / Consumo intermedio</v>
      </c>
      <c r="E311" s="9" t="str">
        <f>+VLOOKUP(B311,'transacciones '!$A$2:$I$39,4,FALSE)</f>
        <v>Producción</v>
      </c>
      <c r="F311" s="9">
        <f>+VLOOKUP(B311,'transacciones '!$A$2:$I$39,5,FALSE)</f>
        <v>1</v>
      </c>
      <c r="G311" s="9" t="str">
        <f>+VLOOKUP(B311,'transacciones '!$A$2:$I$39,6,FALSE)</f>
        <v>P1</v>
      </c>
      <c r="H311" s="9" t="str">
        <f>+VLOOKUP(B311,'transacciones '!$A$2:$I$39,7,FALSE)</f>
        <v>Producción</v>
      </c>
      <c r="I311" s="18" t="s">
        <v>379</v>
      </c>
      <c r="J311" s="18" t="s">
        <v>380</v>
      </c>
      <c r="K311" s="8" t="s">
        <v>30</v>
      </c>
      <c r="L311" s="8" t="str">
        <f>+VLOOKUP(K311,'Correl CIIU'!$A$1:$F$26,2,FALSE)</f>
        <v>Suministro de electricidad, gas, vapor y aire acondicionado</v>
      </c>
      <c r="M311" s="8" t="str">
        <f>+VLOOKUP(K311,'Correl CIIU'!$A$1:$F$26,3,FALSE)</f>
        <v>Servicios básicos</v>
      </c>
      <c r="N311" s="8" t="str">
        <f>+VLOOKUP(K311,'Correl CIIU'!$A$1:$F$26,4,FALSE)</f>
        <v>Electricity, gas, steam and air conditioning supply</v>
      </c>
      <c r="O311" s="8">
        <v>3</v>
      </c>
      <c r="P311" s="31" t="str">
        <f>+VLOOKUP(O311,bio!$A$2:$B$4,2,FALSE)</f>
        <v>No bioeconomía</v>
      </c>
    </row>
    <row r="312" spans="1:16" x14ac:dyDescent="0.35">
      <c r="A312" s="30" t="s">
        <v>794</v>
      </c>
      <c r="B312" s="20" t="s">
        <v>141</v>
      </c>
      <c r="C312" s="9" t="str">
        <f>+VLOOKUP(B312,'transacciones '!$A$2:$I$39,2,FALSE)</f>
        <v>ATC01</v>
      </c>
      <c r="D312" s="9" t="str">
        <f>+VLOOKUP(B312,'transacciones '!$A$2:$I$39,3,FALSE)</f>
        <v>Producción / Consumo intermedio</v>
      </c>
      <c r="E312" s="9" t="str">
        <f>+VLOOKUP(B312,'transacciones '!$A$2:$I$39,4,FALSE)</f>
        <v>Producción</v>
      </c>
      <c r="F312" s="9">
        <f>+VLOOKUP(B312,'transacciones '!$A$2:$I$39,5,FALSE)</f>
        <v>1</v>
      </c>
      <c r="G312" s="9" t="str">
        <f>+VLOOKUP(B312,'transacciones '!$A$2:$I$39,6,FALSE)</f>
        <v>P1</v>
      </c>
      <c r="H312" s="9" t="str">
        <f>+VLOOKUP(B312,'transacciones '!$A$2:$I$39,7,FALSE)</f>
        <v>Producción</v>
      </c>
      <c r="I312" s="18" t="s">
        <v>381</v>
      </c>
      <c r="J312" s="18" t="s">
        <v>382</v>
      </c>
      <c r="K312" s="8" t="s">
        <v>30</v>
      </c>
      <c r="L312" s="8" t="str">
        <f>+VLOOKUP(K312,'Correl CIIU'!$A$1:$F$26,2,FALSE)</f>
        <v>Suministro de electricidad, gas, vapor y aire acondicionado</v>
      </c>
      <c r="M312" s="8" t="str">
        <f>+VLOOKUP(K312,'Correl CIIU'!$A$1:$F$26,3,FALSE)</f>
        <v>Servicios básicos</v>
      </c>
      <c r="N312" s="8" t="str">
        <f>+VLOOKUP(K312,'Correl CIIU'!$A$1:$F$26,4,FALSE)</f>
        <v>Electricity, gas, steam and air conditioning supply</v>
      </c>
      <c r="O312" s="8">
        <v>3</v>
      </c>
      <c r="P312" s="31" t="str">
        <f>+VLOOKUP(O312,bio!$A$2:$B$4,2,FALSE)</f>
        <v>No bioeconomía</v>
      </c>
    </row>
    <row r="313" spans="1:16" x14ac:dyDescent="0.35">
      <c r="A313" s="30" t="s">
        <v>795</v>
      </c>
      <c r="B313" s="20" t="s">
        <v>141</v>
      </c>
      <c r="C313" s="9" t="str">
        <f>+VLOOKUP(B313,'transacciones '!$A$2:$I$39,2,FALSE)</f>
        <v>ATC01</v>
      </c>
      <c r="D313" s="9" t="str">
        <f>+VLOOKUP(B313,'transacciones '!$A$2:$I$39,3,FALSE)</f>
        <v>Producción / Consumo intermedio</v>
      </c>
      <c r="E313" s="9" t="str">
        <f>+VLOOKUP(B313,'transacciones '!$A$2:$I$39,4,FALSE)</f>
        <v>Producción</v>
      </c>
      <c r="F313" s="9">
        <f>+VLOOKUP(B313,'transacciones '!$A$2:$I$39,5,FALSE)</f>
        <v>1</v>
      </c>
      <c r="G313" s="9" t="str">
        <f>+VLOOKUP(B313,'transacciones '!$A$2:$I$39,6,FALSE)</f>
        <v>P1</v>
      </c>
      <c r="H313" s="9" t="str">
        <f>+VLOOKUP(B313,'transacciones '!$A$2:$I$39,7,FALSE)</f>
        <v>Producción</v>
      </c>
      <c r="I313" s="18" t="s">
        <v>383</v>
      </c>
      <c r="J313" s="18" t="s">
        <v>101</v>
      </c>
      <c r="K313" s="8" t="s">
        <v>32</v>
      </c>
      <c r="L313" s="8" t="str">
        <f>+VLOOKUP(K313,'Correl CIIU'!$A$1:$F$26,2,FALSE)</f>
        <v>Suministro de agua; evacuación de aguas residuales, gestión de desechos y descontaminación</v>
      </c>
      <c r="M313" s="8" t="str">
        <f>+VLOOKUP(K313,'Correl CIIU'!$A$1:$F$26,3,FALSE)</f>
        <v>Suministro de agua</v>
      </c>
      <c r="N313" s="8" t="str">
        <f>+VLOOKUP(K313,'Correl CIIU'!$A$1:$F$26,4,FALSE)</f>
        <v>Water supply; sewerage, waste management and remediation activities</v>
      </c>
      <c r="O313" s="8">
        <v>2</v>
      </c>
      <c r="P313" s="31" t="str">
        <f>+VLOOKUP(O313,bio!$A$2:$B$4,2,FALSE)</f>
        <v>Bioeconomía extendida</v>
      </c>
    </row>
    <row r="314" spans="1:16" x14ac:dyDescent="0.35">
      <c r="A314" s="30" t="s">
        <v>796</v>
      </c>
      <c r="B314" s="20" t="s">
        <v>141</v>
      </c>
      <c r="C314" s="9" t="str">
        <f>+VLOOKUP(B314,'transacciones '!$A$2:$I$39,2,FALSE)</f>
        <v>ATC01</v>
      </c>
      <c r="D314" s="9" t="str">
        <f>+VLOOKUP(B314,'transacciones '!$A$2:$I$39,3,FALSE)</f>
        <v>Producción / Consumo intermedio</v>
      </c>
      <c r="E314" s="9" t="str">
        <f>+VLOOKUP(B314,'transacciones '!$A$2:$I$39,4,FALSE)</f>
        <v>Producción</v>
      </c>
      <c r="F314" s="9">
        <f>+VLOOKUP(B314,'transacciones '!$A$2:$I$39,5,FALSE)</f>
        <v>1</v>
      </c>
      <c r="G314" s="9" t="str">
        <f>+VLOOKUP(B314,'transacciones '!$A$2:$I$39,6,FALSE)</f>
        <v>P1</v>
      </c>
      <c r="H314" s="9" t="str">
        <f>+VLOOKUP(B314,'transacciones '!$A$2:$I$39,7,FALSE)</f>
        <v>Producción</v>
      </c>
      <c r="I314" s="18" t="s">
        <v>384</v>
      </c>
      <c r="J314" s="18" t="s">
        <v>385</v>
      </c>
      <c r="K314" s="8" t="s">
        <v>32</v>
      </c>
      <c r="L314" s="8" t="str">
        <f>+VLOOKUP(K314,'Correl CIIU'!$A$1:$F$26,2,FALSE)</f>
        <v>Suministro de agua; evacuación de aguas residuales, gestión de desechos y descontaminación</v>
      </c>
      <c r="M314" s="8" t="str">
        <f>+VLOOKUP(K314,'Correl CIIU'!$A$1:$F$26,3,FALSE)</f>
        <v>Suministro de agua</v>
      </c>
      <c r="N314" s="8" t="str">
        <f>+VLOOKUP(K314,'Correl CIIU'!$A$1:$F$26,4,FALSE)</f>
        <v>Water supply; sewerage, waste management and remediation activities</v>
      </c>
      <c r="O314" s="8">
        <v>2</v>
      </c>
      <c r="P314" s="31" t="str">
        <f>+VLOOKUP(O314,bio!$A$2:$B$4,2,FALSE)</f>
        <v>Bioeconomía extendida</v>
      </c>
    </row>
    <row r="315" spans="1:16" x14ac:dyDescent="0.35">
      <c r="A315" s="30" t="s">
        <v>797</v>
      </c>
      <c r="B315" s="20" t="s">
        <v>141</v>
      </c>
      <c r="C315" s="9" t="str">
        <f>+VLOOKUP(B315,'transacciones '!$A$2:$I$39,2,FALSE)</f>
        <v>ATC01</v>
      </c>
      <c r="D315" s="9" t="str">
        <f>+VLOOKUP(B315,'transacciones '!$A$2:$I$39,3,FALSE)</f>
        <v>Producción / Consumo intermedio</v>
      </c>
      <c r="E315" s="9" t="str">
        <f>+VLOOKUP(B315,'transacciones '!$A$2:$I$39,4,FALSE)</f>
        <v>Producción</v>
      </c>
      <c r="F315" s="9">
        <f>+VLOOKUP(B315,'transacciones '!$A$2:$I$39,5,FALSE)</f>
        <v>1</v>
      </c>
      <c r="G315" s="9" t="str">
        <f>+VLOOKUP(B315,'transacciones '!$A$2:$I$39,6,FALSE)</f>
        <v>P1</v>
      </c>
      <c r="H315" s="9" t="str">
        <f>+VLOOKUP(B315,'transacciones '!$A$2:$I$39,7,FALSE)</f>
        <v>Producción</v>
      </c>
      <c r="I315" s="18" t="s">
        <v>386</v>
      </c>
      <c r="J315" s="18" t="s">
        <v>387</v>
      </c>
      <c r="K315" s="8" t="s">
        <v>35</v>
      </c>
      <c r="L315" s="8" t="str">
        <f>+VLOOKUP(K315,'Correl CIIU'!$A$1:$F$26,2,FALSE)</f>
        <v>Construcción</v>
      </c>
      <c r="M315" s="8" t="str">
        <f>+VLOOKUP(K315,'Correl CIIU'!$A$1:$F$26,3,FALSE)</f>
        <v>Construcción</v>
      </c>
      <c r="N315" s="8" t="str">
        <f>+VLOOKUP(K315,'Correl CIIU'!$A$1:$F$26,4,FALSE)</f>
        <v>Construction</v>
      </c>
      <c r="O315" s="8">
        <v>3</v>
      </c>
      <c r="P315" s="31" t="str">
        <f>+VLOOKUP(O315,bio!$A$2:$B$4,2,FALSE)</f>
        <v>No bioeconomía</v>
      </c>
    </row>
    <row r="316" spans="1:16" x14ac:dyDescent="0.35">
      <c r="A316" s="30" t="s">
        <v>798</v>
      </c>
      <c r="B316" s="20" t="s">
        <v>141</v>
      </c>
      <c r="C316" s="9" t="str">
        <f>+VLOOKUP(B316,'transacciones '!$A$2:$I$39,2,FALSE)</f>
        <v>ATC01</v>
      </c>
      <c r="D316" s="9" t="str">
        <f>+VLOOKUP(B316,'transacciones '!$A$2:$I$39,3,FALSE)</f>
        <v>Producción / Consumo intermedio</v>
      </c>
      <c r="E316" s="9" t="str">
        <f>+VLOOKUP(B316,'transacciones '!$A$2:$I$39,4,FALSE)</f>
        <v>Producción</v>
      </c>
      <c r="F316" s="9">
        <f>+VLOOKUP(B316,'transacciones '!$A$2:$I$39,5,FALSE)</f>
        <v>1</v>
      </c>
      <c r="G316" s="9" t="str">
        <f>+VLOOKUP(B316,'transacciones '!$A$2:$I$39,6,FALSE)</f>
        <v>P1</v>
      </c>
      <c r="H316" s="9" t="str">
        <f>+VLOOKUP(B316,'transacciones '!$A$2:$I$39,7,FALSE)</f>
        <v>Producción</v>
      </c>
      <c r="I316" s="18" t="s">
        <v>388</v>
      </c>
      <c r="J316" s="18" t="s">
        <v>389</v>
      </c>
      <c r="K316" s="8" t="s">
        <v>35</v>
      </c>
      <c r="L316" s="8" t="str">
        <f>+VLOOKUP(K316,'Correl CIIU'!$A$1:$F$26,2,FALSE)</f>
        <v>Construcción</v>
      </c>
      <c r="M316" s="8" t="str">
        <f>+VLOOKUP(K316,'Correl CIIU'!$A$1:$F$26,3,FALSE)</f>
        <v>Construcción</v>
      </c>
      <c r="N316" s="8" t="str">
        <f>+VLOOKUP(K316,'Correl CIIU'!$A$1:$F$26,4,FALSE)</f>
        <v>Construction</v>
      </c>
      <c r="O316" s="8">
        <v>3</v>
      </c>
      <c r="P316" s="31" t="str">
        <f>+VLOOKUP(O316,bio!$A$2:$B$4,2,FALSE)</f>
        <v>No bioeconomía</v>
      </c>
    </row>
    <row r="317" spans="1:16" x14ac:dyDescent="0.35">
      <c r="A317" s="30" t="s">
        <v>799</v>
      </c>
      <c r="B317" s="20" t="s">
        <v>141</v>
      </c>
      <c r="C317" s="9" t="str">
        <f>+VLOOKUP(B317,'transacciones '!$A$2:$I$39,2,FALSE)</f>
        <v>ATC01</v>
      </c>
      <c r="D317" s="9" t="str">
        <f>+VLOOKUP(B317,'transacciones '!$A$2:$I$39,3,FALSE)</f>
        <v>Producción / Consumo intermedio</v>
      </c>
      <c r="E317" s="9" t="str">
        <f>+VLOOKUP(B317,'transacciones '!$A$2:$I$39,4,FALSE)</f>
        <v>Producción</v>
      </c>
      <c r="F317" s="9">
        <f>+VLOOKUP(B317,'transacciones '!$A$2:$I$39,5,FALSE)</f>
        <v>1</v>
      </c>
      <c r="G317" s="9" t="str">
        <f>+VLOOKUP(B317,'transacciones '!$A$2:$I$39,6,FALSE)</f>
        <v>P1</v>
      </c>
      <c r="H317" s="9" t="str">
        <f>+VLOOKUP(B317,'transacciones '!$A$2:$I$39,7,FALSE)</f>
        <v>Producción</v>
      </c>
      <c r="I317" s="18" t="s">
        <v>390</v>
      </c>
      <c r="J317" s="18" t="s">
        <v>391</v>
      </c>
      <c r="K317" s="8" t="s">
        <v>35</v>
      </c>
      <c r="L317" s="8" t="str">
        <f>+VLOOKUP(K317,'Correl CIIU'!$A$1:$F$26,2,FALSE)</f>
        <v>Construcción</v>
      </c>
      <c r="M317" s="8" t="str">
        <f>+VLOOKUP(K317,'Correl CIIU'!$A$1:$F$26,3,FALSE)</f>
        <v>Construcción</v>
      </c>
      <c r="N317" s="8" t="str">
        <f>+VLOOKUP(K317,'Correl CIIU'!$A$1:$F$26,4,FALSE)</f>
        <v>Construction</v>
      </c>
      <c r="O317" s="8">
        <v>3</v>
      </c>
      <c r="P317" s="31" t="str">
        <f>+VLOOKUP(O317,bio!$A$2:$B$4,2,FALSE)</f>
        <v>No bioeconomía</v>
      </c>
    </row>
    <row r="318" spans="1:16" x14ac:dyDescent="0.35">
      <c r="A318" s="30" t="s">
        <v>800</v>
      </c>
      <c r="B318" s="20" t="s">
        <v>141</v>
      </c>
      <c r="C318" s="9" t="str">
        <f>+VLOOKUP(B318,'transacciones '!$A$2:$I$39,2,FALSE)</f>
        <v>ATC01</v>
      </c>
      <c r="D318" s="9" t="str">
        <f>+VLOOKUP(B318,'transacciones '!$A$2:$I$39,3,FALSE)</f>
        <v>Producción / Consumo intermedio</v>
      </c>
      <c r="E318" s="9" t="str">
        <f>+VLOOKUP(B318,'transacciones '!$A$2:$I$39,4,FALSE)</f>
        <v>Producción</v>
      </c>
      <c r="F318" s="9">
        <f>+VLOOKUP(B318,'transacciones '!$A$2:$I$39,5,FALSE)</f>
        <v>1</v>
      </c>
      <c r="G318" s="9" t="str">
        <f>+VLOOKUP(B318,'transacciones '!$A$2:$I$39,6,FALSE)</f>
        <v>P1</v>
      </c>
      <c r="H318" s="9" t="str">
        <f>+VLOOKUP(B318,'transacciones '!$A$2:$I$39,7,FALSE)</f>
        <v>Producción</v>
      </c>
      <c r="I318" s="18" t="s">
        <v>392</v>
      </c>
      <c r="J318" s="18" t="s">
        <v>393</v>
      </c>
      <c r="K318" s="8" t="s">
        <v>35</v>
      </c>
      <c r="L318" s="8" t="str">
        <f>+VLOOKUP(K318,'Correl CIIU'!$A$1:$F$26,2,FALSE)</f>
        <v>Construcción</v>
      </c>
      <c r="M318" s="8" t="str">
        <f>+VLOOKUP(K318,'Correl CIIU'!$A$1:$F$26,3,FALSE)</f>
        <v>Construcción</v>
      </c>
      <c r="N318" s="8" t="str">
        <f>+VLOOKUP(K318,'Correl CIIU'!$A$1:$F$26,4,FALSE)</f>
        <v>Construction</v>
      </c>
      <c r="O318" s="8">
        <v>3</v>
      </c>
      <c r="P318" s="31" t="str">
        <f>+VLOOKUP(O318,bio!$A$2:$B$4,2,FALSE)</f>
        <v>No bioeconomía</v>
      </c>
    </row>
    <row r="319" spans="1:16" x14ac:dyDescent="0.35">
      <c r="A319" s="30" t="s">
        <v>801</v>
      </c>
      <c r="B319" s="20" t="s">
        <v>141</v>
      </c>
      <c r="C319" s="9" t="str">
        <f>+VLOOKUP(B319,'transacciones '!$A$2:$I$39,2,FALSE)</f>
        <v>ATC01</v>
      </c>
      <c r="D319" s="9" t="str">
        <f>+VLOOKUP(B319,'transacciones '!$A$2:$I$39,3,FALSE)</f>
        <v>Producción / Consumo intermedio</v>
      </c>
      <c r="E319" s="9" t="str">
        <f>+VLOOKUP(B319,'transacciones '!$A$2:$I$39,4,FALSE)</f>
        <v>Producción</v>
      </c>
      <c r="F319" s="9">
        <f>+VLOOKUP(B319,'transacciones '!$A$2:$I$39,5,FALSE)</f>
        <v>1</v>
      </c>
      <c r="G319" s="9" t="str">
        <f>+VLOOKUP(B319,'transacciones '!$A$2:$I$39,6,FALSE)</f>
        <v>P1</v>
      </c>
      <c r="H319" s="9" t="str">
        <f>+VLOOKUP(B319,'transacciones '!$A$2:$I$39,7,FALSE)</f>
        <v>Producción</v>
      </c>
      <c r="I319" s="18" t="s">
        <v>394</v>
      </c>
      <c r="J319" s="18" t="s">
        <v>395</v>
      </c>
      <c r="K319" s="8" t="s">
        <v>38</v>
      </c>
      <c r="L319" s="8" t="str">
        <f>+VLOOKUP(K319,'Correl CIIU'!$A$1:$F$26,2,FALSE)</f>
        <v>Comercio al por mayor y al por menor; reparación de vehículos automotores y motocicletas</v>
      </c>
      <c r="M319" s="8" t="str">
        <f>+VLOOKUP(K319,'Correl CIIU'!$A$1:$F$26,3,FALSE)</f>
        <v>Comercio</v>
      </c>
      <c r="N319" s="8" t="str">
        <f>+VLOOKUP(K319,'Correl CIIU'!$A$1:$F$26,4,FALSE)</f>
        <v>Wholesale and retail trade; repair of motor vehicles and motorcycles</v>
      </c>
      <c r="O319" s="8">
        <v>3</v>
      </c>
      <c r="P319" s="31" t="str">
        <f>+VLOOKUP(O319,bio!$A$2:$B$4,2,FALSE)</f>
        <v>No bioeconomía</v>
      </c>
    </row>
    <row r="320" spans="1:16" x14ac:dyDescent="0.35">
      <c r="A320" s="30" t="s">
        <v>802</v>
      </c>
      <c r="B320" s="20" t="s">
        <v>141</v>
      </c>
      <c r="C320" s="9" t="str">
        <f>+VLOOKUP(B320,'transacciones '!$A$2:$I$39,2,FALSE)</f>
        <v>ATC01</v>
      </c>
      <c r="D320" s="9" t="str">
        <f>+VLOOKUP(B320,'transacciones '!$A$2:$I$39,3,FALSE)</f>
        <v>Producción / Consumo intermedio</v>
      </c>
      <c r="E320" s="9" t="str">
        <f>+VLOOKUP(B320,'transacciones '!$A$2:$I$39,4,FALSE)</f>
        <v>Producción</v>
      </c>
      <c r="F320" s="9">
        <f>+VLOOKUP(B320,'transacciones '!$A$2:$I$39,5,FALSE)</f>
        <v>1</v>
      </c>
      <c r="G320" s="9" t="str">
        <f>+VLOOKUP(B320,'transacciones '!$A$2:$I$39,6,FALSE)</f>
        <v>P1</v>
      </c>
      <c r="H320" s="9" t="str">
        <f>+VLOOKUP(B320,'transacciones '!$A$2:$I$39,7,FALSE)</f>
        <v>Producción</v>
      </c>
      <c r="I320" s="18" t="s">
        <v>396</v>
      </c>
      <c r="J320" s="18" t="s">
        <v>397</v>
      </c>
      <c r="K320" s="8" t="s">
        <v>38</v>
      </c>
      <c r="L320" s="8" t="str">
        <f>+VLOOKUP(K320,'Correl CIIU'!$A$1:$F$26,2,FALSE)</f>
        <v>Comercio al por mayor y al por menor; reparación de vehículos automotores y motocicletas</v>
      </c>
      <c r="M320" s="8" t="str">
        <f>+VLOOKUP(K320,'Correl CIIU'!$A$1:$F$26,3,FALSE)</f>
        <v>Comercio</v>
      </c>
      <c r="N320" s="8" t="str">
        <f>+VLOOKUP(K320,'Correl CIIU'!$A$1:$F$26,4,FALSE)</f>
        <v>Wholesale and retail trade; repair of motor vehicles and motorcycles</v>
      </c>
      <c r="O320" s="8">
        <v>3</v>
      </c>
      <c r="P320" s="31" t="str">
        <f>+VLOOKUP(O320,bio!$A$2:$B$4,2,FALSE)</f>
        <v>No bioeconomía</v>
      </c>
    </row>
    <row r="321" spans="1:16" x14ac:dyDescent="0.35">
      <c r="A321" s="30" t="s">
        <v>803</v>
      </c>
      <c r="B321" s="20" t="s">
        <v>141</v>
      </c>
      <c r="C321" s="9" t="str">
        <f>+VLOOKUP(B321,'transacciones '!$A$2:$I$39,2,FALSE)</f>
        <v>ATC01</v>
      </c>
      <c r="D321" s="9" t="str">
        <f>+VLOOKUP(B321,'transacciones '!$A$2:$I$39,3,FALSE)</f>
        <v>Producción / Consumo intermedio</v>
      </c>
      <c r="E321" s="9" t="str">
        <f>+VLOOKUP(B321,'transacciones '!$A$2:$I$39,4,FALSE)</f>
        <v>Producción</v>
      </c>
      <c r="F321" s="9">
        <f>+VLOOKUP(B321,'transacciones '!$A$2:$I$39,5,FALSE)</f>
        <v>1</v>
      </c>
      <c r="G321" s="9" t="str">
        <f>+VLOOKUP(B321,'transacciones '!$A$2:$I$39,6,FALSE)</f>
        <v>P1</v>
      </c>
      <c r="H321" s="9" t="str">
        <f>+VLOOKUP(B321,'transacciones '!$A$2:$I$39,7,FALSE)</f>
        <v>Producción</v>
      </c>
      <c r="I321" s="18" t="s">
        <v>398</v>
      </c>
      <c r="J321" s="18" t="s">
        <v>399</v>
      </c>
      <c r="K321" s="8" t="s">
        <v>38</v>
      </c>
      <c r="L321" s="8" t="str">
        <f>+VLOOKUP(K321,'Correl CIIU'!$A$1:$F$26,2,FALSE)</f>
        <v>Comercio al por mayor y al por menor; reparación de vehículos automotores y motocicletas</v>
      </c>
      <c r="M321" s="8" t="str">
        <f>+VLOOKUP(K321,'Correl CIIU'!$A$1:$F$26,3,FALSE)</f>
        <v>Comercio</v>
      </c>
      <c r="N321" s="8" t="str">
        <f>+VLOOKUP(K321,'Correl CIIU'!$A$1:$F$26,4,FALSE)</f>
        <v>Wholesale and retail trade; repair of motor vehicles and motorcycles</v>
      </c>
      <c r="O321" s="8">
        <v>3</v>
      </c>
      <c r="P321" s="31" t="str">
        <f>+VLOOKUP(O321,bio!$A$2:$B$4,2,FALSE)</f>
        <v>No bioeconomía</v>
      </c>
    </row>
    <row r="322" spans="1:16" x14ac:dyDescent="0.35">
      <c r="A322" s="30" t="s">
        <v>804</v>
      </c>
      <c r="B322" s="20" t="s">
        <v>141</v>
      </c>
      <c r="C322" s="9" t="str">
        <f>+VLOOKUP(B322,'transacciones '!$A$2:$I$39,2,FALSE)</f>
        <v>ATC01</v>
      </c>
      <c r="D322" s="9" t="str">
        <f>+VLOOKUP(B322,'transacciones '!$A$2:$I$39,3,FALSE)</f>
        <v>Producción / Consumo intermedio</v>
      </c>
      <c r="E322" s="9" t="str">
        <f>+VLOOKUP(B322,'transacciones '!$A$2:$I$39,4,FALSE)</f>
        <v>Producción</v>
      </c>
      <c r="F322" s="9">
        <f>+VLOOKUP(B322,'transacciones '!$A$2:$I$39,5,FALSE)</f>
        <v>1</v>
      </c>
      <c r="G322" s="9" t="str">
        <f>+VLOOKUP(B322,'transacciones '!$A$2:$I$39,6,FALSE)</f>
        <v>P1</v>
      </c>
      <c r="H322" s="9" t="str">
        <f>+VLOOKUP(B322,'transacciones '!$A$2:$I$39,7,FALSE)</f>
        <v>Producción</v>
      </c>
      <c r="I322" s="18" t="s">
        <v>400</v>
      </c>
      <c r="J322" s="18" t="s">
        <v>401</v>
      </c>
      <c r="K322" s="8" t="s">
        <v>43</v>
      </c>
      <c r="L322" s="8" t="str">
        <f>+VLOOKUP(K322,'Correl CIIU'!$A$1:$F$26,2,FALSE)</f>
        <v>Actividades de alojamiento y de servicio de comidas</v>
      </c>
      <c r="M322" s="8" t="str">
        <f>+VLOOKUP(K322,'Correl CIIU'!$A$1:$F$26,3,FALSE)</f>
        <v>Alojamiento y alimentación</v>
      </c>
      <c r="N322" s="8" t="str">
        <f>+VLOOKUP(K322,'Correl CIIU'!$A$1:$F$26,4,FALSE)</f>
        <v>Accommodation and food service activities</v>
      </c>
      <c r="O322" s="8">
        <v>3</v>
      </c>
      <c r="P322" s="31" t="str">
        <f>+VLOOKUP(O322,bio!$A$2:$B$4,2,FALSE)</f>
        <v>No bioeconomía</v>
      </c>
    </row>
    <row r="323" spans="1:16" x14ac:dyDescent="0.35">
      <c r="A323" s="30" t="s">
        <v>805</v>
      </c>
      <c r="B323" s="20" t="s">
        <v>141</v>
      </c>
      <c r="C323" s="9" t="str">
        <f>+VLOOKUP(B323,'transacciones '!$A$2:$I$39,2,FALSE)</f>
        <v>ATC01</v>
      </c>
      <c r="D323" s="9" t="str">
        <f>+VLOOKUP(B323,'transacciones '!$A$2:$I$39,3,FALSE)</f>
        <v>Producción / Consumo intermedio</v>
      </c>
      <c r="E323" s="9" t="str">
        <f>+VLOOKUP(B323,'transacciones '!$A$2:$I$39,4,FALSE)</f>
        <v>Producción</v>
      </c>
      <c r="F323" s="9">
        <f>+VLOOKUP(B323,'transacciones '!$A$2:$I$39,5,FALSE)</f>
        <v>1</v>
      </c>
      <c r="G323" s="9" t="str">
        <f>+VLOOKUP(B323,'transacciones '!$A$2:$I$39,6,FALSE)</f>
        <v>P1</v>
      </c>
      <c r="H323" s="9" t="str">
        <f>+VLOOKUP(B323,'transacciones '!$A$2:$I$39,7,FALSE)</f>
        <v>Producción</v>
      </c>
      <c r="I323" s="18" t="s">
        <v>402</v>
      </c>
      <c r="J323" s="18" t="s">
        <v>403</v>
      </c>
      <c r="K323" s="8" t="s">
        <v>43</v>
      </c>
      <c r="L323" s="8" t="str">
        <f>+VLOOKUP(K323,'Correl CIIU'!$A$1:$F$26,2,FALSE)</f>
        <v>Actividades de alojamiento y de servicio de comidas</v>
      </c>
      <c r="M323" s="8" t="str">
        <f>+VLOOKUP(K323,'Correl CIIU'!$A$1:$F$26,3,FALSE)</f>
        <v>Alojamiento y alimentación</v>
      </c>
      <c r="N323" s="8" t="str">
        <f>+VLOOKUP(K323,'Correl CIIU'!$A$1:$F$26,4,FALSE)</f>
        <v>Accommodation and food service activities</v>
      </c>
      <c r="O323" s="8">
        <v>2</v>
      </c>
      <c r="P323" s="31" t="str">
        <f>+VLOOKUP(O323,bio!$A$2:$B$4,2,FALSE)</f>
        <v>Bioeconomía extendida</v>
      </c>
    </row>
    <row r="324" spans="1:16" x14ac:dyDescent="0.35">
      <c r="A324" s="30" t="s">
        <v>806</v>
      </c>
      <c r="B324" s="20" t="s">
        <v>141</v>
      </c>
      <c r="C324" s="9" t="str">
        <f>+VLOOKUP(B324,'transacciones '!$A$2:$I$39,2,FALSE)</f>
        <v>ATC01</v>
      </c>
      <c r="D324" s="9" t="str">
        <f>+VLOOKUP(B324,'transacciones '!$A$2:$I$39,3,FALSE)</f>
        <v>Producción / Consumo intermedio</v>
      </c>
      <c r="E324" s="9" t="str">
        <f>+VLOOKUP(B324,'transacciones '!$A$2:$I$39,4,FALSE)</f>
        <v>Producción</v>
      </c>
      <c r="F324" s="9">
        <f>+VLOOKUP(B324,'transacciones '!$A$2:$I$39,5,FALSE)</f>
        <v>1</v>
      </c>
      <c r="G324" s="9" t="str">
        <f>+VLOOKUP(B324,'transacciones '!$A$2:$I$39,6,FALSE)</f>
        <v>P1</v>
      </c>
      <c r="H324" s="9" t="str">
        <f>+VLOOKUP(B324,'transacciones '!$A$2:$I$39,7,FALSE)</f>
        <v>Producción</v>
      </c>
      <c r="I324" s="18" t="s">
        <v>404</v>
      </c>
      <c r="J324" s="18" t="s">
        <v>405</v>
      </c>
      <c r="K324" s="8" t="s">
        <v>41</v>
      </c>
      <c r="L324" s="8" t="str">
        <f>+VLOOKUP(K324,'Correl CIIU'!$A$1:$F$26,2,FALSE)</f>
        <v>Transporte y almacenamiento</v>
      </c>
      <c r="M324" s="8" t="str">
        <f>+VLOOKUP(K324,'Correl CIIU'!$A$1:$F$26,3,FALSE)</f>
        <v>Transporte y almacenamiento</v>
      </c>
      <c r="N324" s="8" t="str">
        <f>+VLOOKUP(K324,'Correl CIIU'!$A$1:$F$26,4,FALSE)</f>
        <v>Transportation and storage</v>
      </c>
      <c r="O324" s="8">
        <v>3</v>
      </c>
      <c r="P324" s="31" t="str">
        <f>+VLOOKUP(O324,bio!$A$2:$B$4,2,FALSE)</f>
        <v>No bioeconomía</v>
      </c>
    </row>
    <row r="325" spans="1:16" x14ac:dyDescent="0.35">
      <c r="A325" s="30" t="s">
        <v>807</v>
      </c>
      <c r="B325" s="20" t="s">
        <v>141</v>
      </c>
      <c r="C325" s="9" t="str">
        <f>+VLOOKUP(B325,'transacciones '!$A$2:$I$39,2,FALSE)</f>
        <v>ATC01</v>
      </c>
      <c r="D325" s="9" t="str">
        <f>+VLOOKUP(B325,'transacciones '!$A$2:$I$39,3,FALSE)</f>
        <v>Producción / Consumo intermedio</v>
      </c>
      <c r="E325" s="9" t="str">
        <f>+VLOOKUP(B325,'transacciones '!$A$2:$I$39,4,FALSE)</f>
        <v>Producción</v>
      </c>
      <c r="F325" s="9">
        <f>+VLOOKUP(B325,'transacciones '!$A$2:$I$39,5,FALSE)</f>
        <v>1</v>
      </c>
      <c r="G325" s="9" t="str">
        <f>+VLOOKUP(B325,'transacciones '!$A$2:$I$39,6,FALSE)</f>
        <v>P1</v>
      </c>
      <c r="H325" s="9" t="str">
        <f>+VLOOKUP(B325,'transacciones '!$A$2:$I$39,7,FALSE)</f>
        <v>Producción</v>
      </c>
      <c r="I325" s="18" t="s">
        <v>406</v>
      </c>
      <c r="J325" s="18" t="s">
        <v>407</v>
      </c>
      <c r="K325" s="8" t="s">
        <v>41</v>
      </c>
      <c r="L325" s="8" t="str">
        <f>+VLOOKUP(K325,'Correl CIIU'!$A$1:$F$26,2,FALSE)</f>
        <v>Transporte y almacenamiento</v>
      </c>
      <c r="M325" s="8" t="str">
        <f>+VLOOKUP(K325,'Correl CIIU'!$A$1:$F$26,3,FALSE)</f>
        <v>Transporte y almacenamiento</v>
      </c>
      <c r="N325" s="8" t="str">
        <f>+VLOOKUP(K325,'Correl CIIU'!$A$1:$F$26,4,FALSE)</f>
        <v>Transportation and storage</v>
      </c>
      <c r="O325" s="8">
        <v>3</v>
      </c>
      <c r="P325" s="31" t="str">
        <f>+VLOOKUP(O325,bio!$A$2:$B$4,2,FALSE)</f>
        <v>No bioeconomía</v>
      </c>
    </row>
    <row r="326" spans="1:16" x14ac:dyDescent="0.35">
      <c r="A326" s="30" t="s">
        <v>808</v>
      </c>
      <c r="B326" s="20" t="s">
        <v>141</v>
      </c>
      <c r="C326" s="9" t="str">
        <f>+VLOOKUP(B326,'transacciones '!$A$2:$I$39,2,FALSE)</f>
        <v>ATC01</v>
      </c>
      <c r="D326" s="9" t="str">
        <f>+VLOOKUP(B326,'transacciones '!$A$2:$I$39,3,FALSE)</f>
        <v>Producción / Consumo intermedio</v>
      </c>
      <c r="E326" s="9" t="str">
        <f>+VLOOKUP(B326,'transacciones '!$A$2:$I$39,4,FALSE)</f>
        <v>Producción</v>
      </c>
      <c r="F326" s="9">
        <f>+VLOOKUP(B326,'transacciones '!$A$2:$I$39,5,FALSE)</f>
        <v>1</v>
      </c>
      <c r="G326" s="9" t="str">
        <f>+VLOOKUP(B326,'transacciones '!$A$2:$I$39,6,FALSE)</f>
        <v>P1</v>
      </c>
      <c r="H326" s="9" t="str">
        <f>+VLOOKUP(B326,'transacciones '!$A$2:$I$39,7,FALSE)</f>
        <v>Producción</v>
      </c>
      <c r="I326" s="18" t="s">
        <v>408</v>
      </c>
      <c r="J326" s="18" t="s">
        <v>409</v>
      </c>
      <c r="K326" s="8" t="s">
        <v>41</v>
      </c>
      <c r="L326" s="8" t="str">
        <f>+VLOOKUP(K326,'Correl CIIU'!$A$1:$F$26,2,FALSE)</f>
        <v>Transporte y almacenamiento</v>
      </c>
      <c r="M326" s="8" t="str">
        <f>+VLOOKUP(K326,'Correl CIIU'!$A$1:$F$26,3,FALSE)</f>
        <v>Transporte y almacenamiento</v>
      </c>
      <c r="N326" s="8" t="str">
        <f>+VLOOKUP(K326,'Correl CIIU'!$A$1:$F$26,4,FALSE)</f>
        <v>Transportation and storage</v>
      </c>
      <c r="O326" s="8">
        <v>3</v>
      </c>
      <c r="P326" s="31" t="str">
        <f>+VLOOKUP(O326,bio!$A$2:$B$4,2,FALSE)</f>
        <v>No bioeconomía</v>
      </c>
    </row>
    <row r="327" spans="1:16" x14ac:dyDescent="0.35">
      <c r="A327" s="30" t="s">
        <v>809</v>
      </c>
      <c r="B327" s="20" t="s">
        <v>141</v>
      </c>
      <c r="C327" s="9" t="str">
        <f>+VLOOKUP(B327,'transacciones '!$A$2:$I$39,2,FALSE)</f>
        <v>ATC01</v>
      </c>
      <c r="D327" s="9" t="str">
        <f>+VLOOKUP(B327,'transacciones '!$A$2:$I$39,3,FALSE)</f>
        <v>Producción / Consumo intermedio</v>
      </c>
      <c r="E327" s="9" t="str">
        <f>+VLOOKUP(B327,'transacciones '!$A$2:$I$39,4,FALSE)</f>
        <v>Producción</v>
      </c>
      <c r="F327" s="9">
        <f>+VLOOKUP(B327,'transacciones '!$A$2:$I$39,5,FALSE)</f>
        <v>1</v>
      </c>
      <c r="G327" s="9" t="str">
        <f>+VLOOKUP(B327,'transacciones '!$A$2:$I$39,6,FALSE)</f>
        <v>P1</v>
      </c>
      <c r="H327" s="9" t="str">
        <f>+VLOOKUP(B327,'transacciones '!$A$2:$I$39,7,FALSE)</f>
        <v>Producción</v>
      </c>
      <c r="I327" s="18" t="s">
        <v>410</v>
      </c>
      <c r="J327" s="18" t="s">
        <v>411</v>
      </c>
      <c r="K327" s="8" t="s">
        <v>41</v>
      </c>
      <c r="L327" s="8" t="str">
        <f>+VLOOKUP(K327,'Correl CIIU'!$A$1:$F$26,2,FALSE)</f>
        <v>Transporte y almacenamiento</v>
      </c>
      <c r="M327" s="8" t="str">
        <f>+VLOOKUP(K327,'Correl CIIU'!$A$1:$F$26,3,FALSE)</f>
        <v>Transporte y almacenamiento</v>
      </c>
      <c r="N327" s="8" t="str">
        <f>+VLOOKUP(K327,'Correl CIIU'!$A$1:$F$26,4,FALSE)</f>
        <v>Transportation and storage</v>
      </c>
      <c r="O327" s="8">
        <v>3</v>
      </c>
      <c r="P327" s="31" t="str">
        <f>+VLOOKUP(O327,bio!$A$2:$B$4,2,FALSE)</f>
        <v>No bioeconomía</v>
      </c>
    </row>
    <row r="328" spans="1:16" x14ac:dyDescent="0.35">
      <c r="A328" s="30" t="s">
        <v>810</v>
      </c>
      <c r="B328" s="20" t="s">
        <v>141</v>
      </c>
      <c r="C328" s="9" t="str">
        <f>+VLOOKUP(B328,'transacciones '!$A$2:$I$39,2,FALSE)</f>
        <v>ATC01</v>
      </c>
      <c r="D328" s="9" t="str">
        <f>+VLOOKUP(B328,'transacciones '!$A$2:$I$39,3,FALSE)</f>
        <v>Producción / Consumo intermedio</v>
      </c>
      <c r="E328" s="9" t="str">
        <f>+VLOOKUP(B328,'transacciones '!$A$2:$I$39,4,FALSE)</f>
        <v>Producción</v>
      </c>
      <c r="F328" s="9">
        <f>+VLOOKUP(B328,'transacciones '!$A$2:$I$39,5,FALSE)</f>
        <v>1</v>
      </c>
      <c r="G328" s="9" t="str">
        <f>+VLOOKUP(B328,'transacciones '!$A$2:$I$39,6,FALSE)</f>
        <v>P1</v>
      </c>
      <c r="H328" s="9" t="str">
        <f>+VLOOKUP(B328,'transacciones '!$A$2:$I$39,7,FALSE)</f>
        <v>Producción</v>
      </c>
      <c r="I328" s="18" t="s">
        <v>412</v>
      </c>
      <c r="J328" s="18" t="s">
        <v>413</v>
      </c>
      <c r="K328" s="8" t="s">
        <v>41</v>
      </c>
      <c r="L328" s="8" t="str">
        <f>+VLOOKUP(K328,'Correl CIIU'!$A$1:$F$26,2,FALSE)</f>
        <v>Transporte y almacenamiento</v>
      </c>
      <c r="M328" s="8" t="str">
        <f>+VLOOKUP(K328,'Correl CIIU'!$A$1:$F$26,3,FALSE)</f>
        <v>Transporte y almacenamiento</v>
      </c>
      <c r="N328" s="8" t="str">
        <f>+VLOOKUP(K328,'Correl CIIU'!$A$1:$F$26,4,FALSE)</f>
        <v>Transportation and storage</v>
      </c>
      <c r="O328" s="8">
        <v>3</v>
      </c>
      <c r="P328" s="31" t="str">
        <f>+VLOOKUP(O328,bio!$A$2:$B$4,2,FALSE)</f>
        <v>No bioeconomía</v>
      </c>
    </row>
    <row r="329" spans="1:16" x14ac:dyDescent="0.35">
      <c r="A329" s="30" t="s">
        <v>811</v>
      </c>
      <c r="B329" s="20" t="s">
        <v>141</v>
      </c>
      <c r="C329" s="9" t="str">
        <f>+VLOOKUP(B329,'transacciones '!$A$2:$I$39,2,FALSE)</f>
        <v>ATC01</v>
      </c>
      <c r="D329" s="9" t="str">
        <f>+VLOOKUP(B329,'transacciones '!$A$2:$I$39,3,FALSE)</f>
        <v>Producción / Consumo intermedio</v>
      </c>
      <c r="E329" s="9" t="str">
        <f>+VLOOKUP(B329,'transacciones '!$A$2:$I$39,4,FALSE)</f>
        <v>Producción</v>
      </c>
      <c r="F329" s="9">
        <f>+VLOOKUP(B329,'transacciones '!$A$2:$I$39,5,FALSE)</f>
        <v>1</v>
      </c>
      <c r="G329" s="9" t="str">
        <f>+VLOOKUP(B329,'transacciones '!$A$2:$I$39,6,FALSE)</f>
        <v>P1</v>
      </c>
      <c r="H329" s="9" t="str">
        <f>+VLOOKUP(B329,'transacciones '!$A$2:$I$39,7,FALSE)</f>
        <v>Producción</v>
      </c>
      <c r="I329" s="18" t="s">
        <v>414</v>
      </c>
      <c r="J329" s="18" t="s">
        <v>415</v>
      </c>
      <c r="K329" s="8" t="s">
        <v>41</v>
      </c>
      <c r="L329" s="8" t="str">
        <f>+VLOOKUP(K329,'Correl CIIU'!$A$1:$F$26,2,FALSE)</f>
        <v>Transporte y almacenamiento</v>
      </c>
      <c r="M329" s="8" t="str">
        <f>+VLOOKUP(K329,'Correl CIIU'!$A$1:$F$26,3,FALSE)</f>
        <v>Transporte y almacenamiento</v>
      </c>
      <c r="N329" s="8" t="str">
        <f>+VLOOKUP(K329,'Correl CIIU'!$A$1:$F$26,4,FALSE)</f>
        <v>Transportation and storage</v>
      </c>
      <c r="O329" s="8">
        <v>3</v>
      </c>
      <c r="P329" s="31" t="str">
        <f>+VLOOKUP(O329,bio!$A$2:$B$4,2,FALSE)</f>
        <v>No bioeconomía</v>
      </c>
    </row>
    <row r="330" spans="1:16" x14ac:dyDescent="0.35">
      <c r="A330" s="30" t="s">
        <v>812</v>
      </c>
      <c r="B330" s="20" t="s">
        <v>141</v>
      </c>
      <c r="C330" s="9" t="str">
        <f>+VLOOKUP(B330,'transacciones '!$A$2:$I$39,2,FALSE)</f>
        <v>ATC01</v>
      </c>
      <c r="D330" s="9" t="str">
        <f>+VLOOKUP(B330,'transacciones '!$A$2:$I$39,3,FALSE)</f>
        <v>Producción / Consumo intermedio</v>
      </c>
      <c r="E330" s="9" t="str">
        <f>+VLOOKUP(B330,'transacciones '!$A$2:$I$39,4,FALSE)</f>
        <v>Producción</v>
      </c>
      <c r="F330" s="9">
        <f>+VLOOKUP(B330,'transacciones '!$A$2:$I$39,5,FALSE)</f>
        <v>1</v>
      </c>
      <c r="G330" s="9" t="str">
        <f>+VLOOKUP(B330,'transacciones '!$A$2:$I$39,6,FALSE)</f>
        <v>P1</v>
      </c>
      <c r="H330" s="9" t="str">
        <f>+VLOOKUP(B330,'transacciones '!$A$2:$I$39,7,FALSE)</f>
        <v>Producción</v>
      </c>
      <c r="I330" s="18" t="s">
        <v>416</v>
      </c>
      <c r="J330" s="18" t="s">
        <v>417</v>
      </c>
      <c r="K330" s="8" t="s">
        <v>41</v>
      </c>
      <c r="L330" s="8" t="str">
        <f>+VLOOKUP(K330,'Correl CIIU'!$A$1:$F$26,2,FALSE)</f>
        <v>Transporte y almacenamiento</v>
      </c>
      <c r="M330" s="8" t="str">
        <f>+VLOOKUP(K330,'Correl CIIU'!$A$1:$F$26,3,FALSE)</f>
        <v>Transporte y almacenamiento</v>
      </c>
      <c r="N330" s="8" t="str">
        <f>+VLOOKUP(K330,'Correl CIIU'!$A$1:$F$26,4,FALSE)</f>
        <v>Transportation and storage</v>
      </c>
      <c r="O330" s="8">
        <v>3</v>
      </c>
      <c r="P330" s="31" t="str">
        <f>+VLOOKUP(O330,bio!$A$2:$B$4,2,FALSE)</f>
        <v>No bioeconomía</v>
      </c>
    </row>
    <row r="331" spans="1:16" x14ac:dyDescent="0.35">
      <c r="A331" s="30" t="s">
        <v>813</v>
      </c>
      <c r="B331" s="20" t="s">
        <v>141</v>
      </c>
      <c r="C331" s="9" t="str">
        <f>+VLOOKUP(B331,'transacciones '!$A$2:$I$39,2,FALSE)</f>
        <v>ATC01</v>
      </c>
      <c r="D331" s="9" t="str">
        <f>+VLOOKUP(B331,'transacciones '!$A$2:$I$39,3,FALSE)</f>
        <v>Producción / Consumo intermedio</v>
      </c>
      <c r="E331" s="9" t="str">
        <f>+VLOOKUP(B331,'transacciones '!$A$2:$I$39,4,FALSE)</f>
        <v>Producción</v>
      </c>
      <c r="F331" s="9">
        <f>+VLOOKUP(B331,'transacciones '!$A$2:$I$39,5,FALSE)</f>
        <v>1</v>
      </c>
      <c r="G331" s="9" t="str">
        <f>+VLOOKUP(B331,'transacciones '!$A$2:$I$39,6,FALSE)</f>
        <v>P1</v>
      </c>
      <c r="H331" s="9" t="str">
        <f>+VLOOKUP(B331,'transacciones '!$A$2:$I$39,7,FALSE)</f>
        <v>Producción</v>
      </c>
      <c r="I331" s="18" t="s">
        <v>418</v>
      </c>
      <c r="J331" s="18" t="s">
        <v>419</v>
      </c>
      <c r="K331" s="8" t="s">
        <v>41</v>
      </c>
      <c r="L331" s="8" t="str">
        <f>+VLOOKUP(K331,'Correl CIIU'!$A$1:$F$26,2,FALSE)</f>
        <v>Transporte y almacenamiento</v>
      </c>
      <c r="M331" s="8" t="str">
        <f>+VLOOKUP(K331,'Correl CIIU'!$A$1:$F$26,3,FALSE)</f>
        <v>Transporte y almacenamiento</v>
      </c>
      <c r="N331" s="8" t="str">
        <f>+VLOOKUP(K331,'Correl CIIU'!$A$1:$F$26,4,FALSE)</f>
        <v>Transportation and storage</v>
      </c>
      <c r="O331" s="8">
        <v>3</v>
      </c>
      <c r="P331" s="31" t="str">
        <f>+VLOOKUP(O331,bio!$A$2:$B$4,2,FALSE)</f>
        <v>No bioeconomía</v>
      </c>
    </row>
    <row r="332" spans="1:16" x14ac:dyDescent="0.35">
      <c r="A332" s="30" t="s">
        <v>814</v>
      </c>
      <c r="B332" s="20" t="s">
        <v>141</v>
      </c>
      <c r="C332" s="9" t="str">
        <f>+VLOOKUP(B332,'transacciones '!$A$2:$I$39,2,FALSE)</f>
        <v>ATC01</v>
      </c>
      <c r="D332" s="9" t="str">
        <f>+VLOOKUP(B332,'transacciones '!$A$2:$I$39,3,FALSE)</f>
        <v>Producción / Consumo intermedio</v>
      </c>
      <c r="E332" s="9" t="str">
        <f>+VLOOKUP(B332,'transacciones '!$A$2:$I$39,4,FALSE)</f>
        <v>Producción</v>
      </c>
      <c r="F332" s="9">
        <f>+VLOOKUP(B332,'transacciones '!$A$2:$I$39,5,FALSE)</f>
        <v>1</v>
      </c>
      <c r="G332" s="9" t="str">
        <f>+VLOOKUP(B332,'transacciones '!$A$2:$I$39,6,FALSE)</f>
        <v>P1</v>
      </c>
      <c r="H332" s="9" t="str">
        <f>+VLOOKUP(B332,'transacciones '!$A$2:$I$39,7,FALSE)</f>
        <v>Producción</v>
      </c>
      <c r="I332" s="18" t="s">
        <v>420</v>
      </c>
      <c r="J332" s="18" t="s">
        <v>421</v>
      </c>
      <c r="K332" s="8" t="s">
        <v>41</v>
      </c>
      <c r="L332" s="8" t="str">
        <f>+VLOOKUP(K332,'Correl CIIU'!$A$1:$F$26,2,FALSE)</f>
        <v>Transporte y almacenamiento</v>
      </c>
      <c r="M332" s="8" t="str">
        <f>+VLOOKUP(K332,'Correl CIIU'!$A$1:$F$26,3,FALSE)</f>
        <v>Transporte y almacenamiento</v>
      </c>
      <c r="N332" s="8" t="str">
        <f>+VLOOKUP(K332,'Correl CIIU'!$A$1:$F$26,4,FALSE)</f>
        <v>Transportation and storage</v>
      </c>
      <c r="O332" s="8">
        <v>3</v>
      </c>
      <c r="P332" s="31" t="str">
        <f>+VLOOKUP(O332,bio!$A$2:$B$4,2,FALSE)</f>
        <v>No bioeconomía</v>
      </c>
    </row>
    <row r="333" spans="1:16" x14ac:dyDescent="0.35">
      <c r="A333" s="30" t="s">
        <v>815</v>
      </c>
      <c r="B333" s="20" t="s">
        <v>141</v>
      </c>
      <c r="C333" s="9" t="str">
        <f>+VLOOKUP(B333,'transacciones '!$A$2:$I$39,2,FALSE)</f>
        <v>ATC01</v>
      </c>
      <c r="D333" s="9" t="str">
        <f>+VLOOKUP(B333,'transacciones '!$A$2:$I$39,3,FALSE)</f>
        <v>Producción / Consumo intermedio</v>
      </c>
      <c r="E333" s="9" t="str">
        <f>+VLOOKUP(B333,'transacciones '!$A$2:$I$39,4,FALSE)</f>
        <v>Producción</v>
      </c>
      <c r="F333" s="9">
        <f>+VLOOKUP(B333,'transacciones '!$A$2:$I$39,5,FALSE)</f>
        <v>1</v>
      </c>
      <c r="G333" s="9" t="str">
        <f>+VLOOKUP(B333,'transacciones '!$A$2:$I$39,6,FALSE)</f>
        <v>P1</v>
      </c>
      <c r="H333" s="9" t="str">
        <f>+VLOOKUP(B333,'transacciones '!$A$2:$I$39,7,FALSE)</f>
        <v>Producción</v>
      </c>
      <c r="I333" s="18" t="s">
        <v>422</v>
      </c>
      <c r="J333" s="18" t="s">
        <v>423</v>
      </c>
      <c r="K333" s="8" t="s">
        <v>45</v>
      </c>
      <c r="L333" s="8" t="str">
        <f>+VLOOKUP(K333,'Correl CIIU'!$A$1:$F$26,2,FALSE)</f>
        <v>Información y comunicaciones</v>
      </c>
      <c r="M333" s="8" t="str">
        <f>+VLOOKUP(K333,'Correl CIIU'!$A$1:$F$26,3,FALSE)</f>
        <v>Información y comunicaciones</v>
      </c>
      <c r="N333" s="8" t="str">
        <f>+VLOOKUP(K333,'Correl CIIU'!$A$1:$F$26,4,FALSE)</f>
        <v>Information and communication</v>
      </c>
      <c r="O333" s="8">
        <v>3</v>
      </c>
      <c r="P333" s="31" t="str">
        <f>+VLOOKUP(O333,bio!$A$2:$B$4,2,FALSE)</f>
        <v>No bioeconomía</v>
      </c>
    </row>
    <row r="334" spans="1:16" x14ac:dyDescent="0.35">
      <c r="A334" s="30" t="s">
        <v>816</v>
      </c>
      <c r="B334" s="20" t="s">
        <v>141</v>
      </c>
      <c r="C334" s="9" t="str">
        <f>+VLOOKUP(B334,'transacciones '!$A$2:$I$39,2,FALSE)</f>
        <v>ATC01</v>
      </c>
      <c r="D334" s="9" t="str">
        <f>+VLOOKUP(B334,'transacciones '!$A$2:$I$39,3,FALSE)</f>
        <v>Producción / Consumo intermedio</v>
      </c>
      <c r="E334" s="9" t="str">
        <f>+VLOOKUP(B334,'transacciones '!$A$2:$I$39,4,FALSE)</f>
        <v>Producción</v>
      </c>
      <c r="F334" s="9">
        <f>+VLOOKUP(B334,'transacciones '!$A$2:$I$39,5,FALSE)</f>
        <v>1</v>
      </c>
      <c r="G334" s="9" t="str">
        <f>+VLOOKUP(B334,'transacciones '!$A$2:$I$39,6,FALSE)</f>
        <v>P1</v>
      </c>
      <c r="H334" s="9" t="str">
        <f>+VLOOKUP(B334,'transacciones '!$A$2:$I$39,7,FALSE)</f>
        <v>Producción</v>
      </c>
      <c r="I334" s="18" t="s">
        <v>424</v>
      </c>
      <c r="J334" s="18" t="s">
        <v>425</v>
      </c>
      <c r="K334" s="8" t="s">
        <v>45</v>
      </c>
      <c r="L334" s="8" t="str">
        <f>+VLOOKUP(K334,'Correl CIIU'!$A$1:$F$26,2,FALSE)</f>
        <v>Información y comunicaciones</v>
      </c>
      <c r="M334" s="8" t="str">
        <f>+VLOOKUP(K334,'Correl CIIU'!$A$1:$F$26,3,FALSE)</f>
        <v>Información y comunicaciones</v>
      </c>
      <c r="N334" s="8" t="str">
        <f>+VLOOKUP(K334,'Correl CIIU'!$A$1:$F$26,4,FALSE)</f>
        <v>Information and communication</v>
      </c>
      <c r="O334" s="8">
        <v>3</v>
      </c>
      <c r="P334" s="31" t="str">
        <f>+VLOOKUP(O334,bio!$A$2:$B$4,2,FALSE)</f>
        <v>No bioeconomía</v>
      </c>
    </row>
    <row r="335" spans="1:16" x14ac:dyDescent="0.35">
      <c r="A335" s="30" t="s">
        <v>817</v>
      </c>
      <c r="B335" s="20" t="s">
        <v>141</v>
      </c>
      <c r="C335" s="9" t="str">
        <f>+VLOOKUP(B335,'transacciones '!$A$2:$I$39,2,FALSE)</f>
        <v>ATC01</v>
      </c>
      <c r="D335" s="9" t="str">
        <f>+VLOOKUP(B335,'transacciones '!$A$2:$I$39,3,FALSE)</f>
        <v>Producción / Consumo intermedio</v>
      </c>
      <c r="E335" s="9" t="str">
        <f>+VLOOKUP(B335,'transacciones '!$A$2:$I$39,4,FALSE)</f>
        <v>Producción</v>
      </c>
      <c r="F335" s="9">
        <f>+VLOOKUP(B335,'transacciones '!$A$2:$I$39,5,FALSE)</f>
        <v>1</v>
      </c>
      <c r="G335" s="9" t="str">
        <f>+VLOOKUP(B335,'transacciones '!$A$2:$I$39,6,FALSE)</f>
        <v>P1</v>
      </c>
      <c r="H335" s="9" t="str">
        <f>+VLOOKUP(B335,'transacciones '!$A$2:$I$39,7,FALSE)</f>
        <v>Producción</v>
      </c>
      <c r="I335" s="18" t="s">
        <v>426</v>
      </c>
      <c r="J335" s="18" t="s">
        <v>427</v>
      </c>
      <c r="K335" s="8" t="s">
        <v>45</v>
      </c>
      <c r="L335" s="8" t="str">
        <f>+VLOOKUP(K335,'Correl CIIU'!$A$1:$F$26,2,FALSE)</f>
        <v>Información y comunicaciones</v>
      </c>
      <c r="M335" s="8" t="str">
        <f>+VLOOKUP(K335,'Correl CIIU'!$A$1:$F$26,3,FALSE)</f>
        <v>Información y comunicaciones</v>
      </c>
      <c r="N335" s="8" t="str">
        <f>+VLOOKUP(K335,'Correl CIIU'!$A$1:$F$26,4,FALSE)</f>
        <v>Information and communication</v>
      </c>
      <c r="O335" s="8">
        <v>3</v>
      </c>
      <c r="P335" s="31" t="str">
        <f>+VLOOKUP(O335,bio!$A$2:$B$4,2,FALSE)</f>
        <v>No bioeconomía</v>
      </c>
    </row>
    <row r="336" spans="1:16" x14ac:dyDescent="0.35">
      <c r="A336" s="30" t="s">
        <v>818</v>
      </c>
      <c r="B336" s="20" t="s">
        <v>141</v>
      </c>
      <c r="C336" s="9" t="str">
        <f>+VLOOKUP(B336,'transacciones '!$A$2:$I$39,2,FALSE)</f>
        <v>ATC01</v>
      </c>
      <c r="D336" s="9" t="str">
        <f>+VLOOKUP(B336,'transacciones '!$A$2:$I$39,3,FALSE)</f>
        <v>Producción / Consumo intermedio</v>
      </c>
      <c r="E336" s="9" t="str">
        <f>+VLOOKUP(B336,'transacciones '!$A$2:$I$39,4,FALSE)</f>
        <v>Producción</v>
      </c>
      <c r="F336" s="9">
        <f>+VLOOKUP(B336,'transacciones '!$A$2:$I$39,5,FALSE)</f>
        <v>1</v>
      </c>
      <c r="G336" s="9" t="str">
        <f>+VLOOKUP(B336,'transacciones '!$A$2:$I$39,6,FALSE)</f>
        <v>P1</v>
      </c>
      <c r="H336" s="9" t="str">
        <f>+VLOOKUP(B336,'transacciones '!$A$2:$I$39,7,FALSE)</f>
        <v>Producción</v>
      </c>
      <c r="I336" s="18" t="s">
        <v>428</v>
      </c>
      <c r="J336" s="18" t="s">
        <v>429</v>
      </c>
      <c r="K336" s="8" t="s">
        <v>45</v>
      </c>
      <c r="L336" s="8" t="str">
        <f>+VLOOKUP(K336,'Correl CIIU'!$A$1:$F$26,2,FALSE)</f>
        <v>Información y comunicaciones</v>
      </c>
      <c r="M336" s="8" t="str">
        <f>+VLOOKUP(K336,'Correl CIIU'!$A$1:$F$26,3,FALSE)</f>
        <v>Información y comunicaciones</v>
      </c>
      <c r="N336" s="8" t="str">
        <f>+VLOOKUP(K336,'Correl CIIU'!$A$1:$F$26,4,FALSE)</f>
        <v>Information and communication</v>
      </c>
      <c r="O336" s="8">
        <v>3</v>
      </c>
      <c r="P336" s="31" t="str">
        <f>+VLOOKUP(O336,bio!$A$2:$B$4,2,FALSE)</f>
        <v>No bioeconomía</v>
      </c>
    </row>
    <row r="337" spans="1:16" x14ac:dyDescent="0.35">
      <c r="A337" s="30" t="s">
        <v>819</v>
      </c>
      <c r="B337" s="20" t="s">
        <v>141</v>
      </c>
      <c r="C337" s="9" t="str">
        <f>+VLOOKUP(B337,'transacciones '!$A$2:$I$39,2,FALSE)</f>
        <v>ATC01</v>
      </c>
      <c r="D337" s="9" t="str">
        <f>+VLOOKUP(B337,'transacciones '!$A$2:$I$39,3,FALSE)</f>
        <v>Producción / Consumo intermedio</v>
      </c>
      <c r="E337" s="9" t="str">
        <f>+VLOOKUP(B337,'transacciones '!$A$2:$I$39,4,FALSE)</f>
        <v>Producción</v>
      </c>
      <c r="F337" s="9">
        <f>+VLOOKUP(B337,'transacciones '!$A$2:$I$39,5,FALSE)</f>
        <v>1</v>
      </c>
      <c r="G337" s="9" t="str">
        <f>+VLOOKUP(B337,'transacciones '!$A$2:$I$39,6,FALSE)</f>
        <v>P1</v>
      </c>
      <c r="H337" s="9" t="str">
        <f>+VLOOKUP(B337,'transacciones '!$A$2:$I$39,7,FALSE)</f>
        <v>Producción</v>
      </c>
      <c r="I337" s="18" t="s">
        <v>430</v>
      </c>
      <c r="J337" s="18" t="s">
        <v>431</v>
      </c>
      <c r="K337" s="8" t="s">
        <v>45</v>
      </c>
      <c r="L337" s="8" t="str">
        <f>+VLOOKUP(K337,'Correl CIIU'!$A$1:$F$26,2,FALSE)</f>
        <v>Información y comunicaciones</v>
      </c>
      <c r="M337" s="8" t="str">
        <f>+VLOOKUP(K337,'Correl CIIU'!$A$1:$F$26,3,FALSE)</f>
        <v>Información y comunicaciones</v>
      </c>
      <c r="N337" s="8" t="str">
        <f>+VLOOKUP(K337,'Correl CIIU'!$A$1:$F$26,4,FALSE)</f>
        <v>Information and communication</v>
      </c>
      <c r="O337" s="8">
        <v>3</v>
      </c>
      <c r="P337" s="31" t="str">
        <f>+VLOOKUP(O337,bio!$A$2:$B$4,2,FALSE)</f>
        <v>No bioeconomía</v>
      </c>
    </row>
    <row r="338" spans="1:16" x14ac:dyDescent="0.35">
      <c r="A338" s="30" t="s">
        <v>820</v>
      </c>
      <c r="B338" s="20" t="s">
        <v>141</v>
      </c>
      <c r="C338" s="9" t="str">
        <f>+VLOOKUP(B338,'transacciones '!$A$2:$I$39,2,FALSE)</f>
        <v>ATC01</v>
      </c>
      <c r="D338" s="9" t="str">
        <f>+VLOOKUP(B338,'transacciones '!$A$2:$I$39,3,FALSE)</f>
        <v>Producción / Consumo intermedio</v>
      </c>
      <c r="E338" s="9" t="str">
        <f>+VLOOKUP(B338,'transacciones '!$A$2:$I$39,4,FALSE)</f>
        <v>Producción</v>
      </c>
      <c r="F338" s="9">
        <f>+VLOOKUP(B338,'transacciones '!$A$2:$I$39,5,FALSE)</f>
        <v>1</v>
      </c>
      <c r="G338" s="9" t="str">
        <f>+VLOOKUP(B338,'transacciones '!$A$2:$I$39,6,FALSE)</f>
        <v>P1</v>
      </c>
      <c r="H338" s="9" t="str">
        <f>+VLOOKUP(B338,'transacciones '!$A$2:$I$39,7,FALSE)</f>
        <v>Producción</v>
      </c>
      <c r="I338" s="18" t="s">
        <v>432</v>
      </c>
      <c r="J338" s="18" t="s">
        <v>433</v>
      </c>
      <c r="K338" s="8" t="s">
        <v>45</v>
      </c>
      <c r="L338" s="8" t="str">
        <f>+VLOOKUP(K338,'Correl CIIU'!$A$1:$F$26,2,FALSE)</f>
        <v>Información y comunicaciones</v>
      </c>
      <c r="M338" s="8" t="str">
        <f>+VLOOKUP(K338,'Correl CIIU'!$A$1:$F$26,3,FALSE)</f>
        <v>Información y comunicaciones</v>
      </c>
      <c r="N338" s="8" t="str">
        <f>+VLOOKUP(K338,'Correl CIIU'!$A$1:$F$26,4,FALSE)</f>
        <v>Information and communication</v>
      </c>
      <c r="O338" s="8">
        <v>3</v>
      </c>
      <c r="P338" s="31" t="str">
        <f>+VLOOKUP(O338,bio!$A$2:$B$4,2,FALSE)</f>
        <v>No bioeconomía</v>
      </c>
    </row>
    <row r="339" spans="1:16" x14ac:dyDescent="0.35">
      <c r="A339" s="30" t="s">
        <v>821</v>
      </c>
      <c r="B339" s="20" t="s">
        <v>141</v>
      </c>
      <c r="C339" s="9" t="str">
        <f>+VLOOKUP(B339,'transacciones '!$A$2:$I$39,2,FALSE)</f>
        <v>ATC01</v>
      </c>
      <c r="D339" s="9" t="str">
        <f>+VLOOKUP(B339,'transacciones '!$A$2:$I$39,3,FALSE)</f>
        <v>Producción / Consumo intermedio</v>
      </c>
      <c r="E339" s="9" t="str">
        <f>+VLOOKUP(B339,'transacciones '!$A$2:$I$39,4,FALSE)</f>
        <v>Producción</v>
      </c>
      <c r="F339" s="9">
        <f>+VLOOKUP(B339,'transacciones '!$A$2:$I$39,5,FALSE)</f>
        <v>1</v>
      </c>
      <c r="G339" s="9" t="str">
        <f>+VLOOKUP(B339,'transacciones '!$A$2:$I$39,6,FALSE)</f>
        <v>P1</v>
      </c>
      <c r="H339" s="9" t="str">
        <f>+VLOOKUP(B339,'transacciones '!$A$2:$I$39,7,FALSE)</f>
        <v>Producción</v>
      </c>
      <c r="I339" s="18" t="s">
        <v>434</v>
      </c>
      <c r="J339" s="18" t="s">
        <v>435</v>
      </c>
      <c r="K339" s="8" t="s">
        <v>48</v>
      </c>
      <c r="L339" s="8" t="str">
        <f>+VLOOKUP(K339,'Correl CIIU'!$A$1:$F$26,2,FALSE)</f>
        <v>Actividades financieras y de seguros</v>
      </c>
      <c r="M339" s="8" t="str">
        <f>+VLOOKUP(K339,'Correl CIIU'!$A$1:$F$26,3,FALSE)</f>
        <v>Finanzas y seguros</v>
      </c>
      <c r="N339" s="8" t="str">
        <f>+VLOOKUP(K339,'Correl CIIU'!$A$1:$F$26,4,FALSE)</f>
        <v>Financial and insurance activities</v>
      </c>
      <c r="O339" s="8">
        <v>3</v>
      </c>
      <c r="P339" s="31" t="str">
        <f>+VLOOKUP(O339,bio!$A$2:$B$4,2,FALSE)</f>
        <v>No bioeconomía</v>
      </c>
    </row>
    <row r="340" spans="1:16" x14ac:dyDescent="0.35">
      <c r="A340" s="30" t="s">
        <v>822</v>
      </c>
      <c r="B340" s="20" t="s">
        <v>141</v>
      </c>
      <c r="C340" s="9" t="str">
        <f>+VLOOKUP(B340,'transacciones '!$A$2:$I$39,2,FALSE)</f>
        <v>ATC01</v>
      </c>
      <c r="D340" s="9" t="str">
        <f>+VLOOKUP(B340,'transacciones '!$A$2:$I$39,3,FALSE)</f>
        <v>Producción / Consumo intermedio</v>
      </c>
      <c r="E340" s="9" t="str">
        <f>+VLOOKUP(B340,'transacciones '!$A$2:$I$39,4,FALSE)</f>
        <v>Producción</v>
      </c>
      <c r="F340" s="9">
        <f>+VLOOKUP(B340,'transacciones '!$A$2:$I$39,5,FALSE)</f>
        <v>1</v>
      </c>
      <c r="G340" s="9" t="str">
        <f>+VLOOKUP(B340,'transacciones '!$A$2:$I$39,6,FALSE)</f>
        <v>P1</v>
      </c>
      <c r="H340" s="9" t="str">
        <f>+VLOOKUP(B340,'transacciones '!$A$2:$I$39,7,FALSE)</f>
        <v>Producción</v>
      </c>
      <c r="I340" s="18" t="s">
        <v>436</v>
      </c>
      <c r="J340" s="18" t="s">
        <v>437</v>
      </c>
      <c r="K340" s="8" t="s">
        <v>48</v>
      </c>
      <c r="L340" s="8" t="str">
        <f>+VLOOKUP(K340,'Correl CIIU'!$A$1:$F$26,2,FALSE)</f>
        <v>Actividades financieras y de seguros</v>
      </c>
      <c r="M340" s="8" t="str">
        <f>+VLOOKUP(K340,'Correl CIIU'!$A$1:$F$26,3,FALSE)</f>
        <v>Finanzas y seguros</v>
      </c>
      <c r="N340" s="8" t="str">
        <f>+VLOOKUP(K340,'Correl CIIU'!$A$1:$F$26,4,FALSE)</f>
        <v>Financial and insurance activities</v>
      </c>
      <c r="O340" s="8">
        <v>3</v>
      </c>
      <c r="P340" s="31" t="str">
        <f>+VLOOKUP(O340,bio!$A$2:$B$4,2,FALSE)</f>
        <v>No bioeconomía</v>
      </c>
    </row>
    <row r="341" spans="1:16" x14ac:dyDescent="0.35">
      <c r="A341" s="30" t="s">
        <v>823</v>
      </c>
      <c r="B341" s="20" t="s">
        <v>141</v>
      </c>
      <c r="C341" s="9" t="str">
        <f>+VLOOKUP(B341,'transacciones '!$A$2:$I$39,2,FALSE)</f>
        <v>ATC01</v>
      </c>
      <c r="D341" s="9" t="str">
        <f>+VLOOKUP(B341,'transacciones '!$A$2:$I$39,3,FALSE)</f>
        <v>Producción / Consumo intermedio</v>
      </c>
      <c r="E341" s="9" t="str">
        <f>+VLOOKUP(B341,'transacciones '!$A$2:$I$39,4,FALSE)</f>
        <v>Producción</v>
      </c>
      <c r="F341" s="9">
        <f>+VLOOKUP(B341,'transacciones '!$A$2:$I$39,5,FALSE)</f>
        <v>1</v>
      </c>
      <c r="G341" s="9" t="str">
        <f>+VLOOKUP(B341,'transacciones '!$A$2:$I$39,6,FALSE)</f>
        <v>P1</v>
      </c>
      <c r="H341" s="9" t="str">
        <f>+VLOOKUP(B341,'transacciones '!$A$2:$I$39,7,FALSE)</f>
        <v>Producción</v>
      </c>
      <c r="I341" s="18" t="s">
        <v>438</v>
      </c>
      <c r="J341" s="18" t="s">
        <v>439</v>
      </c>
      <c r="K341" s="8" t="s">
        <v>48</v>
      </c>
      <c r="L341" s="8" t="str">
        <f>+VLOOKUP(K341,'Correl CIIU'!$A$1:$F$26,2,FALSE)</f>
        <v>Actividades financieras y de seguros</v>
      </c>
      <c r="M341" s="8" t="str">
        <f>+VLOOKUP(K341,'Correl CIIU'!$A$1:$F$26,3,FALSE)</f>
        <v>Finanzas y seguros</v>
      </c>
      <c r="N341" s="8" t="str">
        <f>+VLOOKUP(K341,'Correl CIIU'!$A$1:$F$26,4,FALSE)</f>
        <v>Financial and insurance activities</v>
      </c>
      <c r="O341" s="8">
        <v>3</v>
      </c>
      <c r="P341" s="31" t="str">
        <f>+VLOOKUP(O341,bio!$A$2:$B$4,2,FALSE)</f>
        <v>No bioeconomía</v>
      </c>
    </row>
    <row r="342" spans="1:16" x14ac:dyDescent="0.35">
      <c r="A342" s="30" t="s">
        <v>824</v>
      </c>
      <c r="B342" s="20" t="s">
        <v>141</v>
      </c>
      <c r="C342" s="9" t="str">
        <f>+VLOOKUP(B342,'transacciones '!$A$2:$I$39,2,FALSE)</f>
        <v>ATC01</v>
      </c>
      <c r="D342" s="9" t="str">
        <f>+VLOOKUP(B342,'transacciones '!$A$2:$I$39,3,FALSE)</f>
        <v>Producción / Consumo intermedio</v>
      </c>
      <c r="E342" s="9" t="str">
        <f>+VLOOKUP(B342,'transacciones '!$A$2:$I$39,4,FALSE)</f>
        <v>Producción</v>
      </c>
      <c r="F342" s="9">
        <f>+VLOOKUP(B342,'transacciones '!$A$2:$I$39,5,FALSE)</f>
        <v>1</v>
      </c>
      <c r="G342" s="9" t="str">
        <f>+VLOOKUP(B342,'transacciones '!$A$2:$I$39,6,FALSE)</f>
        <v>P1</v>
      </c>
      <c r="H342" s="9" t="str">
        <f>+VLOOKUP(B342,'transacciones '!$A$2:$I$39,7,FALSE)</f>
        <v>Producción</v>
      </c>
      <c r="I342" s="18" t="s">
        <v>440</v>
      </c>
      <c r="J342" s="18" t="s">
        <v>50</v>
      </c>
      <c r="K342" s="8" t="s">
        <v>51</v>
      </c>
      <c r="L342" s="8" t="str">
        <f>+VLOOKUP(K342,'Correl CIIU'!$A$1:$F$26,2,FALSE)</f>
        <v>Actividades inmobiliarias</v>
      </c>
      <c r="M342" s="8" t="str">
        <f>+VLOOKUP(K342,'Correl CIIU'!$A$1:$F$26,3,FALSE)</f>
        <v>Inmobiliarios</v>
      </c>
      <c r="N342" s="8" t="str">
        <f>+VLOOKUP(K342,'Correl CIIU'!$A$1:$F$26,4,FALSE)</f>
        <v>Real estate activities</v>
      </c>
      <c r="O342" s="8">
        <v>3</v>
      </c>
      <c r="P342" s="31" t="str">
        <f>+VLOOKUP(O342,bio!$A$2:$B$4,2,FALSE)</f>
        <v>No bioeconomía</v>
      </c>
    </row>
    <row r="343" spans="1:16" x14ac:dyDescent="0.35">
      <c r="A343" s="30" t="s">
        <v>825</v>
      </c>
      <c r="B343" s="20" t="s">
        <v>141</v>
      </c>
      <c r="C343" s="9" t="str">
        <f>+VLOOKUP(B343,'transacciones '!$A$2:$I$39,2,FALSE)</f>
        <v>ATC01</v>
      </c>
      <c r="D343" s="9" t="str">
        <f>+VLOOKUP(B343,'transacciones '!$A$2:$I$39,3,FALSE)</f>
        <v>Producción / Consumo intermedio</v>
      </c>
      <c r="E343" s="9" t="str">
        <f>+VLOOKUP(B343,'transacciones '!$A$2:$I$39,4,FALSE)</f>
        <v>Producción</v>
      </c>
      <c r="F343" s="9">
        <f>+VLOOKUP(B343,'transacciones '!$A$2:$I$39,5,FALSE)</f>
        <v>1</v>
      </c>
      <c r="G343" s="9" t="str">
        <f>+VLOOKUP(B343,'transacciones '!$A$2:$I$39,6,FALSE)</f>
        <v>P1</v>
      </c>
      <c r="H343" s="9" t="str">
        <f>+VLOOKUP(B343,'transacciones '!$A$2:$I$39,7,FALSE)</f>
        <v>Producción</v>
      </c>
      <c r="I343" s="18" t="s">
        <v>441</v>
      </c>
      <c r="J343" s="18" t="s">
        <v>442</v>
      </c>
      <c r="K343" s="8" t="s">
        <v>51</v>
      </c>
      <c r="L343" s="8" t="str">
        <f>+VLOOKUP(K343,'Correl CIIU'!$A$1:$F$26,2,FALSE)</f>
        <v>Actividades inmobiliarias</v>
      </c>
      <c r="M343" s="8" t="str">
        <f>+VLOOKUP(K343,'Correl CIIU'!$A$1:$F$26,3,FALSE)</f>
        <v>Inmobiliarios</v>
      </c>
      <c r="N343" s="8" t="str">
        <f>+VLOOKUP(K343,'Correl CIIU'!$A$1:$F$26,4,FALSE)</f>
        <v>Real estate activities</v>
      </c>
      <c r="O343" s="8">
        <v>3</v>
      </c>
      <c r="P343" s="31" t="str">
        <f>+VLOOKUP(O343,bio!$A$2:$B$4,2,FALSE)</f>
        <v>No bioeconomía</v>
      </c>
    </row>
    <row r="344" spans="1:16" x14ac:dyDescent="0.35">
      <c r="A344" s="30" t="s">
        <v>826</v>
      </c>
      <c r="B344" s="20" t="s">
        <v>141</v>
      </c>
      <c r="C344" s="9" t="str">
        <f>+VLOOKUP(B344,'transacciones '!$A$2:$I$39,2,FALSE)</f>
        <v>ATC01</v>
      </c>
      <c r="D344" s="9" t="str">
        <f>+VLOOKUP(B344,'transacciones '!$A$2:$I$39,3,FALSE)</f>
        <v>Producción / Consumo intermedio</v>
      </c>
      <c r="E344" s="9" t="str">
        <f>+VLOOKUP(B344,'transacciones '!$A$2:$I$39,4,FALSE)</f>
        <v>Producción</v>
      </c>
      <c r="F344" s="9">
        <f>+VLOOKUP(B344,'transacciones '!$A$2:$I$39,5,FALSE)</f>
        <v>1</v>
      </c>
      <c r="G344" s="9" t="str">
        <f>+VLOOKUP(B344,'transacciones '!$A$2:$I$39,6,FALSE)</f>
        <v>P1</v>
      </c>
      <c r="H344" s="9" t="str">
        <f>+VLOOKUP(B344,'transacciones '!$A$2:$I$39,7,FALSE)</f>
        <v>Producción</v>
      </c>
      <c r="I344" s="18" t="s">
        <v>443</v>
      </c>
      <c r="J344" s="18" t="s">
        <v>444</v>
      </c>
      <c r="K344" s="8" t="s">
        <v>54</v>
      </c>
      <c r="L344" s="8" t="str">
        <f>+VLOOKUP(K344,'Correl CIIU'!$A$1:$F$26,2,FALSE)</f>
        <v>Actividades profesionales, científicas y técnicas</v>
      </c>
      <c r="M344" s="8" t="str">
        <f>+VLOOKUP(K344,'Correl CIIU'!$A$1:$F$26,3,FALSE)</f>
        <v>Servicios profesionales</v>
      </c>
      <c r="N344" s="8" t="str">
        <f>+VLOOKUP(K344,'Correl CIIU'!$A$1:$F$26,4,FALSE)</f>
        <v>Professional, scientific and technical activities</v>
      </c>
      <c r="O344" s="8">
        <v>3</v>
      </c>
      <c r="P344" s="31" t="str">
        <f>+VLOOKUP(O344,bio!$A$2:$B$4,2,FALSE)</f>
        <v>No bioeconomía</v>
      </c>
    </row>
    <row r="345" spans="1:16" x14ac:dyDescent="0.35">
      <c r="A345" s="30" t="s">
        <v>827</v>
      </c>
      <c r="B345" s="20" t="s">
        <v>141</v>
      </c>
      <c r="C345" s="9" t="str">
        <f>+VLOOKUP(B345,'transacciones '!$A$2:$I$39,2,FALSE)</f>
        <v>ATC01</v>
      </c>
      <c r="D345" s="9" t="str">
        <f>+VLOOKUP(B345,'transacciones '!$A$2:$I$39,3,FALSE)</f>
        <v>Producción / Consumo intermedio</v>
      </c>
      <c r="E345" s="9" t="str">
        <f>+VLOOKUP(B345,'transacciones '!$A$2:$I$39,4,FALSE)</f>
        <v>Producción</v>
      </c>
      <c r="F345" s="9">
        <f>+VLOOKUP(B345,'transacciones '!$A$2:$I$39,5,FALSE)</f>
        <v>1</v>
      </c>
      <c r="G345" s="9" t="str">
        <f>+VLOOKUP(B345,'transacciones '!$A$2:$I$39,6,FALSE)</f>
        <v>P1</v>
      </c>
      <c r="H345" s="9" t="str">
        <f>+VLOOKUP(B345,'transacciones '!$A$2:$I$39,7,FALSE)</f>
        <v>Producción</v>
      </c>
      <c r="I345" s="18" t="s">
        <v>445</v>
      </c>
      <c r="J345" s="18" t="s">
        <v>446</v>
      </c>
      <c r="K345" s="8" t="s">
        <v>54</v>
      </c>
      <c r="L345" s="8" t="str">
        <f>+VLOOKUP(K345,'Correl CIIU'!$A$1:$F$26,2,FALSE)</f>
        <v>Actividades profesionales, científicas y técnicas</v>
      </c>
      <c r="M345" s="8" t="str">
        <f>+VLOOKUP(K345,'Correl CIIU'!$A$1:$F$26,3,FALSE)</f>
        <v>Servicios profesionales</v>
      </c>
      <c r="N345" s="8" t="str">
        <f>+VLOOKUP(K345,'Correl CIIU'!$A$1:$F$26,4,FALSE)</f>
        <v>Professional, scientific and technical activities</v>
      </c>
      <c r="O345" s="8">
        <v>3</v>
      </c>
      <c r="P345" s="31" t="str">
        <f>+VLOOKUP(O345,bio!$A$2:$B$4,2,FALSE)</f>
        <v>No bioeconomía</v>
      </c>
    </row>
    <row r="346" spans="1:16" x14ac:dyDescent="0.35">
      <c r="A346" s="30" t="s">
        <v>828</v>
      </c>
      <c r="B346" s="20" t="s">
        <v>141</v>
      </c>
      <c r="C346" s="9" t="str">
        <f>+VLOOKUP(B346,'transacciones '!$A$2:$I$39,2,FALSE)</f>
        <v>ATC01</v>
      </c>
      <c r="D346" s="9" t="str">
        <f>+VLOOKUP(B346,'transacciones '!$A$2:$I$39,3,FALSE)</f>
        <v>Producción / Consumo intermedio</v>
      </c>
      <c r="E346" s="9" t="str">
        <f>+VLOOKUP(B346,'transacciones '!$A$2:$I$39,4,FALSE)</f>
        <v>Producción</v>
      </c>
      <c r="F346" s="9">
        <f>+VLOOKUP(B346,'transacciones '!$A$2:$I$39,5,FALSE)</f>
        <v>1</v>
      </c>
      <c r="G346" s="9" t="str">
        <f>+VLOOKUP(B346,'transacciones '!$A$2:$I$39,6,FALSE)</f>
        <v>P1</v>
      </c>
      <c r="H346" s="9" t="str">
        <f>+VLOOKUP(B346,'transacciones '!$A$2:$I$39,7,FALSE)</f>
        <v>Producción</v>
      </c>
      <c r="I346" s="18" t="s">
        <v>447</v>
      </c>
      <c r="J346" s="18" t="s">
        <v>448</v>
      </c>
      <c r="K346" s="8" t="s">
        <v>54</v>
      </c>
      <c r="L346" s="8" t="str">
        <f>+VLOOKUP(K346,'Correl CIIU'!$A$1:$F$26,2,FALSE)</f>
        <v>Actividades profesionales, científicas y técnicas</v>
      </c>
      <c r="M346" s="8" t="str">
        <f>+VLOOKUP(K346,'Correl CIIU'!$A$1:$F$26,3,FALSE)</f>
        <v>Servicios profesionales</v>
      </c>
      <c r="N346" s="8" t="str">
        <f>+VLOOKUP(K346,'Correl CIIU'!$A$1:$F$26,4,FALSE)</f>
        <v>Professional, scientific and technical activities</v>
      </c>
      <c r="O346" s="8">
        <v>2</v>
      </c>
      <c r="P346" s="31" t="str">
        <f>+VLOOKUP(O346,bio!$A$2:$B$4,2,FALSE)</f>
        <v>Bioeconomía extendida</v>
      </c>
    </row>
    <row r="347" spans="1:16" x14ac:dyDescent="0.35">
      <c r="A347" s="30" t="s">
        <v>829</v>
      </c>
      <c r="B347" s="20" t="s">
        <v>141</v>
      </c>
      <c r="C347" s="9" t="str">
        <f>+VLOOKUP(B347,'transacciones '!$A$2:$I$39,2,FALSE)</f>
        <v>ATC01</v>
      </c>
      <c r="D347" s="9" t="str">
        <f>+VLOOKUP(B347,'transacciones '!$A$2:$I$39,3,FALSE)</f>
        <v>Producción / Consumo intermedio</v>
      </c>
      <c r="E347" s="9" t="str">
        <f>+VLOOKUP(B347,'transacciones '!$A$2:$I$39,4,FALSE)</f>
        <v>Producción</v>
      </c>
      <c r="F347" s="9">
        <f>+VLOOKUP(B347,'transacciones '!$A$2:$I$39,5,FALSE)</f>
        <v>1</v>
      </c>
      <c r="G347" s="9" t="str">
        <f>+VLOOKUP(B347,'transacciones '!$A$2:$I$39,6,FALSE)</f>
        <v>P1</v>
      </c>
      <c r="H347" s="9" t="str">
        <f>+VLOOKUP(B347,'transacciones '!$A$2:$I$39,7,FALSE)</f>
        <v>Producción</v>
      </c>
      <c r="I347" s="18" t="s">
        <v>449</v>
      </c>
      <c r="J347" s="18" t="s">
        <v>450</v>
      </c>
      <c r="K347" s="8" t="s">
        <v>118</v>
      </c>
      <c r="L347" s="8" t="str">
        <f>+VLOOKUP(K347,'Correl CIIU'!$A$1:$F$26,2,FALSE)</f>
        <v>Actividades de servicios administrativos y de apoyo</v>
      </c>
      <c r="M347" s="8" t="str">
        <f>+VLOOKUP(K347,'Correl CIIU'!$A$1:$F$26,3,FALSE)</f>
        <v>Servicios administrativos</v>
      </c>
      <c r="N347" s="8" t="str">
        <f>+VLOOKUP(K347,'Correl CIIU'!$A$1:$F$26,4,FALSE)</f>
        <v>Administrative and support service activities</v>
      </c>
      <c r="O347" s="8">
        <v>3</v>
      </c>
      <c r="P347" s="31" t="str">
        <f>+VLOOKUP(O347,bio!$A$2:$B$4,2,FALSE)</f>
        <v>No bioeconomía</v>
      </c>
    </row>
    <row r="348" spans="1:16" x14ac:dyDescent="0.35">
      <c r="A348" s="30" t="s">
        <v>830</v>
      </c>
      <c r="B348" s="20" t="s">
        <v>141</v>
      </c>
      <c r="C348" s="9" t="str">
        <f>+VLOOKUP(B348,'transacciones '!$A$2:$I$39,2,FALSE)</f>
        <v>ATC01</v>
      </c>
      <c r="D348" s="9" t="str">
        <f>+VLOOKUP(B348,'transacciones '!$A$2:$I$39,3,FALSE)</f>
        <v>Producción / Consumo intermedio</v>
      </c>
      <c r="E348" s="9" t="str">
        <f>+VLOOKUP(B348,'transacciones '!$A$2:$I$39,4,FALSE)</f>
        <v>Producción</v>
      </c>
      <c r="F348" s="9">
        <f>+VLOOKUP(B348,'transacciones '!$A$2:$I$39,5,FALSE)</f>
        <v>1</v>
      </c>
      <c r="G348" s="9" t="str">
        <f>+VLOOKUP(B348,'transacciones '!$A$2:$I$39,6,FALSE)</f>
        <v>P1</v>
      </c>
      <c r="H348" s="9" t="str">
        <f>+VLOOKUP(B348,'transacciones '!$A$2:$I$39,7,FALSE)</f>
        <v>Producción</v>
      </c>
      <c r="I348" s="18" t="s">
        <v>451</v>
      </c>
      <c r="J348" s="18" t="s">
        <v>452</v>
      </c>
      <c r="K348" s="8" t="s">
        <v>118</v>
      </c>
      <c r="L348" s="8" t="str">
        <f>+VLOOKUP(K348,'Correl CIIU'!$A$1:$F$26,2,FALSE)</f>
        <v>Actividades de servicios administrativos y de apoyo</v>
      </c>
      <c r="M348" s="8" t="str">
        <f>+VLOOKUP(K348,'Correl CIIU'!$A$1:$F$26,3,FALSE)</f>
        <v>Servicios administrativos</v>
      </c>
      <c r="N348" s="8" t="str">
        <f>+VLOOKUP(K348,'Correl CIIU'!$A$1:$F$26,4,FALSE)</f>
        <v>Administrative and support service activities</v>
      </c>
      <c r="O348" s="8">
        <v>3</v>
      </c>
      <c r="P348" s="31" t="str">
        <f>+VLOOKUP(O348,bio!$A$2:$B$4,2,FALSE)</f>
        <v>No bioeconomía</v>
      </c>
    </row>
    <row r="349" spans="1:16" x14ac:dyDescent="0.35">
      <c r="A349" s="30" t="s">
        <v>831</v>
      </c>
      <c r="B349" s="20" t="s">
        <v>141</v>
      </c>
      <c r="C349" s="9" t="str">
        <f>+VLOOKUP(B349,'transacciones '!$A$2:$I$39,2,FALSE)</f>
        <v>ATC01</v>
      </c>
      <c r="D349" s="9" t="str">
        <f>+VLOOKUP(B349,'transacciones '!$A$2:$I$39,3,FALSE)</f>
        <v>Producción / Consumo intermedio</v>
      </c>
      <c r="E349" s="9" t="str">
        <f>+VLOOKUP(B349,'transacciones '!$A$2:$I$39,4,FALSE)</f>
        <v>Producción</v>
      </c>
      <c r="F349" s="9">
        <f>+VLOOKUP(B349,'transacciones '!$A$2:$I$39,5,FALSE)</f>
        <v>1</v>
      </c>
      <c r="G349" s="9" t="str">
        <f>+VLOOKUP(B349,'transacciones '!$A$2:$I$39,6,FALSE)</f>
        <v>P1</v>
      </c>
      <c r="H349" s="9" t="str">
        <f>+VLOOKUP(B349,'transacciones '!$A$2:$I$39,7,FALSE)</f>
        <v>Producción</v>
      </c>
      <c r="I349" s="18" t="s">
        <v>453</v>
      </c>
      <c r="J349" s="18" t="s">
        <v>137</v>
      </c>
      <c r="K349" s="8" t="s">
        <v>67</v>
      </c>
      <c r="L349" s="8" t="str">
        <f>+VLOOKUP(K349,'Correl CIIU'!$A$1:$F$26,2,FALSE)</f>
        <v>Administración pública y defensa; planes de seguridad social de afiliación obligatoria</v>
      </c>
      <c r="M349" s="8" t="str">
        <f>+VLOOKUP(K349,'Correl CIIU'!$A$1:$F$26,3,FALSE)</f>
        <v>Administración pública</v>
      </c>
      <c r="N349" s="8" t="str">
        <f>+VLOOKUP(K349,'Correl CIIU'!$A$1:$F$26,4,FALSE)</f>
        <v>Public administration and defence; compulsory social security</v>
      </c>
      <c r="O349" s="8">
        <v>3</v>
      </c>
      <c r="P349" s="31" t="str">
        <f>+VLOOKUP(O349,bio!$A$2:$B$4,2,FALSE)</f>
        <v>No bioeconomía</v>
      </c>
    </row>
    <row r="350" spans="1:16" x14ac:dyDescent="0.35">
      <c r="A350" s="30" t="s">
        <v>832</v>
      </c>
      <c r="B350" s="20" t="s">
        <v>141</v>
      </c>
      <c r="C350" s="9" t="str">
        <f>+VLOOKUP(B350,'transacciones '!$A$2:$I$39,2,FALSE)</f>
        <v>ATC01</v>
      </c>
      <c r="D350" s="9" t="str">
        <f>+VLOOKUP(B350,'transacciones '!$A$2:$I$39,3,FALSE)</f>
        <v>Producción / Consumo intermedio</v>
      </c>
      <c r="E350" s="9" t="str">
        <f>+VLOOKUP(B350,'transacciones '!$A$2:$I$39,4,FALSE)</f>
        <v>Producción</v>
      </c>
      <c r="F350" s="9">
        <f>+VLOOKUP(B350,'transacciones '!$A$2:$I$39,5,FALSE)</f>
        <v>1</v>
      </c>
      <c r="G350" s="9" t="str">
        <f>+VLOOKUP(B350,'transacciones '!$A$2:$I$39,6,FALSE)</f>
        <v>P1</v>
      </c>
      <c r="H350" s="9" t="str">
        <f>+VLOOKUP(B350,'transacciones '!$A$2:$I$39,7,FALSE)</f>
        <v>Producción</v>
      </c>
      <c r="I350" s="18" t="s">
        <v>454</v>
      </c>
      <c r="J350" s="18" t="s">
        <v>455</v>
      </c>
      <c r="K350" s="8" t="s">
        <v>57</v>
      </c>
      <c r="L350" s="8" t="str">
        <f>+VLOOKUP(K350,'Correl CIIU'!$A$1:$F$26,2,FALSE)</f>
        <v>Enseñanza</v>
      </c>
      <c r="M350" s="8" t="str">
        <f>+VLOOKUP(K350,'Correl CIIU'!$A$1:$F$26,3,FALSE)</f>
        <v>Enseñanza</v>
      </c>
      <c r="N350" s="8" t="str">
        <f>+VLOOKUP(K350,'Correl CIIU'!$A$1:$F$26,4,FALSE)</f>
        <v>Education</v>
      </c>
      <c r="O350" s="8">
        <v>3</v>
      </c>
      <c r="P350" s="31" t="str">
        <f>+VLOOKUP(O350,bio!$A$2:$B$4,2,FALSE)</f>
        <v>No bioeconomía</v>
      </c>
    </row>
    <row r="351" spans="1:16" x14ac:dyDescent="0.35">
      <c r="A351" s="30" t="s">
        <v>833</v>
      </c>
      <c r="B351" s="20" t="s">
        <v>141</v>
      </c>
      <c r="C351" s="9" t="str">
        <f>+VLOOKUP(B351,'transacciones '!$A$2:$I$39,2,FALSE)</f>
        <v>ATC01</v>
      </c>
      <c r="D351" s="9" t="str">
        <f>+VLOOKUP(B351,'transacciones '!$A$2:$I$39,3,FALSE)</f>
        <v>Producción / Consumo intermedio</v>
      </c>
      <c r="E351" s="9" t="str">
        <f>+VLOOKUP(B351,'transacciones '!$A$2:$I$39,4,FALSE)</f>
        <v>Producción</v>
      </c>
      <c r="F351" s="9">
        <f>+VLOOKUP(B351,'transacciones '!$A$2:$I$39,5,FALSE)</f>
        <v>1</v>
      </c>
      <c r="G351" s="9" t="str">
        <f>+VLOOKUP(B351,'transacciones '!$A$2:$I$39,6,FALSE)</f>
        <v>P1</v>
      </c>
      <c r="H351" s="9" t="str">
        <f>+VLOOKUP(B351,'transacciones '!$A$2:$I$39,7,FALSE)</f>
        <v>Producción</v>
      </c>
      <c r="I351" s="18" t="s">
        <v>456</v>
      </c>
      <c r="J351" s="18" t="s">
        <v>457</v>
      </c>
      <c r="K351" s="8" t="s">
        <v>57</v>
      </c>
      <c r="L351" s="8" t="str">
        <f>+VLOOKUP(K351,'Correl CIIU'!$A$1:$F$26,2,FALSE)</f>
        <v>Enseñanza</v>
      </c>
      <c r="M351" s="8" t="str">
        <f>+VLOOKUP(K351,'Correl CIIU'!$A$1:$F$26,3,FALSE)</f>
        <v>Enseñanza</v>
      </c>
      <c r="N351" s="8" t="str">
        <f>+VLOOKUP(K351,'Correl CIIU'!$A$1:$F$26,4,FALSE)</f>
        <v>Education</v>
      </c>
      <c r="O351" s="8">
        <v>3</v>
      </c>
      <c r="P351" s="31" t="str">
        <f>+VLOOKUP(O351,bio!$A$2:$B$4,2,FALSE)</f>
        <v>No bioeconomía</v>
      </c>
    </row>
    <row r="352" spans="1:16" x14ac:dyDescent="0.35">
      <c r="A352" s="30" t="s">
        <v>834</v>
      </c>
      <c r="B352" s="20" t="s">
        <v>141</v>
      </c>
      <c r="C352" s="9" t="str">
        <f>+VLOOKUP(B352,'transacciones '!$A$2:$I$39,2,FALSE)</f>
        <v>ATC01</v>
      </c>
      <c r="D352" s="9" t="str">
        <f>+VLOOKUP(B352,'transacciones '!$A$2:$I$39,3,FALSE)</f>
        <v>Producción / Consumo intermedio</v>
      </c>
      <c r="E352" s="9" t="str">
        <f>+VLOOKUP(B352,'transacciones '!$A$2:$I$39,4,FALSE)</f>
        <v>Producción</v>
      </c>
      <c r="F352" s="9">
        <f>+VLOOKUP(B352,'transacciones '!$A$2:$I$39,5,FALSE)</f>
        <v>1</v>
      </c>
      <c r="G352" s="9" t="str">
        <f>+VLOOKUP(B352,'transacciones '!$A$2:$I$39,6,FALSE)</f>
        <v>P1</v>
      </c>
      <c r="H352" s="9" t="str">
        <f>+VLOOKUP(B352,'transacciones '!$A$2:$I$39,7,FALSE)</f>
        <v>Producción</v>
      </c>
      <c r="I352" s="18" t="s">
        <v>458</v>
      </c>
      <c r="J352" s="18" t="s">
        <v>459</v>
      </c>
      <c r="K352" s="8" t="s">
        <v>60</v>
      </c>
      <c r="L352" s="8" t="str">
        <f>+VLOOKUP(K352,'Correl CIIU'!$A$1:$F$26,2,FALSE)</f>
        <v>Actividades de atención de la salud humana y de asistencia social</v>
      </c>
      <c r="M352" s="8" t="str">
        <f>+VLOOKUP(K352,'Correl CIIU'!$A$1:$F$26,3,FALSE)</f>
        <v>Salud</v>
      </c>
      <c r="N352" s="8" t="str">
        <f>+VLOOKUP(K352,'Correl CIIU'!$A$1:$F$26,4,FALSE)</f>
        <v>Human health and social work activities</v>
      </c>
      <c r="O352" s="8">
        <v>3</v>
      </c>
      <c r="P352" s="31" t="str">
        <f>+VLOOKUP(O352,bio!$A$2:$B$4,2,FALSE)</f>
        <v>No bioeconomía</v>
      </c>
    </row>
    <row r="353" spans="1:16" x14ac:dyDescent="0.35">
      <c r="A353" s="30" t="s">
        <v>835</v>
      </c>
      <c r="B353" s="20" t="s">
        <v>141</v>
      </c>
      <c r="C353" s="9" t="str">
        <f>+VLOOKUP(B353,'transacciones '!$A$2:$I$39,2,FALSE)</f>
        <v>ATC01</v>
      </c>
      <c r="D353" s="9" t="str">
        <f>+VLOOKUP(B353,'transacciones '!$A$2:$I$39,3,FALSE)</f>
        <v>Producción / Consumo intermedio</v>
      </c>
      <c r="E353" s="9" t="str">
        <f>+VLOOKUP(B353,'transacciones '!$A$2:$I$39,4,FALSE)</f>
        <v>Producción</v>
      </c>
      <c r="F353" s="9">
        <f>+VLOOKUP(B353,'transacciones '!$A$2:$I$39,5,FALSE)</f>
        <v>1</v>
      </c>
      <c r="G353" s="9" t="str">
        <f>+VLOOKUP(B353,'transacciones '!$A$2:$I$39,6,FALSE)</f>
        <v>P1</v>
      </c>
      <c r="H353" s="9" t="str">
        <f>+VLOOKUP(B353,'transacciones '!$A$2:$I$39,7,FALSE)</f>
        <v>Producción</v>
      </c>
      <c r="I353" s="18" t="s">
        <v>460</v>
      </c>
      <c r="J353" s="18" t="s">
        <v>461</v>
      </c>
      <c r="K353" s="8" t="s">
        <v>60</v>
      </c>
      <c r="L353" s="8" t="str">
        <f>+VLOOKUP(K353,'Correl CIIU'!$A$1:$F$26,2,FALSE)</f>
        <v>Actividades de atención de la salud humana y de asistencia social</v>
      </c>
      <c r="M353" s="8" t="str">
        <f>+VLOOKUP(K353,'Correl CIIU'!$A$1:$F$26,3,FALSE)</f>
        <v>Salud</v>
      </c>
      <c r="N353" s="8" t="str">
        <f>+VLOOKUP(K353,'Correl CIIU'!$A$1:$F$26,4,FALSE)</f>
        <v>Human health and social work activities</v>
      </c>
      <c r="O353" s="8">
        <v>3</v>
      </c>
      <c r="P353" s="31" t="str">
        <f>+VLOOKUP(O353,bio!$A$2:$B$4,2,FALSE)</f>
        <v>No bioeconomía</v>
      </c>
    </row>
    <row r="354" spans="1:16" x14ac:dyDescent="0.35">
      <c r="A354" s="30" t="s">
        <v>836</v>
      </c>
      <c r="B354" s="20" t="s">
        <v>141</v>
      </c>
      <c r="C354" s="9" t="str">
        <f>+VLOOKUP(B354,'transacciones '!$A$2:$I$39,2,FALSE)</f>
        <v>ATC01</v>
      </c>
      <c r="D354" s="9" t="str">
        <f>+VLOOKUP(B354,'transacciones '!$A$2:$I$39,3,FALSE)</f>
        <v>Producción / Consumo intermedio</v>
      </c>
      <c r="E354" s="9" t="str">
        <f>+VLOOKUP(B354,'transacciones '!$A$2:$I$39,4,FALSE)</f>
        <v>Producción</v>
      </c>
      <c r="F354" s="9">
        <f>+VLOOKUP(B354,'transacciones '!$A$2:$I$39,5,FALSE)</f>
        <v>1</v>
      </c>
      <c r="G354" s="9" t="str">
        <f>+VLOOKUP(B354,'transacciones '!$A$2:$I$39,6,FALSE)</f>
        <v>P1</v>
      </c>
      <c r="H354" s="9" t="str">
        <f>+VLOOKUP(B354,'transacciones '!$A$2:$I$39,7,FALSE)</f>
        <v>Producción</v>
      </c>
      <c r="I354" s="18" t="s">
        <v>462</v>
      </c>
      <c r="J354" s="18" t="s">
        <v>463</v>
      </c>
      <c r="K354" s="8" t="s">
        <v>125</v>
      </c>
      <c r="L354" s="8" t="str">
        <f>+VLOOKUP(K354,'Correl CIIU'!$A$1:$F$26,2,FALSE)</f>
        <v>Actividades artísticas, de entretenimiento y recreativas</v>
      </c>
      <c r="M354" s="8" t="str">
        <f>+VLOOKUP(K354,'Correl CIIU'!$A$1:$F$26,3,FALSE)</f>
        <v>Recreación</v>
      </c>
      <c r="N354" s="8" t="str">
        <f>+VLOOKUP(K354,'Correl CIIU'!$A$1:$F$26,4,FALSE)</f>
        <v>Arts, entertainment and recreation</v>
      </c>
      <c r="O354" s="8">
        <v>3</v>
      </c>
      <c r="P354" s="31" t="str">
        <f>+VLOOKUP(O354,bio!$A$2:$B$4,2,FALSE)</f>
        <v>No bioeconomía</v>
      </c>
    </row>
    <row r="355" spans="1:16" x14ac:dyDescent="0.35">
      <c r="A355" s="30" t="s">
        <v>837</v>
      </c>
      <c r="B355" s="20" t="s">
        <v>141</v>
      </c>
      <c r="C355" s="9" t="str">
        <f>+VLOOKUP(B355,'transacciones '!$A$2:$I$39,2,FALSE)</f>
        <v>ATC01</v>
      </c>
      <c r="D355" s="9" t="str">
        <f>+VLOOKUP(B355,'transacciones '!$A$2:$I$39,3,FALSE)</f>
        <v>Producción / Consumo intermedio</v>
      </c>
      <c r="E355" s="9" t="str">
        <f>+VLOOKUP(B355,'transacciones '!$A$2:$I$39,4,FALSE)</f>
        <v>Producción</v>
      </c>
      <c r="F355" s="9">
        <f>+VLOOKUP(B355,'transacciones '!$A$2:$I$39,5,FALSE)</f>
        <v>1</v>
      </c>
      <c r="G355" s="9" t="str">
        <f>+VLOOKUP(B355,'transacciones '!$A$2:$I$39,6,FALSE)</f>
        <v>P1</v>
      </c>
      <c r="H355" s="9" t="str">
        <f>+VLOOKUP(B355,'transacciones '!$A$2:$I$39,7,FALSE)</f>
        <v>Producción</v>
      </c>
      <c r="I355" s="18" t="s">
        <v>464</v>
      </c>
      <c r="J355" s="18" t="s">
        <v>465</v>
      </c>
      <c r="K355" s="8" t="s">
        <v>125</v>
      </c>
      <c r="L355" s="8" t="str">
        <f>+VLOOKUP(K355,'Correl CIIU'!$A$1:$F$26,2,FALSE)</f>
        <v>Actividades artísticas, de entretenimiento y recreativas</v>
      </c>
      <c r="M355" s="8" t="str">
        <f>+VLOOKUP(K355,'Correl CIIU'!$A$1:$F$26,3,FALSE)</f>
        <v>Recreación</v>
      </c>
      <c r="N355" s="8" t="str">
        <f>+VLOOKUP(K355,'Correl CIIU'!$A$1:$F$26,4,FALSE)</f>
        <v>Arts, entertainment and recreation</v>
      </c>
      <c r="O355" s="8">
        <v>3</v>
      </c>
      <c r="P355" s="31" t="str">
        <f>+VLOOKUP(O355,bio!$A$2:$B$4,2,FALSE)</f>
        <v>No bioeconomía</v>
      </c>
    </row>
    <row r="356" spans="1:16" x14ac:dyDescent="0.35">
      <c r="A356" s="30" t="s">
        <v>838</v>
      </c>
      <c r="B356" s="46" t="s">
        <v>141</v>
      </c>
      <c r="C356" s="47" t="str">
        <f>+VLOOKUP(B356,'transacciones '!$A$2:$I$39,2,FALSE)</f>
        <v>ATC01</v>
      </c>
      <c r="D356" s="47" t="str">
        <f>+VLOOKUP(B356,'transacciones '!$A$2:$I$39,3,FALSE)</f>
        <v>Producción / Consumo intermedio</v>
      </c>
      <c r="E356" s="47" t="str">
        <f>+VLOOKUP(B356,'transacciones '!$A$2:$I$39,4,FALSE)</f>
        <v>Producción</v>
      </c>
      <c r="F356" s="47">
        <f>+VLOOKUP(B356,'transacciones '!$A$2:$I$39,5,FALSE)</f>
        <v>1</v>
      </c>
      <c r="G356" s="47" t="str">
        <f>+VLOOKUP(B356,'transacciones '!$A$2:$I$39,6,FALSE)</f>
        <v>P1</v>
      </c>
      <c r="H356" s="47" t="str">
        <f>+VLOOKUP(B356,'transacciones '!$A$2:$I$39,7,FALSE)</f>
        <v>Producción</v>
      </c>
      <c r="I356" s="18" t="s">
        <v>466</v>
      </c>
      <c r="J356" s="18" t="s">
        <v>467</v>
      </c>
      <c r="K356" s="49" t="s">
        <v>62</v>
      </c>
      <c r="L356" s="49" t="str">
        <f>+VLOOKUP(K356,'Correl CIIU'!$A$1:$F$26,2,FALSE)</f>
        <v>Otras actividades de servicios</v>
      </c>
      <c r="M356" s="49" t="str">
        <f>+VLOOKUP(K356,'Correl CIIU'!$A$1:$F$26,3,FALSE)</f>
        <v>Otros servicios</v>
      </c>
      <c r="N356" s="49" t="str">
        <f>+VLOOKUP(K356,'Correl CIIU'!$A$1:$F$26,4,FALSE)</f>
        <v>Other service activities</v>
      </c>
      <c r="O356" s="49">
        <v>3</v>
      </c>
      <c r="P356" s="50" t="str">
        <f>+VLOOKUP(O356,bio!$A$2:$B$4,2,FALSE)</f>
        <v>No bioeconomía</v>
      </c>
    </row>
    <row r="357" spans="1:16" x14ac:dyDescent="0.35">
      <c r="A357" s="34" t="s">
        <v>839</v>
      </c>
      <c r="B357" s="35"/>
      <c r="C357" s="36"/>
      <c r="D357" s="36"/>
      <c r="E357" s="36"/>
      <c r="F357" s="36"/>
      <c r="G357" s="36"/>
      <c r="H357" s="36"/>
      <c r="I357" s="37" t="s">
        <v>468</v>
      </c>
      <c r="J357" s="37" t="s">
        <v>468</v>
      </c>
      <c r="K357" s="35"/>
      <c r="L357" s="35"/>
      <c r="M357" s="35"/>
      <c r="N357" s="35"/>
      <c r="O357" s="35"/>
      <c r="P357" s="5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285E-AE2F-446B-BE4F-863E285640A2}">
  <dimension ref="A1:F26"/>
  <sheetViews>
    <sheetView workbookViewId="0">
      <selection activeCell="B41" sqref="B41"/>
    </sheetView>
  </sheetViews>
  <sheetFormatPr defaultRowHeight="14.5" x14ac:dyDescent="0.35"/>
  <cols>
    <col min="2" max="2" width="51.1796875" customWidth="1"/>
  </cols>
  <sheetData>
    <row r="1" spans="1:6" x14ac:dyDescent="0.35">
      <c r="A1" s="2" t="s">
        <v>10</v>
      </c>
      <c r="B1" s="2" t="s">
        <v>11</v>
      </c>
      <c r="C1" s="2" t="s">
        <v>12</v>
      </c>
      <c r="D1" s="2" t="s">
        <v>13</v>
      </c>
      <c r="E1" s="2"/>
      <c r="F1" s="2"/>
    </row>
    <row r="2" spans="1:6" x14ac:dyDescent="0.35">
      <c r="A2" s="3" t="s">
        <v>17</v>
      </c>
      <c r="B2" s="3" t="s">
        <v>89</v>
      </c>
      <c r="C2" s="3" t="s">
        <v>90</v>
      </c>
      <c r="D2" s="3" t="s">
        <v>91</v>
      </c>
      <c r="E2" s="3"/>
      <c r="F2" s="3"/>
    </row>
    <row r="3" spans="1:6" x14ac:dyDescent="0.35">
      <c r="A3" s="3" t="s">
        <v>19</v>
      </c>
      <c r="B3" s="3" t="s">
        <v>18</v>
      </c>
      <c r="C3" s="3" t="s">
        <v>92</v>
      </c>
      <c r="D3" s="3" t="s">
        <v>93</v>
      </c>
      <c r="E3" s="3"/>
      <c r="F3" s="3"/>
    </row>
    <row r="4" spans="1:6" x14ac:dyDescent="0.35">
      <c r="A4" s="3" t="s">
        <v>20</v>
      </c>
      <c r="B4" s="3" t="s">
        <v>94</v>
      </c>
      <c r="C4" s="3" t="s">
        <v>95</v>
      </c>
      <c r="D4" s="3" t="s">
        <v>96</v>
      </c>
      <c r="E4" s="3"/>
      <c r="F4" s="3"/>
    </row>
    <row r="5" spans="1:6" x14ac:dyDescent="0.35">
      <c r="A5" s="3" t="s">
        <v>20</v>
      </c>
      <c r="B5" s="3" t="s">
        <v>94</v>
      </c>
      <c r="C5" s="3" t="s">
        <v>95</v>
      </c>
      <c r="D5" s="3" t="s">
        <v>96</v>
      </c>
      <c r="E5" s="3"/>
      <c r="F5" s="3"/>
    </row>
    <row r="6" spans="1:6" x14ac:dyDescent="0.35">
      <c r="A6" s="3" t="s">
        <v>20</v>
      </c>
      <c r="B6" s="3" t="s">
        <v>94</v>
      </c>
      <c r="C6" s="3" t="s">
        <v>95</v>
      </c>
      <c r="D6" s="3" t="s">
        <v>96</v>
      </c>
      <c r="E6" s="3"/>
      <c r="F6" s="3"/>
    </row>
    <row r="7" spans="1:6" x14ac:dyDescent="0.35">
      <c r="A7" s="3" t="s">
        <v>30</v>
      </c>
      <c r="B7" s="3" t="s">
        <v>97</v>
      </c>
      <c r="C7" s="3" t="s">
        <v>98</v>
      </c>
      <c r="D7" s="3" t="s">
        <v>99</v>
      </c>
      <c r="E7" s="3"/>
      <c r="F7" s="3"/>
    </row>
    <row r="8" spans="1:6" x14ac:dyDescent="0.35">
      <c r="A8" s="3" t="s">
        <v>32</v>
      </c>
      <c r="B8" s="3" t="s">
        <v>100</v>
      </c>
      <c r="C8" s="3" t="s">
        <v>101</v>
      </c>
      <c r="D8" s="3" t="s">
        <v>102</v>
      </c>
      <c r="E8" s="3"/>
      <c r="F8" s="3"/>
    </row>
    <row r="9" spans="1:6" x14ac:dyDescent="0.35">
      <c r="A9" s="3" t="s">
        <v>35</v>
      </c>
      <c r="B9" s="3" t="s">
        <v>34</v>
      </c>
      <c r="C9" s="3" t="s">
        <v>34</v>
      </c>
      <c r="D9" s="3" t="s">
        <v>103</v>
      </c>
      <c r="E9" s="3"/>
      <c r="F9" s="3"/>
    </row>
    <row r="10" spans="1:6" x14ac:dyDescent="0.35">
      <c r="A10" s="3" t="s">
        <v>38</v>
      </c>
      <c r="B10" s="3" t="s">
        <v>104</v>
      </c>
      <c r="C10" s="3" t="s">
        <v>37</v>
      </c>
      <c r="D10" s="3" t="s">
        <v>105</v>
      </c>
      <c r="E10" s="3"/>
      <c r="F10" s="3"/>
    </row>
    <row r="11" spans="1:6" x14ac:dyDescent="0.35">
      <c r="A11" s="3" t="s">
        <v>41</v>
      </c>
      <c r="B11" s="3" t="s">
        <v>40</v>
      </c>
      <c r="C11" s="3" t="s">
        <v>40</v>
      </c>
      <c r="D11" s="3" t="s">
        <v>106</v>
      </c>
      <c r="E11" s="3"/>
      <c r="F11" s="3"/>
    </row>
    <row r="12" spans="1:6" x14ac:dyDescent="0.35">
      <c r="A12" s="3" t="s">
        <v>45</v>
      </c>
      <c r="B12" s="3" t="s">
        <v>107</v>
      </c>
      <c r="C12" s="3" t="s">
        <v>107</v>
      </c>
      <c r="D12" s="3" t="s">
        <v>108</v>
      </c>
      <c r="E12" s="3"/>
      <c r="F12" s="3"/>
    </row>
    <row r="13" spans="1:6" x14ac:dyDescent="0.35">
      <c r="A13" s="3" t="s">
        <v>43</v>
      </c>
      <c r="B13" s="3" t="s">
        <v>109</v>
      </c>
      <c r="C13" s="3" t="s">
        <v>110</v>
      </c>
      <c r="D13" s="3" t="s">
        <v>111</v>
      </c>
      <c r="E13" s="3"/>
      <c r="F13" s="3"/>
    </row>
    <row r="14" spans="1:6" x14ac:dyDescent="0.35">
      <c r="A14" s="3" t="s">
        <v>48</v>
      </c>
      <c r="B14" s="3" t="s">
        <v>47</v>
      </c>
      <c r="C14" s="3" t="s">
        <v>112</v>
      </c>
      <c r="D14" s="3" t="s">
        <v>113</v>
      </c>
      <c r="E14" s="3"/>
      <c r="F14" s="3"/>
    </row>
    <row r="15" spans="1:6" x14ac:dyDescent="0.35">
      <c r="A15" s="3" t="s">
        <v>51</v>
      </c>
      <c r="B15" s="3" t="s">
        <v>50</v>
      </c>
      <c r="C15" s="3" t="s">
        <v>114</v>
      </c>
      <c r="D15" s="3" t="s">
        <v>115</v>
      </c>
      <c r="E15" s="3"/>
      <c r="F15" s="3"/>
    </row>
    <row r="16" spans="1:6" x14ac:dyDescent="0.35">
      <c r="A16" s="3" t="s">
        <v>54</v>
      </c>
      <c r="B16" s="3" t="s">
        <v>53</v>
      </c>
      <c r="C16" s="3" t="s">
        <v>116</v>
      </c>
      <c r="D16" s="3" t="s">
        <v>117</v>
      </c>
      <c r="E16" s="3"/>
      <c r="F16" s="3"/>
    </row>
    <row r="17" spans="1:6" x14ac:dyDescent="0.35">
      <c r="A17" s="3" t="s">
        <v>118</v>
      </c>
      <c r="B17" s="3" t="s">
        <v>119</v>
      </c>
      <c r="C17" s="3" t="s">
        <v>120</v>
      </c>
      <c r="D17" s="3" t="s">
        <v>121</v>
      </c>
      <c r="E17" s="3"/>
      <c r="F17" s="3"/>
    </row>
    <row r="18" spans="1:6" x14ac:dyDescent="0.35">
      <c r="A18" s="3" t="s">
        <v>57</v>
      </c>
      <c r="B18" s="3" t="s">
        <v>56</v>
      </c>
      <c r="C18" s="3" t="s">
        <v>56</v>
      </c>
      <c r="D18" s="3" t="s">
        <v>122</v>
      </c>
      <c r="E18" s="3"/>
      <c r="F18" s="3"/>
    </row>
    <row r="19" spans="1:6" x14ac:dyDescent="0.35">
      <c r="A19" s="3" t="s">
        <v>60</v>
      </c>
      <c r="B19" s="3" t="s">
        <v>123</v>
      </c>
      <c r="C19" s="3" t="s">
        <v>59</v>
      </c>
      <c r="D19" s="3" t="s">
        <v>124</v>
      </c>
      <c r="E19" s="3"/>
      <c r="F19" s="3"/>
    </row>
    <row r="20" spans="1:6" x14ac:dyDescent="0.35">
      <c r="A20" s="3" t="s">
        <v>125</v>
      </c>
      <c r="B20" s="3" t="s">
        <v>126</v>
      </c>
      <c r="C20" s="3" t="s">
        <v>127</v>
      </c>
      <c r="D20" s="3" t="s">
        <v>128</v>
      </c>
      <c r="E20" s="3"/>
      <c r="F20" s="3"/>
    </row>
    <row r="21" spans="1:6" x14ac:dyDescent="0.35">
      <c r="A21" s="3" t="s">
        <v>62</v>
      </c>
      <c r="B21" s="3" t="s">
        <v>78</v>
      </c>
      <c r="C21" s="3" t="s">
        <v>129</v>
      </c>
      <c r="D21" s="3" t="s">
        <v>130</v>
      </c>
      <c r="E21" s="3"/>
      <c r="F21" s="3"/>
    </row>
    <row r="22" spans="1:6" x14ac:dyDescent="0.35">
      <c r="A22" s="3" t="s">
        <v>131</v>
      </c>
      <c r="B22" s="3" t="s">
        <v>131</v>
      </c>
      <c r="C22" s="3" t="s">
        <v>131</v>
      </c>
      <c r="D22" s="3" t="s">
        <v>131</v>
      </c>
      <c r="E22" s="3"/>
      <c r="F22" s="3"/>
    </row>
    <row r="23" spans="1:6" x14ac:dyDescent="0.35">
      <c r="A23" s="3" t="s">
        <v>132</v>
      </c>
      <c r="B23" s="3" t="s">
        <v>133</v>
      </c>
      <c r="C23" s="3" t="s">
        <v>134</v>
      </c>
      <c r="D23" s="3" t="s">
        <v>135</v>
      </c>
      <c r="E23" s="3"/>
      <c r="F23" s="3"/>
    </row>
    <row r="24" spans="1:6" x14ac:dyDescent="0.35">
      <c r="A24" s="3" t="s">
        <v>54</v>
      </c>
      <c r="B24" s="3" t="s">
        <v>53</v>
      </c>
      <c r="C24" s="3" t="s">
        <v>116</v>
      </c>
      <c r="D24" s="3" t="s">
        <v>117</v>
      </c>
      <c r="E24" s="3"/>
      <c r="F24" s="3"/>
    </row>
    <row r="25" spans="1:6" x14ac:dyDescent="0.35">
      <c r="A25" s="3" t="s">
        <v>67</v>
      </c>
      <c r="B25" s="3" t="s">
        <v>136</v>
      </c>
      <c r="C25" s="3" t="s">
        <v>137</v>
      </c>
      <c r="D25" s="3" t="s">
        <v>138</v>
      </c>
      <c r="E25" s="3"/>
      <c r="F25" s="3"/>
    </row>
    <row r="26" spans="1:6" x14ac:dyDescent="0.35">
      <c r="A26" s="3" t="s">
        <v>131</v>
      </c>
      <c r="B26" s="3" t="s">
        <v>131</v>
      </c>
      <c r="C26" s="3" t="s">
        <v>131</v>
      </c>
      <c r="D26" s="3" t="s">
        <v>131</v>
      </c>
      <c r="E26" s="3"/>
      <c r="F2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65C4-979E-435C-91C0-674F6C847FC7}">
  <dimension ref="A1:P39"/>
  <sheetViews>
    <sheetView workbookViewId="0">
      <selection activeCell="A21" sqref="A21"/>
    </sheetView>
  </sheetViews>
  <sheetFormatPr defaultRowHeight="14.5" x14ac:dyDescent="0.35"/>
  <cols>
    <col min="1" max="1" width="43.453125" customWidth="1"/>
    <col min="4" max="4" width="48.81640625" customWidth="1"/>
    <col min="7" max="7" width="30" customWidth="1"/>
  </cols>
  <sheetData>
    <row r="1" spans="1:16" x14ac:dyDescent="0.35">
      <c r="A1" s="4" t="s">
        <v>1</v>
      </c>
      <c r="B1" s="4" t="s">
        <v>2</v>
      </c>
      <c r="C1" s="5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139</v>
      </c>
      <c r="I1" s="4" t="s">
        <v>140</v>
      </c>
      <c r="J1" s="6"/>
      <c r="K1" s="4"/>
      <c r="L1" s="4"/>
      <c r="M1" s="4"/>
      <c r="N1" s="4"/>
      <c r="O1" s="4"/>
      <c r="P1" s="4"/>
    </row>
    <row r="2" spans="1:16" x14ac:dyDescent="0.35">
      <c r="A2" t="s">
        <v>141</v>
      </c>
      <c r="B2" t="s">
        <v>142</v>
      </c>
      <c r="C2" t="s">
        <v>143</v>
      </c>
      <c r="D2" t="s">
        <v>144</v>
      </c>
      <c r="E2">
        <v>1</v>
      </c>
      <c r="F2" t="s">
        <v>145</v>
      </c>
      <c r="G2" t="s">
        <v>144</v>
      </c>
      <c r="H2">
        <v>1</v>
      </c>
      <c r="I2">
        <v>0</v>
      </c>
    </row>
    <row r="3" spans="1:16" x14ac:dyDescent="0.35">
      <c r="A3" t="s">
        <v>16</v>
      </c>
      <c r="B3" t="s">
        <v>142</v>
      </c>
      <c r="C3" t="s">
        <v>143</v>
      </c>
      <c r="D3" t="s">
        <v>146</v>
      </c>
      <c r="E3">
        <v>1</v>
      </c>
      <c r="F3" t="s">
        <v>145</v>
      </c>
      <c r="G3" t="s">
        <v>144</v>
      </c>
      <c r="H3">
        <v>2</v>
      </c>
      <c r="I3">
        <v>1</v>
      </c>
    </row>
    <row r="4" spans="1:16" x14ac:dyDescent="0.35">
      <c r="A4" t="s">
        <v>63</v>
      </c>
      <c r="B4" t="s">
        <v>142</v>
      </c>
      <c r="C4" t="s">
        <v>143</v>
      </c>
      <c r="D4" t="s">
        <v>147</v>
      </c>
      <c r="E4">
        <v>1</v>
      </c>
      <c r="F4" t="s">
        <v>145</v>
      </c>
      <c r="G4" t="s">
        <v>144</v>
      </c>
      <c r="H4">
        <v>3</v>
      </c>
      <c r="I4">
        <v>2</v>
      </c>
    </row>
    <row r="5" spans="1:16" x14ac:dyDescent="0.35">
      <c r="A5" t="s">
        <v>65</v>
      </c>
      <c r="B5" t="s">
        <v>142</v>
      </c>
      <c r="C5" t="s">
        <v>143</v>
      </c>
      <c r="D5" t="s">
        <v>148</v>
      </c>
      <c r="E5">
        <v>1</v>
      </c>
      <c r="F5" t="s">
        <v>145</v>
      </c>
      <c r="G5" t="s">
        <v>144</v>
      </c>
      <c r="H5">
        <v>4</v>
      </c>
      <c r="I5">
        <v>3</v>
      </c>
    </row>
    <row r="6" spans="1:16" x14ac:dyDescent="0.35">
      <c r="A6" t="s">
        <v>149</v>
      </c>
      <c r="B6" t="s">
        <v>142</v>
      </c>
      <c r="C6" t="s">
        <v>143</v>
      </c>
      <c r="D6" t="s">
        <v>150</v>
      </c>
      <c r="E6">
        <v>2</v>
      </c>
      <c r="F6" t="s">
        <v>151</v>
      </c>
      <c r="G6" t="s">
        <v>152</v>
      </c>
      <c r="H6">
        <v>5</v>
      </c>
      <c r="I6">
        <v>0</v>
      </c>
    </row>
    <row r="7" spans="1:16" x14ac:dyDescent="0.35">
      <c r="A7" t="s">
        <v>77</v>
      </c>
      <c r="B7" t="s">
        <v>142</v>
      </c>
      <c r="C7" t="s">
        <v>143</v>
      </c>
      <c r="D7" t="s">
        <v>153</v>
      </c>
      <c r="E7">
        <v>2</v>
      </c>
      <c r="F7" t="s">
        <v>151</v>
      </c>
      <c r="G7" t="s">
        <v>152</v>
      </c>
      <c r="H7">
        <v>6</v>
      </c>
      <c r="I7">
        <v>1</v>
      </c>
    </row>
    <row r="8" spans="1:16" x14ac:dyDescent="0.35">
      <c r="A8" t="s">
        <v>79</v>
      </c>
      <c r="B8" t="s">
        <v>142</v>
      </c>
      <c r="C8" t="s">
        <v>143</v>
      </c>
      <c r="D8" t="s">
        <v>154</v>
      </c>
      <c r="E8">
        <v>2</v>
      </c>
      <c r="F8" t="s">
        <v>151</v>
      </c>
      <c r="G8" t="s">
        <v>152</v>
      </c>
      <c r="H8">
        <v>7</v>
      </c>
      <c r="I8">
        <v>2</v>
      </c>
    </row>
    <row r="9" spans="1:16" x14ac:dyDescent="0.35">
      <c r="A9" t="s">
        <v>80</v>
      </c>
      <c r="B9" t="s">
        <v>142</v>
      </c>
      <c r="C9" t="s">
        <v>143</v>
      </c>
      <c r="D9" t="s">
        <v>155</v>
      </c>
      <c r="E9">
        <v>2</v>
      </c>
      <c r="F9" t="s">
        <v>151</v>
      </c>
      <c r="G9" t="s">
        <v>152</v>
      </c>
      <c r="H9">
        <v>8</v>
      </c>
      <c r="I9">
        <v>3</v>
      </c>
    </row>
    <row r="10" spans="1:16" x14ac:dyDescent="0.35">
      <c r="A10" t="s">
        <v>83</v>
      </c>
      <c r="B10" t="s">
        <v>156</v>
      </c>
      <c r="C10" t="s">
        <v>157</v>
      </c>
      <c r="D10" t="s">
        <v>158</v>
      </c>
      <c r="E10">
        <v>3</v>
      </c>
      <c r="F10" t="s">
        <v>159</v>
      </c>
      <c r="G10" t="s">
        <v>157</v>
      </c>
      <c r="H10">
        <v>9</v>
      </c>
      <c r="I10">
        <v>9</v>
      </c>
    </row>
    <row r="11" spans="1:16" x14ac:dyDescent="0.35">
      <c r="A11" t="s">
        <v>84</v>
      </c>
      <c r="B11" t="s">
        <v>156</v>
      </c>
      <c r="C11" t="s">
        <v>160</v>
      </c>
      <c r="D11" t="s">
        <v>161</v>
      </c>
      <c r="E11">
        <v>3</v>
      </c>
      <c r="F11" t="s">
        <v>159</v>
      </c>
      <c r="G11" t="s">
        <v>157</v>
      </c>
      <c r="H11">
        <v>10</v>
      </c>
      <c r="I11">
        <v>9</v>
      </c>
    </row>
    <row r="12" spans="1:16" x14ac:dyDescent="0.35">
      <c r="A12" t="s">
        <v>162</v>
      </c>
      <c r="B12" t="s">
        <v>156</v>
      </c>
      <c r="C12" t="s">
        <v>160</v>
      </c>
      <c r="D12" t="s">
        <v>163</v>
      </c>
      <c r="E12">
        <v>3</v>
      </c>
      <c r="F12" t="s">
        <v>159</v>
      </c>
      <c r="G12" t="s">
        <v>157</v>
      </c>
      <c r="H12">
        <v>11</v>
      </c>
      <c r="I12">
        <v>9</v>
      </c>
    </row>
    <row r="13" spans="1:16" x14ac:dyDescent="0.35">
      <c r="A13" t="s">
        <v>164</v>
      </c>
      <c r="B13" t="s">
        <v>156</v>
      </c>
      <c r="C13" t="s">
        <v>160</v>
      </c>
      <c r="D13" t="s">
        <v>165</v>
      </c>
      <c r="E13">
        <v>3</v>
      </c>
      <c r="F13" t="s">
        <v>159</v>
      </c>
      <c r="G13" t="s">
        <v>157</v>
      </c>
      <c r="H13">
        <v>12</v>
      </c>
      <c r="I13">
        <v>9</v>
      </c>
    </row>
    <row r="14" spans="1:16" x14ac:dyDescent="0.35">
      <c r="A14" t="s">
        <v>166</v>
      </c>
      <c r="B14" t="s">
        <v>156</v>
      </c>
      <c r="C14" t="s">
        <v>160</v>
      </c>
      <c r="D14" t="s">
        <v>167</v>
      </c>
      <c r="E14">
        <v>3</v>
      </c>
      <c r="F14" t="s">
        <v>159</v>
      </c>
      <c r="G14" t="s">
        <v>157</v>
      </c>
    </row>
    <row r="15" spans="1:16" x14ac:dyDescent="0.35">
      <c r="A15" t="s">
        <v>85</v>
      </c>
      <c r="B15" t="s">
        <v>156</v>
      </c>
      <c r="C15" t="s">
        <v>160</v>
      </c>
      <c r="D15" t="s">
        <v>168</v>
      </c>
      <c r="E15">
        <v>3</v>
      </c>
      <c r="F15" t="s">
        <v>159</v>
      </c>
      <c r="G15" t="s">
        <v>157</v>
      </c>
      <c r="H15">
        <v>13</v>
      </c>
      <c r="I15">
        <v>9</v>
      </c>
    </row>
    <row r="16" spans="1:16" x14ac:dyDescent="0.35">
      <c r="A16" t="s">
        <v>86</v>
      </c>
      <c r="B16" t="s">
        <v>156</v>
      </c>
      <c r="C16" t="s">
        <v>160</v>
      </c>
      <c r="D16" t="s">
        <v>169</v>
      </c>
      <c r="E16">
        <v>3</v>
      </c>
      <c r="F16" t="s">
        <v>159</v>
      </c>
      <c r="G16" t="s">
        <v>157</v>
      </c>
      <c r="H16">
        <v>14</v>
      </c>
      <c r="I16">
        <v>9</v>
      </c>
    </row>
    <row r="17" spans="1:9" x14ac:dyDescent="0.35">
      <c r="A17" t="s">
        <v>170</v>
      </c>
      <c r="B17" t="s">
        <v>156</v>
      </c>
      <c r="C17" t="s">
        <v>160</v>
      </c>
      <c r="D17" t="s">
        <v>171</v>
      </c>
      <c r="E17">
        <v>4</v>
      </c>
      <c r="F17" t="s">
        <v>172</v>
      </c>
      <c r="G17" t="s">
        <v>173</v>
      </c>
      <c r="H17">
        <v>15</v>
      </c>
      <c r="I17">
        <v>9</v>
      </c>
    </row>
    <row r="18" spans="1:9" x14ac:dyDescent="0.35">
      <c r="A18" t="s">
        <v>174</v>
      </c>
      <c r="B18" t="s">
        <v>156</v>
      </c>
      <c r="C18" t="s">
        <v>160</v>
      </c>
      <c r="D18" t="s">
        <v>175</v>
      </c>
      <c r="E18">
        <v>4</v>
      </c>
      <c r="F18" t="s">
        <v>172</v>
      </c>
      <c r="G18" t="s">
        <v>173</v>
      </c>
      <c r="H18">
        <v>16</v>
      </c>
      <c r="I18">
        <v>9</v>
      </c>
    </row>
    <row r="19" spans="1:9" x14ac:dyDescent="0.35">
      <c r="A19" t="s">
        <v>176</v>
      </c>
      <c r="B19" t="s">
        <v>177</v>
      </c>
      <c r="C19" t="s">
        <v>160</v>
      </c>
      <c r="D19" t="s">
        <v>178</v>
      </c>
      <c r="E19">
        <v>5</v>
      </c>
      <c r="F19" t="s">
        <v>179</v>
      </c>
      <c r="G19" t="s">
        <v>180</v>
      </c>
      <c r="H19">
        <v>17</v>
      </c>
      <c r="I19">
        <v>10</v>
      </c>
    </row>
    <row r="20" spans="1:9" x14ac:dyDescent="0.35">
      <c r="A20" t="s">
        <v>87</v>
      </c>
      <c r="B20" t="s">
        <v>177</v>
      </c>
      <c r="C20" t="s">
        <v>160</v>
      </c>
      <c r="D20" t="s">
        <v>181</v>
      </c>
      <c r="E20">
        <v>5</v>
      </c>
      <c r="F20" t="s">
        <v>179</v>
      </c>
      <c r="G20" t="s">
        <v>180</v>
      </c>
      <c r="H20">
        <v>18</v>
      </c>
      <c r="I20">
        <v>10</v>
      </c>
    </row>
    <row r="21" spans="1:9" x14ac:dyDescent="0.35">
      <c r="A21" t="s">
        <v>88</v>
      </c>
      <c r="B21" t="s">
        <v>177</v>
      </c>
      <c r="C21" t="s">
        <v>160</v>
      </c>
      <c r="D21" t="s">
        <v>182</v>
      </c>
      <c r="E21">
        <v>5</v>
      </c>
      <c r="F21" t="s">
        <v>179</v>
      </c>
      <c r="G21" t="s">
        <v>180</v>
      </c>
      <c r="H21">
        <v>19</v>
      </c>
      <c r="I21">
        <v>10</v>
      </c>
    </row>
    <row r="22" spans="1:9" x14ac:dyDescent="0.35">
      <c r="A22" t="s">
        <v>183</v>
      </c>
      <c r="B22" t="s">
        <v>177</v>
      </c>
      <c r="C22" t="s">
        <v>160</v>
      </c>
      <c r="D22" t="s">
        <v>184</v>
      </c>
      <c r="E22">
        <v>5</v>
      </c>
      <c r="F22" t="s">
        <v>179</v>
      </c>
      <c r="G22" t="s">
        <v>180</v>
      </c>
      <c r="H22">
        <v>20</v>
      </c>
      <c r="I22">
        <v>10</v>
      </c>
    </row>
    <row r="23" spans="1:9" x14ac:dyDescent="0.35">
      <c r="A23" t="s">
        <v>185</v>
      </c>
      <c r="B23" t="s">
        <v>186</v>
      </c>
      <c r="C23" t="s">
        <v>187</v>
      </c>
      <c r="D23" t="s">
        <v>188</v>
      </c>
      <c r="E23">
        <v>6</v>
      </c>
      <c r="F23" t="s">
        <v>189</v>
      </c>
      <c r="G23" t="s">
        <v>188</v>
      </c>
      <c r="H23">
        <v>21</v>
      </c>
      <c r="I23">
        <v>4</v>
      </c>
    </row>
    <row r="24" spans="1:9" x14ac:dyDescent="0.35">
      <c r="A24" t="s">
        <v>81</v>
      </c>
      <c r="B24" t="s">
        <v>186</v>
      </c>
      <c r="C24" t="s">
        <v>187</v>
      </c>
      <c r="D24" t="s">
        <v>190</v>
      </c>
      <c r="E24">
        <v>6</v>
      </c>
      <c r="F24" t="s">
        <v>189</v>
      </c>
      <c r="G24" t="s">
        <v>188</v>
      </c>
      <c r="H24">
        <v>22</v>
      </c>
      <c r="I24">
        <v>4</v>
      </c>
    </row>
    <row r="25" spans="1:9" x14ac:dyDescent="0.35">
      <c r="A25" t="s">
        <v>82</v>
      </c>
      <c r="B25" t="s">
        <v>186</v>
      </c>
      <c r="C25" t="s">
        <v>187</v>
      </c>
      <c r="D25" t="s">
        <v>191</v>
      </c>
      <c r="E25">
        <v>6</v>
      </c>
      <c r="F25" t="s">
        <v>189</v>
      </c>
      <c r="G25" t="s">
        <v>188</v>
      </c>
      <c r="H25">
        <v>23</v>
      </c>
      <c r="I25">
        <v>4</v>
      </c>
    </row>
    <row r="26" spans="1:9" x14ac:dyDescent="0.35">
      <c r="A26" t="s">
        <v>192</v>
      </c>
      <c r="B26" t="s">
        <v>186</v>
      </c>
      <c r="C26" t="s">
        <v>187</v>
      </c>
      <c r="D26" t="s">
        <v>193</v>
      </c>
      <c r="F26" t="s">
        <v>194</v>
      </c>
      <c r="G26" t="s">
        <v>195</v>
      </c>
      <c r="H26">
        <v>24</v>
      </c>
      <c r="I26">
        <v>4</v>
      </c>
    </row>
    <row r="27" spans="1:9" x14ac:dyDescent="0.35">
      <c r="A27" t="s">
        <v>68</v>
      </c>
      <c r="B27" t="s">
        <v>186</v>
      </c>
      <c r="C27" t="s">
        <v>187</v>
      </c>
      <c r="D27" t="s">
        <v>196</v>
      </c>
      <c r="E27">
        <v>7</v>
      </c>
      <c r="F27" t="s">
        <v>194</v>
      </c>
      <c r="G27" t="s">
        <v>195</v>
      </c>
      <c r="H27">
        <v>25</v>
      </c>
      <c r="I27">
        <v>4</v>
      </c>
    </row>
    <row r="28" spans="1:9" x14ac:dyDescent="0.35">
      <c r="A28" t="s">
        <v>69</v>
      </c>
      <c r="B28" t="s">
        <v>186</v>
      </c>
      <c r="C28" t="s">
        <v>187</v>
      </c>
      <c r="D28" t="s">
        <v>197</v>
      </c>
      <c r="E28">
        <v>7</v>
      </c>
      <c r="F28" t="s">
        <v>194</v>
      </c>
      <c r="G28" t="s">
        <v>195</v>
      </c>
      <c r="H28">
        <v>26</v>
      </c>
      <c r="I28">
        <v>4</v>
      </c>
    </row>
    <row r="29" spans="1:9" x14ac:dyDescent="0.35">
      <c r="A29" t="s">
        <v>70</v>
      </c>
      <c r="B29" t="s">
        <v>198</v>
      </c>
      <c r="C29" t="s">
        <v>199</v>
      </c>
      <c r="D29" t="s">
        <v>200</v>
      </c>
      <c r="E29">
        <v>8</v>
      </c>
      <c r="F29" t="s">
        <v>70</v>
      </c>
      <c r="G29" t="s">
        <v>200</v>
      </c>
      <c r="H29">
        <v>27</v>
      </c>
      <c r="I29">
        <v>5</v>
      </c>
    </row>
    <row r="30" spans="1:9" x14ac:dyDescent="0.35">
      <c r="A30" t="s">
        <v>71</v>
      </c>
      <c r="B30" t="s">
        <v>201</v>
      </c>
      <c r="C30" t="s">
        <v>202</v>
      </c>
      <c r="D30" t="s">
        <v>203</v>
      </c>
      <c r="E30">
        <v>9</v>
      </c>
      <c r="F30" t="s">
        <v>204</v>
      </c>
      <c r="G30" t="s">
        <v>205</v>
      </c>
      <c r="H30">
        <v>28</v>
      </c>
      <c r="I30">
        <v>6</v>
      </c>
    </row>
    <row r="31" spans="1:9" x14ac:dyDescent="0.35">
      <c r="A31" t="s">
        <v>72</v>
      </c>
      <c r="B31" t="s">
        <v>201</v>
      </c>
      <c r="C31" t="s">
        <v>202</v>
      </c>
      <c r="D31" t="s">
        <v>206</v>
      </c>
      <c r="E31">
        <v>9</v>
      </c>
      <c r="F31" t="s">
        <v>204</v>
      </c>
      <c r="G31" t="s">
        <v>205</v>
      </c>
      <c r="H31">
        <v>29</v>
      </c>
      <c r="I31">
        <v>6</v>
      </c>
    </row>
    <row r="32" spans="1:9" x14ac:dyDescent="0.35">
      <c r="A32" t="s">
        <v>73</v>
      </c>
      <c r="B32" t="s">
        <v>201</v>
      </c>
      <c r="C32" t="s">
        <v>202</v>
      </c>
      <c r="D32" t="s">
        <v>207</v>
      </c>
      <c r="E32">
        <v>9</v>
      </c>
      <c r="F32" t="s">
        <v>204</v>
      </c>
      <c r="G32" t="s">
        <v>205</v>
      </c>
      <c r="H32">
        <v>30</v>
      </c>
      <c r="I32">
        <v>6</v>
      </c>
    </row>
    <row r="33" spans="1:9" x14ac:dyDescent="0.35">
      <c r="A33" t="s">
        <v>74</v>
      </c>
      <c r="B33" t="s">
        <v>201</v>
      </c>
      <c r="C33" t="s">
        <v>202</v>
      </c>
      <c r="D33" t="s">
        <v>208</v>
      </c>
      <c r="E33">
        <v>9</v>
      </c>
      <c r="F33" t="s">
        <v>204</v>
      </c>
      <c r="G33" t="s">
        <v>205</v>
      </c>
      <c r="H33">
        <v>31</v>
      </c>
      <c r="I33">
        <v>6</v>
      </c>
    </row>
    <row r="34" spans="1:9" x14ac:dyDescent="0.35">
      <c r="A34" t="s">
        <v>209</v>
      </c>
      <c r="B34" t="s">
        <v>201</v>
      </c>
      <c r="C34" t="s">
        <v>202</v>
      </c>
      <c r="D34" t="s">
        <v>210</v>
      </c>
      <c r="E34">
        <v>10</v>
      </c>
      <c r="F34" t="s">
        <v>211</v>
      </c>
      <c r="G34" t="s">
        <v>210</v>
      </c>
      <c r="H34">
        <v>32</v>
      </c>
      <c r="I34">
        <v>6</v>
      </c>
    </row>
    <row r="35" spans="1:9" x14ac:dyDescent="0.35">
      <c r="A35" t="s">
        <v>75</v>
      </c>
      <c r="B35" t="s">
        <v>201</v>
      </c>
      <c r="C35" t="s">
        <v>202</v>
      </c>
      <c r="D35" t="s">
        <v>212</v>
      </c>
      <c r="E35">
        <v>11</v>
      </c>
      <c r="F35" t="s">
        <v>213</v>
      </c>
      <c r="G35" t="s">
        <v>214</v>
      </c>
      <c r="H35">
        <v>33</v>
      </c>
      <c r="I35">
        <v>7</v>
      </c>
    </row>
    <row r="36" spans="1:9" x14ac:dyDescent="0.35">
      <c r="A36" t="s">
        <v>215</v>
      </c>
      <c r="B36" t="s">
        <v>216</v>
      </c>
      <c r="C36" t="s">
        <v>202</v>
      </c>
      <c r="D36" t="s">
        <v>217</v>
      </c>
      <c r="E36">
        <v>11</v>
      </c>
      <c r="F36" t="s">
        <v>213</v>
      </c>
      <c r="G36" t="s">
        <v>214</v>
      </c>
      <c r="H36">
        <v>34</v>
      </c>
      <c r="I36">
        <v>7</v>
      </c>
    </row>
    <row r="37" spans="1:9" x14ac:dyDescent="0.35">
      <c r="A37" t="s">
        <v>218</v>
      </c>
      <c r="B37" t="s">
        <v>219</v>
      </c>
      <c r="C37" t="s">
        <v>220</v>
      </c>
      <c r="D37" t="s">
        <v>221</v>
      </c>
      <c r="E37">
        <v>12</v>
      </c>
      <c r="F37" t="s">
        <v>222</v>
      </c>
      <c r="G37" t="s">
        <v>220</v>
      </c>
      <c r="H37">
        <v>35</v>
      </c>
      <c r="I37">
        <v>8</v>
      </c>
    </row>
    <row r="38" spans="1:9" x14ac:dyDescent="0.35">
      <c r="A38" t="s">
        <v>76</v>
      </c>
      <c r="B38" t="s">
        <v>219</v>
      </c>
      <c r="C38" t="s">
        <v>220</v>
      </c>
      <c r="D38" t="s">
        <v>223</v>
      </c>
      <c r="E38">
        <v>12</v>
      </c>
      <c r="F38" t="s">
        <v>222</v>
      </c>
      <c r="G38" t="s">
        <v>220</v>
      </c>
      <c r="H38">
        <v>36</v>
      </c>
      <c r="I38">
        <v>8</v>
      </c>
    </row>
    <row r="39" spans="1:9" x14ac:dyDescent="0.35">
      <c r="A39" t="s">
        <v>224</v>
      </c>
      <c r="B39" t="s">
        <v>219</v>
      </c>
      <c r="C39" t="s">
        <v>220</v>
      </c>
      <c r="D39" t="s">
        <v>225</v>
      </c>
      <c r="E39">
        <v>12</v>
      </c>
      <c r="F39" t="s">
        <v>222</v>
      </c>
      <c r="G39" t="s">
        <v>220</v>
      </c>
      <c r="H39">
        <v>37</v>
      </c>
      <c r="I39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EE796-3141-45F6-8F84-96EEE83C2BD6}">
  <dimension ref="A1:E4"/>
  <sheetViews>
    <sheetView workbookViewId="0">
      <selection activeCell="D13" sqref="D13"/>
    </sheetView>
  </sheetViews>
  <sheetFormatPr defaultRowHeight="14.5" x14ac:dyDescent="0.35"/>
  <cols>
    <col min="2" max="2" width="19.54296875" bestFit="1" customWidth="1"/>
  </cols>
  <sheetData>
    <row r="1" spans="1:5" x14ac:dyDescent="0.35">
      <c r="A1" t="s">
        <v>226</v>
      </c>
      <c r="B1" t="s">
        <v>227</v>
      </c>
      <c r="D1" t="s">
        <v>14</v>
      </c>
      <c r="E1" t="s">
        <v>15</v>
      </c>
    </row>
    <row r="2" spans="1:5" x14ac:dyDescent="0.35">
      <c r="A2">
        <v>1</v>
      </c>
      <c r="B2" t="s">
        <v>228</v>
      </c>
      <c r="D2">
        <v>1</v>
      </c>
      <c r="E2" t="s">
        <v>228</v>
      </c>
    </row>
    <row r="3" spans="1:5" x14ac:dyDescent="0.35">
      <c r="A3">
        <v>2</v>
      </c>
      <c r="B3" t="s">
        <v>229</v>
      </c>
      <c r="D3">
        <v>2</v>
      </c>
      <c r="E3" t="s">
        <v>229</v>
      </c>
    </row>
    <row r="4" spans="1:5" x14ac:dyDescent="0.35">
      <c r="A4">
        <v>3</v>
      </c>
      <c r="B4" t="s">
        <v>230</v>
      </c>
      <c r="D4">
        <v>3</v>
      </c>
      <c r="E4" t="s">
        <v>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5EFC-9D00-4809-8755-780EA784A8B1}">
  <dimension ref="A1:D23"/>
  <sheetViews>
    <sheetView workbookViewId="0">
      <selection activeCell="D13" sqref="A13:D13"/>
    </sheetView>
  </sheetViews>
  <sheetFormatPr defaultRowHeight="14.5" x14ac:dyDescent="0.35"/>
  <cols>
    <col min="1" max="1" width="28.81640625" bestFit="1" customWidth="1"/>
    <col min="2" max="2" width="42.1796875" customWidth="1"/>
    <col min="3" max="3" width="18.54296875" bestFit="1" customWidth="1"/>
    <col min="4" max="4" width="57" bestFit="1" customWidth="1"/>
  </cols>
  <sheetData>
    <row r="1" spans="1:4" x14ac:dyDescent="0.35">
      <c r="A1" s="1" t="s">
        <v>2</v>
      </c>
      <c r="B1" s="1" t="s">
        <v>3</v>
      </c>
      <c r="C1" s="1" t="s">
        <v>1</v>
      </c>
      <c r="D1" s="1" t="s">
        <v>231</v>
      </c>
    </row>
    <row r="2" spans="1:4" x14ac:dyDescent="0.35">
      <c r="A2" t="s">
        <v>142</v>
      </c>
      <c r="B2" t="s">
        <v>143</v>
      </c>
      <c r="C2" t="s">
        <v>16</v>
      </c>
      <c r="D2" t="s">
        <v>146</v>
      </c>
    </row>
    <row r="3" spans="1:4" x14ac:dyDescent="0.35">
      <c r="A3" t="s">
        <v>142</v>
      </c>
      <c r="B3" t="s">
        <v>143</v>
      </c>
      <c r="C3" t="s">
        <v>63</v>
      </c>
      <c r="D3" t="s">
        <v>147</v>
      </c>
    </row>
    <row r="4" spans="1:4" x14ac:dyDescent="0.35">
      <c r="A4" t="s">
        <v>142</v>
      </c>
      <c r="B4" t="s">
        <v>143</v>
      </c>
      <c r="C4" t="s">
        <v>65</v>
      </c>
      <c r="D4" t="s">
        <v>232</v>
      </c>
    </row>
    <row r="5" spans="1:4" x14ac:dyDescent="0.35">
      <c r="A5" t="s">
        <v>142</v>
      </c>
      <c r="B5" t="s">
        <v>143</v>
      </c>
      <c r="C5" t="s">
        <v>77</v>
      </c>
      <c r="D5" t="s">
        <v>153</v>
      </c>
    </row>
    <row r="6" spans="1:4" x14ac:dyDescent="0.35">
      <c r="A6" t="s">
        <v>142</v>
      </c>
      <c r="B6" t="s">
        <v>143</v>
      </c>
      <c r="C6" t="s">
        <v>79</v>
      </c>
      <c r="D6" t="s">
        <v>154</v>
      </c>
    </row>
    <row r="7" spans="1:4" x14ac:dyDescent="0.35">
      <c r="A7" t="s">
        <v>142</v>
      </c>
      <c r="B7" t="s">
        <v>143</v>
      </c>
      <c r="C7" t="s">
        <v>80</v>
      </c>
      <c r="D7" t="s">
        <v>155</v>
      </c>
    </row>
    <row r="8" spans="1:4" x14ac:dyDescent="0.35">
      <c r="A8" t="s">
        <v>186</v>
      </c>
      <c r="B8" t="s">
        <v>187</v>
      </c>
      <c r="C8" t="s">
        <v>189</v>
      </c>
      <c r="D8" t="s">
        <v>233</v>
      </c>
    </row>
    <row r="9" spans="1:4" x14ac:dyDescent="0.35">
      <c r="A9" t="s">
        <v>186</v>
      </c>
      <c r="B9" t="s">
        <v>187</v>
      </c>
      <c r="C9" t="s">
        <v>81</v>
      </c>
      <c r="D9" t="s">
        <v>234</v>
      </c>
    </row>
    <row r="10" spans="1:4" x14ac:dyDescent="0.35">
      <c r="A10" t="s">
        <v>186</v>
      </c>
      <c r="B10" t="s">
        <v>187</v>
      </c>
      <c r="C10" t="s">
        <v>82</v>
      </c>
      <c r="D10" t="s">
        <v>235</v>
      </c>
    </row>
    <row r="11" spans="1:4" x14ac:dyDescent="0.35">
      <c r="A11" t="s">
        <v>186</v>
      </c>
      <c r="B11" t="s">
        <v>187</v>
      </c>
      <c r="C11" t="s">
        <v>194</v>
      </c>
      <c r="D11" t="s">
        <v>236</v>
      </c>
    </row>
    <row r="12" spans="1:4" x14ac:dyDescent="0.35">
      <c r="A12" t="s">
        <v>186</v>
      </c>
      <c r="B12" t="s">
        <v>187</v>
      </c>
      <c r="C12" t="s">
        <v>194</v>
      </c>
      <c r="D12" t="s">
        <v>237</v>
      </c>
    </row>
    <row r="13" spans="1:4" x14ac:dyDescent="0.35">
      <c r="A13" t="s">
        <v>198</v>
      </c>
      <c r="B13" t="s">
        <v>199</v>
      </c>
      <c r="C13" t="s">
        <v>238</v>
      </c>
      <c r="D13" t="s">
        <v>199</v>
      </c>
    </row>
    <row r="14" spans="1:4" x14ac:dyDescent="0.35">
      <c r="A14" t="s">
        <v>201</v>
      </c>
      <c r="B14" t="s">
        <v>202</v>
      </c>
      <c r="C14" t="s">
        <v>71</v>
      </c>
      <c r="D14" t="s">
        <v>239</v>
      </c>
    </row>
    <row r="15" spans="1:4" x14ac:dyDescent="0.35">
      <c r="A15" t="s">
        <v>201</v>
      </c>
      <c r="B15" t="s">
        <v>202</v>
      </c>
      <c r="C15" t="s">
        <v>72</v>
      </c>
      <c r="D15" t="s">
        <v>240</v>
      </c>
    </row>
    <row r="16" spans="1:4" x14ac:dyDescent="0.35">
      <c r="A16" t="s">
        <v>201</v>
      </c>
      <c r="B16" t="s">
        <v>202</v>
      </c>
      <c r="C16" t="s">
        <v>73</v>
      </c>
      <c r="D16" t="s">
        <v>241</v>
      </c>
    </row>
    <row r="17" spans="1:4" x14ac:dyDescent="0.35">
      <c r="A17" t="s">
        <v>201</v>
      </c>
      <c r="B17" t="s">
        <v>202</v>
      </c>
      <c r="C17" t="s">
        <v>74</v>
      </c>
      <c r="D17" t="s">
        <v>242</v>
      </c>
    </row>
    <row r="18" spans="1:4" x14ac:dyDescent="0.35">
      <c r="A18" t="s">
        <v>201</v>
      </c>
      <c r="B18" t="s">
        <v>202</v>
      </c>
      <c r="C18" t="s">
        <v>75</v>
      </c>
      <c r="D18" t="s">
        <v>212</v>
      </c>
    </row>
    <row r="19" spans="1:4" x14ac:dyDescent="0.35">
      <c r="A19" t="s">
        <v>219</v>
      </c>
      <c r="B19" t="s">
        <v>220</v>
      </c>
      <c r="C19" t="s">
        <v>238</v>
      </c>
      <c r="D19" t="s">
        <v>220</v>
      </c>
    </row>
    <row r="20" spans="1:4" x14ac:dyDescent="0.35">
      <c r="A20" t="s">
        <v>156</v>
      </c>
      <c r="B20" t="s">
        <v>160</v>
      </c>
      <c r="C20" t="s">
        <v>243</v>
      </c>
      <c r="D20" t="s">
        <v>244</v>
      </c>
    </row>
    <row r="21" spans="1:4" x14ac:dyDescent="0.35">
      <c r="A21" t="s">
        <v>156</v>
      </c>
      <c r="B21" t="s">
        <v>160</v>
      </c>
      <c r="C21" t="s">
        <v>245</v>
      </c>
      <c r="D21" t="s">
        <v>246</v>
      </c>
    </row>
    <row r="22" spans="1:4" x14ac:dyDescent="0.35">
      <c r="A22" t="s">
        <v>177</v>
      </c>
      <c r="B22" t="s">
        <v>247</v>
      </c>
      <c r="C22" t="s">
        <v>176</v>
      </c>
      <c r="D22" t="s">
        <v>178</v>
      </c>
    </row>
    <row r="23" spans="1:4" x14ac:dyDescent="0.35">
      <c r="A23" t="s">
        <v>177</v>
      </c>
      <c r="B23" t="s">
        <v>247</v>
      </c>
      <c r="C23" t="s">
        <v>88</v>
      </c>
      <c r="D23" t="s">
        <v>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769A-9811-446C-8945-0B04DE752087}">
  <dimension ref="A1:H364"/>
  <sheetViews>
    <sheetView showGridLines="0" topLeftCell="A313" workbookViewId="0">
      <selection activeCell="G372" sqref="G372"/>
    </sheetView>
  </sheetViews>
  <sheetFormatPr defaultRowHeight="14.5" x14ac:dyDescent="0.35"/>
  <cols>
    <col min="1" max="1" width="8.7265625" style="19" bestFit="1" customWidth="1"/>
    <col min="2" max="2" width="8.7265625" style="19"/>
    <col min="3" max="3" width="34.6328125" style="19" bestFit="1" customWidth="1"/>
    <col min="4" max="4" width="8.7265625" style="19"/>
    <col min="5" max="5" width="20.81640625" style="19" customWidth="1"/>
    <col min="6" max="6" width="40.453125" style="19" customWidth="1"/>
    <col min="7" max="7" width="8.7265625" style="19"/>
    <col min="8" max="8" width="22.1796875" style="19" bestFit="1" customWidth="1"/>
    <col min="9" max="16384" width="8.7265625" style="19"/>
  </cols>
  <sheetData>
    <row r="1" spans="1:8" x14ac:dyDescent="0.35">
      <c r="A1" s="55" t="s">
        <v>248</v>
      </c>
      <c r="B1" s="56" t="s">
        <v>249</v>
      </c>
      <c r="C1" s="56" t="s">
        <v>250</v>
      </c>
      <c r="D1" s="56" t="s">
        <v>251</v>
      </c>
      <c r="E1" s="56" t="s">
        <v>252</v>
      </c>
      <c r="F1" s="56" t="s">
        <v>253</v>
      </c>
      <c r="G1" s="56" t="s">
        <v>254</v>
      </c>
      <c r="H1" s="57" t="s">
        <v>227</v>
      </c>
    </row>
    <row r="2" spans="1:8" x14ac:dyDescent="0.35">
      <c r="A2" s="55" t="s">
        <v>840</v>
      </c>
      <c r="B2" s="51" t="s">
        <v>255</v>
      </c>
      <c r="C2" s="51" t="str">
        <f>VLOOKUP(B2, AT_FILAS!$A$2:$C$8,2,FALSE)</f>
        <v>Producción</v>
      </c>
      <c r="D2" s="51" t="str">
        <f>VLOOKUP(B2, AT_FILAS!$A$2:$C$8,3,FALSE)</f>
        <v>P1</v>
      </c>
      <c r="E2" s="63">
        <v>1</v>
      </c>
      <c r="F2" s="64" t="s">
        <v>257</v>
      </c>
      <c r="G2" s="51">
        <v>1</v>
      </c>
      <c r="H2" s="65" t="str">
        <f>VLOOKUP(G2,[1]bio!$D$2:$E$4,2,FALSE)</f>
        <v>Bioeconomía</v>
      </c>
    </row>
    <row r="3" spans="1:8" x14ac:dyDescent="0.35">
      <c r="A3" s="58" t="s">
        <v>841</v>
      </c>
      <c r="B3" s="7" t="s">
        <v>255</v>
      </c>
      <c r="C3" s="7" t="str">
        <f>VLOOKUP(B3, AT_FILAS!$A$2:$C$8,2,FALSE)</f>
        <v>Producción</v>
      </c>
      <c r="D3" s="7" t="str">
        <f>VLOOKUP(B3, AT_FILAS!$A$2:$C$8,3,FALSE)</f>
        <v>P1</v>
      </c>
      <c r="E3" s="53">
        <v>2</v>
      </c>
      <c r="F3" s="54" t="s">
        <v>256</v>
      </c>
      <c r="G3" s="7">
        <v>1</v>
      </c>
      <c r="H3" s="59" t="str">
        <f>VLOOKUP(G3,[1]bio!$D$2:$E$4,2,FALSE)</f>
        <v>Bioeconomía</v>
      </c>
    </row>
    <row r="4" spans="1:8" x14ac:dyDescent="0.35">
      <c r="A4" s="58" t="s">
        <v>842</v>
      </c>
      <c r="B4" s="7" t="s">
        <v>255</v>
      </c>
      <c r="C4" s="7" t="str">
        <f>VLOOKUP(B4, AT_FILAS!$A$2:$C$8,2,FALSE)</f>
        <v>Producción</v>
      </c>
      <c r="D4" s="7" t="str">
        <f>VLOOKUP(B4, AT_FILAS!$A$2:$C$8,3,FALSE)</f>
        <v>P1</v>
      </c>
      <c r="E4" s="53">
        <v>3</v>
      </c>
      <c r="F4" s="54" t="s">
        <v>958</v>
      </c>
      <c r="G4" s="7">
        <v>1</v>
      </c>
      <c r="H4" s="59" t="str">
        <f>VLOOKUP(G4,[1]bio!$D$2:$E$4,2,FALSE)</f>
        <v>Bioeconomía</v>
      </c>
    </row>
    <row r="5" spans="1:8" x14ac:dyDescent="0.35">
      <c r="A5" s="58" t="s">
        <v>843</v>
      </c>
      <c r="B5" s="7" t="s">
        <v>255</v>
      </c>
      <c r="C5" s="7" t="str">
        <f>VLOOKUP(B5, AT_FILAS!$A$2:$C$8,2,FALSE)</f>
        <v>Producción</v>
      </c>
      <c r="D5" s="7" t="str">
        <f>VLOOKUP(B5, AT_FILAS!$A$2:$C$8,3,FALSE)</f>
        <v>P1</v>
      </c>
      <c r="E5" s="53">
        <v>4</v>
      </c>
      <c r="F5" s="54" t="s">
        <v>959</v>
      </c>
      <c r="G5" s="7">
        <v>1</v>
      </c>
      <c r="H5" s="59" t="str">
        <f>VLOOKUP(G5,[1]bio!$D$2:$E$4,2,FALSE)</f>
        <v>Bioeconomía</v>
      </c>
    </row>
    <row r="6" spans="1:8" x14ac:dyDescent="0.35">
      <c r="A6" s="58" t="s">
        <v>844</v>
      </c>
      <c r="B6" s="7" t="s">
        <v>255</v>
      </c>
      <c r="C6" s="7" t="str">
        <f>VLOOKUP(B6, AT_FILAS!$A$2:$C$8,2,FALSE)</f>
        <v>Producción</v>
      </c>
      <c r="D6" s="7" t="str">
        <f>VLOOKUP(B6, AT_FILAS!$A$2:$C$8,3,FALSE)</f>
        <v>P1</v>
      </c>
      <c r="E6" s="53">
        <v>5</v>
      </c>
      <c r="F6" s="54" t="s">
        <v>960</v>
      </c>
      <c r="G6" s="7">
        <v>1</v>
      </c>
      <c r="H6" s="59" t="str">
        <f>VLOOKUP(G6,[1]bio!$D$2:$E$4,2,FALSE)</f>
        <v>Bioeconomía</v>
      </c>
    </row>
    <row r="7" spans="1:8" x14ac:dyDescent="0.35">
      <c r="A7" s="58" t="s">
        <v>845</v>
      </c>
      <c r="B7" s="7" t="s">
        <v>255</v>
      </c>
      <c r="C7" s="7" t="str">
        <f>VLOOKUP(B7, AT_FILAS!$A$2:$C$8,2,FALSE)</f>
        <v>Producción</v>
      </c>
      <c r="D7" s="7" t="str">
        <f>VLOOKUP(B7, AT_FILAS!$A$2:$C$8,3,FALSE)</f>
        <v>P1</v>
      </c>
      <c r="E7" s="53">
        <v>6</v>
      </c>
      <c r="F7" s="54" t="s">
        <v>961</v>
      </c>
      <c r="G7" s="7">
        <v>1</v>
      </c>
      <c r="H7" s="59" t="str">
        <f>VLOOKUP(G7,[1]bio!$D$2:$E$4,2,FALSE)</f>
        <v>Bioeconomía</v>
      </c>
    </row>
    <row r="8" spans="1:8" x14ac:dyDescent="0.35">
      <c r="A8" s="58" t="s">
        <v>846</v>
      </c>
      <c r="B8" s="7" t="s">
        <v>255</v>
      </c>
      <c r="C8" s="7" t="str">
        <f>VLOOKUP(B8, AT_FILAS!$A$2:$C$8,2,FALSE)</f>
        <v>Producción</v>
      </c>
      <c r="D8" s="7" t="str">
        <f>VLOOKUP(B8, AT_FILAS!$A$2:$C$8,3,FALSE)</f>
        <v>P1</v>
      </c>
      <c r="E8" s="53">
        <v>7</v>
      </c>
      <c r="F8" s="54" t="s">
        <v>962</v>
      </c>
      <c r="G8" s="7">
        <v>1</v>
      </c>
      <c r="H8" s="59" t="str">
        <f>VLOOKUP(G8,[1]bio!$D$2:$E$4,2,FALSE)</f>
        <v>Bioeconomía</v>
      </c>
    </row>
    <row r="9" spans="1:8" x14ac:dyDescent="0.35">
      <c r="A9" s="58" t="s">
        <v>847</v>
      </c>
      <c r="B9" s="7" t="s">
        <v>255</v>
      </c>
      <c r="C9" s="7" t="str">
        <f>VLOOKUP(B9, AT_FILAS!$A$2:$C$8,2,FALSE)</f>
        <v>Producción</v>
      </c>
      <c r="D9" s="7" t="str">
        <f>VLOOKUP(B9, AT_FILAS!$A$2:$C$8,3,FALSE)</f>
        <v>P1</v>
      </c>
      <c r="E9" s="53">
        <v>8</v>
      </c>
      <c r="F9" s="54" t="s">
        <v>963</v>
      </c>
      <c r="G9" s="7">
        <v>1</v>
      </c>
      <c r="H9" s="59" t="str">
        <f>VLOOKUP(G9,[1]bio!$D$2:$E$4,2,FALSE)</f>
        <v>Bioeconomía</v>
      </c>
    </row>
    <row r="10" spans="1:8" x14ac:dyDescent="0.35">
      <c r="A10" s="58" t="s">
        <v>848</v>
      </c>
      <c r="B10" s="7" t="s">
        <v>255</v>
      </c>
      <c r="C10" s="7" t="str">
        <f>VLOOKUP(B10, AT_FILAS!$A$2:$C$8,2,FALSE)</f>
        <v>Producción</v>
      </c>
      <c r="D10" s="7" t="str">
        <f>VLOOKUP(B10, AT_FILAS!$A$2:$C$8,3,FALSE)</f>
        <v>P1</v>
      </c>
      <c r="E10" s="53">
        <v>9</v>
      </c>
      <c r="F10" s="54" t="s">
        <v>964</v>
      </c>
      <c r="G10" s="7">
        <v>1</v>
      </c>
      <c r="H10" s="59" t="str">
        <f>VLOOKUP(G10,[1]bio!$D$2:$E$4,2,FALSE)</f>
        <v>Bioeconomía</v>
      </c>
    </row>
    <row r="11" spans="1:8" x14ac:dyDescent="0.35">
      <c r="A11" s="58" t="s">
        <v>849</v>
      </c>
      <c r="B11" s="7" t="s">
        <v>255</v>
      </c>
      <c r="C11" s="7" t="str">
        <f>VLOOKUP(B11, AT_FILAS!$A$2:$C$8,2,FALSE)</f>
        <v>Producción</v>
      </c>
      <c r="D11" s="7" t="str">
        <f>VLOOKUP(B11, AT_FILAS!$A$2:$C$8,3,FALSE)</f>
        <v>P1</v>
      </c>
      <c r="E11" s="53">
        <v>10</v>
      </c>
      <c r="F11" s="53" t="s">
        <v>965</v>
      </c>
      <c r="G11" s="7">
        <v>1</v>
      </c>
      <c r="H11" s="59" t="str">
        <f>VLOOKUP(G11,[1]bio!$D$2:$E$4,2,FALSE)</f>
        <v>Bioeconomía</v>
      </c>
    </row>
    <row r="12" spans="1:8" x14ac:dyDescent="0.35">
      <c r="A12" s="58" t="s">
        <v>850</v>
      </c>
      <c r="B12" s="7" t="s">
        <v>255</v>
      </c>
      <c r="C12" s="7" t="str">
        <f>VLOOKUP(B12, AT_FILAS!$A$2:$C$8,2,FALSE)</f>
        <v>Producción</v>
      </c>
      <c r="D12" s="7" t="str">
        <f>VLOOKUP(B12, AT_FILAS!$A$2:$C$8,3,FALSE)</f>
        <v>P1</v>
      </c>
      <c r="E12" s="53">
        <v>11</v>
      </c>
      <c r="F12" s="54" t="s">
        <v>966</v>
      </c>
      <c r="G12" s="7">
        <v>1</v>
      </c>
      <c r="H12" s="59" t="str">
        <f>VLOOKUP(G12,[1]bio!$D$2:$E$4,2,FALSE)</f>
        <v>Bioeconomía</v>
      </c>
    </row>
    <row r="13" spans="1:8" x14ac:dyDescent="0.35">
      <c r="A13" s="58" t="s">
        <v>851</v>
      </c>
      <c r="B13" s="7" t="s">
        <v>255</v>
      </c>
      <c r="C13" s="7" t="str">
        <f>VLOOKUP(B13, AT_FILAS!$A$2:$C$8,2,FALSE)</f>
        <v>Producción</v>
      </c>
      <c r="D13" s="7" t="str">
        <f>VLOOKUP(B13, AT_FILAS!$A$2:$C$8,3,FALSE)</f>
        <v>P1</v>
      </c>
      <c r="E13" s="53">
        <v>12</v>
      </c>
      <c r="F13" s="54" t="s">
        <v>967</v>
      </c>
      <c r="G13" s="7">
        <v>1</v>
      </c>
      <c r="H13" s="59" t="str">
        <f>VLOOKUP(G13,[1]bio!$D$2:$E$4,2,FALSE)</f>
        <v>Bioeconomía</v>
      </c>
    </row>
    <row r="14" spans="1:8" x14ac:dyDescent="0.35">
      <c r="A14" s="58" t="s">
        <v>852</v>
      </c>
      <c r="B14" s="7" t="s">
        <v>255</v>
      </c>
      <c r="C14" s="7" t="str">
        <f>VLOOKUP(B14, AT_FILAS!$A$2:$C$8,2,FALSE)</f>
        <v>Producción</v>
      </c>
      <c r="D14" s="7" t="str">
        <f>VLOOKUP(B14, AT_FILAS!$A$2:$C$8,3,FALSE)</f>
        <v>P1</v>
      </c>
      <c r="E14" s="53">
        <v>13</v>
      </c>
      <c r="F14" s="54" t="s">
        <v>968</v>
      </c>
      <c r="G14" s="7">
        <v>1</v>
      </c>
      <c r="H14" s="59" t="str">
        <f>VLOOKUP(G14,[1]bio!$D$2:$E$4,2,FALSE)</f>
        <v>Bioeconomía</v>
      </c>
    </row>
    <row r="15" spans="1:8" x14ac:dyDescent="0.35">
      <c r="A15" s="58" t="s">
        <v>853</v>
      </c>
      <c r="B15" s="7" t="s">
        <v>255</v>
      </c>
      <c r="C15" s="7" t="str">
        <f>VLOOKUP(B15, AT_FILAS!$A$2:$C$8,2,FALSE)</f>
        <v>Producción</v>
      </c>
      <c r="D15" s="7" t="str">
        <f>VLOOKUP(B15, AT_FILAS!$A$2:$C$8,3,FALSE)</f>
        <v>P1</v>
      </c>
      <c r="E15" s="53">
        <v>14</v>
      </c>
      <c r="F15" s="54" t="s">
        <v>969</v>
      </c>
      <c r="G15" s="7">
        <v>1</v>
      </c>
      <c r="H15" s="59" t="str">
        <f>VLOOKUP(G15,[1]bio!$D$2:$E$4,2,FALSE)</f>
        <v>Bioeconomía</v>
      </c>
    </row>
    <row r="16" spans="1:8" x14ac:dyDescent="0.35">
      <c r="A16" s="58" t="s">
        <v>854</v>
      </c>
      <c r="B16" s="7" t="s">
        <v>255</v>
      </c>
      <c r="C16" s="7" t="str">
        <f>VLOOKUP(B16, AT_FILAS!$A$2:$C$8,2,FALSE)</f>
        <v>Producción</v>
      </c>
      <c r="D16" s="7" t="str">
        <f>VLOOKUP(B16, AT_FILAS!$A$2:$C$8,3,FALSE)</f>
        <v>P1</v>
      </c>
      <c r="E16" s="53">
        <v>15</v>
      </c>
      <c r="F16" s="54" t="s">
        <v>970</v>
      </c>
      <c r="G16" s="7">
        <v>1</v>
      </c>
      <c r="H16" s="59" t="str">
        <f>VLOOKUP(G16,[1]bio!$D$2:$E$4,2,FALSE)</f>
        <v>Bioeconomía</v>
      </c>
    </row>
    <row r="17" spans="1:8" x14ac:dyDescent="0.35">
      <c r="A17" s="58" t="s">
        <v>855</v>
      </c>
      <c r="B17" s="7" t="s">
        <v>255</v>
      </c>
      <c r="C17" s="7" t="str">
        <f>VLOOKUP(B17, AT_FILAS!$A$2:$C$8,2,FALSE)</f>
        <v>Producción</v>
      </c>
      <c r="D17" s="7" t="str">
        <f>VLOOKUP(B17, AT_FILAS!$A$2:$C$8,3,FALSE)</f>
        <v>P1</v>
      </c>
      <c r="E17" s="53">
        <v>16</v>
      </c>
      <c r="F17" s="54" t="s">
        <v>971</v>
      </c>
      <c r="G17" s="7">
        <v>1</v>
      </c>
      <c r="H17" s="59" t="str">
        <f>VLOOKUP(G17,[1]bio!$D$2:$E$4,2,FALSE)</f>
        <v>Bioeconomía</v>
      </c>
    </row>
    <row r="18" spans="1:8" x14ac:dyDescent="0.35">
      <c r="A18" s="58" t="s">
        <v>856</v>
      </c>
      <c r="B18" s="7" t="s">
        <v>255</v>
      </c>
      <c r="C18" s="7" t="str">
        <f>VLOOKUP(B18, AT_FILAS!$A$2:$C$8,2,FALSE)</f>
        <v>Producción</v>
      </c>
      <c r="D18" s="7" t="str">
        <f>VLOOKUP(B18, AT_FILAS!$A$2:$C$8,3,FALSE)</f>
        <v>P1</v>
      </c>
      <c r="E18" s="53">
        <v>17</v>
      </c>
      <c r="F18" s="54" t="s">
        <v>972</v>
      </c>
      <c r="G18" s="7">
        <v>1</v>
      </c>
      <c r="H18" s="59" t="str">
        <f>VLOOKUP(G18,[1]bio!$D$2:$E$4,2,FALSE)</f>
        <v>Bioeconomía</v>
      </c>
    </row>
    <row r="19" spans="1:8" x14ac:dyDescent="0.35">
      <c r="A19" s="58" t="s">
        <v>857</v>
      </c>
      <c r="B19" s="7" t="s">
        <v>255</v>
      </c>
      <c r="C19" s="7" t="str">
        <f>VLOOKUP(B19, AT_FILAS!$A$2:$C$8,2,FALSE)</f>
        <v>Producción</v>
      </c>
      <c r="D19" s="7" t="str">
        <f>VLOOKUP(B19, AT_FILAS!$A$2:$C$8,3,FALSE)</f>
        <v>P1</v>
      </c>
      <c r="E19" s="53">
        <v>18</v>
      </c>
      <c r="F19" s="54" t="s">
        <v>973</v>
      </c>
      <c r="G19" s="7">
        <v>1</v>
      </c>
      <c r="H19" s="59" t="str">
        <f>VLOOKUP(G19,[1]bio!$D$2:$E$4,2,FALSE)</f>
        <v>Bioeconomía</v>
      </c>
    </row>
    <row r="20" spans="1:8" x14ac:dyDescent="0.35">
      <c r="A20" s="58" t="s">
        <v>858</v>
      </c>
      <c r="B20" s="7" t="s">
        <v>255</v>
      </c>
      <c r="C20" s="7" t="str">
        <f>VLOOKUP(B20, AT_FILAS!$A$2:$C$8,2,FALSE)</f>
        <v>Producción</v>
      </c>
      <c r="D20" s="7" t="str">
        <f>VLOOKUP(B20, AT_FILAS!$A$2:$C$8,3,FALSE)</f>
        <v>P1</v>
      </c>
      <c r="E20" s="53">
        <v>19</v>
      </c>
      <c r="F20" s="54" t="s">
        <v>974</v>
      </c>
      <c r="G20" s="7">
        <v>1</v>
      </c>
      <c r="H20" s="59" t="str">
        <f>VLOOKUP(G20,[1]bio!$D$2:$E$4,2,FALSE)</f>
        <v>Bioeconomía</v>
      </c>
    </row>
    <row r="21" spans="1:8" x14ac:dyDescent="0.35">
      <c r="A21" s="58" t="s">
        <v>859</v>
      </c>
      <c r="B21" s="7" t="s">
        <v>255</v>
      </c>
      <c r="C21" s="7" t="str">
        <f>VLOOKUP(B21, AT_FILAS!$A$2:$C$8,2,FALSE)</f>
        <v>Producción</v>
      </c>
      <c r="D21" s="7" t="str">
        <f>VLOOKUP(B21, AT_FILAS!$A$2:$C$8,3,FALSE)</f>
        <v>P1</v>
      </c>
      <c r="E21" s="53">
        <v>20</v>
      </c>
      <c r="F21" s="54" t="s">
        <v>975</v>
      </c>
      <c r="G21" s="7">
        <v>1</v>
      </c>
      <c r="H21" s="59" t="str">
        <f>VLOOKUP(G21,[1]bio!$D$2:$E$4,2,FALSE)</f>
        <v>Bioeconomía</v>
      </c>
    </row>
    <row r="22" spans="1:8" x14ac:dyDescent="0.35">
      <c r="A22" s="58" t="s">
        <v>860</v>
      </c>
      <c r="B22" s="7" t="s">
        <v>255</v>
      </c>
      <c r="C22" s="7" t="str">
        <f>VLOOKUP(B22, AT_FILAS!$A$2:$C$8,2,FALSE)</f>
        <v>Producción</v>
      </c>
      <c r="D22" s="7" t="str">
        <f>VLOOKUP(B22, AT_FILAS!$A$2:$C$8,3,FALSE)</f>
        <v>P1</v>
      </c>
      <c r="E22" s="53">
        <v>21</v>
      </c>
      <c r="F22" s="54" t="s">
        <v>976</v>
      </c>
      <c r="G22" s="7">
        <v>1</v>
      </c>
      <c r="H22" s="59" t="str">
        <f>VLOOKUP(G22,[1]bio!$D$2:$E$4,2,FALSE)</f>
        <v>Bioeconomía</v>
      </c>
    </row>
    <row r="23" spans="1:8" x14ac:dyDescent="0.35">
      <c r="A23" s="58" t="s">
        <v>861</v>
      </c>
      <c r="B23" s="7" t="s">
        <v>255</v>
      </c>
      <c r="C23" s="7" t="str">
        <f>VLOOKUP(B23, AT_FILAS!$A$2:$C$8,2,FALSE)</f>
        <v>Producción</v>
      </c>
      <c r="D23" s="7" t="str">
        <f>VLOOKUP(B23, AT_FILAS!$A$2:$C$8,3,FALSE)</f>
        <v>P1</v>
      </c>
      <c r="E23" s="53">
        <v>22</v>
      </c>
      <c r="F23" s="54" t="s">
        <v>977</v>
      </c>
      <c r="G23" s="7">
        <v>1</v>
      </c>
      <c r="H23" s="59" t="str">
        <f>VLOOKUP(G23,[1]bio!$D$2:$E$4,2,FALSE)</f>
        <v>Bioeconomía</v>
      </c>
    </row>
    <row r="24" spans="1:8" x14ac:dyDescent="0.35">
      <c r="A24" s="58" t="s">
        <v>862</v>
      </c>
      <c r="B24" s="7" t="s">
        <v>255</v>
      </c>
      <c r="C24" s="7" t="str">
        <f>VLOOKUP(B24, AT_FILAS!$A$2:$C$8,2,FALSE)</f>
        <v>Producción</v>
      </c>
      <c r="D24" s="7" t="str">
        <f>VLOOKUP(B24, AT_FILAS!$A$2:$C$8,3,FALSE)</f>
        <v>P1</v>
      </c>
      <c r="E24" s="53">
        <v>23</v>
      </c>
      <c r="F24" s="54" t="s">
        <v>978</v>
      </c>
      <c r="G24" s="7">
        <v>1</v>
      </c>
      <c r="H24" s="59" t="str">
        <f>VLOOKUP(G24,[1]bio!$D$2:$E$4,2,FALSE)</f>
        <v>Bioeconomía</v>
      </c>
    </row>
    <row r="25" spans="1:8" x14ac:dyDescent="0.35">
      <c r="A25" s="58" t="s">
        <v>863</v>
      </c>
      <c r="B25" s="7" t="s">
        <v>255</v>
      </c>
      <c r="C25" s="7" t="str">
        <f>VLOOKUP(B25, AT_FILAS!$A$2:$C$8,2,FALSE)</f>
        <v>Producción</v>
      </c>
      <c r="D25" s="7" t="str">
        <f>VLOOKUP(B25, AT_FILAS!$A$2:$C$8,3,FALSE)</f>
        <v>P1</v>
      </c>
      <c r="E25" s="53">
        <v>24</v>
      </c>
      <c r="F25" s="54" t="s">
        <v>979</v>
      </c>
      <c r="G25" s="7">
        <v>1</v>
      </c>
      <c r="H25" s="59" t="str">
        <f>VLOOKUP(G25,[1]bio!$D$2:$E$4,2,FALSE)</f>
        <v>Bioeconomía</v>
      </c>
    </row>
    <row r="26" spans="1:8" x14ac:dyDescent="0.35">
      <c r="A26" s="58" t="s">
        <v>864</v>
      </c>
      <c r="B26" s="7" t="s">
        <v>255</v>
      </c>
      <c r="C26" s="7" t="str">
        <f>VLOOKUP(B26, AT_FILAS!$A$2:$C$8,2,FALSE)</f>
        <v>Producción</v>
      </c>
      <c r="D26" s="7" t="str">
        <f>VLOOKUP(B26, AT_FILAS!$A$2:$C$8,3,FALSE)</f>
        <v>P1</v>
      </c>
      <c r="E26" s="53">
        <v>25</v>
      </c>
      <c r="F26" s="54" t="s">
        <v>980</v>
      </c>
      <c r="G26" s="7">
        <v>1</v>
      </c>
      <c r="H26" s="59" t="str">
        <f>VLOOKUP(G26,[1]bio!$D$2:$E$4,2,FALSE)</f>
        <v>Bioeconomía</v>
      </c>
    </row>
    <row r="27" spans="1:8" x14ac:dyDescent="0.35">
      <c r="A27" s="58" t="s">
        <v>865</v>
      </c>
      <c r="B27" s="7" t="s">
        <v>255</v>
      </c>
      <c r="C27" s="7" t="str">
        <f>VLOOKUP(B27, AT_FILAS!$A$2:$C$8,2,FALSE)</f>
        <v>Producción</v>
      </c>
      <c r="D27" s="7" t="str">
        <f>VLOOKUP(B27, AT_FILAS!$A$2:$C$8,3,FALSE)</f>
        <v>P1</v>
      </c>
      <c r="E27" s="53">
        <v>26</v>
      </c>
      <c r="F27" s="54" t="s">
        <v>981</v>
      </c>
      <c r="G27" s="7">
        <v>1</v>
      </c>
      <c r="H27" s="59" t="str">
        <f>VLOOKUP(G27,[1]bio!$D$2:$E$4,2,FALSE)</f>
        <v>Bioeconomía</v>
      </c>
    </row>
    <row r="28" spans="1:8" x14ac:dyDescent="0.35">
      <c r="A28" s="58" t="s">
        <v>866</v>
      </c>
      <c r="B28" s="7" t="s">
        <v>255</v>
      </c>
      <c r="C28" s="7" t="str">
        <f>VLOOKUP(B28, AT_FILAS!$A$2:$C$8,2,FALSE)</f>
        <v>Producción</v>
      </c>
      <c r="D28" s="7" t="str">
        <f>VLOOKUP(B28, AT_FILAS!$A$2:$C$8,3,FALSE)</f>
        <v>P1</v>
      </c>
      <c r="E28" s="53">
        <v>27</v>
      </c>
      <c r="F28" s="54" t="s">
        <v>982</v>
      </c>
      <c r="G28" s="7">
        <v>3</v>
      </c>
      <c r="H28" s="59" t="str">
        <f>VLOOKUP(G28,[1]bio!$D$2:$E$4,2,FALSE)</f>
        <v>No bioeconomía</v>
      </c>
    </row>
    <row r="29" spans="1:8" x14ac:dyDescent="0.35">
      <c r="A29" s="58" t="s">
        <v>867</v>
      </c>
      <c r="B29" s="7" t="s">
        <v>255</v>
      </c>
      <c r="C29" s="7" t="str">
        <f>VLOOKUP(B29, AT_FILAS!$A$2:$C$8,2,FALSE)</f>
        <v>Producción</v>
      </c>
      <c r="D29" s="7" t="str">
        <f>VLOOKUP(B29, AT_FILAS!$A$2:$C$8,3,FALSE)</f>
        <v>P1</v>
      </c>
      <c r="E29" s="53">
        <v>28</v>
      </c>
      <c r="F29" s="54" t="s">
        <v>258</v>
      </c>
      <c r="G29" s="7">
        <v>3</v>
      </c>
      <c r="H29" s="59" t="str">
        <f>VLOOKUP(G29,[1]bio!$D$2:$E$4,2,FALSE)</f>
        <v>No bioeconomía</v>
      </c>
    </row>
    <row r="30" spans="1:8" x14ac:dyDescent="0.35">
      <c r="A30" s="58" t="s">
        <v>868</v>
      </c>
      <c r="B30" s="7" t="s">
        <v>255</v>
      </c>
      <c r="C30" s="7" t="str">
        <f>VLOOKUP(B30, AT_FILAS!$A$2:$C$8,2,FALSE)</f>
        <v>Producción</v>
      </c>
      <c r="D30" s="7" t="str">
        <f>VLOOKUP(B30, AT_FILAS!$A$2:$C$8,3,FALSE)</f>
        <v>P1</v>
      </c>
      <c r="E30" s="53">
        <v>29</v>
      </c>
      <c r="F30" s="54" t="s">
        <v>259</v>
      </c>
      <c r="G30" s="7">
        <v>3</v>
      </c>
      <c r="H30" s="59" t="str">
        <f>VLOOKUP(G30,[1]bio!$D$2:$E$4,2,FALSE)</f>
        <v>No bioeconomía</v>
      </c>
    </row>
    <row r="31" spans="1:8" x14ac:dyDescent="0.35">
      <c r="A31" s="58" t="s">
        <v>869</v>
      </c>
      <c r="B31" s="7" t="s">
        <v>255</v>
      </c>
      <c r="C31" s="7" t="str">
        <f>VLOOKUP(B31, AT_FILAS!$A$2:$C$8,2,FALSE)</f>
        <v>Producción</v>
      </c>
      <c r="D31" s="7" t="str">
        <f>VLOOKUP(B31, AT_FILAS!$A$2:$C$8,3,FALSE)</f>
        <v>P1</v>
      </c>
      <c r="E31" s="53">
        <v>30</v>
      </c>
      <c r="F31" s="54" t="s">
        <v>983</v>
      </c>
      <c r="G31" s="7">
        <v>3</v>
      </c>
      <c r="H31" s="59" t="str">
        <f>VLOOKUP(G31,[1]bio!$D$2:$E$4,2,FALSE)</f>
        <v>No bioeconomía</v>
      </c>
    </row>
    <row r="32" spans="1:8" x14ac:dyDescent="0.35">
      <c r="A32" s="58" t="s">
        <v>870</v>
      </c>
      <c r="B32" s="7" t="s">
        <v>255</v>
      </c>
      <c r="C32" s="7" t="str">
        <f>VLOOKUP(B32, AT_FILAS!$A$2:$C$8,2,FALSE)</f>
        <v>Producción</v>
      </c>
      <c r="D32" s="7" t="str">
        <f>VLOOKUP(B32, AT_FILAS!$A$2:$C$8,3,FALSE)</f>
        <v>P1</v>
      </c>
      <c r="E32" s="53">
        <v>31</v>
      </c>
      <c r="F32" s="54" t="s">
        <v>984</v>
      </c>
      <c r="G32" s="7">
        <v>3</v>
      </c>
      <c r="H32" s="59" t="str">
        <f>VLOOKUP(G32,[1]bio!$D$2:$E$4,2,FALSE)</f>
        <v>No bioeconomía</v>
      </c>
    </row>
    <row r="33" spans="1:8" x14ac:dyDescent="0.35">
      <c r="A33" s="58" t="s">
        <v>871</v>
      </c>
      <c r="B33" s="7" t="s">
        <v>255</v>
      </c>
      <c r="C33" s="7" t="str">
        <f>VLOOKUP(B33, AT_FILAS!$A$2:$C$8,2,FALSE)</f>
        <v>Producción</v>
      </c>
      <c r="D33" s="7" t="str">
        <f>VLOOKUP(B33, AT_FILAS!$A$2:$C$8,3,FALSE)</f>
        <v>P1</v>
      </c>
      <c r="E33" s="53">
        <v>32</v>
      </c>
      <c r="F33" s="54" t="s">
        <v>985</v>
      </c>
      <c r="G33" s="7">
        <v>3</v>
      </c>
      <c r="H33" s="59" t="str">
        <f>VLOOKUP(G33,[1]bio!$D$2:$E$4,2,FALSE)</f>
        <v>No bioeconomía</v>
      </c>
    </row>
    <row r="34" spans="1:8" x14ac:dyDescent="0.35">
      <c r="A34" s="58" t="s">
        <v>872</v>
      </c>
      <c r="B34" s="7" t="s">
        <v>255</v>
      </c>
      <c r="C34" s="7" t="str">
        <f>VLOOKUP(B34, AT_FILAS!$A$2:$C$8,2,FALSE)</f>
        <v>Producción</v>
      </c>
      <c r="D34" s="7" t="str">
        <f>VLOOKUP(B34, AT_FILAS!$A$2:$C$8,3,FALSE)</f>
        <v>P1</v>
      </c>
      <c r="E34" s="53">
        <v>33</v>
      </c>
      <c r="F34" s="54" t="s">
        <v>260</v>
      </c>
      <c r="G34" s="7">
        <v>3</v>
      </c>
      <c r="H34" s="59" t="str">
        <f>VLOOKUP(G34,[1]bio!$D$2:$E$4,2,FALSE)</f>
        <v>No bioeconomía</v>
      </c>
    </row>
    <row r="35" spans="1:8" x14ac:dyDescent="0.35">
      <c r="A35" s="58" t="s">
        <v>873</v>
      </c>
      <c r="B35" s="7" t="s">
        <v>255</v>
      </c>
      <c r="C35" s="7" t="str">
        <f>VLOOKUP(B35, AT_FILAS!$A$2:$C$8,2,FALSE)</f>
        <v>Producción</v>
      </c>
      <c r="D35" s="7" t="str">
        <f>VLOOKUP(B35, AT_FILAS!$A$2:$C$8,3,FALSE)</f>
        <v>P1</v>
      </c>
      <c r="E35" s="53">
        <v>34</v>
      </c>
      <c r="F35" s="54" t="s">
        <v>986</v>
      </c>
      <c r="G35" s="7">
        <v>3</v>
      </c>
      <c r="H35" s="59" t="str">
        <f>VLOOKUP(G35,[1]bio!$D$2:$E$4,2,FALSE)</f>
        <v>No bioeconomía</v>
      </c>
    </row>
    <row r="36" spans="1:8" x14ac:dyDescent="0.35">
      <c r="A36" s="58" t="s">
        <v>874</v>
      </c>
      <c r="B36" s="7" t="s">
        <v>255</v>
      </c>
      <c r="C36" s="7" t="str">
        <f>VLOOKUP(B36, AT_FILAS!$A$2:$C$8,2,FALSE)</f>
        <v>Producción</v>
      </c>
      <c r="D36" s="7" t="str">
        <f>VLOOKUP(B36, AT_FILAS!$A$2:$C$8,3,FALSE)</f>
        <v>P1</v>
      </c>
      <c r="E36" s="53">
        <v>35</v>
      </c>
      <c r="F36" s="54" t="s">
        <v>987</v>
      </c>
      <c r="G36" s="7">
        <v>3</v>
      </c>
      <c r="H36" s="59" t="str">
        <f>VLOOKUP(G36,[1]bio!$D$2:$E$4,2,FALSE)</f>
        <v>No bioeconomía</v>
      </c>
    </row>
    <row r="37" spans="1:8" x14ac:dyDescent="0.35">
      <c r="A37" s="58" t="s">
        <v>875</v>
      </c>
      <c r="B37" s="7" t="s">
        <v>255</v>
      </c>
      <c r="C37" s="7" t="str">
        <f>VLOOKUP(B37, AT_FILAS!$A$2:$C$8,2,FALSE)</f>
        <v>Producción</v>
      </c>
      <c r="D37" s="7" t="str">
        <f>VLOOKUP(B37, AT_FILAS!$A$2:$C$8,3,FALSE)</f>
        <v>P1</v>
      </c>
      <c r="E37" s="53">
        <v>36</v>
      </c>
      <c r="F37" s="54" t="s">
        <v>988</v>
      </c>
      <c r="G37" s="7">
        <v>3</v>
      </c>
      <c r="H37" s="59" t="str">
        <f>VLOOKUP(G37,[1]bio!$D$2:$E$4,2,FALSE)</f>
        <v>No bioeconomía</v>
      </c>
    </row>
    <row r="38" spans="1:8" x14ac:dyDescent="0.35">
      <c r="A38" s="58" t="s">
        <v>876</v>
      </c>
      <c r="B38" s="7" t="s">
        <v>255</v>
      </c>
      <c r="C38" s="7" t="str">
        <f>VLOOKUP(B38, AT_FILAS!$A$2:$C$8,2,FALSE)</f>
        <v>Producción</v>
      </c>
      <c r="D38" s="7" t="str">
        <f>VLOOKUP(B38, AT_FILAS!$A$2:$C$8,3,FALSE)</f>
        <v>P1</v>
      </c>
      <c r="E38" s="53">
        <v>37</v>
      </c>
      <c r="F38" s="54" t="s">
        <v>989</v>
      </c>
      <c r="G38" s="7">
        <v>1</v>
      </c>
      <c r="H38" s="59" t="str">
        <f>VLOOKUP(G38,[1]bio!$D$2:$E$4,2,FALSE)</f>
        <v>Bioeconomía</v>
      </c>
    </row>
    <row r="39" spans="1:8" x14ac:dyDescent="0.35">
      <c r="A39" s="58" t="s">
        <v>877</v>
      </c>
      <c r="B39" s="7" t="s">
        <v>255</v>
      </c>
      <c r="C39" s="7" t="str">
        <f>VLOOKUP(B39, AT_FILAS!$A$2:$C$8,2,FALSE)</f>
        <v>Producción</v>
      </c>
      <c r="D39" s="7" t="str">
        <f>VLOOKUP(B39, AT_FILAS!$A$2:$C$8,3,FALSE)</f>
        <v>P1</v>
      </c>
      <c r="E39" s="53">
        <v>38</v>
      </c>
      <c r="F39" s="54" t="s">
        <v>990</v>
      </c>
      <c r="G39" s="7">
        <v>1</v>
      </c>
      <c r="H39" s="59" t="str">
        <f>VLOOKUP(G39,[1]bio!$D$2:$E$4,2,FALSE)</f>
        <v>Bioeconomía</v>
      </c>
    </row>
    <row r="40" spans="1:8" x14ac:dyDescent="0.35">
      <c r="A40" s="58" t="s">
        <v>878</v>
      </c>
      <c r="B40" s="7" t="s">
        <v>255</v>
      </c>
      <c r="C40" s="7" t="str">
        <f>VLOOKUP(B40, AT_FILAS!$A$2:$C$8,2,FALSE)</f>
        <v>Producción</v>
      </c>
      <c r="D40" s="7" t="str">
        <f>VLOOKUP(B40, AT_FILAS!$A$2:$C$8,3,FALSE)</f>
        <v>P1</v>
      </c>
      <c r="E40" s="53">
        <v>39</v>
      </c>
      <c r="F40" s="54" t="s">
        <v>991</v>
      </c>
      <c r="G40" s="7">
        <v>1</v>
      </c>
      <c r="H40" s="59" t="str">
        <f>VLOOKUP(G40,[1]bio!$D$2:$E$4,2,FALSE)</f>
        <v>Bioeconomía</v>
      </c>
    </row>
    <row r="41" spans="1:8" x14ac:dyDescent="0.35">
      <c r="A41" s="58" t="s">
        <v>879</v>
      </c>
      <c r="B41" s="7" t="s">
        <v>255</v>
      </c>
      <c r="C41" s="7" t="str">
        <f>VLOOKUP(B41, AT_FILAS!$A$2:$C$8,2,FALSE)</f>
        <v>Producción</v>
      </c>
      <c r="D41" s="7" t="str">
        <f>VLOOKUP(B41, AT_FILAS!$A$2:$C$8,3,FALSE)</f>
        <v>P1</v>
      </c>
      <c r="E41" s="53">
        <v>40</v>
      </c>
      <c r="F41" s="54" t="s">
        <v>992</v>
      </c>
      <c r="G41" s="7">
        <v>1</v>
      </c>
      <c r="H41" s="59" t="str">
        <f>VLOOKUP(G41,[1]bio!$D$2:$E$4,2,FALSE)</f>
        <v>Bioeconomía</v>
      </c>
    </row>
    <row r="42" spans="1:8" x14ac:dyDescent="0.35">
      <c r="A42" s="58" t="s">
        <v>880</v>
      </c>
      <c r="B42" s="7" t="s">
        <v>255</v>
      </c>
      <c r="C42" s="7" t="str">
        <f>VLOOKUP(B42, AT_FILAS!$A$2:$C$8,2,FALSE)</f>
        <v>Producción</v>
      </c>
      <c r="D42" s="7" t="str">
        <f>VLOOKUP(B42, AT_FILAS!$A$2:$C$8,3,FALSE)</f>
        <v>P1</v>
      </c>
      <c r="E42" s="53">
        <v>41</v>
      </c>
      <c r="F42" s="54" t="s">
        <v>993</v>
      </c>
      <c r="G42" s="7">
        <v>1</v>
      </c>
      <c r="H42" s="59" t="str">
        <f>VLOOKUP(G42,[1]bio!$D$2:$E$4,2,FALSE)</f>
        <v>Bioeconomía</v>
      </c>
    </row>
    <row r="43" spans="1:8" x14ac:dyDescent="0.35">
      <c r="A43" s="58" t="s">
        <v>881</v>
      </c>
      <c r="B43" s="7" t="s">
        <v>255</v>
      </c>
      <c r="C43" s="7" t="str">
        <f>VLOOKUP(B43, AT_FILAS!$A$2:$C$8,2,FALSE)</f>
        <v>Producción</v>
      </c>
      <c r="D43" s="7" t="str">
        <f>VLOOKUP(B43, AT_FILAS!$A$2:$C$8,3,FALSE)</f>
        <v>P1</v>
      </c>
      <c r="E43" s="53">
        <v>42</v>
      </c>
      <c r="F43" s="54" t="s">
        <v>994</v>
      </c>
      <c r="G43" s="7">
        <v>1</v>
      </c>
      <c r="H43" s="59" t="str">
        <f>VLOOKUP(G43,[1]bio!$D$2:$E$4,2,FALSE)</f>
        <v>Bioeconomía</v>
      </c>
    </row>
    <row r="44" spans="1:8" x14ac:dyDescent="0.35">
      <c r="A44" s="58" t="s">
        <v>882</v>
      </c>
      <c r="B44" s="7" t="s">
        <v>255</v>
      </c>
      <c r="C44" s="7" t="str">
        <f>VLOOKUP(B44, AT_FILAS!$A$2:$C$8,2,FALSE)</f>
        <v>Producción</v>
      </c>
      <c r="D44" s="7" t="str">
        <f>VLOOKUP(B44, AT_FILAS!$A$2:$C$8,3,FALSE)</f>
        <v>P1</v>
      </c>
      <c r="E44" s="53">
        <v>43</v>
      </c>
      <c r="F44" s="54" t="s">
        <v>995</v>
      </c>
      <c r="G44" s="7">
        <v>1</v>
      </c>
      <c r="H44" s="59" t="str">
        <f>VLOOKUP(G44,[1]bio!$D$2:$E$4,2,FALSE)</f>
        <v>Bioeconomía</v>
      </c>
    </row>
    <row r="45" spans="1:8" x14ac:dyDescent="0.35">
      <c r="A45" s="58" t="s">
        <v>883</v>
      </c>
      <c r="B45" s="7" t="s">
        <v>255</v>
      </c>
      <c r="C45" s="7" t="str">
        <f>VLOOKUP(B45, AT_FILAS!$A$2:$C$8,2,FALSE)</f>
        <v>Producción</v>
      </c>
      <c r="D45" s="7" t="str">
        <f>VLOOKUP(B45, AT_FILAS!$A$2:$C$8,3,FALSE)</f>
        <v>P1</v>
      </c>
      <c r="E45" s="53">
        <v>44</v>
      </c>
      <c r="F45" s="54" t="s">
        <v>996</v>
      </c>
      <c r="G45" s="7">
        <v>1</v>
      </c>
      <c r="H45" s="59" t="str">
        <f>VLOOKUP(G45,[1]bio!$D$2:$E$4,2,FALSE)</f>
        <v>Bioeconomía</v>
      </c>
    </row>
    <row r="46" spans="1:8" x14ac:dyDescent="0.35">
      <c r="A46" s="58" t="s">
        <v>884</v>
      </c>
      <c r="B46" s="7" t="s">
        <v>255</v>
      </c>
      <c r="C46" s="7" t="str">
        <f>VLOOKUP(B46, AT_FILAS!$A$2:$C$8,2,FALSE)</f>
        <v>Producción</v>
      </c>
      <c r="D46" s="7" t="str">
        <f>VLOOKUP(B46, AT_FILAS!$A$2:$C$8,3,FALSE)</f>
        <v>P1</v>
      </c>
      <c r="E46" s="53">
        <v>45</v>
      </c>
      <c r="F46" s="54" t="s">
        <v>997</v>
      </c>
      <c r="G46" s="7">
        <v>1</v>
      </c>
      <c r="H46" s="59" t="str">
        <f>VLOOKUP(G46,[1]bio!$D$2:$E$4,2,FALSE)</f>
        <v>Bioeconomía</v>
      </c>
    </row>
    <row r="47" spans="1:8" x14ac:dyDescent="0.35">
      <c r="A47" s="58" t="s">
        <v>885</v>
      </c>
      <c r="B47" s="7" t="s">
        <v>255</v>
      </c>
      <c r="C47" s="7" t="str">
        <f>VLOOKUP(B47, AT_FILAS!$A$2:$C$8,2,FALSE)</f>
        <v>Producción</v>
      </c>
      <c r="D47" s="7" t="str">
        <f>VLOOKUP(B47, AT_FILAS!$A$2:$C$8,3,FALSE)</f>
        <v>P1</v>
      </c>
      <c r="E47" s="53">
        <v>46</v>
      </c>
      <c r="F47" s="54" t="s">
        <v>998</v>
      </c>
      <c r="G47" s="7">
        <v>1</v>
      </c>
      <c r="H47" s="59" t="str">
        <f>VLOOKUP(G47,[1]bio!$D$2:$E$4,2,FALSE)</f>
        <v>Bioeconomía</v>
      </c>
    </row>
    <row r="48" spans="1:8" x14ac:dyDescent="0.35">
      <c r="A48" s="58" t="s">
        <v>886</v>
      </c>
      <c r="B48" s="7" t="s">
        <v>255</v>
      </c>
      <c r="C48" s="7" t="str">
        <f>VLOOKUP(B48, AT_FILAS!$A$2:$C$8,2,FALSE)</f>
        <v>Producción</v>
      </c>
      <c r="D48" s="7" t="str">
        <f>VLOOKUP(B48, AT_FILAS!$A$2:$C$8,3,FALSE)</f>
        <v>P1</v>
      </c>
      <c r="E48" s="53">
        <v>47</v>
      </c>
      <c r="F48" s="54" t="s">
        <v>999</v>
      </c>
      <c r="G48" s="7">
        <v>1</v>
      </c>
      <c r="H48" s="59" t="str">
        <f>VLOOKUP(G48,[1]bio!$D$2:$E$4,2,FALSE)</f>
        <v>Bioeconomía</v>
      </c>
    </row>
    <row r="49" spans="1:8" x14ac:dyDescent="0.35">
      <c r="A49" s="58" t="s">
        <v>887</v>
      </c>
      <c r="B49" s="7" t="s">
        <v>255</v>
      </c>
      <c r="C49" s="7" t="str">
        <f>VLOOKUP(B49, AT_FILAS!$A$2:$C$8,2,FALSE)</f>
        <v>Producción</v>
      </c>
      <c r="D49" s="7" t="str">
        <f>VLOOKUP(B49, AT_FILAS!$A$2:$C$8,3,FALSE)</f>
        <v>P1</v>
      </c>
      <c r="E49" s="53">
        <v>48</v>
      </c>
      <c r="F49" s="54" t="s">
        <v>1000</v>
      </c>
      <c r="G49" s="7">
        <v>1</v>
      </c>
      <c r="H49" s="59" t="str">
        <f>VLOOKUP(G49,[1]bio!$D$2:$E$4,2,FALSE)</f>
        <v>Bioeconomía</v>
      </c>
    </row>
    <row r="50" spans="1:8" x14ac:dyDescent="0.35">
      <c r="A50" s="58" t="s">
        <v>888</v>
      </c>
      <c r="B50" s="7" t="s">
        <v>255</v>
      </c>
      <c r="C50" s="7" t="str">
        <f>VLOOKUP(B50, AT_FILAS!$A$2:$C$8,2,FALSE)</f>
        <v>Producción</v>
      </c>
      <c r="D50" s="7" t="str">
        <f>VLOOKUP(B50, AT_FILAS!$A$2:$C$8,3,FALSE)</f>
        <v>P1</v>
      </c>
      <c r="E50" s="53">
        <v>49</v>
      </c>
      <c r="F50" s="54" t="s">
        <v>1001</v>
      </c>
      <c r="G50" s="7">
        <v>1</v>
      </c>
      <c r="H50" s="59" t="str">
        <f>VLOOKUP(G50,[1]bio!$D$2:$E$4,2,FALSE)</f>
        <v>Bioeconomía</v>
      </c>
    </row>
    <row r="51" spans="1:8" x14ac:dyDescent="0.35">
      <c r="A51" s="58" t="s">
        <v>889</v>
      </c>
      <c r="B51" s="7" t="s">
        <v>255</v>
      </c>
      <c r="C51" s="7" t="str">
        <f>VLOOKUP(B51, AT_FILAS!$A$2:$C$8,2,FALSE)</f>
        <v>Producción</v>
      </c>
      <c r="D51" s="7" t="str">
        <f>VLOOKUP(B51, AT_FILAS!$A$2:$C$8,3,FALSE)</f>
        <v>P1</v>
      </c>
      <c r="E51" s="53">
        <v>50</v>
      </c>
      <c r="F51" s="54" t="s">
        <v>1002</v>
      </c>
      <c r="G51" s="7">
        <v>1</v>
      </c>
      <c r="H51" s="59" t="str">
        <f>VLOOKUP(G51,[1]bio!$D$2:$E$4,2,FALSE)</f>
        <v>Bioeconomía</v>
      </c>
    </row>
    <row r="52" spans="1:8" x14ac:dyDescent="0.35">
      <c r="A52" s="58" t="s">
        <v>890</v>
      </c>
      <c r="B52" s="7" t="s">
        <v>255</v>
      </c>
      <c r="C52" s="7" t="str">
        <f>VLOOKUP(B52, AT_FILAS!$A$2:$C$8,2,FALSE)</f>
        <v>Producción</v>
      </c>
      <c r="D52" s="7" t="str">
        <f>VLOOKUP(B52, AT_FILAS!$A$2:$C$8,3,FALSE)</f>
        <v>P1</v>
      </c>
      <c r="E52" s="53">
        <v>51</v>
      </c>
      <c r="F52" s="54" t="s">
        <v>1003</v>
      </c>
      <c r="G52" s="7">
        <v>1</v>
      </c>
      <c r="H52" s="59" t="str">
        <f>VLOOKUP(G52,[1]bio!$D$2:$E$4,2,FALSE)</f>
        <v>Bioeconomía</v>
      </c>
    </row>
    <row r="53" spans="1:8" x14ac:dyDescent="0.35">
      <c r="A53" s="58" t="s">
        <v>891</v>
      </c>
      <c r="B53" s="7" t="s">
        <v>255</v>
      </c>
      <c r="C53" s="7" t="str">
        <f>VLOOKUP(B53, AT_FILAS!$A$2:$C$8,2,FALSE)</f>
        <v>Producción</v>
      </c>
      <c r="D53" s="7" t="str">
        <f>VLOOKUP(B53, AT_FILAS!$A$2:$C$8,3,FALSE)</f>
        <v>P1</v>
      </c>
      <c r="E53" s="53">
        <v>52</v>
      </c>
      <c r="F53" s="54" t="s">
        <v>1004</v>
      </c>
      <c r="G53" s="7">
        <v>1</v>
      </c>
      <c r="H53" s="59" t="str">
        <f>VLOOKUP(G53,[1]bio!$D$2:$E$4,2,FALSE)</f>
        <v>Bioeconomía</v>
      </c>
    </row>
    <row r="54" spans="1:8" x14ac:dyDescent="0.35">
      <c r="A54" s="58" t="s">
        <v>892</v>
      </c>
      <c r="B54" s="7" t="s">
        <v>255</v>
      </c>
      <c r="C54" s="7" t="str">
        <f>VLOOKUP(B54, AT_FILAS!$A$2:$C$8,2,FALSE)</f>
        <v>Producción</v>
      </c>
      <c r="D54" s="7" t="str">
        <f>VLOOKUP(B54, AT_FILAS!$A$2:$C$8,3,FALSE)</f>
        <v>P1</v>
      </c>
      <c r="E54" s="53">
        <v>53</v>
      </c>
      <c r="F54" s="54" t="s">
        <v>1005</v>
      </c>
      <c r="G54" s="7">
        <v>1</v>
      </c>
      <c r="H54" s="59" t="str">
        <f>VLOOKUP(G54,[1]bio!$D$2:$E$4,2,FALSE)</f>
        <v>Bioeconomía</v>
      </c>
    </row>
    <row r="55" spans="1:8" x14ac:dyDescent="0.35">
      <c r="A55" s="58" t="s">
        <v>893</v>
      </c>
      <c r="B55" s="7" t="s">
        <v>255</v>
      </c>
      <c r="C55" s="7" t="str">
        <f>VLOOKUP(B55, AT_FILAS!$A$2:$C$8,2,FALSE)</f>
        <v>Producción</v>
      </c>
      <c r="D55" s="7" t="str">
        <f>VLOOKUP(B55, AT_FILAS!$A$2:$C$8,3,FALSE)</f>
        <v>P1</v>
      </c>
      <c r="E55" s="53">
        <v>54</v>
      </c>
      <c r="F55" s="54" t="s">
        <v>1006</v>
      </c>
      <c r="G55" s="7">
        <v>1</v>
      </c>
      <c r="H55" s="59" t="str">
        <f>VLOOKUP(G55,[1]bio!$D$2:$E$4,2,FALSE)</f>
        <v>Bioeconomía</v>
      </c>
    </row>
    <row r="56" spans="1:8" x14ac:dyDescent="0.35">
      <c r="A56" s="58" t="s">
        <v>894</v>
      </c>
      <c r="B56" s="7" t="s">
        <v>255</v>
      </c>
      <c r="C56" s="7" t="str">
        <f>VLOOKUP(B56, AT_FILAS!$A$2:$C$8,2,FALSE)</f>
        <v>Producción</v>
      </c>
      <c r="D56" s="7" t="str">
        <f>VLOOKUP(B56, AT_FILAS!$A$2:$C$8,3,FALSE)</f>
        <v>P1</v>
      </c>
      <c r="E56" s="53">
        <v>55</v>
      </c>
      <c r="F56" s="54" t="s">
        <v>1007</v>
      </c>
      <c r="G56" s="7">
        <v>1</v>
      </c>
      <c r="H56" s="59" t="str">
        <f>VLOOKUP(G56,[1]bio!$D$2:$E$4,2,FALSE)</f>
        <v>Bioeconomía</v>
      </c>
    </row>
    <row r="57" spans="1:8" x14ac:dyDescent="0.35">
      <c r="A57" s="58" t="s">
        <v>895</v>
      </c>
      <c r="B57" s="7" t="s">
        <v>255</v>
      </c>
      <c r="C57" s="7" t="str">
        <f>VLOOKUP(B57, AT_FILAS!$A$2:$C$8,2,FALSE)</f>
        <v>Producción</v>
      </c>
      <c r="D57" s="7" t="str">
        <f>VLOOKUP(B57, AT_FILAS!$A$2:$C$8,3,FALSE)</f>
        <v>P1</v>
      </c>
      <c r="E57" s="53">
        <v>56</v>
      </c>
      <c r="F57" s="54" t="s">
        <v>1008</v>
      </c>
      <c r="G57" s="7">
        <v>1</v>
      </c>
      <c r="H57" s="59" t="str">
        <f>VLOOKUP(G57,[1]bio!$D$2:$E$4,2,FALSE)</f>
        <v>Bioeconomía</v>
      </c>
    </row>
    <row r="58" spans="1:8" x14ac:dyDescent="0.35">
      <c r="A58" s="58" t="s">
        <v>896</v>
      </c>
      <c r="B58" s="7" t="s">
        <v>255</v>
      </c>
      <c r="C58" s="7" t="str">
        <f>VLOOKUP(B58, AT_FILAS!$A$2:$C$8,2,FALSE)</f>
        <v>Producción</v>
      </c>
      <c r="D58" s="7" t="str">
        <f>VLOOKUP(B58, AT_FILAS!$A$2:$C$8,3,FALSE)</f>
        <v>P1</v>
      </c>
      <c r="E58" s="53">
        <v>57</v>
      </c>
      <c r="F58" s="54" t="s">
        <v>1009</v>
      </c>
      <c r="G58" s="7">
        <v>1</v>
      </c>
      <c r="H58" s="59" t="str">
        <f>VLOOKUP(G58,[1]bio!$D$2:$E$4,2,FALSE)</f>
        <v>Bioeconomía</v>
      </c>
    </row>
    <row r="59" spans="1:8" x14ac:dyDescent="0.35">
      <c r="A59" s="58" t="s">
        <v>897</v>
      </c>
      <c r="B59" s="7" t="s">
        <v>255</v>
      </c>
      <c r="C59" s="7" t="str">
        <f>VLOOKUP(B59, AT_FILAS!$A$2:$C$8,2,FALSE)</f>
        <v>Producción</v>
      </c>
      <c r="D59" s="7" t="str">
        <f>VLOOKUP(B59, AT_FILAS!$A$2:$C$8,3,FALSE)</f>
        <v>P1</v>
      </c>
      <c r="E59" s="53">
        <v>58</v>
      </c>
      <c r="F59" s="54" t="s">
        <v>1010</v>
      </c>
      <c r="G59" s="7">
        <v>1</v>
      </c>
      <c r="H59" s="59" t="str">
        <f>VLOOKUP(G59,[1]bio!$D$2:$E$4,2,FALSE)</f>
        <v>Bioeconomía</v>
      </c>
    </row>
    <row r="60" spans="1:8" x14ac:dyDescent="0.35">
      <c r="A60" s="58" t="s">
        <v>898</v>
      </c>
      <c r="B60" s="7" t="s">
        <v>255</v>
      </c>
      <c r="C60" s="7" t="str">
        <f>VLOOKUP(B60, AT_FILAS!$A$2:$C$8,2,FALSE)</f>
        <v>Producción</v>
      </c>
      <c r="D60" s="7" t="str">
        <f>VLOOKUP(B60, AT_FILAS!$A$2:$C$8,3,FALSE)</f>
        <v>P1</v>
      </c>
      <c r="E60" s="53">
        <v>59</v>
      </c>
      <c r="F60" s="54" t="s">
        <v>1011</v>
      </c>
      <c r="G60" s="7">
        <v>1</v>
      </c>
      <c r="H60" s="59" t="str">
        <f>VLOOKUP(G60,[1]bio!$D$2:$E$4,2,FALSE)</f>
        <v>Bioeconomía</v>
      </c>
    </row>
    <row r="61" spans="1:8" x14ac:dyDescent="0.35">
      <c r="A61" s="58" t="s">
        <v>899</v>
      </c>
      <c r="B61" s="7" t="s">
        <v>255</v>
      </c>
      <c r="C61" s="7" t="str">
        <f>VLOOKUP(B61, AT_FILAS!$A$2:$C$8,2,FALSE)</f>
        <v>Producción</v>
      </c>
      <c r="D61" s="7" t="str">
        <f>VLOOKUP(B61, AT_FILAS!$A$2:$C$8,3,FALSE)</f>
        <v>P1</v>
      </c>
      <c r="E61" s="53">
        <v>60</v>
      </c>
      <c r="F61" s="54" t="s">
        <v>1012</v>
      </c>
      <c r="G61" s="7">
        <v>1</v>
      </c>
      <c r="H61" s="59" t="str">
        <f>VLOOKUP(G61,[1]bio!$D$2:$E$4,2,FALSE)</f>
        <v>Bioeconomía</v>
      </c>
    </row>
    <row r="62" spans="1:8" x14ac:dyDescent="0.35">
      <c r="A62" s="58" t="s">
        <v>900</v>
      </c>
      <c r="B62" s="7" t="s">
        <v>255</v>
      </c>
      <c r="C62" s="7" t="str">
        <f>VLOOKUP(B62, AT_FILAS!$A$2:$C$8,2,FALSE)</f>
        <v>Producción</v>
      </c>
      <c r="D62" s="7" t="str">
        <f>VLOOKUP(B62, AT_FILAS!$A$2:$C$8,3,FALSE)</f>
        <v>P1</v>
      </c>
      <c r="E62" s="53">
        <v>61</v>
      </c>
      <c r="F62" s="54" t="s">
        <v>1013</v>
      </c>
      <c r="G62" s="7">
        <v>1</v>
      </c>
      <c r="H62" s="59" t="str">
        <f>VLOOKUP(G62,[1]bio!$D$2:$E$4,2,FALSE)</f>
        <v>Bioeconomía</v>
      </c>
    </row>
    <row r="63" spans="1:8" x14ac:dyDescent="0.35">
      <c r="A63" s="58" t="s">
        <v>901</v>
      </c>
      <c r="B63" s="7" t="s">
        <v>255</v>
      </c>
      <c r="C63" s="7" t="str">
        <f>VLOOKUP(B63, AT_FILAS!$A$2:$C$8,2,FALSE)</f>
        <v>Producción</v>
      </c>
      <c r="D63" s="7" t="str">
        <f>VLOOKUP(B63, AT_FILAS!$A$2:$C$8,3,FALSE)</f>
        <v>P1</v>
      </c>
      <c r="E63" s="53">
        <v>62</v>
      </c>
      <c r="F63" s="54" t="s">
        <v>1014</v>
      </c>
      <c r="G63" s="7">
        <v>1</v>
      </c>
      <c r="H63" s="59" t="str">
        <f>VLOOKUP(G63,[1]bio!$D$2:$E$4,2,FALSE)</f>
        <v>Bioeconomía</v>
      </c>
    </row>
    <row r="64" spans="1:8" x14ac:dyDescent="0.35">
      <c r="A64" s="58" t="s">
        <v>902</v>
      </c>
      <c r="B64" s="7" t="s">
        <v>255</v>
      </c>
      <c r="C64" s="7" t="str">
        <f>VLOOKUP(B64, AT_FILAS!$A$2:$C$8,2,FALSE)</f>
        <v>Producción</v>
      </c>
      <c r="D64" s="7" t="str">
        <f>VLOOKUP(B64, AT_FILAS!$A$2:$C$8,3,FALSE)</f>
        <v>P1</v>
      </c>
      <c r="E64" s="53">
        <v>63</v>
      </c>
      <c r="F64" s="54" t="s">
        <v>1015</v>
      </c>
      <c r="G64" s="7">
        <v>1</v>
      </c>
      <c r="H64" s="59" t="str">
        <f>VLOOKUP(G64,[1]bio!$D$2:$E$4,2,FALSE)</f>
        <v>Bioeconomía</v>
      </c>
    </row>
    <row r="65" spans="1:8" x14ac:dyDescent="0.35">
      <c r="A65" s="58" t="s">
        <v>903</v>
      </c>
      <c r="B65" s="7" t="s">
        <v>255</v>
      </c>
      <c r="C65" s="7" t="str">
        <f>VLOOKUP(B65, AT_FILAS!$A$2:$C$8,2,FALSE)</f>
        <v>Producción</v>
      </c>
      <c r="D65" s="7" t="str">
        <f>VLOOKUP(B65, AT_FILAS!$A$2:$C$8,3,FALSE)</f>
        <v>P1</v>
      </c>
      <c r="E65" s="53">
        <v>64</v>
      </c>
      <c r="F65" s="54" t="s">
        <v>1016</v>
      </c>
      <c r="G65" s="7">
        <v>2</v>
      </c>
      <c r="H65" s="59" t="str">
        <f>VLOOKUP(G65,[1]bio!$D$2:$E$4,2,FALSE)</f>
        <v>Bioeconomía extendida</v>
      </c>
    </row>
    <row r="66" spans="1:8" x14ac:dyDescent="0.35">
      <c r="A66" s="58" t="s">
        <v>904</v>
      </c>
      <c r="B66" s="7" t="s">
        <v>255</v>
      </c>
      <c r="C66" s="7" t="str">
        <f>VLOOKUP(B66, AT_FILAS!$A$2:$C$8,2,FALSE)</f>
        <v>Producción</v>
      </c>
      <c r="D66" s="7" t="str">
        <f>VLOOKUP(B66, AT_FILAS!$A$2:$C$8,3,FALSE)</f>
        <v>P1</v>
      </c>
      <c r="E66" s="53">
        <v>65</v>
      </c>
      <c r="F66" s="54" t="s">
        <v>1017</v>
      </c>
      <c r="G66" s="7">
        <v>2</v>
      </c>
      <c r="H66" s="59" t="str">
        <f>VLOOKUP(G66,[1]bio!$D$2:$E$4,2,FALSE)</f>
        <v>Bioeconomía extendida</v>
      </c>
    </row>
    <row r="67" spans="1:8" x14ac:dyDescent="0.35">
      <c r="A67" s="58" t="s">
        <v>905</v>
      </c>
      <c r="B67" s="7" t="s">
        <v>255</v>
      </c>
      <c r="C67" s="7" t="str">
        <f>VLOOKUP(B67, AT_FILAS!$A$2:$C$8,2,FALSE)</f>
        <v>Producción</v>
      </c>
      <c r="D67" s="7" t="str">
        <f>VLOOKUP(B67, AT_FILAS!$A$2:$C$8,3,FALSE)</f>
        <v>P1</v>
      </c>
      <c r="E67" s="53">
        <v>66</v>
      </c>
      <c r="F67" s="54" t="s">
        <v>1018</v>
      </c>
      <c r="G67" s="7">
        <v>1</v>
      </c>
      <c r="H67" s="59" t="str">
        <f>VLOOKUP(G67,[1]bio!$D$2:$E$4,2,FALSE)</f>
        <v>Bioeconomía</v>
      </c>
    </row>
    <row r="68" spans="1:8" x14ac:dyDescent="0.35">
      <c r="A68" s="58" t="s">
        <v>906</v>
      </c>
      <c r="B68" s="7" t="s">
        <v>255</v>
      </c>
      <c r="C68" s="7" t="str">
        <f>VLOOKUP(B68, AT_FILAS!$A$2:$C$8,2,FALSE)</f>
        <v>Producción</v>
      </c>
      <c r="D68" s="7" t="str">
        <f>VLOOKUP(B68, AT_FILAS!$A$2:$C$8,3,FALSE)</f>
        <v>P1</v>
      </c>
      <c r="E68" s="53">
        <v>67</v>
      </c>
      <c r="F68" s="54" t="s">
        <v>1019</v>
      </c>
      <c r="G68" s="7">
        <v>2</v>
      </c>
      <c r="H68" s="59" t="str">
        <f>VLOOKUP(G68,[1]bio!$D$2:$E$4,2,FALSE)</f>
        <v>Bioeconomía extendida</v>
      </c>
    </row>
    <row r="69" spans="1:8" x14ac:dyDescent="0.35">
      <c r="A69" s="58" t="s">
        <v>907</v>
      </c>
      <c r="B69" s="7" t="s">
        <v>255</v>
      </c>
      <c r="C69" s="7" t="str">
        <f>VLOOKUP(B69, AT_FILAS!$A$2:$C$8,2,FALSE)</f>
        <v>Producción</v>
      </c>
      <c r="D69" s="7" t="str">
        <f>VLOOKUP(B69, AT_FILAS!$A$2:$C$8,3,FALSE)</f>
        <v>P1</v>
      </c>
      <c r="E69" s="53">
        <v>68</v>
      </c>
      <c r="F69" s="54" t="s">
        <v>1020</v>
      </c>
      <c r="G69" s="7">
        <v>2</v>
      </c>
      <c r="H69" s="59" t="str">
        <f>VLOOKUP(G69,[1]bio!$D$2:$E$4,2,FALSE)</f>
        <v>Bioeconomía extendida</v>
      </c>
    </row>
    <row r="70" spans="1:8" x14ac:dyDescent="0.35">
      <c r="A70" s="58" t="s">
        <v>908</v>
      </c>
      <c r="B70" s="7" t="s">
        <v>255</v>
      </c>
      <c r="C70" s="7" t="str">
        <f>VLOOKUP(B70, AT_FILAS!$A$2:$C$8,2,FALSE)</f>
        <v>Producción</v>
      </c>
      <c r="D70" s="7" t="str">
        <f>VLOOKUP(B70, AT_FILAS!$A$2:$C$8,3,FALSE)</f>
        <v>P1</v>
      </c>
      <c r="E70" s="53">
        <v>69</v>
      </c>
      <c r="F70" s="54" t="s">
        <v>1021</v>
      </c>
      <c r="G70" s="7">
        <v>2</v>
      </c>
      <c r="H70" s="59" t="str">
        <f>VLOOKUP(G70,[1]bio!$D$2:$E$4,2,FALSE)</f>
        <v>Bioeconomía extendida</v>
      </c>
    </row>
    <row r="71" spans="1:8" x14ac:dyDescent="0.35">
      <c r="A71" s="58" t="s">
        <v>909</v>
      </c>
      <c r="B71" s="7" t="s">
        <v>255</v>
      </c>
      <c r="C71" s="7" t="str">
        <f>VLOOKUP(B71, AT_FILAS!$A$2:$C$8,2,FALSE)</f>
        <v>Producción</v>
      </c>
      <c r="D71" s="7" t="str">
        <f>VLOOKUP(B71, AT_FILAS!$A$2:$C$8,3,FALSE)</f>
        <v>P1</v>
      </c>
      <c r="E71" s="53">
        <v>70</v>
      </c>
      <c r="F71" s="54" t="s">
        <v>1022</v>
      </c>
      <c r="G71" s="7">
        <v>2</v>
      </c>
      <c r="H71" s="59" t="str">
        <f>VLOOKUP(G71,[1]bio!$D$2:$E$4,2,FALSE)</f>
        <v>Bioeconomía extendida</v>
      </c>
    </row>
    <row r="72" spans="1:8" x14ac:dyDescent="0.35">
      <c r="A72" s="58" t="s">
        <v>910</v>
      </c>
      <c r="B72" s="7" t="s">
        <v>255</v>
      </c>
      <c r="C72" s="7" t="str">
        <f>VLOOKUP(B72, AT_FILAS!$A$2:$C$8,2,FALSE)</f>
        <v>Producción</v>
      </c>
      <c r="D72" s="7" t="str">
        <f>VLOOKUP(B72, AT_FILAS!$A$2:$C$8,3,FALSE)</f>
        <v>P1</v>
      </c>
      <c r="E72" s="53">
        <v>71</v>
      </c>
      <c r="F72" s="54" t="s">
        <v>1023</v>
      </c>
      <c r="G72" s="7">
        <v>2</v>
      </c>
      <c r="H72" s="59" t="str">
        <f>VLOOKUP(G72,[1]bio!$D$2:$E$4,2,FALSE)</f>
        <v>Bioeconomía extendida</v>
      </c>
    </row>
    <row r="73" spans="1:8" x14ac:dyDescent="0.35">
      <c r="A73" s="58" t="s">
        <v>911</v>
      </c>
      <c r="B73" s="7" t="s">
        <v>255</v>
      </c>
      <c r="C73" s="7" t="str">
        <f>VLOOKUP(B73, AT_FILAS!$A$2:$C$8,2,FALSE)</f>
        <v>Producción</v>
      </c>
      <c r="D73" s="7" t="str">
        <f>VLOOKUP(B73, AT_FILAS!$A$2:$C$8,3,FALSE)</f>
        <v>P1</v>
      </c>
      <c r="E73" s="53">
        <v>72</v>
      </c>
      <c r="F73" s="54" t="s">
        <v>1024</v>
      </c>
      <c r="G73" s="7">
        <v>2</v>
      </c>
      <c r="H73" s="59" t="str">
        <f>VLOOKUP(G73,[1]bio!$D$2:$E$4,2,FALSE)</f>
        <v>Bioeconomía extendida</v>
      </c>
    </row>
    <row r="74" spans="1:8" x14ac:dyDescent="0.35">
      <c r="A74" s="58" t="s">
        <v>912</v>
      </c>
      <c r="B74" s="7" t="s">
        <v>255</v>
      </c>
      <c r="C74" s="7" t="str">
        <f>VLOOKUP(B74, AT_FILAS!$A$2:$C$8,2,FALSE)</f>
        <v>Producción</v>
      </c>
      <c r="D74" s="7" t="str">
        <f>VLOOKUP(B74, AT_FILAS!$A$2:$C$8,3,FALSE)</f>
        <v>P1</v>
      </c>
      <c r="E74" s="53">
        <v>73</v>
      </c>
      <c r="F74" s="54" t="s">
        <v>1025</v>
      </c>
      <c r="G74" s="7">
        <v>2</v>
      </c>
      <c r="H74" s="59" t="str">
        <f>VLOOKUP(G74,[1]bio!$D$2:$E$4,2,FALSE)</f>
        <v>Bioeconomía extendida</v>
      </c>
    </row>
    <row r="75" spans="1:8" x14ac:dyDescent="0.35">
      <c r="A75" s="58" t="s">
        <v>913</v>
      </c>
      <c r="B75" s="7" t="s">
        <v>255</v>
      </c>
      <c r="C75" s="7" t="str">
        <f>VLOOKUP(B75, AT_FILAS!$A$2:$C$8,2,FALSE)</f>
        <v>Producción</v>
      </c>
      <c r="D75" s="7" t="str">
        <f>VLOOKUP(B75, AT_FILAS!$A$2:$C$8,3,FALSE)</f>
        <v>P1</v>
      </c>
      <c r="E75" s="53">
        <v>74</v>
      </c>
      <c r="F75" s="54" t="s">
        <v>1026</v>
      </c>
      <c r="G75" s="7">
        <v>2</v>
      </c>
      <c r="H75" s="59" t="str">
        <f>VLOOKUP(G75,[1]bio!$D$2:$E$4,2,FALSE)</f>
        <v>Bioeconomía extendida</v>
      </c>
    </row>
    <row r="76" spans="1:8" x14ac:dyDescent="0.35">
      <c r="A76" s="58" t="s">
        <v>914</v>
      </c>
      <c r="B76" s="7" t="s">
        <v>255</v>
      </c>
      <c r="C76" s="7" t="str">
        <f>VLOOKUP(B76, AT_FILAS!$A$2:$C$8,2,FALSE)</f>
        <v>Producción</v>
      </c>
      <c r="D76" s="7" t="str">
        <f>VLOOKUP(B76, AT_FILAS!$A$2:$C$8,3,FALSE)</f>
        <v>P1</v>
      </c>
      <c r="E76" s="53">
        <v>75</v>
      </c>
      <c r="F76" s="54" t="s">
        <v>1027</v>
      </c>
      <c r="G76" s="7">
        <v>2</v>
      </c>
      <c r="H76" s="59" t="str">
        <f>VLOOKUP(G76,[1]bio!$D$2:$E$4,2,FALSE)</f>
        <v>Bioeconomía extendida</v>
      </c>
    </row>
    <row r="77" spans="1:8" x14ac:dyDescent="0.35">
      <c r="A77" s="58" t="s">
        <v>915</v>
      </c>
      <c r="B77" s="7" t="s">
        <v>255</v>
      </c>
      <c r="C77" s="7" t="str">
        <f>VLOOKUP(B77, AT_FILAS!$A$2:$C$8,2,FALSE)</f>
        <v>Producción</v>
      </c>
      <c r="D77" s="7" t="str">
        <f>VLOOKUP(B77, AT_FILAS!$A$2:$C$8,3,FALSE)</f>
        <v>P1</v>
      </c>
      <c r="E77" s="53">
        <v>76</v>
      </c>
      <c r="F77" s="54" t="s">
        <v>1028</v>
      </c>
      <c r="G77" s="7">
        <v>3</v>
      </c>
      <c r="H77" s="59" t="str">
        <f>VLOOKUP(G77,[1]bio!$D$2:$E$4,2,FALSE)</f>
        <v>No bioeconomía</v>
      </c>
    </row>
    <row r="78" spans="1:8" x14ac:dyDescent="0.35">
      <c r="A78" s="58" t="s">
        <v>916</v>
      </c>
      <c r="B78" s="7" t="s">
        <v>255</v>
      </c>
      <c r="C78" s="7" t="str">
        <f>VLOOKUP(B78, AT_FILAS!$A$2:$C$8,2,FALSE)</f>
        <v>Producción</v>
      </c>
      <c r="D78" s="7" t="str">
        <f>VLOOKUP(B78, AT_FILAS!$A$2:$C$8,3,FALSE)</f>
        <v>P1</v>
      </c>
      <c r="E78" s="53">
        <v>77</v>
      </c>
      <c r="F78" s="54" t="s">
        <v>1029</v>
      </c>
      <c r="G78" s="7">
        <v>3</v>
      </c>
      <c r="H78" s="59" t="str">
        <f>VLOOKUP(G78,[1]bio!$D$2:$E$4,2,FALSE)</f>
        <v>No bioeconomía</v>
      </c>
    </row>
    <row r="79" spans="1:8" x14ac:dyDescent="0.35">
      <c r="A79" s="58" t="s">
        <v>917</v>
      </c>
      <c r="B79" s="7" t="s">
        <v>255</v>
      </c>
      <c r="C79" s="7" t="str">
        <f>VLOOKUP(B79, AT_FILAS!$A$2:$C$8,2,FALSE)</f>
        <v>Producción</v>
      </c>
      <c r="D79" s="7" t="str">
        <f>VLOOKUP(B79, AT_FILAS!$A$2:$C$8,3,FALSE)</f>
        <v>P1</v>
      </c>
      <c r="E79" s="53">
        <v>78</v>
      </c>
      <c r="F79" s="54" t="s">
        <v>1030</v>
      </c>
      <c r="G79" s="7">
        <v>3</v>
      </c>
      <c r="H79" s="59" t="str">
        <f>VLOOKUP(G79,[1]bio!$D$2:$E$4,2,FALSE)</f>
        <v>No bioeconomía</v>
      </c>
    </row>
    <row r="80" spans="1:8" x14ac:dyDescent="0.35">
      <c r="A80" s="58" t="s">
        <v>918</v>
      </c>
      <c r="B80" s="7" t="s">
        <v>255</v>
      </c>
      <c r="C80" s="7" t="str">
        <f>VLOOKUP(B80, AT_FILAS!$A$2:$C$8,2,FALSE)</f>
        <v>Producción</v>
      </c>
      <c r="D80" s="7" t="str">
        <f>VLOOKUP(B80, AT_FILAS!$A$2:$C$8,3,FALSE)</f>
        <v>P1</v>
      </c>
      <c r="E80" s="53">
        <v>79</v>
      </c>
      <c r="F80" s="54" t="s">
        <v>1031</v>
      </c>
      <c r="G80" s="7">
        <v>3</v>
      </c>
      <c r="H80" s="59" t="str">
        <f>VLOOKUP(G80,[1]bio!$D$2:$E$4,2,FALSE)</f>
        <v>No bioeconomía</v>
      </c>
    </row>
    <row r="81" spans="1:8" x14ac:dyDescent="0.35">
      <c r="A81" s="58" t="s">
        <v>919</v>
      </c>
      <c r="B81" s="7" t="s">
        <v>255</v>
      </c>
      <c r="C81" s="7" t="str">
        <f>VLOOKUP(B81, AT_FILAS!$A$2:$C$8,2,FALSE)</f>
        <v>Producción</v>
      </c>
      <c r="D81" s="7" t="str">
        <f>VLOOKUP(B81, AT_FILAS!$A$2:$C$8,3,FALSE)</f>
        <v>P1</v>
      </c>
      <c r="E81" s="53">
        <v>80</v>
      </c>
      <c r="F81" s="54" t="s">
        <v>1032</v>
      </c>
      <c r="G81" s="7">
        <v>3</v>
      </c>
      <c r="H81" s="59" t="str">
        <f>VLOOKUP(G81,[1]bio!$D$2:$E$4,2,FALSE)</f>
        <v>No bioeconomía</v>
      </c>
    </row>
    <row r="82" spans="1:8" x14ac:dyDescent="0.35">
      <c r="A82" s="58" t="s">
        <v>920</v>
      </c>
      <c r="B82" s="7" t="s">
        <v>255</v>
      </c>
      <c r="C82" s="7" t="str">
        <f>VLOOKUP(B82, AT_FILAS!$A$2:$C$8,2,FALSE)</f>
        <v>Producción</v>
      </c>
      <c r="D82" s="7" t="str">
        <f>VLOOKUP(B82, AT_FILAS!$A$2:$C$8,3,FALSE)</f>
        <v>P1</v>
      </c>
      <c r="E82" s="53">
        <v>81</v>
      </c>
      <c r="F82" s="54" t="s">
        <v>1033</v>
      </c>
      <c r="G82" s="7">
        <v>3</v>
      </c>
      <c r="H82" s="59" t="str">
        <f>VLOOKUP(G82,[1]bio!$D$2:$E$4,2,FALSE)</f>
        <v>No bioeconomía</v>
      </c>
    </row>
    <row r="83" spans="1:8" x14ac:dyDescent="0.35">
      <c r="A83" s="58" t="s">
        <v>921</v>
      </c>
      <c r="B83" s="7" t="s">
        <v>255</v>
      </c>
      <c r="C83" s="7" t="str">
        <f>VLOOKUP(B83, AT_FILAS!$A$2:$C$8,2,FALSE)</f>
        <v>Producción</v>
      </c>
      <c r="D83" s="7" t="str">
        <f>VLOOKUP(B83, AT_FILAS!$A$2:$C$8,3,FALSE)</f>
        <v>P1</v>
      </c>
      <c r="E83" s="53">
        <v>82</v>
      </c>
      <c r="F83" s="54" t="s">
        <v>1034</v>
      </c>
      <c r="G83" s="7">
        <v>2</v>
      </c>
      <c r="H83" s="59" t="str">
        <f>VLOOKUP(G83,[1]bio!$D$2:$E$4,2,FALSE)</f>
        <v>Bioeconomía extendida</v>
      </c>
    </row>
    <row r="84" spans="1:8" x14ac:dyDescent="0.35">
      <c r="A84" s="58" t="s">
        <v>922</v>
      </c>
      <c r="B84" s="7" t="s">
        <v>255</v>
      </c>
      <c r="C84" s="7" t="str">
        <f>VLOOKUP(B84, AT_FILAS!$A$2:$C$8,2,FALSE)</f>
        <v>Producción</v>
      </c>
      <c r="D84" s="7" t="str">
        <f>VLOOKUP(B84, AT_FILAS!$A$2:$C$8,3,FALSE)</f>
        <v>P1</v>
      </c>
      <c r="E84" s="53">
        <v>83</v>
      </c>
      <c r="F84" s="54" t="s">
        <v>1035</v>
      </c>
      <c r="G84" s="7">
        <v>3</v>
      </c>
      <c r="H84" s="59" t="str">
        <f>VLOOKUP(G84,[1]bio!$D$2:$E$4,2,FALSE)</f>
        <v>No bioeconomía</v>
      </c>
    </row>
    <row r="85" spans="1:8" x14ac:dyDescent="0.35">
      <c r="A85" s="58" t="s">
        <v>923</v>
      </c>
      <c r="B85" s="7" t="s">
        <v>255</v>
      </c>
      <c r="C85" s="7" t="str">
        <f>VLOOKUP(B85, AT_FILAS!$A$2:$C$8,2,FALSE)</f>
        <v>Producción</v>
      </c>
      <c r="D85" s="7" t="str">
        <f>VLOOKUP(B85, AT_FILAS!$A$2:$C$8,3,FALSE)</f>
        <v>P1</v>
      </c>
      <c r="E85" s="53">
        <v>84</v>
      </c>
      <c r="F85" s="54" t="s">
        <v>1036</v>
      </c>
      <c r="G85" s="7">
        <v>3</v>
      </c>
      <c r="H85" s="59" t="str">
        <f>VLOOKUP(G85,[1]bio!$D$2:$E$4,2,FALSE)</f>
        <v>No bioeconomía</v>
      </c>
    </row>
    <row r="86" spans="1:8" x14ac:dyDescent="0.35">
      <c r="A86" s="58" t="s">
        <v>924</v>
      </c>
      <c r="B86" s="7" t="s">
        <v>255</v>
      </c>
      <c r="C86" s="7" t="str">
        <f>VLOOKUP(B86, AT_FILAS!$A$2:$C$8,2,FALSE)</f>
        <v>Producción</v>
      </c>
      <c r="D86" s="7" t="str">
        <f>VLOOKUP(B86, AT_FILAS!$A$2:$C$8,3,FALSE)</f>
        <v>P1</v>
      </c>
      <c r="E86" s="53">
        <v>85</v>
      </c>
      <c r="F86" s="54" t="s">
        <v>1037</v>
      </c>
      <c r="G86" s="7">
        <v>3</v>
      </c>
      <c r="H86" s="59" t="str">
        <f>VLOOKUP(G86,[1]bio!$D$2:$E$4,2,FALSE)</f>
        <v>No bioeconomía</v>
      </c>
    </row>
    <row r="87" spans="1:8" x14ac:dyDescent="0.35">
      <c r="A87" s="58" t="s">
        <v>925</v>
      </c>
      <c r="B87" s="7" t="s">
        <v>255</v>
      </c>
      <c r="C87" s="7" t="str">
        <f>VLOOKUP(B87, AT_FILAS!$A$2:$C$8,2,FALSE)</f>
        <v>Producción</v>
      </c>
      <c r="D87" s="7" t="str">
        <f>VLOOKUP(B87, AT_FILAS!$A$2:$C$8,3,FALSE)</f>
        <v>P1</v>
      </c>
      <c r="E87" s="53">
        <v>86</v>
      </c>
      <c r="F87" s="54" t="s">
        <v>1038</v>
      </c>
      <c r="G87" s="7">
        <v>2</v>
      </c>
      <c r="H87" s="59" t="str">
        <f>VLOOKUP(G87,[1]bio!$D$2:$E$4,2,FALSE)</f>
        <v>Bioeconomía extendida</v>
      </c>
    </row>
    <row r="88" spans="1:8" x14ac:dyDescent="0.35">
      <c r="A88" s="58" t="s">
        <v>926</v>
      </c>
      <c r="B88" s="7" t="s">
        <v>255</v>
      </c>
      <c r="C88" s="7" t="str">
        <f>VLOOKUP(B88, AT_FILAS!$A$2:$C$8,2,FALSE)</f>
        <v>Producción</v>
      </c>
      <c r="D88" s="7" t="str">
        <f>VLOOKUP(B88, AT_FILAS!$A$2:$C$8,3,FALSE)</f>
        <v>P1</v>
      </c>
      <c r="E88" s="53">
        <v>87</v>
      </c>
      <c r="F88" s="54" t="s">
        <v>1039</v>
      </c>
      <c r="G88" s="7">
        <v>2</v>
      </c>
      <c r="H88" s="59" t="str">
        <f>VLOOKUP(G88,[1]bio!$D$2:$E$4,2,FALSE)</f>
        <v>Bioeconomía extendida</v>
      </c>
    </row>
    <row r="89" spans="1:8" x14ac:dyDescent="0.35">
      <c r="A89" s="58" t="s">
        <v>927</v>
      </c>
      <c r="B89" s="7" t="s">
        <v>255</v>
      </c>
      <c r="C89" s="7" t="str">
        <f>VLOOKUP(B89, AT_FILAS!$A$2:$C$8,2,FALSE)</f>
        <v>Producción</v>
      </c>
      <c r="D89" s="7" t="str">
        <f>VLOOKUP(B89, AT_FILAS!$A$2:$C$8,3,FALSE)</f>
        <v>P1</v>
      </c>
      <c r="E89" s="53">
        <v>88</v>
      </c>
      <c r="F89" s="54" t="s">
        <v>1040</v>
      </c>
      <c r="G89" s="7">
        <v>3</v>
      </c>
      <c r="H89" s="59" t="str">
        <f>VLOOKUP(G89,[1]bio!$D$2:$E$4,2,FALSE)</f>
        <v>No bioeconomía</v>
      </c>
    </row>
    <row r="90" spans="1:8" x14ac:dyDescent="0.35">
      <c r="A90" s="58" t="s">
        <v>928</v>
      </c>
      <c r="B90" s="7" t="s">
        <v>255</v>
      </c>
      <c r="C90" s="7" t="str">
        <f>VLOOKUP(B90, AT_FILAS!$A$2:$C$8,2,FALSE)</f>
        <v>Producción</v>
      </c>
      <c r="D90" s="7" t="str">
        <f>VLOOKUP(B90, AT_FILAS!$A$2:$C$8,3,FALSE)</f>
        <v>P1</v>
      </c>
      <c r="E90" s="53">
        <v>89</v>
      </c>
      <c r="F90" s="54" t="s">
        <v>1041</v>
      </c>
      <c r="G90" s="7">
        <v>3</v>
      </c>
      <c r="H90" s="59" t="str">
        <f>VLOOKUP(G90,[1]bio!$D$2:$E$4,2,FALSE)</f>
        <v>No bioeconomía</v>
      </c>
    </row>
    <row r="91" spans="1:8" x14ac:dyDescent="0.35">
      <c r="A91" s="58" t="s">
        <v>929</v>
      </c>
      <c r="B91" s="7" t="s">
        <v>255</v>
      </c>
      <c r="C91" s="7" t="str">
        <f>VLOOKUP(B91, AT_FILAS!$A$2:$C$8,2,FALSE)</f>
        <v>Producción</v>
      </c>
      <c r="D91" s="7" t="str">
        <f>VLOOKUP(B91, AT_FILAS!$A$2:$C$8,3,FALSE)</f>
        <v>P1</v>
      </c>
      <c r="E91" s="53">
        <v>90</v>
      </c>
      <c r="F91" s="54" t="s">
        <v>1042</v>
      </c>
      <c r="G91" s="7">
        <v>3</v>
      </c>
      <c r="H91" s="59" t="str">
        <f>VLOOKUP(G91,[1]bio!$D$2:$E$4,2,FALSE)</f>
        <v>No bioeconomía</v>
      </c>
    </row>
    <row r="92" spans="1:8" x14ac:dyDescent="0.35">
      <c r="A92" s="58" t="s">
        <v>930</v>
      </c>
      <c r="B92" s="7" t="s">
        <v>255</v>
      </c>
      <c r="C92" s="7" t="str">
        <f>VLOOKUP(B92, AT_FILAS!$A$2:$C$8,2,FALSE)</f>
        <v>Producción</v>
      </c>
      <c r="D92" s="7" t="str">
        <f>VLOOKUP(B92, AT_FILAS!$A$2:$C$8,3,FALSE)</f>
        <v>P1</v>
      </c>
      <c r="E92" s="53">
        <v>91</v>
      </c>
      <c r="F92" s="54" t="s">
        <v>1043</v>
      </c>
      <c r="G92" s="7">
        <v>3</v>
      </c>
      <c r="H92" s="59" t="str">
        <f>VLOOKUP(G92,[1]bio!$D$2:$E$4,2,FALSE)</f>
        <v>No bioeconomía</v>
      </c>
    </row>
    <row r="93" spans="1:8" x14ac:dyDescent="0.35">
      <c r="A93" s="58" t="s">
        <v>931</v>
      </c>
      <c r="B93" s="7" t="s">
        <v>255</v>
      </c>
      <c r="C93" s="7" t="str">
        <f>VLOOKUP(B93, AT_FILAS!$A$2:$C$8,2,FALSE)</f>
        <v>Producción</v>
      </c>
      <c r="D93" s="7" t="str">
        <f>VLOOKUP(B93, AT_FILAS!$A$2:$C$8,3,FALSE)</f>
        <v>P1</v>
      </c>
      <c r="E93" s="53">
        <v>92</v>
      </c>
      <c r="F93" s="54" t="s">
        <v>1044</v>
      </c>
      <c r="G93" s="7">
        <v>3</v>
      </c>
      <c r="H93" s="59" t="str">
        <f>VLOOKUP(G93,[1]bio!$D$2:$E$4,2,FALSE)</f>
        <v>No bioeconomía</v>
      </c>
    </row>
    <row r="94" spans="1:8" x14ac:dyDescent="0.35">
      <c r="A94" s="58" t="s">
        <v>932</v>
      </c>
      <c r="B94" s="7" t="s">
        <v>255</v>
      </c>
      <c r="C94" s="7" t="str">
        <f>VLOOKUP(B94, AT_FILAS!$A$2:$C$8,2,FALSE)</f>
        <v>Producción</v>
      </c>
      <c r="D94" s="7" t="str">
        <f>VLOOKUP(B94, AT_FILAS!$A$2:$C$8,3,FALSE)</f>
        <v>P1</v>
      </c>
      <c r="E94" s="53">
        <v>93</v>
      </c>
      <c r="F94" s="54" t="s">
        <v>1045</v>
      </c>
      <c r="G94" s="7">
        <v>3</v>
      </c>
      <c r="H94" s="59" t="str">
        <f>VLOOKUP(G94,[1]bio!$D$2:$E$4,2,FALSE)</f>
        <v>No bioeconomía</v>
      </c>
    </row>
    <row r="95" spans="1:8" x14ac:dyDescent="0.35">
      <c r="A95" s="58" t="s">
        <v>933</v>
      </c>
      <c r="B95" s="7" t="s">
        <v>255</v>
      </c>
      <c r="C95" s="7" t="str">
        <f>VLOOKUP(B95, AT_FILAS!$A$2:$C$8,2,FALSE)</f>
        <v>Producción</v>
      </c>
      <c r="D95" s="7" t="str">
        <f>VLOOKUP(B95, AT_FILAS!$A$2:$C$8,3,FALSE)</f>
        <v>P1</v>
      </c>
      <c r="E95" s="53">
        <v>94</v>
      </c>
      <c r="F95" s="54" t="s">
        <v>1046</v>
      </c>
      <c r="G95" s="7">
        <v>3</v>
      </c>
      <c r="H95" s="59" t="str">
        <f>VLOOKUP(G95,[1]bio!$D$2:$E$4,2,FALSE)</f>
        <v>No bioeconomía</v>
      </c>
    </row>
    <row r="96" spans="1:8" x14ac:dyDescent="0.35">
      <c r="A96" s="58" t="s">
        <v>934</v>
      </c>
      <c r="B96" s="7" t="s">
        <v>255</v>
      </c>
      <c r="C96" s="7" t="str">
        <f>VLOOKUP(B96, AT_FILAS!$A$2:$C$8,2,FALSE)</f>
        <v>Producción</v>
      </c>
      <c r="D96" s="7" t="str">
        <f>VLOOKUP(B96, AT_FILAS!$A$2:$C$8,3,FALSE)</f>
        <v>P1</v>
      </c>
      <c r="E96" s="53">
        <v>95</v>
      </c>
      <c r="F96" s="54" t="s">
        <v>1047</v>
      </c>
      <c r="G96" s="7">
        <v>3</v>
      </c>
      <c r="H96" s="59" t="str">
        <f>VLOOKUP(G96,[1]bio!$D$2:$E$4,2,FALSE)</f>
        <v>No bioeconomía</v>
      </c>
    </row>
    <row r="97" spans="1:8" x14ac:dyDescent="0.35">
      <c r="A97" s="58" t="s">
        <v>935</v>
      </c>
      <c r="B97" s="7" t="s">
        <v>255</v>
      </c>
      <c r="C97" s="7" t="str">
        <f>VLOOKUP(B97, AT_FILAS!$A$2:$C$8,2,FALSE)</f>
        <v>Producción</v>
      </c>
      <c r="D97" s="7" t="str">
        <f>VLOOKUP(B97, AT_FILAS!$A$2:$C$8,3,FALSE)</f>
        <v>P1</v>
      </c>
      <c r="E97" s="53">
        <v>96</v>
      </c>
      <c r="F97" s="54" t="s">
        <v>1048</v>
      </c>
      <c r="G97" s="7">
        <v>3</v>
      </c>
      <c r="H97" s="59" t="str">
        <f>VLOOKUP(G97,[1]bio!$D$2:$E$4,2,FALSE)</f>
        <v>No bioeconomía</v>
      </c>
    </row>
    <row r="98" spans="1:8" x14ac:dyDescent="0.35">
      <c r="A98" s="58" t="s">
        <v>936</v>
      </c>
      <c r="B98" s="7" t="s">
        <v>255</v>
      </c>
      <c r="C98" s="7" t="str">
        <f>VLOOKUP(B98, AT_FILAS!$A$2:$C$8,2,FALSE)</f>
        <v>Producción</v>
      </c>
      <c r="D98" s="7" t="str">
        <f>VLOOKUP(B98, AT_FILAS!$A$2:$C$8,3,FALSE)</f>
        <v>P1</v>
      </c>
      <c r="E98" s="53">
        <v>97</v>
      </c>
      <c r="F98" s="54" t="s">
        <v>1049</v>
      </c>
      <c r="G98" s="7">
        <v>3</v>
      </c>
      <c r="H98" s="59" t="str">
        <f>VLOOKUP(G98,[1]bio!$D$2:$E$4,2,FALSE)</f>
        <v>No bioeconomía</v>
      </c>
    </row>
    <row r="99" spans="1:8" x14ac:dyDescent="0.35">
      <c r="A99" s="58" t="s">
        <v>937</v>
      </c>
      <c r="B99" s="7" t="s">
        <v>255</v>
      </c>
      <c r="C99" s="7" t="str">
        <f>VLOOKUP(B99, AT_FILAS!$A$2:$C$8,2,FALSE)</f>
        <v>Producción</v>
      </c>
      <c r="D99" s="7" t="str">
        <f>VLOOKUP(B99, AT_FILAS!$A$2:$C$8,3,FALSE)</f>
        <v>P1</v>
      </c>
      <c r="E99" s="53">
        <v>98</v>
      </c>
      <c r="F99" s="54" t="s">
        <v>1050</v>
      </c>
      <c r="G99" s="7">
        <v>3</v>
      </c>
      <c r="H99" s="59" t="str">
        <f>VLOOKUP(G99,[1]bio!$D$2:$E$4,2,FALSE)</f>
        <v>No bioeconomía</v>
      </c>
    </row>
    <row r="100" spans="1:8" x14ac:dyDescent="0.35">
      <c r="A100" s="58" t="s">
        <v>938</v>
      </c>
      <c r="B100" s="7" t="s">
        <v>255</v>
      </c>
      <c r="C100" s="7" t="str">
        <f>VLOOKUP(B100, AT_FILAS!$A$2:$C$8,2,FALSE)</f>
        <v>Producción</v>
      </c>
      <c r="D100" s="7" t="str">
        <f>VLOOKUP(B100, AT_FILAS!$A$2:$C$8,3,FALSE)</f>
        <v>P1</v>
      </c>
      <c r="E100" s="53">
        <v>99</v>
      </c>
      <c r="F100" s="54" t="s">
        <v>1051</v>
      </c>
      <c r="G100" s="7">
        <v>3</v>
      </c>
      <c r="H100" s="59" t="str">
        <f>VLOOKUP(G100,[1]bio!$D$2:$E$4,2,FALSE)</f>
        <v>No bioeconomía</v>
      </c>
    </row>
    <row r="101" spans="1:8" x14ac:dyDescent="0.35">
      <c r="A101" s="58" t="s">
        <v>939</v>
      </c>
      <c r="B101" s="7" t="s">
        <v>255</v>
      </c>
      <c r="C101" s="7" t="str">
        <f>VLOOKUP(B101, AT_FILAS!$A$2:$C$8,2,FALSE)</f>
        <v>Producción</v>
      </c>
      <c r="D101" s="7" t="str">
        <f>VLOOKUP(B101, AT_FILAS!$A$2:$C$8,3,FALSE)</f>
        <v>P1</v>
      </c>
      <c r="E101" s="53">
        <v>100</v>
      </c>
      <c r="F101" s="54" t="s">
        <v>1052</v>
      </c>
      <c r="G101" s="7">
        <v>3</v>
      </c>
      <c r="H101" s="59" t="str">
        <f>VLOOKUP(G101,[1]bio!$D$2:$E$4,2,FALSE)</f>
        <v>No bioeconomía</v>
      </c>
    </row>
    <row r="102" spans="1:8" x14ac:dyDescent="0.35">
      <c r="A102" s="58" t="s">
        <v>940</v>
      </c>
      <c r="B102" s="7" t="s">
        <v>255</v>
      </c>
      <c r="C102" s="7" t="str">
        <f>VLOOKUP(B102, AT_FILAS!$A$2:$C$8,2,FALSE)</f>
        <v>Producción</v>
      </c>
      <c r="D102" s="7" t="str">
        <f>VLOOKUP(B102, AT_FILAS!$A$2:$C$8,3,FALSE)</f>
        <v>P1</v>
      </c>
      <c r="E102" s="53">
        <v>101</v>
      </c>
      <c r="F102" s="54" t="s">
        <v>1053</v>
      </c>
      <c r="G102" s="7">
        <v>3</v>
      </c>
      <c r="H102" s="59" t="str">
        <f>VLOOKUP(G102,[1]bio!$D$2:$E$4,2,FALSE)</f>
        <v>No bioeconomía</v>
      </c>
    </row>
    <row r="103" spans="1:8" x14ac:dyDescent="0.35">
      <c r="A103" s="58" t="s">
        <v>941</v>
      </c>
      <c r="B103" s="7" t="s">
        <v>255</v>
      </c>
      <c r="C103" s="7" t="str">
        <f>VLOOKUP(B103, AT_FILAS!$A$2:$C$8,2,FALSE)</f>
        <v>Producción</v>
      </c>
      <c r="D103" s="7" t="str">
        <f>VLOOKUP(B103, AT_FILAS!$A$2:$C$8,3,FALSE)</f>
        <v>P1</v>
      </c>
      <c r="E103" s="53">
        <v>102</v>
      </c>
      <c r="F103" s="54" t="s">
        <v>1054</v>
      </c>
      <c r="G103" s="7">
        <v>3</v>
      </c>
      <c r="H103" s="59" t="str">
        <f>VLOOKUP(G103,[1]bio!$D$2:$E$4,2,FALSE)</f>
        <v>No bioeconomía</v>
      </c>
    </row>
    <row r="104" spans="1:8" x14ac:dyDescent="0.35">
      <c r="A104" s="58" t="s">
        <v>942</v>
      </c>
      <c r="B104" s="7" t="s">
        <v>255</v>
      </c>
      <c r="C104" s="7" t="str">
        <f>VLOOKUP(B104, AT_FILAS!$A$2:$C$8,2,FALSE)</f>
        <v>Producción</v>
      </c>
      <c r="D104" s="7" t="str">
        <f>VLOOKUP(B104, AT_FILAS!$A$2:$C$8,3,FALSE)</f>
        <v>P1</v>
      </c>
      <c r="E104" s="53">
        <v>103</v>
      </c>
      <c r="F104" s="54" t="s">
        <v>1055</v>
      </c>
      <c r="G104" s="7">
        <v>3</v>
      </c>
      <c r="H104" s="59" t="str">
        <f>VLOOKUP(G104,[1]bio!$D$2:$E$4,2,FALSE)</f>
        <v>No bioeconomía</v>
      </c>
    </row>
    <row r="105" spans="1:8" x14ac:dyDescent="0.35">
      <c r="A105" s="58" t="s">
        <v>943</v>
      </c>
      <c r="B105" s="7" t="s">
        <v>255</v>
      </c>
      <c r="C105" s="7" t="str">
        <f>VLOOKUP(B105, AT_FILAS!$A$2:$C$8,2,FALSE)</f>
        <v>Producción</v>
      </c>
      <c r="D105" s="7" t="str">
        <f>VLOOKUP(B105, AT_FILAS!$A$2:$C$8,3,FALSE)</f>
        <v>P1</v>
      </c>
      <c r="E105" s="53">
        <v>104</v>
      </c>
      <c r="F105" s="54" t="s">
        <v>1056</v>
      </c>
      <c r="G105" s="7">
        <v>3</v>
      </c>
      <c r="H105" s="59" t="str">
        <f>VLOOKUP(G105,[1]bio!$D$2:$E$4,2,FALSE)</f>
        <v>No bioeconomía</v>
      </c>
    </row>
    <row r="106" spans="1:8" x14ac:dyDescent="0.35">
      <c r="A106" s="58" t="s">
        <v>944</v>
      </c>
      <c r="B106" s="7" t="s">
        <v>255</v>
      </c>
      <c r="C106" s="7" t="str">
        <f>VLOOKUP(B106, AT_FILAS!$A$2:$C$8,2,FALSE)</f>
        <v>Producción</v>
      </c>
      <c r="D106" s="7" t="str">
        <f>VLOOKUP(B106, AT_FILAS!$A$2:$C$8,3,FALSE)</f>
        <v>P1</v>
      </c>
      <c r="E106" s="53">
        <v>105</v>
      </c>
      <c r="F106" s="54" t="s">
        <v>1057</v>
      </c>
      <c r="G106" s="7">
        <v>3</v>
      </c>
      <c r="H106" s="59" t="str">
        <f>VLOOKUP(G106,[1]bio!$D$2:$E$4,2,FALSE)</f>
        <v>No bioeconomía</v>
      </c>
    </row>
    <row r="107" spans="1:8" x14ac:dyDescent="0.35">
      <c r="A107" s="58" t="s">
        <v>945</v>
      </c>
      <c r="B107" s="7" t="s">
        <v>255</v>
      </c>
      <c r="C107" s="7" t="str">
        <f>VLOOKUP(B107, AT_FILAS!$A$2:$C$8,2,FALSE)</f>
        <v>Producción</v>
      </c>
      <c r="D107" s="7" t="str">
        <f>VLOOKUP(B107, AT_FILAS!$A$2:$C$8,3,FALSE)</f>
        <v>P1</v>
      </c>
      <c r="E107" s="53">
        <v>106</v>
      </c>
      <c r="F107" s="54" t="s">
        <v>1058</v>
      </c>
      <c r="G107" s="7">
        <v>3</v>
      </c>
      <c r="H107" s="59" t="str">
        <f>VLOOKUP(G107,[1]bio!$D$2:$E$4,2,FALSE)</f>
        <v>No bioeconomía</v>
      </c>
    </row>
    <row r="108" spans="1:8" x14ac:dyDescent="0.35">
      <c r="A108" s="58" t="s">
        <v>946</v>
      </c>
      <c r="B108" s="7" t="s">
        <v>255</v>
      </c>
      <c r="C108" s="7" t="str">
        <f>VLOOKUP(B108, AT_FILAS!$A$2:$C$8,2,FALSE)</f>
        <v>Producción</v>
      </c>
      <c r="D108" s="7" t="str">
        <f>VLOOKUP(B108, AT_FILAS!$A$2:$C$8,3,FALSE)</f>
        <v>P1</v>
      </c>
      <c r="E108" s="53">
        <v>107</v>
      </c>
      <c r="F108" s="54" t="s">
        <v>1059</v>
      </c>
      <c r="G108" s="7">
        <v>3</v>
      </c>
      <c r="H108" s="59" t="str">
        <f>VLOOKUP(G108,[1]bio!$D$2:$E$4,2,FALSE)</f>
        <v>No bioeconomía</v>
      </c>
    </row>
    <row r="109" spans="1:8" x14ac:dyDescent="0.35">
      <c r="A109" s="58" t="s">
        <v>947</v>
      </c>
      <c r="B109" s="7" t="s">
        <v>255</v>
      </c>
      <c r="C109" s="7" t="str">
        <f>VLOOKUP(B109, AT_FILAS!$A$2:$C$8,2,FALSE)</f>
        <v>Producción</v>
      </c>
      <c r="D109" s="7" t="str">
        <f>VLOOKUP(B109, AT_FILAS!$A$2:$C$8,3,FALSE)</f>
        <v>P1</v>
      </c>
      <c r="E109" s="53">
        <v>108</v>
      </c>
      <c r="F109" s="54" t="s">
        <v>1060</v>
      </c>
      <c r="G109" s="7">
        <v>3</v>
      </c>
      <c r="H109" s="59" t="str">
        <f>VLOOKUP(G109,[1]bio!$D$2:$E$4,2,FALSE)</f>
        <v>No bioeconomía</v>
      </c>
    </row>
    <row r="110" spans="1:8" x14ac:dyDescent="0.35">
      <c r="A110" s="58" t="s">
        <v>948</v>
      </c>
      <c r="B110" s="7" t="s">
        <v>255</v>
      </c>
      <c r="C110" s="7" t="str">
        <f>VLOOKUP(B110, AT_FILAS!$A$2:$C$8,2,FALSE)</f>
        <v>Producción</v>
      </c>
      <c r="D110" s="7" t="str">
        <f>VLOOKUP(B110, AT_FILAS!$A$2:$C$8,3,FALSE)</f>
        <v>P1</v>
      </c>
      <c r="E110" s="53">
        <v>109</v>
      </c>
      <c r="F110" s="54" t="s">
        <v>1061</v>
      </c>
      <c r="G110" s="7">
        <v>3</v>
      </c>
      <c r="H110" s="59" t="str">
        <f>VLOOKUP(G110,[1]bio!$D$2:$E$4,2,FALSE)</f>
        <v>No bioeconomía</v>
      </c>
    </row>
    <row r="111" spans="1:8" x14ac:dyDescent="0.35">
      <c r="A111" s="58" t="s">
        <v>949</v>
      </c>
      <c r="B111" s="7" t="s">
        <v>255</v>
      </c>
      <c r="C111" s="7" t="str">
        <f>VLOOKUP(B111, AT_FILAS!$A$2:$C$8,2,FALSE)</f>
        <v>Producción</v>
      </c>
      <c r="D111" s="7" t="str">
        <f>VLOOKUP(B111, AT_FILAS!$A$2:$C$8,3,FALSE)</f>
        <v>P1</v>
      </c>
      <c r="E111" s="53">
        <v>110</v>
      </c>
      <c r="F111" s="54" t="s">
        <v>1062</v>
      </c>
      <c r="G111" s="7">
        <v>3</v>
      </c>
      <c r="H111" s="59" t="str">
        <f>VLOOKUP(G111,[1]bio!$D$2:$E$4,2,FALSE)</f>
        <v>No bioeconomía</v>
      </c>
    </row>
    <row r="112" spans="1:8" x14ac:dyDescent="0.35">
      <c r="A112" s="58" t="s">
        <v>950</v>
      </c>
      <c r="B112" s="7" t="s">
        <v>255</v>
      </c>
      <c r="C112" s="7" t="str">
        <f>VLOOKUP(B112, AT_FILAS!$A$2:$C$8,2,FALSE)</f>
        <v>Producción</v>
      </c>
      <c r="D112" s="7" t="str">
        <f>VLOOKUP(B112, AT_FILAS!$A$2:$C$8,3,FALSE)</f>
        <v>P1</v>
      </c>
      <c r="E112" s="53">
        <v>111</v>
      </c>
      <c r="F112" s="54" t="s">
        <v>1063</v>
      </c>
      <c r="G112" s="7">
        <v>3</v>
      </c>
      <c r="H112" s="59" t="str">
        <f>VLOOKUP(G112,[1]bio!$D$2:$E$4,2,FALSE)</f>
        <v>No bioeconomía</v>
      </c>
    </row>
    <row r="113" spans="1:8" x14ac:dyDescent="0.35">
      <c r="A113" s="58" t="s">
        <v>951</v>
      </c>
      <c r="B113" s="7" t="s">
        <v>255</v>
      </c>
      <c r="C113" s="7" t="str">
        <f>VLOOKUP(B113, AT_FILAS!$A$2:$C$8,2,FALSE)</f>
        <v>Producción</v>
      </c>
      <c r="D113" s="7" t="str">
        <f>VLOOKUP(B113, AT_FILAS!$A$2:$C$8,3,FALSE)</f>
        <v>P1</v>
      </c>
      <c r="E113" s="53">
        <v>112</v>
      </c>
      <c r="F113" s="54" t="s">
        <v>1064</v>
      </c>
      <c r="G113" s="7">
        <v>3</v>
      </c>
      <c r="H113" s="59" t="str">
        <f>VLOOKUP(G113,[1]bio!$D$2:$E$4,2,FALSE)</f>
        <v>No bioeconomía</v>
      </c>
    </row>
    <row r="114" spans="1:8" x14ac:dyDescent="0.35">
      <c r="A114" s="58" t="s">
        <v>952</v>
      </c>
      <c r="B114" s="7" t="s">
        <v>255</v>
      </c>
      <c r="C114" s="7" t="str">
        <f>VLOOKUP(B114, AT_FILAS!$A$2:$C$8,2,FALSE)</f>
        <v>Producción</v>
      </c>
      <c r="D114" s="7" t="str">
        <f>VLOOKUP(B114, AT_FILAS!$A$2:$C$8,3,FALSE)</f>
        <v>P1</v>
      </c>
      <c r="E114" s="53">
        <v>113</v>
      </c>
      <c r="F114" s="54" t="s">
        <v>1065</v>
      </c>
      <c r="G114" s="7">
        <v>3</v>
      </c>
      <c r="H114" s="59" t="str">
        <f>VLOOKUP(G114,[1]bio!$D$2:$E$4,2,FALSE)</f>
        <v>No bioeconomía</v>
      </c>
    </row>
    <row r="115" spans="1:8" x14ac:dyDescent="0.35">
      <c r="A115" s="58" t="s">
        <v>953</v>
      </c>
      <c r="B115" s="7" t="s">
        <v>255</v>
      </c>
      <c r="C115" s="7" t="str">
        <f>VLOOKUP(B115, AT_FILAS!$A$2:$C$8,2,FALSE)</f>
        <v>Producción</v>
      </c>
      <c r="D115" s="7" t="str">
        <f>VLOOKUP(B115, AT_FILAS!$A$2:$C$8,3,FALSE)</f>
        <v>P1</v>
      </c>
      <c r="E115" s="53">
        <v>114</v>
      </c>
      <c r="F115" s="54" t="s">
        <v>1066</v>
      </c>
      <c r="G115" s="7">
        <v>3</v>
      </c>
      <c r="H115" s="59" t="str">
        <f>VLOOKUP(G115,[1]bio!$D$2:$E$4,2,FALSE)</f>
        <v>No bioeconomía</v>
      </c>
    </row>
    <row r="116" spans="1:8" x14ac:dyDescent="0.35">
      <c r="A116" s="58" t="s">
        <v>954</v>
      </c>
      <c r="B116" s="7" t="s">
        <v>255</v>
      </c>
      <c r="C116" s="7" t="str">
        <f>VLOOKUP(B116, AT_FILAS!$A$2:$C$8,2,FALSE)</f>
        <v>Producción</v>
      </c>
      <c r="D116" s="7" t="str">
        <f>VLOOKUP(B116, AT_FILAS!$A$2:$C$8,3,FALSE)</f>
        <v>P1</v>
      </c>
      <c r="E116" s="53">
        <v>115</v>
      </c>
      <c r="F116" s="54" t="s">
        <v>1067</v>
      </c>
      <c r="G116" s="7">
        <v>3</v>
      </c>
      <c r="H116" s="59" t="str">
        <f>VLOOKUP(G116,[1]bio!$D$2:$E$4,2,FALSE)</f>
        <v>No bioeconomía</v>
      </c>
    </row>
    <row r="117" spans="1:8" x14ac:dyDescent="0.35">
      <c r="A117" s="58" t="s">
        <v>955</v>
      </c>
      <c r="B117" s="7" t="s">
        <v>255</v>
      </c>
      <c r="C117" s="7" t="str">
        <f>VLOOKUP(B117, AT_FILAS!$A$2:$C$8,2,FALSE)</f>
        <v>Producción</v>
      </c>
      <c r="D117" s="7" t="str">
        <f>VLOOKUP(B117, AT_FILAS!$A$2:$C$8,3,FALSE)</f>
        <v>P1</v>
      </c>
      <c r="E117" s="53">
        <v>116</v>
      </c>
      <c r="F117" s="54" t="s">
        <v>1068</v>
      </c>
      <c r="G117" s="7">
        <v>3</v>
      </c>
      <c r="H117" s="59" t="str">
        <f>VLOOKUP(G117,[1]bio!$D$2:$E$4,2,FALSE)</f>
        <v>No bioeconomía</v>
      </c>
    </row>
    <row r="118" spans="1:8" x14ac:dyDescent="0.35">
      <c r="A118" s="58" t="s">
        <v>956</v>
      </c>
      <c r="B118" s="7" t="s">
        <v>255</v>
      </c>
      <c r="C118" s="7" t="str">
        <f>VLOOKUP(B118, AT_FILAS!$A$2:$C$8,2,FALSE)</f>
        <v>Producción</v>
      </c>
      <c r="D118" s="7" t="str">
        <f>VLOOKUP(B118, AT_FILAS!$A$2:$C$8,3,FALSE)</f>
        <v>P1</v>
      </c>
      <c r="E118" s="53">
        <v>117</v>
      </c>
      <c r="F118" s="54" t="s">
        <v>1069</v>
      </c>
      <c r="G118" s="7">
        <v>3</v>
      </c>
      <c r="H118" s="59" t="str">
        <f>VLOOKUP(G118,[1]bio!$D$2:$E$4,2,FALSE)</f>
        <v>No bioeconomía</v>
      </c>
    </row>
    <row r="119" spans="1:8" x14ac:dyDescent="0.35">
      <c r="A119" s="58" t="s">
        <v>957</v>
      </c>
      <c r="B119" s="7" t="s">
        <v>255</v>
      </c>
      <c r="C119" s="7" t="str">
        <f>VLOOKUP(B119, AT_FILAS!$A$2:$C$8,2,FALSE)</f>
        <v>Producción</v>
      </c>
      <c r="D119" s="7" t="str">
        <f>VLOOKUP(B119, AT_FILAS!$A$2:$C$8,3,FALSE)</f>
        <v>P1</v>
      </c>
      <c r="E119" s="53">
        <v>118</v>
      </c>
      <c r="F119" s="54" t="s">
        <v>1070</v>
      </c>
      <c r="G119" s="7">
        <v>3</v>
      </c>
      <c r="H119" s="59" t="str">
        <f>VLOOKUP(G119,[1]bio!$D$2:$E$4,2,FALSE)</f>
        <v>No bioeconomía</v>
      </c>
    </row>
    <row r="120" spans="1:8" x14ac:dyDescent="0.35">
      <c r="A120" s="58" t="s">
        <v>1131</v>
      </c>
      <c r="B120" s="7" t="s">
        <v>255</v>
      </c>
      <c r="C120" s="7" t="str">
        <f>VLOOKUP(B120, AT_FILAS!$A$2:$C$8,2,FALSE)</f>
        <v>Producción</v>
      </c>
      <c r="D120" s="7" t="str">
        <f>VLOOKUP(B120, AT_FILAS!$A$2:$C$8,3,FALSE)</f>
        <v>P1</v>
      </c>
      <c r="E120" s="53">
        <v>119</v>
      </c>
      <c r="F120" s="54" t="s">
        <v>1071</v>
      </c>
      <c r="G120" s="7">
        <v>3</v>
      </c>
      <c r="H120" s="59" t="str">
        <f>VLOOKUP(G120,[1]bio!$D$2:$E$4,2,FALSE)</f>
        <v>No bioeconomía</v>
      </c>
    </row>
    <row r="121" spans="1:8" x14ac:dyDescent="0.35">
      <c r="A121" s="58" t="s">
        <v>1132</v>
      </c>
      <c r="B121" s="7" t="s">
        <v>255</v>
      </c>
      <c r="C121" s="7" t="str">
        <f>VLOOKUP(B121, AT_FILAS!$A$2:$C$8,2,FALSE)</f>
        <v>Producción</v>
      </c>
      <c r="D121" s="7" t="str">
        <f>VLOOKUP(B121, AT_FILAS!$A$2:$C$8,3,FALSE)</f>
        <v>P1</v>
      </c>
      <c r="E121" s="53">
        <v>120</v>
      </c>
      <c r="F121" s="54" t="s">
        <v>1072</v>
      </c>
      <c r="G121" s="7">
        <v>3</v>
      </c>
      <c r="H121" s="59" t="str">
        <f>VLOOKUP(G121,[1]bio!$D$2:$E$4,2,FALSE)</f>
        <v>No bioeconomía</v>
      </c>
    </row>
    <row r="122" spans="1:8" x14ac:dyDescent="0.35">
      <c r="A122" s="58" t="s">
        <v>1133</v>
      </c>
      <c r="B122" s="7" t="s">
        <v>255</v>
      </c>
      <c r="C122" s="7" t="str">
        <f>VLOOKUP(B122, AT_FILAS!$A$2:$C$8,2,FALSE)</f>
        <v>Producción</v>
      </c>
      <c r="D122" s="7" t="str">
        <f>VLOOKUP(B122, AT_FILAS!$A$2:$C$8,3,FALSE)</f>
        <v>P1</v>
      </c>
      <c r="E122" s="53">
        <v>121</v>
      </c>
      <c r="F122" s="54" t="s">
        <v>1073</v>
      </c>
      <c r="G122" s="7">
        <v>3</v>
      </c>
      <c r="H122" s="59" t="str">
        <f>VLOOKUP(G122,[1]bio!$D$2:$E$4,2,FALSE)</f>
        <v>No bioeconomía</v>
      </c>
    </row>
    <row r="123" spans="1:8" x14ac:dyDescent="0.35">
      <c r="A123" s="58" t="s">
        <v>1134</v>
      </c>
      <c r="B123" s="7" t="s">
        <v>255</v>
      </c>
      <c r="C123" s="7" t="str">
        <f>VLOOKUP(B123, AT_FILAS!$A$2:$C$8,2,FALSE)</f>
        <v>Producción</v>
      </c>
      <c r="D123" s="7" t="str">
        <f>VLOOKUP(B123, AT_FILAS!$A$2:$C$8,3,FALSE)</f>
        <v>P1</v>
      </c>
      <c r="E123" s="53">
        <v>122</v>
      </c>
      <c r="F123" s="54" t="s">
        <v>1074</v>
      </c>
      <c r="G123" s="7">
        <v>3</v>
      </c>
      <c r="H123" s="59" t="str">
        <f>VLOOKUP(G123,[1]bio!$D$2:$E$4,2,FALSE)</f>
        <v>No bioeconomía</v>
      </c>
    </row>
    <row r="124" spans="1:8" x14ac:dyDescent="0.35">
      <c r="A124" s="58" t="s">
        <v>1135</v>
      </c>
      <c r="B124" s="7" t="s">
        <v>255</v>
      </c>
      <c r="C124" s="7" t="str">
        <f>VLOOKUP(B124, AT_FILAS!$A$2:$C$8,2,FALSE)</f>
        <v>Producción</v>
      </c>
      <c r="D124" s="7" t="str">
        <f>VLOOKUP(B124, AT_FILAS!$A$2:$C$8,3,FALSE)</f>
        <v>P1</v>
      </c>
      <c r="E124" s="53">
        <v>123</v>
      </c>
      <c r="F124" s="54" t="s">
        <v>1075</v>
      </c>
      <c r="G124" s="7">
        <v>2</v>
      </c>
      <c r="H124" s="59" t="str">
        <f>VLOOKUP(G124,[1]bio!$D$2:$E$4,2,FALSE)</f>
        <v>Bioeconomía extendida</v>
      </c>
    </row>
    <row r="125" spans="1:8" x14ac:dyDescent="0.35">
      <c r="A125" s="58" t="s">
        <v>1136</v>
      </c>
      <c r="B125" s="7" t="s">
        <v>255</v>
      </c>
      <c r="C125" s="7" t="str">
        <f>VLOOKUP(B125, AT_FILAS!$A$2:$C$8,2,FALSE)</f>
        <v>Producción</v>
      </c>
      <c r="D125" s="7" t="str">
        <f>VLOOKUP(B125, AT_FILAS!$A$2:$C$8,3,FALSE)</f>
        <v>P1</v>
      </c>
      <c r="E125" s="53">
        <v>124</v>
      </c>
      <c r="F125" s="54" t="s">
        <v>1076</v>
      </c>
      <c r="G125" s="7">
        <v>2</v>
      </c>
      <c r="H125" s="59" t="str">
        <f>VLOOKUP(G125,[1]bio!$D$2:$E$4,2,FALSE)</f>
        <v>Bioeconomía extendida</v>
      </c>
    </row>
    <row r="126" spans="1:8" x14ac:dyDescent="0.35">
      <c r="A126" s="58" t="s">
        <v>1137</v>
      </c>
      <c r="B126" s="7" t="s">
        <v>255</v>
      </c>
      <c r="C126" s="7" t="str">
        <f>VLOOKUP(B126, AT_FILAS!$A$2:$C$8,2,FALSE)</f>
        <v>Producción</v>
      </c>
      <c r="D126" s="7" t="str">
        <f>VLOOKUP(B126, AT_FILAS!$A$2:$C$8,3,FALSE)</f>
        <v>P1</v>
      </c>
      <c r="E126" s="53">
        <v>125</v>
      </c>
      <c r="F126" s="54" t="s">
        <v>1077</v>
      </c>
      <c r="G126" s="7">
        <v>3</v>
      </c>
      <c r="H126" s="59" t="str">
        <f>VLOOKUP(G126,[1]bio!$D$2:$E$4,2,FALSE)</f>
        <v>No bioeconomía</v>
      </c>
    </row>
    <row r="127" spans="1:8" x14ac:dyDescent="0.35">
      <c r="A127" s="58" t="s">
        <v>1138</v>
      </c>
      <c r="B127" s="7" t="s">
        <v>255</v>
      </c>
      <c r="C127" s="7" t="str">
        <f>VLOOKUP(B127, AT_FILAS!$A$2:$C$8,2,FALSE)</f>
        <v>Producción</v>
      </c>
      <c r="D127" s="7" t="str">
        <f>VLOOKUP(B127, AT_FILAS!$A$2:$C$8,3,FALSE)</f>
        <v>P1</v>
      </c>
      <c r="E127" s="53">
        <v>126</v>
      </c>
      <c r="F127" s="54" t="s">
        <v>1078</v>
      </c>
      <c r="G127" s="7">
        <v>3</v>
      </c>
      <c r="H127" s="59" t="str">
        <f>VLOOKUP(G127,[1]bio!$D$2:$E$4,2,FALSE)</f>
        <v>No bioeconomía</v>
      </c>
    </row>
    <row r="128" spans="1:8" x14ac:dyDescent="0.35">
      <c r="A128" s="58" t="s">
        <v>1139</v>
      </c>
      <c r="B128" s="7" t="s">
        <v>255</v>
      </c>
      <c r="C128" s="7" t="str">
        <f>VLOOKUP(B128, AT_FILAS!$A$2:$C$8,2,FALSE)</f>
        <v>Producción</v>
      </c>
      <c r="D128" s="7" t="str">
        <f>VLOOKUP(B128, AT_FILAS!$A$2:$C$8,3,FALSE)</f>
        <v>P1</v>
      </c>
      <c r="E128" s="53">
        <v>127</v>
      </c>
      <c r="F128" s="54" t="s">
        <v>1079</v>
      </c>
      <c r="G128" s="7">
        <v>3</v>
      </c>
      <c r="H128" s="59" t="str">
        <f>VLOOKUP(G128,[1]bio!$D$2:$E$4,2,FALSE)</f>
        <v>No bioeconomía</v>
      </c>
    </row>
    <row r="129" spans="1:8" x14ac:dyDescent="0.35">
      <c r="A129" s="58" t="s">
        <v>1140</v>
      </c>
      <c r="B129" s="7" t="s">
        <v>255</v>
      </c>
      <c r="C129" s="7" t="str">
        <f>VLOOKUP(B129, AT_FILAS!$A$2:$C$8,2,FALSE)</f>
        <v>Producción</v>
      </c>
      <c r="D129" s="7" t="str">
        <f>VLOOKUP(B129, AT_FILAS!$A$2:$C$8,3,FALSE)</f>
        <v>P1</v>
      </c>
      <c r="E129" s="53">
        <v>128</v>
      </c>
      <c r="F129" s="54" t="s">
        <v>1080</v>
      </c>
      <c r="G129" s="7">
        <v>3</v>
      </c>
      <c r="H129" s="59" t="str">
        <f>VLOOKUP(G129,[1]bio!$D$2:$E$4,2,FALSE)</f>
        <v>No bioeconomía</v>
      </c>
    </row>
    <row r="130" spans="1:8" x14ac:dyDescent="0.35">
      <c r="A130" s="58" t="s">
        <v>1141</v>
      </c>
      <c r="B130" s="7" t="s">
        <v>255</v>
      </c>
      <c r="C130" s="7" t="str">
        <f>VLOOKUP(B130, AT_FILAS!$A$2:$C$8,2,FALSE)</f>
        <v>Producción</v>
      </c>
      <c r="D130" s="7" t="str">
        <f>VLOOKUP(B130, AT_FILAS!$A$2:$C$8,3,FALSE)</f>
        <v>P1</v>
      </c>
      <c r="E130" s="53">
        <v>129</v>
      </c>
      <c r="F130" s="54" t="s">
        <v>1081</v>
      </c>
      <c r="G130" s="7">
        <v>3</v>
      </c>
      <c r="H130" s="59" t="str">
        <f>VLOOKUP(G130,[1]bio!$D$2:$E$4,2,FALSE)</f>
        <v>No bioeconomía</v>
      </c>
    </row>
    <row r="131" spans="1:8" x14ac:dyDescent="0.35">
      <c r="A131" s="58" t="s">
        <v>1142</v>
      </c>
      <c r="B131" s="7" t="s">
        <v>255</v>
      </c>
      <c r="C131" s="7" t="str">
        <f>VLOOKUP(B131, AT_FILAS!$A$2:$C$8,2,FALSE)</f>
        <v>Producción</v>
      </c>
      <c r="D131" s="7" t="str">
        <f>VLOOKUP(B131, AT_FILAS!$A$2:$C$8,3,FALSE)</f>
        <v>P1</v>
      </c>
      <c r="E131" s="53">
        <v>130</v>
      </c>
      <c r="F131" s="54" t="s">
        <v>1082</v>
      </c>
      <c r="G131" s="7">
        <v>3</v>
      </c>
      <c r="H131" s="59" t="str">
        <f>VLOOKUP(G131,[1]bio!$D$2:$E$4,2,FALSE)</f>
        <v>No bioeconomía</v>
      </c>
    </row>
    <row r="132" spans="1:8" x14ac:dyDescent="0.35">
      <c r="A132" s="58" t="s">
        <v>1143</v>
      </c>
      <c r="B132" s="7" t="s">
        <v>255</v>
      </c>
      <c r="C132" s="7" t="str">
        <f>VLOOKUP(B132, AT_FILAS!$A$2:$C$8,2,FALSE)</f>
        <v>Producción</v>
      </c>
      <c r="D132" s="7" t="str">
        <f>VLOOKUP(B132, AT_FILAS!$A$2:$C$8,3,FALSE)</f>
        <v>P1</v>
      </c>
      <c r="E132" s="53">
        <v>131</v>
      </c>
      <c r="F132" s="54" t="s">
        <v>1083</v>
      </c>
      <c r="G132" s="7">
        <v>3</v>
      </c>
      <c r="H132" s="59" t="str">
        <f>VLOOKUP(G132,[1]bio!$D$2:$E$4,2,FALSE)</f>
        <v>No bioeconomía</v>
      </c>
    </row>
    <row r="133" spans="1:8" x14ac:dyDescent="0.35">
      <c r="A133" s="58" t="s">
        <v>1144</v>
      </c>
      <c r="B133" s="7" t="s">
        <v>255</v>
      </c>
      <c r="C133" s="7" t="str">
        <f>VLOOKUP(B133, AT_FILAS!$A$2:$C$8,2,FALSE)</f>
        <v>Producción</v>
      </c>
      <c r="D133" s="7" t="str">
        <f>VLOOKUP(B133, AT_FILAS!$A$2:$C$8,3,FALSE)</f>
        <v>P1</v>
      </c>
      <c r="E133" s="53">
        <v>132</v>
      </c>
      <c r="F133" s="54" t="s">
        <v>1084</v>
      </c>
      <c r="G133" s="7">
        <v>3</v>
      </c>
      <c r="H133" s="59" t="str">
        <f>VLOOKUP(G133,[1]bio!$D$2:$E$4,2,FALSE)</f>
        <v>No bioeconomía</v>
      </c>
    </row>
    <row r="134" spans="1:8" x14ac:dyDescent="0.35">
      <c r="A134" s="58" t="s">
        <v>1145</v>
      </c>
      <c r="B134" s="7" t="s">
        <v>255</v>
      </c>
      <c r="C134" s="7" t="str">
        <f>VLOOKUP(B134, AT_FILAS!$A$2:$C$8,2,FALSE)</f>
        <v>Producción</v>
      </c>
      <c r="D134" s="7" t="str">
        <f>VLOOKUP(B134, AT_FILAS!$A$2:$C$8,3,FALSE)</f>
        <v>P1</v>
      </c>
      <c r="E134" s="53">
        <v>133</v>
      </c>
      <c r="F134" s="54" t="s">
        <v>1085</v>
      </c>
      <c r="G134" s="7">
        <v>3</v>
      </c>
      <c r="H134" s="59" t="str">
        <f>VLOOKUP(G134,[1]bio!$D$2:$E$4,2,FALSE)</f>
        <v>No bioeconomía</v>
      </c>
    </row>
    <row r="135" spans="1:8" x14ac:dyDescent="0.35">
      <c r="A135" s="58" t="s">
        <v>1146</v>
      </c>
      <c r="B135" s="7" t="s">
        <v>255</v>
      </c>
      <c r="C135" s="7" t="str">
        <f>VLOOKUP(B135, AT_FILAS!$A$2:$C$8,2,FALSE)</f>
        <v>Producción</v>
      </c>
      <c r="D135" s="7" t="str">
        <f>VLOOKUP(B135, AT_FILAS!$A$2:$C$8,3,FALSE)</f>
        <v>P1</v>
      </c>
      <c r="E135" s="53">
        <v>134</v>
      </c>
      <c r="F135" s="54" t="s">
        <v>1086</v>
      </c>
      <c r="G135" s="7">
        <v>3</v>
      </c>
      <c r="H135" s="59" t="str">
        <f>VLOOKUP(G135,[1]bio!$D$2:$E$4,2,FALSE)</f>
        <v>No bioeconomía</v>
      </c>
    </row>
    <row r="136" spans="1:8" x14ac:dyDescent="0.35">
      <c r="A136" s="58" t="s">
        <v>1147</v>
      </c>
      <c r="B136" s="7" t="s">
        <v>255</v>
      </c>
      <c r="C136" s="7" t="str">
        <f>VLOOKUP(B136, AT_FILAS!$A$2:$C$8,2,FALSE)</f>
        <v>Producción</v>
      </c>
      <c r="D136" s="7" t="str">
        <f>VLOOKUP(B136, AT_FILAS!$A$2:$C$8,3,FALSE)</f>
        <v>P1</v>
      </c>
      <c r="E136" s="53">
        <v>135</v>
      </c>
      <c r="F136" s="54" t="s">
        <v>1087</v>
      </c>
      <c r="G136" s="7">
        <v>3</v>
      </c>
      <c r="H136" s="59" t="str">
        <f>VLOOKUP(G136,[1]bio!$D$2:$E$4,2,FALSE)</f>
        <v>No bioeconomía</v>
      </c>
    </row>
    <row r="137" spans="1:8" x14ac:dyDescent="0.35">
      <c r="A137" s="58" t="s">
        <v>1148</v>
      </c>
      <c r="B137" s="7" t="s">
        <v>255</v>
      </c>
      <c r="C137" s="7" t="str">
        <f>VLOOKUP(B137, AT_FILAS!$A$2:$C$8,2,FALSE)</f>
        <v>Producción</v>
      </c>
      <c r="D137" s="7" t="str">
        <f>VLOOKUP(B137, AT_FILAS!$A$2:$C$8,3,FALSE)</f>
        <v>P1</v>
      </c>
      <c r="E137" s="53">
        <v>136</v>
      </c>
      <c r="F137" s="54" t="s">
        <v>1088</v>
      </c>
      <c r="G137" s="7">
        <v>3</v>
      </c>
      <c r="H137" s="59" t="str">
        <f>VLOOKUP(G137,[1]bio!$D$2:$E$4,2,FALSE)</f>
        <v>No bioeconomía</v>
      </c>
    </row>
    <row r="138" spans="1:8" x14ac:dyDescent="0.35">
      <c r="A138" s="58" t="s">
        <v>1149</v>
      </c>
      <c r="B138" s="7" t="s">
        <v>255</v>
      </c>
      <c r="C138" s="7" t="str">
        <f>VLOOKUP(B138, AT_FILAS!$A$2:$C$8,2,FALSE)</f>
        <v>Producción</v>
      </c>
      <c r="D138" s="7" t="str">
        <f>VLOOKUP(B138, AT_FILAS!$A$2:$C$8,3,FALSE)</f>
        <v>P1</v>
      </c>
      <c r="E138" s="53">
        <v>137</v>
      </c>
      <c r="F138" s="54" t="s">
        <v>1089</v>
      </c>
      <c r="G138" s="7">
        <v>3</v>
      </c>
      <c r="H138" s="59" t="str">
        <f>VLOOKUP(G138,[1]bio!$D$2:$E$4,2,FALSE)</f>
        <v>No bioeconomía</v>
      </c>
    </row>
    <row r="139" spans="1:8" x14ac:dyDescent="0.35">
      <c r="A139" s="58" t="s">
        <v>1150</v>
      </c>
      <c r="B139" s="7" t="s">
        <v>255</v>
      </c>
      <c r="C139" s="7" t="str">
        <f>VLOOKUP(B139, AT_FILAS!$A$2:$C$8,2,FALSE)</f>
        <v>Producción</v>
      </c>
      <c r="D139" s="7" t="str">
        <f>VLOOKUP(B139, AT_FILAS!$A$2:$C$8,3,FALSE)</f>
        <v>P1</v>
      </c>
      <c r="E139" s="53">
        <v>138</v>
      </c>
      <c r="F139" s="54" t="s">
        <v>1090</v>
      </c>
      <c r="G139" s="7">
        <v>2</v>
      </c>
      <c r="H139" s="59" t="str">
        <f>VLOOKUP(G139,[1]bio!$D$2:$E$4,2,FALSE)</f>
        <v>Bioeconomía extendida</v>
      </c>
    </row>
    <row r="140" spans="1:8" x14ac:dyDescent="0.35">
      <c r="A140" s="58" t="s">
        <v>1151</v>
      </c>
      <c r="B140" s="7" t="s">
        <v>255</v>
      </c>
      <c r="C140" s="7" t="str">
        <f>VLOOKUP(B140, AT_FILAS!$A$2:$C$8,2,FALSE)</f>
        <v>Producción</v>
      </c>
      <c r="D140" s="7" t="str">
        <f>VLOOKUP(B140, AT_FILAS!$A$2:$C$8,3,FALSE)</f>
        <v>P1</v>
      </c>
      <c r="E140" s="53">
        <v>139</v>
      </c>
      <c r="F140" s="54" t="s">
        <v>1091</v>
      </c>
      <c r="G140" s="7">
        <v>3</v>
      </c>
      <c r="H140" s="59" t="str">
        <f>VLOOKUP(G140,[1]bio!$D$2:$E$4,2,FALSE)</f>
        <v>No bioeconomía</v>
      </c>
    </row>
    <row r="141" spans="1:8" x14ac:dyDescent="0.35">
      <c r="A141" s="58" t="s">
        <v>1152</v>
      </c>
      <c r="B141" s="7" t="s">
        <v>255</v>
      </c>
      <c r="C141" s="7" t="str">
        <f>VLOOKUP(B141, AT_FILAS!$A$2:$C$8,2,FALSE)</f>
        <v>Producción</v>
      </c>
      <c r="D141" s="7" t="str">
        <f>VLOOKUP(B141, AT_FILAS!$A$2:$C$8,3,FALSE)</f>
        <v>P1</v>
      </c>
      <c r="E141" s="53">
        <v>140</v>
      </c>
      <c r="F141" s="54" t="s">
        <v>1092</v>
      </c>
      <c r="G141" s="7">
        <v>3</v>
      </c>
      <c r="H141" s="59" t="str">
        <f>VLOOKUP(G141,[1]bio!$D$2:$E$4,2,FALSE)</f>
        <v>No bioeconomía</v>
      </c>
    </row>
    <row r="142" spans="1:8" x14ac:dyDescent="0.35">
      <c r="A142" s="58" t="s">
        <v>1153</v>
      </c>
      <c r="B142" s="7" t="s">
        <v>255</v>
      </c>
      <c r="C142" s="7" t="str">
        <f>VLOOKUP(B142, AT_FILAS!$A$2:$C$8,2,FALSE)</f>
        <v>Producción</v>
      </c>
      <c r="D142" s="7" t="str">
        <f>VLOOKUP(B142, AT_FILAS!$A$2:$C$8,3,FALSE)</f>
        <v>P1</v>
      </c>
      <c r="E142" s="53">
        <v>141</v>
      </c>
      <c r="F142" s="54" t="s">
        <v>1093</v>
      </c>
      <c r="G142" s="7">
        <v>3</v>
      </c>
      <c r="H142" s="59" t="str">
        <f>VLOOKUP(G142,[1]bio!$D$2:$E$4,2,FALSE)</f>
        <v>No bioeconomía</v>
      </c>
    </row>
    <row r="143" spans="1:8" x14ac:dyDescent="0.35">
      <c r="A143" s="58" t="s">
        <v>1154</v>
      </c>
      <c r="B143" s="7" t="s">
        <v>255</v>
      </c>
      <c r="C143" s="7" t="str">
        <f>VLOOKUP(B143, AT_FILAS!$A$2:$C$8,2,FALSE)</f>
        <v>Producción</v>
      </c>
      <c r="D143" s="7" t="str">
        <f>VLOOKUP(B143, AT_FILAS!$A$2:$C$8,3,FALSE)</f>
        <v>P1</v>
      </c>
      <c r="E143" s="53">
        <v>142</v>
      </c>
      <c r="F143" s="54" t="s">
        <v>411</v>
      </c>
      <c r="G143" s="7">
        <v>3</v>
      </c>
      <c r="H143" s="59" t="str">
        <f>VLOOKUP(G143,[1]bio!$D$2:$E$4,2,FALSE)</f>
        <v>No bioeconomía</v>
      </c>
    </row>
    <row r="144" spans="1:8" x14ac:dyDescent="0.35">
      <c r="A144" s="58" t="s">
        <v>1155</v>
      </c>
      <c r="B144" s="7" t="s">
        <v>255</v>
      </c>
      <c r="C144" s="7" t="str">
        <f>VLOOKUP(B144, AT_FILAS!$A$2:$C$8,2,FALSE)</f>
        <v>Producción</v>
      </c>
      <c r="D144" s="7" t="str">
        <f>VLOOKUP(B144, AT_FILAS!$A$2:$C$8,3,FALSE)</f>
        <v>P1</v>
      </c>
      <c r="E144" s="53">
        <v>143</v>
      </c>
      <c r="F144" s="54" t="s">
        <v>1094</v>
      </c>
      <c r="G144" s="7">
        <v>3</v>
      </c>
      <c r="H144" s="59" t="str">
        <f>VLOOKUP(G144,[1]bio!$D$2:$E$4,2,FALSE)</f>
        <v>No bioeconomía</v>
      </c>
    </row>
    <row r="145" spans="1:8" x14ac:dyDescent="0.35">
      <c r="A145" s="58" t="s">
        <v>1156</v>
      </c>
      <c r="B145" s="7" t="s">
        <v>255</v>
      </c>
      <c r="C145" s="7" t="str">
        <f>VLOOKUP(B145, AT_FILAS!$A$2:$C$8,2,FALSE)</f>
        <v>Producción</v>
      </c>
      <c r="D145" s="7" t="str">
        <f>VLOOKUP(B145, AT_FILAS!$A$2:$C$8,3,FALSE)</f>
        <v>P1</v>
      </c>
      <c r="E145" s="53">
        <v>144</v>
      </c>
      <c r="F145" s="54" t="s">
        <v>1095</v>
      </c>
      <c r="G145" s="7">
        <v>3</v>
      </c>
      <c r="H145" s="59" t="str">
        <f>VLOOKUP(G145,[1]bio!$D$2:$E$4,2,FALSE)</f>
        <v>No bioeconomía</v>
      </c>
    </row>
    <row r="146" spans="1:8" x14ac:dyDescent="0.35">
      <c r="A146" s="58" t="s">
        <v>1157</v>
      </c>
      <c r="B146" s="7" t="s">
        <v>255</v>
      </c>
      <c r="C146" s="7" t="str">
        <f>VLOOKUP(B146, AT_FILAS!$A$2:$C$8,2,FALSE)</f>
        <v>Producción</v>
      </c>
      <c r="D146" s="7" t="str">
        <f>VLOOKUP(B146, AT_FILAS!$A$2:$C$8,3,FALSE)</f>
        <v>P1</v>
      </c>
      <c r="E146" s="53">
        <v>145</v>
      </c>
      <c r="F146" s="54" t="s">
        <v>1096</v>
      </c>
      <c r="G146" s="7">
        <v>3</v>
      </c>
      <c r="H146" s="59" t="str">
        <f>VLOOKUP(G146,[1]bio!$D$2:$E$4,2,FALSE)</f>
        <v>No bioeconomía</v>
      </c>
    </row>
    <row r="147" spans="1:8" x14ac:dyDescent="0.35">
      <c r="A147" s="58" t="s">
        <v>1158</v>
      </c>
      <c r="B147" s="7" t="s">
        <v>255</v>
      </c>
      <c r="C147" s="7" t="str">
        <f>VLOOKUP(B147, AT_FILAS!$A$2:$C$8,2,FALSE)</f>
        <v>Producción</v>
      </c>
      <c r="D147" s="7" t="str">
        <f>VLOOKUP(B147, AT_FILAS!$A$2:$C$8,3,FALSE)</f>
        <v>P1</v>
      </c>
      <c r="E147" s="53">
        <v>146</v>
      </c>
      <c r="F147" s="54" t="s">
        <v>1097</v>
      </c>
      <c r="G147" s="7">
        <v>3</v>
      </c>
      <c r="H147" s="59" t="str">
        <f>VLOOKUP(G147,[1]bio!$D$2:$E$4,2,FALSE)</f>
        <v>No bioeconomía</v>
      </c>
    </row>
    <row r="148" spans="1:8" x14ac:dyDescent="0.35">
      <c r="A148" s="58" t="s">
        <v>1159</v>
      </c>
      <c r="B148" s="7" t="s">
        <v>255</v>
      </c>
      <c r="C148" s="7" t="str">
        <f>VLOOKUP(B148, AT_FILAS!$A$2:$C$8,2,FALSE)</f>
        <v>Producción</v>
      </c>
      <c r="D148" s="7" t="str">
        <f>VLOOKUP(B148, AT_FILAS!$A$2:$C$8,3,FALSE)</f>
        <v>P1</v>
      </c>
      <c r="E148" s="53">
        <v>147</v>
      </c>
      <c r="F148" s="54" t="s">
        <v>1098</v>
      </c>
      <c r="G148" s="7">
        <v>3</v>
      </c>
      <c r="H148" s="59" t="str">
        <f>VLOOKUP(G148,[1]bio!$D$2:$E$4,2,FALSE)</f>
        <v>No bioeconomía</v>
      </c>
    </row>
    <row r="149" spans="1:8" x14ac:dyDescent="0.35">
      <c r="A149" s="58" t="s">
        <v>1160</v>
      </c>
      <c r="B149" s="7" t="s">
        <v>255</v>
      </c>
      <c r="C149" s="7" t="str">
        <f>VLOOKUP(B149, AT_FILAS!$A$2:$C$8,2,FALSE)</f>
        <v>Producción</v>
      </c>
      <c r="D149" s="7" t="str">
        <f>VLOOKUP(B149, AT_FILAS!$A$2:$C$8,3,FALSE)</f>
        <v>P1</v>
      </c>
      <c r="E149" s="53">
        <v>148</v>
      </c>
      <c r="F149" s="54" t="s">
        <v>1099</v>
      </c>
      <c r="G149" s="7">
        <v>3</v>
      </c>
      <c r="H149" s="59" t="str">
        <f>VLOOKUP(G149,[1]bio!$D$2:$E$4,2,FALSE)</f>
        <v>No bioeconomía</v>
      </c>
    </row>
    <row r="150" spans="1:8" x14ac:dyDescent="0.35">
      <c r="A150" s="58" t="s">
        <v>1161</v>
      </c>
      <c r="B150" s="7" t="s">
        <v>255</v>
      </c>
      <c r="C150" s="7" t="str">
        <f>VLOOKUP(B150, AT_FILAS!$A$2:$C$8,2,FALSE)</f>
        <v>Producción</v>
      </c>
      <c r="D150" s="7" t="str">
        <f>VLOOKUP(B150, AT_FILAS!$A$2:$C$8,3,FALSE)</f>
        <v>P1</v>
      </c>
      <c r="E150" s="53">
        <v>149</v>
      </c>
      <c r="F150" s="54" t="s">
        <v>1100</v>
      </c>
      <c r="G150" s="7">
        <v>3</v>
      </c>
      <c r="H150" s="59" t="str">
        <f>VLOOKUP(G150,[1]bio!$D$2:$E$4,2,FALSE)</f>
        <v>No bioeconomía</v>
      </c>
    </row>
    <row r="151" spans="1:8" x14ac:dyDescent="0.35">
      <c r="A151" s="58" t="s">
        <v>1162</v>
      </c>
      <c r="B151" s="7" t="s">
        <v>255</v>
      </c>
      <c r="C151" s="7" t="str">
        <f>VLOOKUP(B151, AT_FILAS!$A$2:$C$8,2,FALSE)</f>
        <v>Producción</v>
      </c>
      <c r="D151" s="7" t="str">
        <f>VLOOKUP(B151, AT_FILAS!$A$2:$C$8,3,FALSE)</f>
        <v>P1</v>
      </c>
      <c r="E151" s="53">
        <v>150</v>
      </c>
      <c r="F151" s="54" t="s">
        <v>1101</v>
      </c>
      <c r="G151" s="7">
        <v>3</v>
      </c>
      <c r="H151" s="59" t="str">
        <f>VLOOKUP(G151,[1]bio!$D$2:$E$4,2,FALSE)</f>
        <v>No bioeconomía</v>
      </c>
    </row>
    <row r="152" spans="1:8" x14ac:dyDescent="0.35">
      <c r="A152" s="58" t="s">
        <v>1163</v>
      </c>
      <c r="B152" s="7" t="s">
        <v>255</v>
      </c>
      <c r="C152" s="7" t="str">
        <f>VLOOKUP(B152, AT_FILAS!$A$2:$C$8,2,FALSE)</f>
        <v>Producción</v>
      </c>
      <c r="D152" s="7" t="str">
        <f>VLOOKUP(B152, AT_FILAS!$A$2:$C$8,3,FALSE)</f>
        <v>P1</v>
      </c>
      <c r="E152" s="53">
        <v>151</v>
      </c>
      <c r="F152" s="54" t="s">
        <v>1102</v>
      </c>
      <c r="G152" s="7">
        <v>3</v>
      </c>
      <c r="H152" s="59" t="str">
        <f>VLOOKUP(G152,[1]bio!$D$2:$E$4,2,FALSE)</f>
        <v>No bioeconomía</v>
      </c>
    </row>
    <row r="153" spans="1:8" x14ac:dyDescent="0.35">
      <c r="A153" s="58" t="s">
        <v>1164</v>
      </c>
      <c r="B153" s="7" t="s">
        <v>255</v>
      </c>
      <c r="C153" s="7" t="str">
        <f>VLOOKUP(B153, AT_FILAS!$A$2:$C$8,2,FALSE)</f>
        <v>Producción</v>
      </c>
      <c r="D153" s="7" t="str">
        <f>VLOOKUP(B153, AT_FILAS!$A$2:$C$8,3,FALSE)</f>
        <v>P1</v>
      </c>
      <c r="E153" s="53">
        <v>152</v>
      </c>
      <c r="F153" s="54" t="s">
        <v>1103</v>
      </c>
      <c r="G153" s="7">
        <v>3</v>
      </c>
      <c r="H153" s="59" t="str">
        <f>VLOOKUP(G153,[1]bio!$D$2:$E$4,2,FALSE)</f>
        <v>No bioeconomía</v>
      </c>
    </row>
    <row r="154" spans="1:8" x14ac:dyDescent="0.35">
      <c r="A154" s="58" t="s">
        <v>1165</v>
      </c>
      <c r="B154" s="7" t="s">
        <v>255</v>
      </c>
      <c r="C154" s="7" t="str">
        <f>VLOOKUP(B154, AT_FILAS!$A$2:$C$8,2,FALSE)</f>
        <v>Producción</v>
      </c>
      <c r="D154" s="7" t="str">
        <f>VLOOKUP(B154, AT_FILAS!$A$2:$C$8,3,FALSE)</f>
        <v>P1</v>
      </c>
      <c r="E154" s="53">
        <v>153</v>
      </c>
      <c r="F154" s="54" t="s">
        <v>1104</v>
      </c>
      <c r="G154" s="7">
        <v>3</v>
      </c>
      <c r="H154" s="59" t="str">
        <f>VLOOKUP(G154,[1]bio!$D$2:$E$4,2,FALSE)</f>
        <v>No bioeconomía</v>
      </c>
    </row>
    <row r="155" spans="1:8" x14ac:dyDescent="0.35">
      <c r="A155" s="58" t="s">
        <v>1166</v>
      </c>
      <c r="B155" s="7" t="s">
        <v>255</v>
      </c>
      <c r="C155" s="7" t="str">
        <f>VLOOKUP(B155, AT_FILAS!$A$2:$C$8,2,FALSE)</f>
        <v>Producción</v>
      </c>
      <c r="D155" s="7" t="str">
        <f>VLOOKUP(B155, AT_FILAS!$A$2:$C$8,3,FALSE)</f>
        <v>P1</v>
      </c>
      <c r="E155" s="53">
        <v>154</v>
      </c>
      <c r="F155" s="54" t="s">
        <v>1105</v>
      </c>
      <c r="G155" s="7">
        <v>3</v>
      </c>
      <c r="H155" s="59" t="str">
        <f>VLOOKUP(G155,[1]bio!$D$2:$E$4,2,FALSE)</f>
        <v>No bioeconomía</v>
      </c>
    </row>
    <row r="156" spans="1:8" x14ac:dyDescent="0.35">
      <c r="A156" s="58" t="s">
        <v>1167</v>
      </c>
      <c r="B156" s="7" t="s">
        <v>255</v>
      </c>
      <c r="C156" s="7" t="str">
        <f>VLOOKUP(B156, AT_FILAS!$A$2:$C$8,2,FALSE)</f>
        <v>Producción</v>
      </c>
      <c r="D156" s="7" t="str">
        <f>VLOOKUP(B156, AT_FILAS!$A$2:$C$8,3,FALSE)</f>
        <v>P1</v>
      </c>
      <c r="E156" s="53">
        <v>155</v>
      </c>
      <c r="F156" s="54" t="s">
        <v>1106</v>
      </c>
      <c r="G156" s="7">
        <v>3</v>
      </c>
      <c r="H156" s="59" t="str">
        <f>VLOOKUP(G156,[1]bio!$D$2:$E$4,2,FALSE)</f>
        <v>No bioeconomía</v>
      </c>
    </row>
    <row r="157" spans="1:8" x14ac:dyDescent="0.35">
      <c r="A157" s="58" t="s">
        <v>1168</v>
      </c>
      <c r="B157" s="7" t="s">
        <v>255</v>
      </c>
      <c r="C157" s="7" t="str">
        <f>VLOOKUP(B157, AT_FILAS!$A$2:$C$8,2,FALSE)</f>
        <v>Producción</v>
      </c>
      <c r="D157" s="7" t="str">
        <f>VLOOKUP(B157, AT_FILAS!$A$2:$C$8,3,FALSE)</f>
        <v>P1</v>
      </c>
      <c r="E157" s="53">
        <v>156</v>
      </c>
      <c r="F157" s="54" t="s">
        <v>1107</v>
      </c>
      <c r="G157" s="7">
        <v>3</v>
      </c>
      <c r="H157" s="59" t="str">
        <f>VLOOKUP(G157,[1]bio!$D$2:$E$4,2,FALSE)</f>
        <v>No bioeconomía</v>
      </c>
    </row>
    <row r="158" spans="1:8" x14ac:dyDescent="0.35">
      <c r="A158" s="58" t="s">
        <v>1169</v>
      </c>
      <c r="B158" s="7" t="s">
        <v>255</v>
      </c>
      <c r="C158" s="7" t="str">
        <f>VLOOKUP(B158, AT_FILAS!$A$2:$C$8,2,FALSE)</f>
        <v>Producción</v>
      </c>
      <c r="D158" s="7" t="str">
        <f>VLOOKUP(B158, AT_FILAS!$A$2:$C$8,3,FALSE)</f>
        <v>P1</v>
      </c>
      <c r="E158" s="53">
        <v>157</v>
      </c>
      <c r="F158" s="54" t="s">
        <v>1108</v>
      </c>
      <c r="G158" s="7">
        <v>3</v>
      </c>
      <c r="H158" s="59" t="str">
        <f>VLOOKUP(G158,[1]bio!$D$2:$E$4,2,FALSE)</f>
        <v>No bioeconomía</v>
      </c>
    </row>
    <row r="159" spans="1:8" x14ac:dyDescent="0.35">
      <c r="A159" s="58" t="s">
        <v>1170</v>
      </c>
      <c r="B159" s="7" t="s">
        <v>255</v>
      </c>
      <c r="C159" s="7" t="str">
        <f>VLOOKUP(B159, AT_FILAS!$A$2:$C$8,2,FALSE)</f>
        <v>Producción</v>
      </c>
      <c r="D159" s="7" t="str">
        <f>VLOOKUP(B159, AT_FILAS!$A$2:$C$8,3,FALSE)</f>
        <v>P1</v>
      </c>
      <c r="E159" s="53">
        <v>158</v>
      </c>
      <c r="F159" s="54" t="s">
        <v>1109</v>
      </c>
      <c r="G159" s="7">
        <v>3</v>
      </c>
      <c r="H159" s="59" t="str">
        <f>VLOOKUP(G159,[1]bio!$D$2:$E$4,2,FALSE)</f>
        <v>No bioeconomía</v>
      </c>
    </row>
    <row r="160" spans="1:8" x14ac:dyDescent="0.35">
      <c r="A160" s="58" t="s">
        <v>1171</v>
      </c>
      <c r="B160" s="7" t="s">
        <v>255</v>
      </c>
      <c r="C160" s="7" t="str">
        <f>VLOOKUP(B160, AT_FILAS!$A$2:$C$8,2,FALSE)</f>
        <v>Producción</v>
      </c>
      <c r="D160" s="7" t="str">
        <f>VLOOKUP(B160, AT_FILAS!$A$2:$C$8,3,FALSE)</f>
        <v>P1</v>
      </c>
      <c r="E160" s="53">
        <v>159</v>
      </c>
      <c r="F160" s="54" t="s">
        <v>1110</v>
      </c>
      <c r="G160" s="7">
        <v>3</v>
      </c>
      <c r="H160" s="59" t="str">
        <f>VLOOKUP(G160,[1]bio!$D$2:$E$4,2,FALSE)</f>
        <v>No bioeconomía</v>
      </c>
    </row>
    <row r="161" spans="1:8" x14ac:dyDescent="0.35">
      <c r="A161" s="58" t="s">
        <v>1172</v>
      </c>
      <c r="B161" s="7" t="s">
        <v>255</v>
      </c>
      <c r="C161" s="7" t="str">
        <f>VLOOKUP(B161, AT_FILAS!$A$2:$C$8,2,FALSE)</f>
        <v>Producción</v>
      </c>
      <c r="D161" s="7" t="str">
        <f>VLOOKUP(B161, AT_FILAS!$A$2:$C$8,3,FALSE)</f>
        <v>P1</v>
      </c>
      <c r="E161" s="53">
        <v>160</v>
      </c>
      <c r="F161" s="54" t="s">
        <v>1111</v>
      </c>
      <c r="G161" s="7">
        <v>3</v>
      </c>
      <c r="H161" s="59" t="str">
        <f>VLOOKUP(G161,[1]bio!$D$2:$E$4,2,FALSE)</f>
        <v>No bioeconomía</v>
      </c>
    </row>
    <row r="162" spans="1:8" x14ac:dyDescent="0.35">
      <c r="A162" s="58" t="s">
        <v>1173</v>
      </c>
      <c r="B162" s="7" t="s">
        <v>255</v>
      </c>
      <c r="C162" s="7" t="str">
        <f>VLOOKUP(B162, AT_FILAS!$A$2:$C$8,2,FALSE)</f>
        <v>Producción</v>
      </c>
      <c r="D162" s="7" t="str">
        <f>VLOOKUP(B162, AT_FILAS!$A$2:$C$8,3,FALSE)</f>
        <v>P1</v>
      </c>
      <c r="E162" s="53">
        <v>161</v>
      </c>
      <c r="F162" s="54" t="s">
        <v>1112</v>
      </c>
      <c r="G162" s="7">
        <v>3</v>
      </c>
      <c r="H162" s="59" t="str">
        <f>VLOOKUP(G162,[1]bio!$D$2:$E$4,2,FALSE)</f>
        <v>No bioeconomía</v>
      </c>
    </row>
    <row r="163" spans="1:8" x14ac:dyDescent="0.35">
      <c r="A163" s="58" t="s">
        <v>1174</v>
      </c>
      <c r="B163" s="7" t="s">
        <v>255</v>
      </c>
      <c r="C163" s="7" t="str">
        <f>VLOOKUP(B163, AT_FILAS!$A$2:$C$8,2,FALSE)</f>
        <v>Producción</v>
      </c>
      <c r="D163" s="7" t="str">
        <f>VLOOKUP(B163, AT_FILAS!$A$2:$C$8,3,FALSE)</f>
        <v>P1</v>
      </c>
      <c r="E163" s="53">
        <v>162</v>
      </c>
      <c r="F163" s="54" t="s">
        <v>261</v>
      </c>
      <c r="G163" s="7">
        <v>3</v>
      </c>
      <c r="H163" s="59" t="str">
        <f>VLOOKUP(G163,[1]bio!$D$2:$E$4,2,FALSE)</f>
        <v>No bioeconomía</v>
      </c>
    </row>
    <row r="164" spans="1:8" x14ac:dyDescent="0.35">
      <c r="A164" s="58" t="s">
        <v>1175</v>
      </c>
      <c r="B164" s="7" t="s">
        <v>255</v>
      </c>
      <c r="C164" s="7" t="str">
        <f>VLOOKUP(B164, AT_FILAS!$A$2:$C$8,2,FALSE)</f>
        <v>Producción</v>
      </c>
      <c r="D164" s="7" t="str">
        <f>VLOOKUP(B164, AT_FILAS!$A$2:$C$8,3,FALSE)</f>
        <v>P1</v>
      </c>
      <c r="E164" s="53">
        <v>163</v>
      </c>
      <c r="F164" s="54" t="s">
        <v>442</v>
      </c>
      <c r="G164" s="7">
        <v>3</v>
      </c>
      <c r="H164" s="59" t="str">
        <f>VLOOKUP(G164,[1]bio!$D$2:$E$4,2,FALSE)</f>
        <v>No bioeconomía</v>
      </c>
    </row>
    <row r="165" spans="1:8" x14ac:dyDescent="0.35">
      <c r="A165" s="58" t="s">
        <v>1176</v>
      </c>
      <c r="B165" s="7" t="s">
        <v>255</v>
      </c>
      <c r="C165" s="7" t="str">
        <f>VLOOKUP(B165, AT_FILAS!$A$2:$C$8,2,FALSE)</f>
        <v>Producción</v>
      </c>
      <c r="D165" s="7" t="str">
        <f>VLOOKUP(B165, AT_FILAS!$A$2:$C$8,3,FALSE)</f>
        <v>P1</v>
      </c>
      <c r="E165" s="53">
        <v>164</v>
      </c>
      <c r="F165" s="54" t="s">
        <v>1113</v>
      </c>
      <c r="G165" s="7">
        <v>3</v>
      </c>
      <c r="H165" s="59" t="str">
        <f>VLOOKUP(G165,[1]bio!$D$2:$E$4,2,FALSE)</f>
        <v>No bioeconomía</v>
      </c>
    </row>
    <row r="166" spans="1:8" x14ac:dyDescent="0.35">
      <c r="A166" s="58" t="s">
        <v>1177</v>
      </c>
      <c r="B166" s="7" t="s">
        <v>255</v>
      </c>
      <c r="C166" s="7" t="str">
        <f>VLOOKUP(B166, AT_FILAS!$A$2:$C$8,2,FALSE)</f>
        <v>Producción</v>
      </c>
      <c r="D166" s="7" t="str">
        <f>VLOOKUP(B166, AT_FILAS!$A$2:$C$8,3,FALSE)</f>
        <v>P1</v>
      </c>
      <c r="E166" s="53">
        <v>165</v>
      </c>
      <c r="F166" s="54" t="s">
        <v>1114</v>
      </c>
      <c r="G166" s="7">
        <v>3</v>
      </c>
      <c r="H166" s="59" t="str">
        <f>VLOOKUP(G166,[1]bio!$D$2:$E$4,2,FALSE)</f>
        <v>No bioeconomía</v>
      </c>
    </row>
    <row r="167" spans="1:8" x14ac:dyDescent="0.35">
      <c r="A167" s="58" t="s">
        <v>1178</v>
      </c>
      <c r="B167" s="7" t="s">
        <v>255</v>
      </c>
      <c r="C167" s="7" t="str">
        <f>VLOOKUP(B167, AT_FILAS!$A$2:$C$8,2,FALSE)</f>
        <v>Producción</v>
      </c>
      <c r="D167" s="7" t="str">
        <f>VLOOKUP(B167, AT_FILAS!$A$2:$C$8,3,FALSE)</f>
        <v>P1</v>
      </c>
      <c r="E167" s="53">
        <v>166</v>
      </c>
      <c r="F167" s="54" t="s">
        <v>1115</v>
      </c>
      <c r="G167" s="7">
        <v>3</v>
      </c>
      <c r="H167" s="59" t="str">
        <f>VLOOKUP(G167,[1]bio!$D$2:$E$4,2,FALSE)</f>
        <v>No bioeconomía</v>
      </c>
    </row>
    <row r="168" spans="1:8" x14ac:dyDescent="0.35">
      <c r="A168" s="58" t="s">
        <v>1179</v>
      </c>
      <c r="B168" s="7" t="s">
        <v>255</v>
      </c>
      <c r="C168" s="7" t="str">
        <f>VLOOKUP(B168, AT_FILAS!$A$2:$C$8,2,FALSE)</f>
        <v>Producción</v>
      </c>
      <c r="D168" s="7" t="str">
        <f>VLOOKUP(B168, AT_FILAS!$A$2:$C$8,3,FALSE)</f>
        <v>P1</v>
      </c>
      <c r="E168" s="53">
        <v>167</v>
      </c>
      <c r="F168" s="54" t="s">
        <v>1116</v>
      </c>
      <c r="G168" s="7">
        <v>2</v>
      </c>
      <c r="H168" s="59" t="str">
        <f>VLOOKUP(G168,[1]bio!$D$2:$E$4,2,FALSE)</f>
        <v>Bioeconomía extendida</v>
      </c>
    </row>
    <row r="169" spans="1:8" x14ac:dyDescent="0.35">
      <c r="A169" s="58" t="s">
        <v>1180</v>
      </c>
      <c r="B169" s="7" t="s">
        <v>255</v>
      </c>
      <c r="C169" s="7" t="str">
        <f>VLOOKUP(B169, AT_FILAS!$A$2:$C$8,2,FALSE)</f>
        <v>Producción</v>
      </c>
      <c r="D169" s="7" t="str">
        <f>VLOOKUP(B169, AT_FILAS!$A$2:$C$8,3,FALSE)</f>
        <v>P1</v>
      </c>
      <c r="E169" s="53">
        <v>168</v>
      </c>
      <c r="F169" s="54" t="s">
        <v>1117</v>
      </c>
      <c r="G169" s="7">
        <v>3</v>
      </c>
      <c r="H169" s="59" t="str">
        <f>VLOOKUP(G169,[1]bio!$D$2:$E$4,2,FALSE)</f>
        <v>No bioeconomía</v>
      </c>
    </row>
    <row r="170" spans="1:8" x14ac:dyDescent="0.35">
      <c r="A170" s="58" t="s">
        <v>1181</v>
      </c>
      <c r="B170" s="7" t="s">
        <v>255</v>
      </c>
      <c r="C170" s="7" t="str">
        <f>VLOOKUP(B170, AT_FILAS!$A$2:$C$8,2,FALSE)</f>
        <v>Producción</v>
      </c>
      <c r="D170" s="7" t="str">
        <f>VLOOKUP(B170, AT_FILAS!$A$2:$C$8,3,FALSE)</f>
        <v>P1</v>
      </c>
      <c r="E170" s="53">
        <v>169</v>
      </c>
      <c r="F170" s="54" t="s">
        <v>1118</v>
      </c>
      <c r="G170" s="7">
        <v>3</v>
      </c>
      <c r="H170" s="59" t="str">
        <f>VLOOKUP(G170,[1]bio!$D$2:$E$4,2,FALSE)</f>
        <v>No bioeconomía</v>
      </c>
    </row>
    <row r="171" spans="1:8" x14ac:dyDescent="0.35">
      <c r="A171" s="58" t="s">
        <v>1182</v>
      </c>
      <c r="B171" s="7" t="s">
        <v>255</v>
      </c>
      <c r="C171" s="7" t="str">
        <f>VLOOKUP(B171, AT_FILAS!$A$2:$C$8,2,FALSE)</f>
        <v>Producción</v>
      </c>
      <c r="D171" s="7" t="str">
        <f>VLOOKUP(B171, AT_FILAS!$A$2:$C$8,3,FALSE)</f>
        <v>P1</v>
      </c>
      <c r="E171" s="53">
        <v>170</v>
      </c>
      <c r="F171" s="54" t="s">
        <v>1119</v>
      </c>
      <c r="G171" s="7">
        <v>3</v>
      </c>
      <c r="H171" s="59" t="str">
        <f>VLOOKUP(G171,[1]bio!$D$2:$E$4,2,FALSE)</f>
        <v>No bioeconomía</v>
      </c>
    </row>
    <row r="172" spans="1:8" x14ac:dyDescent="0.35">
      <c r="A172" s="58" t="s">
        <v>1183</v>
      </c>
      <c r="B172" s="7" t="s">
        <v>255</v>
      </c>
      <c r="C172" s="7" t="str">
        <f>VLOOKUP(B172, AT_FILAS!$A$2:$C$8,2,FALSE)</f>
        <v>Producción</v>
      </c>
      <c r="D172" s="7" t="str">
        <f>VLOOKUP(B172, AT_FILAS!$A$2:$C$8,3,FALSE)</f>
        <v>P1</v>
      </c>
      <c r="E172" s="53">
        <v>171</v>
      </c>
      <c r="F172" s="54" t="s">
        <v>1120</v>
      </c>
      <c r="G172" s="7">
        <v>3</v>
      </c>
      <c r="H172" s="59" t="str">
        <f>VLOOKUP(G172,[1]bio!$D$2:$E$4,2,FALSE)</f>
        <v>No bioeconomía</v>
      </c>
    </row>
    <row r="173" spans="1:8" x14ac:dyDescent="0.35">
      <c r="A173" s="58" t="s">
        <v>1184</v>
      </c>
      <c r="B173" s="7" t="s">
        <v>255</v>
      </c>
      <c r="C173" s="7" t="str">
        <f>VLOOKUP(B173, AT_FILAS!$A$2:$C$8,2,FALSE)</f>
        <v>Producción</v>
      </c>
      <c r="D173" s="7" t="str">
        <f>VLOOKUP(B173, AT_FILAS!$A$2:$C$8,3,FALSE)</f>
        <v>P1</v>
      </c>
      <c r="E173" s="53">
        <v>172</v>
      </c>
      <c r="F173" s="54" t="s">
        <v>1121</v>
      </c>
      <c r="G173" s="7">
        <v>3</v>
      </c>
      <c r="H173" s="59" t="str">
        <f>VLOOKUP(G173,[1]bio!$D$2:$E$4,2,FALSE)</f>
        <v>No bioeconomía</v>
      </c>
    </row>
    <row r="174" spans="1:8" x14ac:dyDescent="0.35">
      <c r="A174" s="58" t="s">
        <v>1185</v>
      </c>
      <c r="B174" s="7" t="s">
        <v>255</v>
      </c>
      <c r="C174" s="7" t="str">
        <f>VLOOKUP(B174, AT_FILAS!$A$2:$C$8,2,FALSE)</f>
        <v>Producción</v>
      </c>
      <c r="D174" s="7" t="str">
        <f>VLOOKUP(B174, AT_FILAS!$A$2:$C$8,3,FALSE)</f>
        <v>P1</v>
      </c>
      <c r="E174" s="53">
        <v>173</v>
      </c>
      <c r="F174" s="54" t="s">
        <v>1122</v>
      </c>
      <c r="G174" s="7">
        <v>3</v>
      </c>
      <c r="H174" s="59" t="str">
        <f>VLOOKUP(G174,[1]bio!$D$2:$E$4,2,FALSE)</f>
        <v>No bioeconomía</v>
      </c>
    </row>
    <row r="175" spans="1:8" x14ac:dyDescent="0.35">
      <c r="A175" s="58" t="s">
        <v>1186</v>
      </c>
      <c r="B175" s="7" t="s">
        <v>255</v>
      </c>
      <c r="C175" s="7" t="str">
        <f>VLOOKUP(B175, AT_FILAS!$A$2:$C$8,2,FALSE)</f>
        <v>Producción</v>
      </c>
      <c r="D175" s="7" t="str">
        <f>VLOOKUP(B175, AT_FILAS!$A$2:$C$8,3,FALSE)</f>
        <v>P1</v>
      </c>
      <c r="E175" s="53">
        <v>174</v>
      </c>
      <c r="F175" s="54" t="s">
        <v>1123</v>
      </c>
      <c r="G175" s="7">
        <v>3</v>
      </c>
      <c r="H175" s="59" t="str">
        <f>VLOOKUP(G175,[1]bio!$D$2:$E$4,2,FALSE)</f>
        <v>No bioeconomía</v>
      </c>
    </row>
    <row r="176" spans="1:8" x14ac:dyDescent="0.35">
      <c r="A176" s="58" t="s">
        <v>1187</v>
      </c>
      <c r="B176" s="7" t="s">
        <v>255</v>
      </c>
      <c r="C176" s="7" t="str">
        <f>VLOOKUP(B176, AT_FILAS!$A$2:$C$8,2,FALSE)</f>
        <v>Producción</v>
      </c>
      <c r="D176" s="7" t="str">
        <f>VLOOKUP(B176, AT_FILAS!$A$2:$C$8,3,FALSE)</f>
        <v>P1</v>
      </c>
      <c r="E176" s="53">
        <v>175</v>
      </c>
      <c r="F176" s="54" t="s">
        <v>1124</v>
      </c>
      <c r="G176" s="7">
        <v>3</v>
      </c>
      <c r="H176" s="59" t="str">
        <f>VLOOKUP(G176,[1]bio!$D$2:$E$4,2,FALSE)</f>
        <v>No bioeconomía</v>
      </c>
    </row>
    <row r="177" spans="1:8" x14ac:dyDescent="0.35">
      <c r="A177" s="58" t="s">
        <v>1188</v>
      </c>
      <c r="B177" s="7" t="s">
        <v>255</v>
      </c>
      <c r="C177" s="7" t="str">
        <f>VLOOKUP(B177, AT_FILAS!$A$2:$C$8,2,FALSE)</f>
        <v>Producción</v>
      </c>
      <c r="D177" s="7" t="str">
        <f>VLOOKUP(B177, AT_FILAS!$A$2:$C$8,3,FALSE)</f>
        <v>P1</v>
      </c>
      <c r="E177" s="53">
        <v>176</v>
      </c>
      <c r="F177" s="54" t="s">
        <v>1125</v>
      </c>
      <c r="G177" s="7">
        <v>3</v>
      </c>
      <c r="H177" s="59" t="str">
        <f>VLOOKUP(G177,[1]bio!$D$2:$E$4,2,FALSE)</f>
        <v>No bioeconomía</v>
      </c>
    </row>
    <row r="178" spans="1:8" x14ac:dyDescent="0.35">
      <c r="A178" s="58" t="s">
        <v>1189</v>
      </c>
      <c r="B178" s="7" t="s">
        <v>255</v>
      </c>
      <c r="C178" s="7" t="str">
        <f>VLOOKUP(B178, AT_FILAS!$A$2:$C$8,2,FALSE)</f>
        <v>Producción</v>
      </c>
      <c r="D178" s="7" t="str">
        <f>VLOOKUP(B178, AT_FILAS!$A$2:$C$8,3,FALSE)</f>
        <v>P1</v>
      </c>
      <c r="E178" s="53">
        <v>177</v>
      </c>
      <c r="F178" s="54" t="s">
        <v>1126</v>
      </c>
      <c r="G178" s="7">
        <v>3</v>
      </c>
      <c r="H178" s="59" t="str">
        <f>VLOOKUP(G178,[1]bio!$D$2:$E$4,2,FALSE)</f>
        <v>No bioeconomía</v>
      </c>
    </row>
    <row r="179" spans="1:8" x14ac:dyDescent="0.35">
      <c r="A179" s="58" t="s">
        <v>1190</v>
      </c>
      <c r="B179" s="7" t="s">
        <v>255</v>
      </c>
      <c r="C179" s="7" t="str">
        <f>VLOOKUP(B179, AT_FILAS!$A$2:$C$8,2,FALSE)</f>
        <v>Producción</v>
      </c>
      <c r="D179" s="7" t="str">
        <f>VLOOKUP(B179, AT_FILAS!$A$2:$C$8,3,FALSE)</f>
        <v>P1</v>
      </c>
      <c r="E179" s="53">
        <v>178</v>
      </c>
      <c r="F179" s="54" t="s">
        <v>1127</v>
      </c>
      <c r="G179" s="7">
        <v>3</v>
      </c>
      <c r="H179" s="59" t="str">
        <f>VLOOKUP(G179,[1]bio!$D$2:$E$4,2,FALSE)</f>
        <v>No bioeconomía</v>
      </c>
    </row>
    <row r="180" spans="1:8" x14ac:dyDescent="0.35">
      <c r="A180" s="58" t="s">
        <v>1191</v>
      </c>
      <c r="B180" s="7" t="s">
        <v>255</v>
      </c>
      <c r="C180" s="7" t="str">
        <f>VLOOKUP(B180, AT_FILAS!$A$2:$C$8,2,FALSE)</f>
        <v>Producción</v>
      </c>
      <c r="D180" s="7" t="str">
        <f>VLOOKUP(B180, AT_FILAS!$A$2:$C$8,3,FALSE)</f>
        <v>P1</v>
      </c>
      <c r="E180" s="53">
        <v>179</v>
      </c>
      <c r="F180" s="54" t="s">
        <v>1128</v>
      </c>
      <c r="G180" s="7">
        <v>3</v>
      </c>
      <c r="H180" s="59" t="str">
        <f>VLOOKUP(G180,[1]bio!$D$2:$E$4,2,FALSE)</f>
        <v>No bioeconomía</v>
      </c>
    </row>
    <row r="181" spans="1:8" x14ac:dyDescent="0.35">
      <c r="A181" s="58" t="s">
        <v>1192</v>
      </c>
      <c r="B181" s="7" t="s">
        <v>255</v>
      </c>
      <c r="C181" s="7" t="str">
        <f>VLOOKUP(B181, AT_FILAS!$A$2:$C$8,2,FALSE)</f>
        <v>Producción</v>
      </c>
      <c r="D181" s="7" t="str">
        <f>VLOOKUP(B181, AT_FILAS!$A$2:$C$8,3,FALSE)</f>
        <v>P1</v>
      </c>
      <c r="E181" s="53">
        <v>180</v>
      </c>
      <c r="F181" s="54" t="s">
        <v>1129</v>
      </c>
      <c r="G181" s="7">
        <v>3</v>
      </c>
      <c r="H181" s="59" t="str">
        <f>VLOOKUP(G181,[1]bio!$D$2:$E$4,2,FALSE)</f>
        <v>No bioeconomía</v>
      </c>
    </row>
    <row r="182" spans="1:8" x14ac:dyDescent="0.35">
      <c r="A182" s="60" t="s">
        <v>1193</v>
      </c>
      <c r="B182" s="66" t="s">
        <v>255</v>
      </c>
      <c r="C182" s="66" t="str">
        <f>VLOOKUP(B182, AT_FILAS!$A$2:$C$8,2,FALSE)</f>
        <v>Producción</v>
      </c>
      <c r="D182" s="66" t="str">
        <f>VLOOKUP(B182, AT_FILAS!$A$2:$C$8,3,FALSE)</f>
        <v>P1</v>
      </c>
      <c r="E182" s="61">
        <v>181</v>
      </c>
      <c r="F182" s="62" t="s">
        <v>1130</v>
      </c>
      <c r="G182" s="66">
        <v>3</v>
      </c>
      <c r="H182" s="67" t="str">
        <f>VLOOKUP(G182,[1]bio!$D$2:$E$4,2,FALSE)</f>
        <v>No bioeconomía</v>
      </c>
    </row>
    <row r="183" spans="1:8" x14ac:dyDescent="0.35">
      <c r="A183" s="69" t="s">
        <v>1194</v>
      </c>
      <c r="B183" s="51" t="s">
        <v>264</v>
      </c>
      <c r="C183" s="51" t="str">
        <f>VLOOKUP(B183, AT_FILAS!$A$2:$C$8,2,FALSE)</f>
        <v>Consumo intermedio</v>
      </c>
      <c r="D183" s="51" t="str">
        <f>VLOOKUP(B183, AT_FILAS!$A$2:$C$8,3,FALSE)</f>
        <v>P2</v>
      </c>
      <c r="E183" s="63">
        <v>1</v>
      </c>
      <c r="F183" s="64" t="s">
        <v>257</v>
      </c>
      <c r="G183" s="51">
        <v>1</v>
      </c>
      <c r="H183" s="65" t="str">
        <f>VLOOKUP(G183,[1]bio!$D$2:$E$4,2,FALSE)</f>
        <v>Bioeconomía</v>
      </c>
    </row>
    <row r="184" spans="1:8" x14ac:dyDescent="0.35">
      <c r="A184" s="68" t="s">
        <v>1195</v>
      </c>
      <c r="B184" s="7" t="s">
        <v>264</v>
      </c>
      <c r="C184" s="7" t="str">
        <f>VLOOKUP(B184, AT_FILAS!$A$2:$C$8,2,FALSE)</f>
        <v>Consumo intermedio</v>
      </c>
      <c r="D184" s="7" t="str">
        <f>VLOOKUP(B184, AT_FILAS!$A$2:$C$8,3,FALSE)</f>
        <v>P2</v>
      </c>
      <c r="E184" s="53">
        <v>2</v>
      </c>
      <c r="F184" s="54" t="s">
        <v>256</v>
      </c>
      <c r="G184" s="7">
        <v>1</v>
      </c>
      <c r="H184" s="59" t="str">
        <f>VLOOKUP(G184,[1]bio!$D$2:$E$4,2,FALSE)</f>
        <v>Bioeconomía</v>
      </c>
    </row>
    <row r="185" spans="1:8" x14ac:dyDescent="0.35">
      <c r="A185" s="68" t="s">
        <v>1196</v>
      </c>
      <c r="B185" s="7" t="s">
        <v>264</v>
      </c>
      <c r="C185" s="7" t="str">
        <f>VLOOKUP(B185, AT_FILAS!$A$2:$C$8,2,FALSE)</f>
        <v>Consumo intermedio</v>
      </c>
      <c r="D185" s="7" t="str">
        <f>VLOOKUP(B185, AT_FILAS!$A$2:$C$8,3,FALSE)</f>
        <v>P2</v>
      </c>
      <c r="E185" s="53">
        <v>3</v>
      </c>
      <c r="F185" s="54" t="s">
        <v>958</v>
      </c>
      <c r="G185" s="7">
        <v>1</v>
      </c>
      <c r="H185" s="59" t="str">
        <f>VLOOKUP(G185,[1]bio!$D$2:$E$4,2,FALSE)</f>
        <v>Bioeconomía</v>
      </c>
    </row>
    <row r="186" spans="1:8" x14ac:dyDescent="0.35">
      <c r="A186" s="68" t="s">
        <v>1197</v>
      </c>
      <c r="B186" s="7" t="s">
        <v>264</v>
      </c>
      <c r="C186" s="7" t="str">
        <f>VLOOKUP(B186, AT_FILAS!$A$2:$C$8,2,FALSE)</f>
        <v>Consumo intermedio</v>
      </c>
      <c r="D186" s="7" t="str">
        <f>VLOOKUP(B186, AT_FILAS!$A$2:$C$8,3,FALSE)</f>
        <v>P2</v>
      </c>
      <c r="E186" s="53">
        <v>4</v>
      </c>
      <c r="F186" s="54" t="s">
        <v>959</v>
      </c>
      <c r="G186" s="7">
        <v>1</v>
      </c>
      <c r="H186" s="59" t="str">
        <f>VLOOKUP(G186,[1]bio!$D$2:$E$4,2,FALSE)</f>
        <v>Bioeconomía</v>
      </c>
    </row>
    <row r="187" spans="1:8" x14ac:dyDescent="0.35">
      <c r="A187" s="68" t="s">
        <v>1198</v>
      </c>
      <c r="B187" s="7" t="s">
        <v>264</v>
      </c>
      <c r="C187" s="7" t="str">
        <f>VLOOKUP(B187, AT_FILAS!$A$2:$C$8,2,FALSE)</f>
        <v>Consumo intermedio</v>
      </c>
      <c r="D187" s="7" t="str">
        <f>VLOOKUP(B187, AT_FILAS!$A$2:$C$8,3,FALSE)</f>
        <v>P2</v>
      </c>
      <c r="E187" s="53">
        <v>5</v>
      </c>
      <c r="F187" s="54" t="s">
        <v>960</v>
      </c>
      <c r="G187" s="7">
        <v>1</v>
      </c>
      <c r="H187" s="59" t="str">
        <f>VLOOKUP(G187,[1]bio!$D$2:$E$4,2,FALSE)</f>
        <v>Bioeconomía</v>
      </c>
    </row>
    <row r="188" spans="1:8" x14ac:dyDescent="0.35">
      <c r="A188" s="68" t="s">
        <v>1199</v>
      </c>
      <c r="B188" s="7" t="s">
        <v>264</v>
      </c>
      <c r="C188" s="7" t="str">
        <f>VLOOKUP(B188, AT_FILAS!$A$2:$C$8,2,FALSE)</f>
        <v>Consumo intermedio</v>
      </c>
      <c r="D188" s="7" t="str">
        <f>VLOOKUP(B188, AT_FILAS!$A$2:$C$8,3,FALSE)</f>
        <v>P2</v>
      </c>
      <c r="E188" s="53">
        <v>6</v>
      </c>
      <c r="F188" s="54" t="s">
        <v>961</v>
      </c>
      <c r="G188" s="7">
        <v>1</v>
      </c>
      <c r="H188" s="59" t="str">
        <f>VLOOKUP(G188,[1]bio!$D$2:$E$4,2,FALSE)</f>
        <v>Bioeconomía</v>
      </c>
    </row>
    <row r="189" spans="1:8" x14ac:dyDescent="0.35">
      <c r="A189" s="68" t="s">
        <v>1200</v>
      </c>
      <c r="B189" s="7" t="s">
        <v>264</v>
      </c>
      <c r="C189" s="7" t="str">
        <f>VLOOKUP(B189, AT_FILAS!$A$2:$C$8,2,FALSE)</f>
        <v>Consumo intermedio</v>
      </c>
      <c r="D189" s="7" t="str">
        <f>VLOOKUP(B189, AT_FILAS!$A$2:$C$8,3,FALSE)</f>
        <v>P2</v>
      </c>
      <c r="E189" s="53">
        <v>7</v>
      </c>
      <c r="F189" s="54" t="s">
        <v>962</v>
      </c>
      <c r="G189" s="7">
        <v>1</v>
      </c>
      <c r="H189" s="59" t="str">
        <f>VLOOKUP(G189,[1]bio!$D$2:$E$4,2,FALSE)</f>
        <v>Bioeconomía</v>
      </c>
    </row>
    <row r="190" spans="1:8" x14ac:dyDescent="0.35">
      <c r="A190" s="68" t="s">
        <v>1201</v>
      </c>
      <c r="B190" s="7" t="s">
        <v>264</v>
      </c>
      <c r="C190" s="7" t="str">
        <f>VLOOKUP(B190, AT_FILAS!$A$2:$C$8,2,FALSE)</f>
        <v>Consumo intermedio</v>
      </c>
      <c r="D190" s="7" t="str">
        <f>VLOOKUP(B190, AT_FILAS!$A$2:$C$8,3,FALSE)</f>
        <v>P2</v>
      </c>
      <c r="E190" s="53">
        <v>8</v>
      </c>
      <c r="F190" s="54" t="s">
        <v>963</v>
      </c>
      <c r="G190" s="7">
        <v>1</v>
      </c>
      <c r="H190" s="59" t="str">
        <f>VLOOKUP(G190,[1]bio!$D$2:$E$4,2,FALSE)</f>
        <v>Bioeconomía</v>
      </c>
    </row>
    <row r="191" spans="1:8" x14ac:dyDescent="0.35">
      <c r="A191" s="68" t="s">
        <v>1202</v>
      </c>
      <c r="B191" s="7" t="s">
        <v>264</v>
      </c>
      <c r="C191" s="7" t="str">
        <f>VLOOKUP(B191, AT_FILAS!$A$2:$C$8,2,FALSE)</f>
        <v>Consumo intermedio</v>
      </c>
      <c r="D191" s="7" t="str">
        <f>VLOOKUP(B191, AT_FILAS!$A$2:$C$8,3,FALSE)</f>
        <v>P2</v>
      </c>
      <c r="E191" s="53">
        <v>9</v>
      </c>
      <c r="F191" s="54" t="s">
        <v>964</v>
      </c>
      <c r="G191" s="7">
        <v>1</v>
      </c>
      <c r="H191" s="59" t="str">
        <f>VLOOKUP(G191,[1]bio!$D$2:$E$4,2,FALSE)</f>
        <v>Bioeconomía</v>
      </c>
    </row>
    <row r="192" spans="1:8" x14ac:dyDescent="0.35">
      <c r="A192" s="68" t="s">
        <v>1203</v>
      </c>
      <c r="B192" s="7" t="s">
        <v>264</v>
      </c>
      <c r="C192" s="7" t="str">
        <f>VLOOKUP(B192, AT_FILAS!$A$2:$C$8,2,FALSE)</f>
        <v>Consumo intermedio</v>
      </c>
      <c r="D192" s="7" t="str">
        <f>VLOOKUP(B192, AT_FILAS!$A$2:$C$8,3,FALSE)</f>
        <v>P2</v>
      </c>
      <c r="E192" s="53">
        <v>10</v>
      </c>
      <c r="F192" s="53" t="s">
        <v>965</v>
      </c>
      <c r="G192" s="7">
        <v>1</v>
      </c>
      <c r="H192" s="59" t="str">
        <f>VLOOKUP(G192,[1]bio!$D$2:$E$4,2,FALSE)</f>
        <v>Bioeconomía</v>
      </c>
    </row>
    <row r="193" spans="1:8" x14ac:dyDescent="0.35">
      <c r="A193" s="68" t="s">
        <v>1204</v>
      </c>
      <c r="B193" s="7" t="s">
        <v>264</v>
      </c>
      <c r="C193" s="7" t="str">
        <f>VLOOKUP(B193, AT_FILAS!$A$2:$C$8,2,FALSE)</f>
        <v>Consumo intermedio</v>
      </c>
      <c r="D193" s="7" t="str">
        <f>VLOOKUP(B193, AT_FILAS!$A$2:$C$8,3,FALSE)</f>
        <v>P2</v>
      </c>
      <c r="E193" s="53">
        <v>11</v>
      </c>
      <c r="F193" s="54" t="s">
        <v>966</v>
      </c>
      <c r="G193" s="7">
        <v>1</v>
      </c>
      <c r="H193" s="59" t="str">
        <f>VLOOKUP(G193,[1]bio!$D$2:$E$4,2,FALSE)</f>
        <v>Bioeconomía</v>
      </c>
    </row>
    <row r="194" spans="1:8" x14ac:dyDescent="0.35">
      <c r="A194" s="68" t="s">
        <v>1205</v>
      </c>
      <c r="B194" s="7" t="s">
        <v>264</v>
      </c>
      <c r="C194" s="7" t="str">
        <f>VLOOKUP(B194, AT_FILAS!$A$2:$C$8,2,FALSE)</f>
        <v>Consumo intermedio</v>
      </c>
      <c r="D194" s="7" t="str">
        <f>VLOOKUP(B194, AT_FILAS!$A$2:$C$8,3,FALSE)</f>
        <v>P2</v>
      </c>
      <c r="E194" s="53">
        <v>12</v>
      </c>
      <c r="F194" s="54" t="s">
        <v>967</v>
      </c>
      <c r="G194" s="7">
        <v>1</v>
      </c>
      <c r="H194" s="59" t="str">
        <f>VLOOKUP(G194,[1]bio!$D$2:$E$4,2,FALSE)</f>
        <v>Bioeconomía</v>
      </c>
    </row>
    <row r="195" spans="1:8" x14ac:dyDescent="0.35">
      <c r="A195" s="68" t="s">
        <v>1206</v>
      </c>
      <c r="B195" s="7" t="s">
        <v>264</v>
      </c>
      <c r="C195" s="7" t="str">
        <f>VLOOKUP(B195, AT_FILAS!$A$2:$C$8,2,FALSE)</f>
        <v>Consumo intermedio</v>
      </c>
      <c r="D195" s="7" t="str">
        <f>VLOOKUP(B195, AT_FILAS!$A$2:$C$8,3,FALSE)</f>
        <v>P2</v>
      </c>
      <c r="E195" s="53">
        <v>13</v>
      </c>
      <c r="F195" s="54" t="s">
        <v>968</v>
      </c>
      <c r="G195" s="7">
        <v>1</v>
      </c>
      <c r="H195" s="59" t="str">
        <f>VLOOKUP(G195,[1]bio!$D$2:$E$4,2,FALSE)</f>
        <v>Bioeconomía</v>
      </c>
    </row>
    <row r="196" spans="1:8" x14ac:dyDescent="0.35">
      <c r="A196" s="68" t="s">
        <v>1207</v>
      </c>
      <c r="B196" s="7" t="s">
        <v>264</v>
      </c>
      <c r="C196" s="7" t="str">
        <f>VLOOKUP(B196, AT_FILAS!$A$2:$C$8,2,FALSE)</f>
        <v>Consumo intermedio</v>
      </c>
      <c r="D196" s="7" t="str">
        <f>VLOOKUP(B196, AT_FILAS!$A$2:$C$8,3,FALSE)</f>
        <v>P2</v>
      </c>
      <c r="E196" s="53">
        <v>14</v>
      </c>
      <c r="F196" s="54" t="s">
        <v>969</v>
      </c>
      <c r="G196" s="7">
        <v>1</v>
      </c>
      <c r="H196" s="59" t="str">
        <f>VLOOKUP(G196,[1]bio!$D$2:$E$4,2,FALSE)</f>
        <v>Bioeconomía</v>
      </c>
    </row>
    <row r="197" spans="1:8" x14ac:dyDescent="0.35">
      <c r="A197" s="68" t="s">
        <v>1208</v>
      </c>
      <c r="B197" s="7" t="s">
        <v>264</v>
      </c>
      <c r="C197" s="7" t="str">
        <f>VLOOKUP(B197, AT_FILAS!$A$2:$C$8,2,FALSE)</f>
        <v>Consumo intermedio</v>
      </c>
      <c r="D197" s="7" t="str">
        <f>VLOOKUP(B197, AT_FILAS!$A$2:$C$8,3,FALSE)</f>
        <v>P2</v>
      </c>
      <c r="E197" s="53">
        <v>15</v>
      </c>
      <c r="F197" s="54" t="s">
        <v>970</v>
      </c>
      <c r="G197" s="7">
        <v>1</v>
      </c>
      <c r="H197" s="59" t="str">
        <f>VLOOKUP(G197,[1]bio!$D$2:$E$4,2,FALSE)</f>
        <v>Bioeconomía</v>
      </c>
    </row>
    <row r="198" spans="1:8" x14ac:dyDescent="0.35">
      <c r="A198" s="68" t="s">
        <v>1209</v>
      </c>
      <c r="B198" s="7" t="s">
        <v>264</v>
      </c>
      <c r="C198" s="7" t="str">
        <f>VLOOKUP(B198, AT_FILAS!$A$2:$C$8,2,FALSE)</f>
        <v>Consumo intermedio</v>
      </c>
      <c r="D198" s="7" t="str">
        <f>VLOOKUP(B198, AT_FILAS!$A$2:$C$8,3,FALSE)</f>
        <v>P2</v>
      </c>
      <c r="E198" s="53">
        <v>16</v>
      </c>
      <c r="F198" s="54" t="s">
        <v>971</v>
      </c>
      <c r="G198" s="7">
        <v>1</v>
      </c>
      <c r="H198" s="59" t="str">
        <f>VLOOKUP(G198,[1]bio!$D$2:$E$4,2,FALSE)</f>
        <v>Bioeconomía</v>
      </c>
    </row>
    <row r="199" spans="1:8" x14ac:dyDescent="0.35">
      <c r="A199" s="68" t="s">
        <v>1210</v>
      </c>
      <c r="B199" s="7" t="s">
        <v>264</v>
      </c>
      <c r="C199" s="7" t="str">
        <f>VLOOKUP(B199, AT_FILAS!$A$2:$C$8,2,FALSE)</f>
        <v>Consumo intermedio</v>
      </c>
      <c r="D199" s="7" t="str">
        <f>VLOOKUP(B199, AT_FILAS!$A$2:$C$8,3,FALSE)</f>
        <v>P2</v>
      </c>
      <c r="E199" s="53">
        <v>17</v>
      </c>
      <c r="F199" s="54" t="s">
        <v>972</v>
      </c>
      <c r="G199" s="7">
        <v>1</v>
      </c>
      <c r="H199" s="59" t="str">
        <f>VLOOKUP(G199,[1]bio!$D$2:$E$4,2,FALSE)</f>
        <v>Bioeconomía</v>
      </c>
    </row>
    <row r="200" spans="1:8" x14ac:dyDescent="0.35">
      <c r="A200" s="68" t="s">
        <v>1211</v>
      </c>
      <c r="B200" s="7" t="s">
        <v>264</v>
      </c>
      <c r="C200" s="7" t="str">
        <f>VLOOKUP(B200, AT_FILAS!$A$2:$C$8,2,FALSE)</f>
        <v>Consumo intermedio</v>
      </c>
      <c r="D200" s="7" t="str">
        <f>VLOOKUP(B200, AT_FILAS!$A$2:$C$8,3,FALSE)</f>
        <v>P2</v>
      </c>
      <c r="E200" s="53">
        <v>18</v>
      </c>
      <c r="F200" s="54" t="s">
        <v>973</v>
      </c>
      <c r="G200" s="7">
        <v>1</v>
      </c>
      <c r="H200" s="59" t="str">
        <f>VLOOKUP(G200,[1]bio!$D$2:$E$4,2,FALSE)</f>
        <v>Bioeconomía</v>
      </c>
    </row>
    <row r="201" spans="1:8" x14ac:dyDescent="0.35">
      <c r="A201" s="68" t="s">
        <v>1212</v>
      </c>
      <c r="B201" s="7" t="s">
        <v>264</v>
      </c>
      <c r="C201" s="7" t="str">
        <f>VLOOKUP(B201, AT_FILAS!$A$2:$C$8,2,FALSE)</f>
        <v>Consumo intermedio</v>
      </c>
      <c r="D201" s="7" t="str">
        <f>VLOOKUP(B201, AT_FILAS!$A$2:$C$8,3,FALSE)</f>
        <v>P2</v>
      </c>
      <c r="E201" s="53">
        <v>19</v>
      </c>
      <c r="F201" s="54" t="s">
        <v>974</v>
      </c>
      <c r="G201" s="7">
        <v>1</v>
      </c>
      <c r="H201" s="59" t="str">
        <f>VLOOKUP(G201,[1]bio!$D$2:$E$4,2,FALSE)</f>
        <v>Bioeconomía</v>
      </c>
    </row>
    <row r="202" spans="1:8" x14ac:dyDescent="0.35">
      <c r="A202" s="68" t="s">
        <v>1213</v>
      </c>
      <c r="B202" s="7" t="s">
        <v>264</v>
      </c>
      <c r="C202" s="7" t="str">
        <f>VLOOKUP(B202, AT_FILAS!$A$2:$C$8,2,FALSE)</f>
        <v>Consumo intermedio</v>
      </c>
      <c r="D202" s="7" t="str">
        <f>VLOOKUP(B202, AT_FILAS!$A$2:$C$8,3,FALSE)</f>
        <v>P2</v>
      </c>
      <c r="E202" s="53">
        <v>20</v>
      </c>
      <c r="F202" s="54" t="s">
        <v>975</v>
      </c>
      <c r="G202" s="7">
        <v>1</v>
      </c>
      <c r="H202" s="59" t="str">
        <f>VLOOKUP(G202,[1]bio!$D$2:$E$4,2,FALSE)</f>
        <v>Bioeconomía</v>
      </c>
    </row>
    <row r="203" spans="1:8" x14ac:dyDescent="0.35">
      <c r="A203" s="68" t="s">
        <v>1214</v>
      </c>
      <c r="B203" s="7" t="s">
        <v>264</v>
      </c>
      <c r="C203" s="7" t="str">
        <f>VLOOKUP(B203, AT_FILAS!$A$2:$C$8,2,FALSE)</f>
        <v>Consumo intermedio</v>
      </c>
      <c r="D203" s="7" t="str">
        <f>VLOOKUP(B203, AT_FILAS!$A$2:$C$8,3,FALSE)</f>
        <v>P2</v>
      </c>
      <c r="E203" s="53">
        <v>21</v>
      </c>
      <c r="F203" s="54" t="s">
        <v>976</v>
      </c>
      <c r="G203" s="7">
        <v>1</v>
      </c>
      <c r="H203" s="59" t="str">
        <f>VLOOKUP(G203,[1]bio!$D$2:$E$4,2,FALSE)</f>
        <v>Bioeconomía</v>
      </c>
    </row>
    <row r="204" spans="1:8" x14ac:dyDescent="0.35">
      <c r="A204" s="68" t="s">
        <v>1215</v>
      </c>
      <c r="B204" s="7" t="s">
        <v>264</v>
      </c>
      <c r="C204" s="7" t="str">
        <f>VLOOKUP(B204, AT_FILAS!$A$2:$C$8,2,FALSE)</f>
        <v>Consumo intermedio</v>
      </c>
      <c r="D204" s="7" t="str">
        <f>VLOOKUP(B204, AT_FILAS!$A$2:$C$8,3,FALSE)</f>
        <v>P2</v>
      </c>
      <c r="E204" s="53">
        <v>22</v>
      </c>
      <c r="F204" s="54" t="s">
        <v>977</v>
      </c>
      <c r="G204" s="7">
        <v>1</v>
      </c>
      <c r="H204" s="59" t="str">
        <f>VLOOKUP(G204,[1]bio!$D$2:$E$4,2,FALSE)</f>
        <v>Bioeconomía</v>
      </c>
    </row>
    <row r="205" spans="1:8" x14ac:dyDescent="0.35">
      <c r="A205" s="68" t="s">
        <v>1216</v>
      </c>
      <c r="B205" s="7" t="s">
        <v>264</v>
      </c>
      <c r="C205" s="7" t="str">
        <f>VLOOKUP(B205, AT_FILAS!$A$2:$C$8,2,FALSE)</f>
        <v>Consumo intermedio</v>
      </c>
      <c r="D205" s="7" t="str">
        <f>VLOOKUP(B205, AT_FILAS!$A$2:$C$8,3,FALSE)</f>
        <v>P2</v>
      </c>
      <c r="E205" s="53">
        <v>23</v>
      </c>
      <c r="F205" s="54" t="s">
        <v>978</v>
      </c>
      <c r="G205" s="7">
        <v>1</v>
      </c>
      <c r="H205" s="59" t="str">
        <f>VLOOKUP(G205,[1]bio!$D$2:$E$4,2,FALSE)</f>
        <v>Bioeconomía</v>
      </c>
    </row>
    <row r="206" spans="1:8" x14ac:dyDescent="0.35">
      <c r="A206" s="68" t="s">
        <v>1217</v>
      </c>
      <c r="B206" s="7" t="s">
        <v>264</v>
      </c>
      <c r="C206" s="7" t="str">
        <f>VLOOKUP(B206, AT_FILAS!$A$2:$C$8,2,FALSE)</f>
        <v>Consumo intermedio</v>
      </c>
      <c r="D206" s="7" t="str">
        <f>VLOOKUP(B206, AT_FILAS!$A$2:$C$8,3,FALSE)</f>
        <v>P2</v>
      </c>
      <c r="E206" s="53">
        <v>24</v>
      </c>
      <c r="F206" s="54" t="s">
        <v>979</v>
      </c>
      <c r="G206" s="7">
        <v>1</v>
      </c>
      <c r="H206" s="59" t="str">
        <f>VLOOKUP(G206,[1]bio!$D$2:$E$4,2,FALSE)</f>
        <v>Bioeconomía</v>
      </c>
    </row>
    <row r="207" spans="1:8" x14ac:dyDescent="0.35">
      <c r="A207" s="68" t="s">
        <v>1218</v>
      </c>
      <c r="B207" s="7" t="s">
        <v>264</v>
      </c>
      <c r="C207" s="7" t="str">
        <f>VLOOKUP(B207, AT_FILAS!$A$2:$C$8,2,FALSE)</f>
        <v>Consumo intermedio</v>
      </c>
      <c r="D207" s="7" t="str">
        <f>VLOOKUP(B207, AT_FILAS!$A$2:$C$8,3,FALSE)</f>
        <v>P2</v>
      </c>
      <c r="E207" s="53">
        <v>25</v>
      </c>
      <c r="F207" s="54" t="s">
        <v>980</v>
      </c>
      <c r="G207" s="7">
        <v>1</v>
      </c>
      <c r="H207" s="59" t="str">
        <f>VLOOKUP(G207,[1]bio!$D$2:$E$4,2,FALSE)</f>
        <v>Bioeconomía</v>
      </c>
    </row>
    <row r="208" spans="1:8" x14ac:dyDescent="0.35">
      <c r="A208" s="68" t="s">
        <v>1219</v>
      </c>
      <c r="B208" s="7" t="s">
        <v>264</v>
      </c>
      <c r="C208" s="7" t="str">
        <f>VLOOKUP(B208, AT_FILAS!$A$2:$C$8,2,FALSE)</f>
        <v>Consumo intermedio</v>
      </c>
      <c r="D208" s="7" t="str">
        <f>VLOOKUP(B208, AT_FILAS!$A$2:$C$8,3,FALSE)</f>
        <v>P2</v>
      </c>
      <c r="E208" s="53">
        <v>26</v>
      </c>
      <c r="F208" s="54" t="s">
        <v>981</v>
      </c>
      <c r="G208" s="7">
        <v>1</v>
      </c>
      <c r="H208" s="59" t="str">
        <f>VLOOKUP(G208,[1]bio!$D$2:$E$4,2,FALSE)</f>
        <v>Bioeconomía</v>
      </c>
    </row>
    <row r="209" spans="1:8" x14ac:dyDescent="0.35">
      <c r="A209" s="68" t="s">
        <v>1220</v>
      </c>
      <c r="B209" s="7" t="s">
        <v>264</v>
      </c>
      <c r="C209" s="7" t="str">
        <f>VLOOKUP(B209, AT_FILAS!$A$2:$C$8,2,FALSE)</f>
        <v>Consumo intermedio</v>
      </c>
      <c r="D209" s="7" t="str">
        <f>VLOOKUP(B209, AT_FILAS!$A$2:$C$8,3,FALSE)</f>
        <v>P2</v>
      </c>
      <c r="E209" s="53">
        <v>27</v>
      </c>
      <c r="F209" s="54" t="s">
        <v>982</v>
      </c>
      <c r="G209" s="7">
        <v>3</v>
      </c>
      <c r="H209" s="59" t="str">
        <f>VLOOKUP(G209,[1]bio!$D$2:$E$4,2,FALSE)</f>
        <v>No bioeconomía</v>
      </c>
    </row>
    <row r="210" spans="1:8" x14ac:dyDescent="0.35">
      <c r="A210" s="68" t="s">
        <v>1221</v>
      </c>
      <c r="B210" s="7" t="s">
        <v>264</v>
      </c>
      <c r="C210" s="7" t="str">
        <f>VLOOKUP(B210, AT_FILAS!$A$2:$C$8,2,FALSE)</f>
        <v>Consumo intermedio</v>
      </c>
      <c r="D210" s="7" t="str">
        <f>VLOOKUP(B210, AT_FILAS!$A$2:$C$8,3,FALSE)</f>
        <v>P2</v>
      </c>
      <c r="E210" s="53">
        <v>28</v>
      </c>
      <c r="F210" s="54" t="s">
        <v>258</v>
      </c>
      <c r="G210" s="7">
        <v>3</v>
      </c>
      <c r="H210" s="59" t="str">
        <f>VLOOKUP(G210,[1]bio!$D$2:$E$4,2,FALSE)</f>
        <v>No bioeconomía</v>
      </c>
    </row>
    <row r="211" spans="1:8" x14ac:dyDescent="0.35">
      <c r="A211" s="68" t="s">
        <v>1222</v>
      </c>
      <c r="B211" s="7" t="s">
        <v>264</v>
      </c>
      <c r="C211" s="7" t="str">
        <f>VLOOKUP(B211, AT_FILAS!$A$2:$C$8,2,FALSE)</f>
        <v>Consumo intermedio</v>
      </c>
      <c r="D211" s="7" t="str">
        <f>VLOOKUP(B211, AT_FILAS!$A$2:$C$8,3,FALSE)</f>
        <v>P2</v>
      </c>
      <c r="E211" s="53">
        <v>29</v>
      </c>
      <c r="F211" s="54" t="s">
        <v>259</v>
      </c>
      <c r="G211" s="7">
        <v>3</v>
      </c>
      <c r="H211" s="59" t="str">
        <f>VLOOKUP(G211,[1]bio!$D$2:$E$4,2,FALSE)</f>
        <v>No bioeconomía</v>
      </c>
    </row>
    <row r="212" spans="1:8" x14ac:dyDescent="0.35">
      <c r="A212" s="68" t="s">
        <v>1223</v>
      </c>
      <c r="B212" s="7" t="s">
        <v>264</v>
      </c>
      <c r="C212" s="7" t="str">
        <f>VLOOKUP(B212, AT_FILAS!$A$2:$C$8,2,FALSE)</f>
        <v>Consumo intermedio</v>
      </c>
      <c r="D212" s="7" t="str">
        <f>VLOOKUP(B212, AT_FILAS!$A$2:$C$8,3,FALSE)</f>
        <v>P2</v>
      </c>
      <c r="E212" s="53">
        <v>30</v>
      </c>
      <c r="F212" s="54" t="s">
        <v>983</v>
      </c>
      <c r="G212" s="7">
        <v>3</v>
      </c>
      <c r="H212" s="59" t="str">
        <f>VLOOKUP(G212,[1]bio!$D$2:$E$4,2,FALSE)</f>
        <v>No bioeconomía</v>
      </c>
    </row>
    <row r="213" spans="1:8" x14ac:dyDescent="0.35">
      <c r="A213" s="68" t="s">
        <v>1224</v>
      </c>
      <c r="B213" s="7" t="s">
        <v>264</v>
      </c>
      <c r="C213" s="7" t="str">
        <f>VLOOKUP(B213, AT_FILAS!$A$2:$C$8,2,FALSE)</f>
        <v>Consumo intermedio</v>
      </c>
      <c r="D213" s="7" t="str">
        <f>VLOOKUP(B213, AT_FILAS!$A$2:$C$8,3,FALSE)</f>
        <v>P2</v>
      </c>
      <c r="E213" s="53">
        <v>31</v>
      </c>
      <c r="F213" s="54" t="s">
        <v>984</v>
      </c>
      <c r="G213" s="7">
        <v>3</v>
      </c>
      <c r="H213" s="59" t="str">
        <f>VLOOKUP(G213,[1]bio!$D$2:$E$4,2,FALSE)</f>
        <v>No bioeconomía</v>
      </c>
    </row>
    <row r="214" spans="1:8" x14ac:dyDescent="0.35">
      <c r="A214" s="68" t="s">
        <v>1225</v>
      </c>
      <c r="B214" s="7" t="s">
        <v>264</v>
      </c>
      <c r="C214" s="7" t="str">
        <f>VLOOKUP(B214, AT_FILAS!$A$2:$C$8,2,FALSE)</f>
        <v>Consumo intermedio</v>
      </c>
      <c r="D214" s="7" t="str">
        <f>VLOOKUP(B214, AT_FILAS!$A$2:$C$8,3,FALSE)</f>
        <v>P2</v>
      </c>
      <c r="E214" s="53">
        <v>32</v>
      </c>
      <c r="F214" s="54" t="s">
        <v>985</v>
      </c>
      <c r="G214" s="7">
        <v>3</v>
      </c>
      <c r="H214" s="59" t="str">
        <f>VLOOKUP(G214,[1]bio!$D$2:$E$4,2,FALSE)</f>
        <v>No bioeconomía</v>
      </c>
    </row>
    <row r="215" spans="1:8" x14ac:dyDescent="0.35">
      <c r="A215" s="68" t="s">
        <v>1226</v>
      </c>
      <c r="B215" s="7" t="s">
        <v>264</v>
      </c>
      <c r="C215" s="7" t="str">
        <f>VLOOKUP(B215, AT_FILAS!$A$2:$C$8,2,FALSE)</f>
        <v>Consumo intermedio</v>
      </c>
      <c r="D215" s="7" t="str">
        <f>VLOOKUP(B215, AT_FILAS!$A$2:$C$8,3,FALSE)</f>
        <v>P2</v>
      </c>
      <c r="E215" s="53">
        <v>33</v>
      </c>
      <c r="F215" s="54" t="s">
        <v>260</v>
      </c>
      <c r="G215" s="7">
        <v>3</v>
      </c>
      <c r="H215" s="59" t="str">
        <f>VLOOKUP(G215,[1]bio!$D$2:$E$4,2,FALSE)</f>
        <v>No bioeconomía</v>
      </c>
    </row>
    <row r="216" spans="1:8" x14ac:dyDescent="0.35">
      <c r="A216" s="68" t="s">
        <v>1227</v>
      </c>
      <c r="B216" s="7" t="s">
        <v>264</v>
      </c>
      <c r="C216" s="7" t="str">
        <f>VLOOKUP(B216, AT_FILAS!$A$2:$C$8,2,FALSE)</f>
        <v>Consumo intermedio</v>
      </c>
      <c r="D216" s="7" t="str">
        <f>VLOOKUP(B216, AT_FILAS!$A$2:$C$8,3,FALSE)</f>
        <v>P2</v>
      </c>
      <c r="E216" s="53">
        <v>34</v>
      </c>
      <c r="F216" s="54" t="s">
        <v>986</v>
      </c>
      <c r="G216" s="7">
        <v>3</v>
      </c>
      <c r="H216" s="59" t="str">
        <f>VLOOKUP(G216,[1]bio!$D$2:$E$4,2,FALSE)</f>
        <v>No bioeconomía</v>
      </c>
    </row>
    <row r="217" spans="1:8" x14ac:dyDescent="0.35">
      <c r="A217" s="68" t="s">
        <v>1228</v>
      </c>
      <c r="B217" s="7" t="s">
        <v>264</v>
      </c>
      <c r="C217" s="7" t="str">
        <f>VLOOKUP(B217, AT_FILAS!$A$2:$C$8,2,FALSE)</f>
        <v>Consumo intermedio</v>
      </c>
      <c r="D217" s="7" t="str">
        <f>VLOOKUP(B217, AT_FILAS!$A$2:$C$8,3,FALSE)</f>
        <v>P2</v>
      </c>
      <c r="E217" s="53">
        <v>35</v>
      </c>
      <c r="F217" s="54" t="s">
        <v>987</v>
      </c>
      <c r="G217" s="7">
        <v>3</v>
      </c>
      <c r="H217" s="59" t="str">
        <f>VLOOKUP(G217,[1]bio!$D$2:$E$4,2,FALSE)</f>
        <v>No bioeconomía</v>
      </c>
    </row>
    <row r="218" spans="1:8" x14ac:dyDescent="0.35">
      <c r="A218" s="68" t="s">
        <v>1229</v>
      </c>
      <c r="B218" s="7" t="s">
        <v>264</v>
      </c>
      <c r="C218" s="7" t="str">
        <f>VLOOKUP(B218, AT_FILAS!$A$2:$C$8,2,FALSE)</f>
        <v>Consumo intermedio</v>
      </c>
      <c r="D218" s="7" t="str">
        <f>VLOOKUP(B218, AT_FILAS!$A$2:$C$8,3,FALSE)</f>
        <v>P2</v>
      </c>
      <c r="E218" s="53">
        <v>36</v>
      </c>
      <c r="F218" s="54" t="s">
        <v>988</v>
      </c>
      <c r="G218" s="7">
        <v>3</v>
      </c>
      <c r="H218" s="59" t="str">
        <f>VLOOKUP(G218,[1]bio!$D$2:$E$4,2,FALSE)</f>
        <v>No bioeconomía</v>
      </c>
    </row>
    <row r="219" spans="1:8" x14ac:dyDescent="0.35">
      <c r="A219" s="68" t="s">
        <v>1230</v>
      </c>
      <c r="B219" s="7" t="s">
        <v>264</v>
      </c>
      <c r="C219" s="7" t="str">
        <f>VLOOKUP(B219, AT_FILAS!$A$2:$C$8,2,FALSE)</f>
        <v>Consumo intermedio</v>
      </c>
      <c r="D219" s="7" t="str">
        <f>VLOOKUP(B219, AT_FILAS!$A$2:$C$8,3,FALSE)</f>
        <v>P2</v>
      </c>
      <c r="E219" s="53">
        <v>37</v>
      </c>
      <c r="F219" s="54" t="s">
        <v>989</v>
      </c>
      <c r="G219" s="7">
        <v>1</v>
      </c>
      <c r="H219" s="59" t="str">
        <f>VLOOKUP(G219,[1]bio!$D$2:$E$4,2,FALSE)</f>
        <v>Bioeconomía</v>
      </c>
    </row>
    <row r="220" spans="1:8" x14ac:dyDescent="0.35">
      <c r="A220" s="68" t="s">
        <v>1231</v>
      </c>
      <c r="B220" s="7" t="s">
        <v>264</v>
      </c>
      <c r="C220" s="7" t="str">
        <f>VLOOKUP(B220, AT_FILAS!$A$2:$C$8,2,FALSE)</f>
        <v>Consumo intermedio</v>
      </c>
      <c r="D220" s="7" t="str">
        <f>VLOOKUP(B220, AT_FILAS!$A$2:$C$8,3,FALSE)</f>
        <v>P2</v>
      </c>
      <c r="E220" s="53">
        <v>38</v>
      </c>
      <c r="F220" s="54" t="s">
        <v>990</v>
      </c>
      <c r="G220" s="7">
        <v>1</v>
      </c>
      <c r="H220" s="59" t="str">
        <f>VLOOKUP(G220,[1]bio!$D$2:$E$4,2,FALSE)</f>
        <v>Bioeconomía</v>
      </c>
    </row>
    <row r="221" spans="1:8" x14ac:dyDescent="0.35">
      <c r="A221" s="68" t="s">
        <v>1232</v>
      </c>
      <c r="B221" s="7" t="s">
        <v>264</v>
      </c>
      <c r="C221" s="7" t="str">
        <f>VLOOKUP(B221, AT_FILAS!$A$2:$C$8,2,FALSE)</f>
        <v>Consumo intermedio</v>
      </c>
      <c r="D221" s="7" t="str">
        <f>VLOOKUP(B221, AT_FILAS!$A$2:$C$8,3,FALSE)</f>
        <v>P2</v>
      </c>
      <c r="E221" s="53">
        <v>39</v>
      </c>
      <c r="F221" s="54" t="s">
        <v>991</v>
      </c>
      <c r="G221" s="7">
        <v>1</v>
      </c>
      <c r="H221" s="59" t="str">
        <f>VLOOKUP(G221,[1]bio!$D$2:$E$4,2,FALSE)</f>
        <v>Bioeconomía</v>
      </c>
    </row>
    <row r="222" spans="1:8" x14ac:dyDescent="0.35">
      <c r="A222" s="68" t="s">
        <v>1233</v>
      </c>
      <c r="B222" s="7" t="s">
        <v>264</v>
      </c>
      <c r="C222" s="7" t="str">
        <f>VLOOKUP(B222, AT_FILAS!$A$2:$C$8,2,FALSE)</f>
        <v>Consumo intermedio</v>
      </c>
      <c r="D222" s="7" t="str">
        <f>VLOOKUP(B222, AT_FILAS!$A$2:$C$8,3,FALSE)</f>
        <v>P2</v>
      </c>
      <c r="E222" s="53">
        <v>40</v>
      </c>
      <c r="F222" s="54" t="s">
        <v>992</v>
      </c>
      <c r="G222" s="7">
        <v>1</v>
      </c>
      <c r="H222" s="59" t="str">
        <f>VLOOKUP(G222,[1]bio!$D$2:$E$4,2,FALSE)</f>
        <v>Bioeconomía</v>
      </c>
    </row>
    <row r="223" spans="1:8" x14ac:dyDescent="0.35">
      <c r="A223" s="68" t="s">
        <v>1234</v>
      </c>
      <c r="B223" s="7" t="s">
        <v>264</v>
      </c>
      <c r="C223" s="7" t="str">
        <f>VLOOKUP(B223, AT_FILAS!$A$2:$C$8,2,FALSE)</f>
        <v>Consumo intermedio</v>
      </c>
      <c r="D223" s="7" t="str">
        <f>VLOOKUP(B223, AT_FILAS!$A$2:$C$8,3,FALSE)</f>
        <v>P2</v>
      </c>
      <c r="E223" s="53">
        <v>41</v>
      </c>
      <c r="F223" s="54" t="s">
        <v>993</v>
      </c>
      <c r="G223" s="7">
        <v>1</v>
      </c>
      <c r="H223" s="59" t="str">
        <f>VLOOKUP(G223,[1]bio!$D$2:$E$4,2,FALSE)</f>
        <v>Bioeconomía</v>
      </c>
    </row>
    <row r="224" spans="1:8" x14ac:dyDescent="0.35">
      <c r="A224" s="68" t="s">
        <v>1235</v>
      </c>
      <c r="B224" s="7" t="s">
        <v>264</v>
      </c>
      <c r="C224" s="7" t="str">
        <f>VLOOKUP(B224, AT_FILAS!$A$2:$C$8,2,FALSE)</f>
        <v>Consumo intermedio</v>
      </c>
      <c r="D224" s="7" t="str">
        <f>VLOOKUP(B224, AT_FILAS!$A$2:$C$8,3,FALSE)</f>
        <v>P2</v>
      </c>
      <c r="E224" s="53">
        <v>42</v>
      </c>
      <c r="F224" s="54" t="s">
        <v>994</v>
      </c>
      <c r="G224" s="7">
        <v>1</v>
      </c>
      <c r="H224" s="59" t="str">
        <f>VLOOKUP(G224,[1]bio!$D$2:$E$4,2,FALSE)</f>
        <v>Bioeconomía</v>
      </c>
    </row>
    <row r="225" spans="1:8" x14ac:dyDescent="0.35">
      <c r="A225" s="68" t="s">
        <v>1236</v>
      </c>
      <c r="B225" s="7" t="s">
        <v>264</v>
      </c>
      <c r="C225" s="7" t="str">
        <f>VLOOKUP(B225, AT_FILAS!$A$2:$C$8,2,FALSE)</f>
        <v>Consumo intermedio</v>
      </c>
      <c r="D225" s="7" t="str">
        <f>VLOOKUP(B225, AT_FILAS!$A$2:$C$8,3,FALSE)</f>
        <v>P2</v>
      </c>
      <c r="E225" s="53">
        <v>43</v>
      </c>
      <c r="F225" s="54" t="s">
        <v>995</v>
      </c>
      <c r="G225" s="7">
        <v>1</v>
      </c>
      <c r="H225" s="59" t="str">
        <f>VLOOKUP(G225,[1]bio!$D$2:$E$4,2,FALSE)</f>
        <v>Bioeconomía</v>
      </c>
    </row>
    <row r="226" spans="1:8" x14ac:dyDescent="0.35">
      <c r="A226" s="68" t="s">
        <v>1237</v>
      </c>
      <c r="B226" s="7" t="s">
        <v>264</v>
      </c>
      <c r="C226" s="7" t="str">
        <f>VLOOKUP(B226, AT_FILAS!$A$2:$C$8,2,FALSE)</f>
        <v>Consumo intermedio</v>
      </c>
      <c r="D226" s="7" t="str">
        <f>VLOOKUP(B226, AT_FILAS!$A$2:$C$8,3,FALSE)</f>
        <v>P2</v>
      </c>
      <c r="E226" s="53">
        <v>44</v>
      </c>
      <c r="F226" s="54" t="s">
        <v>996</v>
      </c>
      <c r="G226" s="7">
        <v>1</v>
      </c>
      <c r="H226" s="59" t="str">
        <f>VLOOKUP(G226,[1]bio!$D$2:$E$4,2,FALSE)</f>
        <v>Bioeconomía</v>
      </c>
    </row>
    <row r="227" spans="1:8" x14ac:dyDescent="0.35">
      <c r="A227" s="68" t="s">
        <v>1238</v>
      </c>
      <c r="B227" s="7" t="s">
        <v>264</v>
      </c>
      <c r="C227" s="7" t="str">
        <f>VLOOKUP(B227, AT_FILAS!$A$2:$C$8,2,FALSE)</f>
        <v>Consumo intermedio</v>
      </c>
      <c r="D227" s="7" t="str">
        <f>VLOOKUP(B227, AT_FILAS!$A$2:$C$8,3,FALSE)</f>
        <v>P2</v>
      </c>
      <c r="E227" s="53">
        <v>45</v>
      </c>
      <c r="F227" s="54" t="s">
        <v>997</v>
      </c>
      <c r="G227" s="7">
        <v>1</v>
      </c>
      <c r="H227" s="59" t="str">
        <f>VLOOKUP(G227,[1]bio!$D$2:$E$4,2,FALSE)</f>
        <v>Bioeconomía</v>
      </c>
    </row>
    <row r="228" spans="1:8" x14ac:dyDescent="0.35">
      <c r="A228" s="68" t="s">
        <v>1239</v>
      </c>
      <c r="B228" s="7" t="s">
        <v>264</v>
      </c>
      <c r="C228" s="7" t="str">
        <f>VLOOKUP(B228, AT_FILAS!$A$2:$C$8,2,FALSE)</f>
        <v>Consumo intermedio</v>
      </c>
      <c r="D228" s="7" t="str">
        <f>VLOOKUP(B228, AT_FILAS!$A$2:$C$8,3,FALSE)</f>
        <v>P2</v>
      </c>
      <c r="E228" s="53">
        <v>46</v>
      </c>
      <c r="F228" s="54" t="s">
        <v>998</v>
      </c>
      <c r="G228" s="7">
        <v>1</v>
      </c>
      <c r="H228" s="59" t="str">
        <f>VLOOKUP(G228,[1]bio!$D$2:$E$4,2,FALSE)</f>
        <v>Bioeconomía</v>
      </c>
    </row>
    <row r="229" spans="1:8" x14ac:dyDescent="0.35">
      <c r="A229" s="68" t="s">
        <v>1240</v>
      </c>
      <c r="B229" s="7" t="s">
        <v>264</v>
      </c>
      <c r="C229" s="7" t="str">
        <f>VLOOKUP(B229, AT_FILAS!$A$2:$C$8,2,FALSE)</f>
        <v>Consumo intermedio</v>
      </c>
      <c r="D229" s="7" t="str">
        <f>VLOOKUP(B229, AT_FILAS!$A$2:$C$8,3,FALSE)</f>
        <v>P2</v>
      </c>
      <c r="E229" s="53">
        <v>47</v>
      </c>
      <c r="F229" s="54" t="s">
        <v>999</v>
      </c>
      <c r="G229" s="7">
        <v>1</v>
      </c>
      <c r="H229" s="59" t="str">
        <f>VLOOKUP(G229,[1]bio!$D$2:$E$4,2,FALSE)</f>
        <v>Bioeconomía</v>
      </c>
    </row>
    <row r="230" spans="1:8" x14ac:dyDescent="0.35">
      <c r="A230" s="68" t="s">
        <v>1241</v>
      </c>
      <c r="B230" s="7" t="s">
        <v>264</v>
      </c>
      <c r="C230" s="7" t="str">
        <f>VLOOKUP(B230, AT_FILAS!$A$2:$C$8,2,FALSE)</f>
        <v>Consumo intermedio</v>
      </c>
      <c r="D230" s="7" t="str">
        <f>VLOOKUP(B230, AT_FILAS!$A$2:$C$8,3,FALSE)</f>
        <v>P2</v>
      </c>
      <c r="E230" s="53">
        <v>48</v>
      </c>
      <c r="F230" s="54" t="s">
        <v>1000</v>
      </c>
      <c r="G230" s="7">
        <v>1</v>
      </c>
      <c r="H230" s="59" t="str">
        <f>VLOOKUP(G230,[1]bio!$D$2:$E$4,2,FALSE)</f>
        <v>Bioeconomía</v>
      </c>
    </row>
    <row r="231" spans="1:8" x14ac:dyDescent="0.35">
      <c r="A231" s="68" t="s">
        <v>1242</v>
      </c>
      <c r="B231" s="7" t="s">
        <v>264</v>
      </c>
      <c r="C231" s="7" t="str">
        <f>VLOOKUP(B231, AT_FILAS!$A$2:$C$8,2,FALSE)</f>
        <v>Consumo intermedio</v>
      </c>
      <c r="D231" s="7" t="str">
        <f>VLOOKUP(B231, AT_FILAS!$A$2:$C$8,3,FALSE)</f>
        <v>P2</v>
      </c>
      <c r="E231" s="53">
        <v>49</v>
      </c>
      <c r="F231" s="54" t="s">
        <v>1001</v>
      </c>
      <c r="G231" s="7">
        <v>1</v>
      </c>
      <c r="H231" s="59" t="str">
        <f>VLOOKUP(G231,[1]bio!$D$2:$E$4,2,FALSE)</f>
        <v>Bioeconomía</v>
      </c>
    </row>
    <row r="232" spans="1:8" x14ac:dyDescent="0.35">
      <c r="A232" s="68" t="s">
        <v>1243</v>
      </c>
      <c r="B232" s="7" t="s">
        <v>264</v>
      </c>
      <c r="C232" s="7" t="str">
        <f>VLOOKUP(B232, AT_FILAS!$A$2:$C$8,2,FALSE)</f>
        <v>Consumo intermedio</v>
      </c>
      <c r="D232" s="7" t="str">
        <f>VLOOKUP(B232, AT_FILAS!$A$2:$C$8,3,FALSE)</f>
        <v>P2</v>
      </c>
      <c r="E232" s="53">
        <v>50</v>
      </c>
      <c r="F232" s="54" t="s">
        <v>1002</v>
      </c>
      <c r="G232" s="7">
        <v>1</v>
      </c>
      <c r="H232" s="59" t="str">
        <f>VLOOKUP(G232,[1]bio!$D$2:$E$4,2,FALSE)</f>
        <v>Bioeconomía</v>
      </c>
    </row>
    <row r="233" spans="1:8" x14ac:dyDescent="0.35">
      <c r="A233" s="68" t="s">
        <v>1244</v>
      </c>
      <c r="B233" s="7" t="s">
        <v>264</v>
      </c>
      <c r="C233" s="7" t="str">
        <f>VLOOKUP(B233, AT_FILAS!$A$2:$C$8,2,FALSE)</f>
        <v>Consumo intermedio</v>
      </c>
      <c r="D233" s="7" t="str">
        <f>VLOOKUP(B233, AT_FILAS!$A$2:$C$8,3,FALSE)</f>
        <v>P2</v>
      </c>
      <c r="E233" s="53">
        <v>51</v>
      </c>
      <c r="F233" s="54" t="s">
        <v>1003</v>
      </c>
      <c r="G233" s="7">
        <v>1</v>
      </c>
      <c r="H233" s="59" t="str">
        <f>VLOOKUP(G233,[1]bio!$D$2:$E$4,2,FALSE)</f>
        <v>Bioeconomía</v>
      </c>
    </row>
    <row r="234" spans="1:8" x14ac:dyDescent="0.35">
      <c r="A234" s="68" t="s">
        <v>1245</v>
      </c>
      <c r="B234" s="7" t="s">
        <v>264</v>
      </c>
      <c r="C234" s="7" t="str">
        <f>VLOOKUP(B234, AT_FILAS!$A$2:$C$8,2,FALSE)</f>
        <v>Consumo intermedio</v>
      </c>
      <c r="D234" s="7" t="str">
        <f>VLOOKUP(B234, AT_FILAS!$A$2:$C$8,3,FALSE)</f>
        <v>P2</v>
      </c>
      <c r="E234" s="53">
        <v>52</v>
      </c>
      <c r="F234" s="54" t="s">
        <v>1004</v>
      </c>
      <c r="G234" s="7">
        <v>1</v>
      </c>
      <c r="H234" s="59" t="str">
        <f>VLOOKUP(G234,[1]bio!$D$2:$E$4,2,FALSE)</f>
        <v>Bioeconomía</v>
      </c>
    </row>
    <row r="235" spans="1:8" x14ac:dyDescent="0.35">
      <c r="A235" s="68" t="s">
        <v>1246</v>
      </c>
      <c r="B235" s="7" t="s">
        <v>264</v>
      </c>
      <c r="C235" s="7" t="str">
        <f>VLOOKUP(B235, AT_FILAS!$A$2:$C$8,2,FALSE)</f>
        <v>Consumo intermedio</v>
      </c>
      <c r="D235" s="7" t="str">
        <f>VLOOKUP(B235, AT_FILAS!$A$2:$C$8,3,FALSE)</f>
        <v>P2</v>
      </c>
      <c r="E235" s="53">
        <v>53</v>
      </c>
      <c r="F235" s="54" t="s">
        <v>1005</v>
      </c>
      <c r="G235" s="7">
        <v>1</v>
      </c>
      <c r="H235" s="59" t="str">
        <f>VLOOKUP(G235,[1]bio!$D$2:$E$4,2,FALSE)</f>
        <v>Bioeconomía</v>
      </c>
    </row>
    <row r="236" spans="1:8" x14ac:dyDescent="0.35">
      <c r="A236" s="68" t="s">
        <v>1247</v>
      </c>
      <c r="B236" s="7" t="s">
        <v>264</v>
      </c>
      <c r="C236" s="7" t="str">
        <f>VLOOKUP(B236, AT_FILAS!$A$2:$C$8,2,FALSE)</f>
        <v>Consumo intermedio</v>
      </c>
      <c r="D236" s="7" t="str">
        <f>VLOOKUP(B236, AT_FILAS!$A$2:$C$8,3,FALSE)</f>
        <v>P2</v>
      </c>
      <c r="E236" s="53">
        <v>54</v>
      </c>
      <c r="F236" s="54" t="s">
        <v>1006</v>
      </c>
      <c r="G236" s="7">
        <v>1</v>
      </c>
      <c r="H236" s="59" t="str">
        <f>VLOOKUP(G236,[1]bio!$D$2:$E$4,2,FALSE)</f>
        <v>Bioeconomía</v>
      </c>
    </row>
    <row r="237" spans="1:8" x14ac:dyDescent="0.35">
      <c r="A237" s="68" t="s">
        <v>1248</v>
      </c>
      <c r="B237" s="7" t="s">
        <v>264</v>
      </c>
      <c r="C237" s="7" t="str">
        <f>VLOOKUP(B237, AT_FILAS!$A$2:$C$8,2,FALSE)</f>
        <v>Consumo intermedio</v>
      </c>
      <c r="D237" s="7" t="str">
        <f>VLOOKUP(B237, AT_FILAS!$A$2:$C$8,3,FALSE)</f>
        <v>P2</v>
      </c>
      <c r="E237" s="53">
        <v>55</v>
      </c>
      <c r="F237" s="54" t="s">
        <v>1007</v>
      </c>
      <c r="G237" s="7">
        <v>1</v>
      </c>
      <c r="H237" s="59" t="str">
        <f>VLOOKUP(G237,[1]bio!$D$2:$E$4,2,FALSE)</f>
        <v>Bioeconomía</v>
      </c>
    </row>
    <row r="238" spans="1:8" x14ac:dyDescent="0.35">
      <c r="A238" s="68" t="s">
        <v>1249</v>
      </c>
      <c r="B238" s="7" t="s">
        <v>264</v>
      </c>
      <c r="C238" s="7" t="str">
        <f>VLOOKUP(B238, AT_FILAS!$A$2:$C$8,2,FALSE)</f>
        <v>Consumo intermedio</v>
      </c>
      <c r="D238" s="7" t="str">
        <f>VLOOKUP(B238, AT_FILAS!$A$2:$C$8,3,FALSE)</f>
        <v>P2</v>
      </c>
      <c r="E238" s="53">
        <v>56</v>
      </c>
      <c r="F238" s="54" t="s">
        <v>1008</v>
      </c>
      <c r="G238" s="7">
        <v>1</v>
      </c>
      <c r="H238" s="59" t="str">
        <f>VLOOKUP(G238,[1]bio!$D$2:$E$4,2,FALSE)</f>
        <v>Bioeconomía</v>
      </c>
    </row>
    <row r="239" spans="1:8" x14ac:dyDescent="0.35">
      <c r="A239" s="68" t="s">
        <v>1250</v>
      </c>
      <c r="B239" s="7" t="s">
        <v>264</v>
      </c>
      <c r="C239" s="7" t="str">
        <f>VLOOKUP(B239, AT_FILAS!$A$2:$C$8,2,FALSE)</f>
        <v>Consumo intermedio</v>
      </c>
      <c r="D239" s="7" t="str">
        <f>VLOOKUP(B239, AT_FILAS!$A$2:$C$8,3,FALSE)</f>
        <v>P2</v>
      </c>
      <c r="E239" s="53">
        <v>57</v>
      </c>
      <c r="F239" s="54" t="s">
        <v>1009</v>
      </c>
      <c r="G239" s="7">
        <v>1</v>
      </c>
      <c r="H239" s="59" t="str">
        <f>VLOOKUP(G239,[1]bio!$D$2:$E$4,2,FALSE)</f>
        <v>Bioeconomía</v>
      </c>
    </row>
    <row r="240" spans="1:8" x14ac:dyDescent="0.35">
      <c r="A240" s="68" t="s">
        <v>1251</v>
      </c>
      <c r="B240" s="7" t="s">
        <v>264</v>
      </c>
      <c r="C240" s="7" t="str">
        <f>VLOOKUP(B240, AT_FILAS!$A$2:$C$8,2,FALSE)</f>
        <v>Consumo intermedio</v>
      </c>
      <c r="D240" s="7" t="str">
        <f>VLOOKUP(B240, AT_FILAS!$A$2:$C$8,3,FALSE)</f>
        <v>P2</v>
      </c>
      <c r="E240" s="53">
        <v>58</v>
      </c>
      <c r="F240" s="54" t="s">
        <v>1010</v>
      </c>
      <c r="G240" s="7">
        <v>1</v>
      </c>
      <c r="H240" s="59" t="str">
        <f>VLOOKUP(G240,[1]bio!$D$2:$E$4,2,FALSE)</f>
        <v>Bioeconomía</v>
      </c>
    </row>
    <row r="241" spans="1:8" x14ac:dyDescent="0.35">
      <c r="A241" s="68" t="s">
        <v>1252</v>
      </c>
      <c r="B241" s="7" t="s">
        <v>264</v>
      </c>
      <c r="C241" s="7" t="str">
        <f>VLOOKUP(B241, AT_FILAS!$A$2:$C$8,2,FALSE)</f>
        <v>Consumo intermedio</v>
      </c>
      <c r="D241" s="7" t="str">
        <f>VLOOKUP(B241, AT_FILAS!$A$2:$C$8,3,FALSE)</f>
        <v>P2</v>
      </c>
      <c r="E241" s="53">
        <v>59</v>
      </c>
      <c r="F241" s="54" t="s">
        <v>1011</v>
      </c>
      <c r="G241" s="7">
        <v>1</v>
      </c>
      <c r="H241" s="59" t="str">
        <f>VLOOKUP(G241,[1]bio!$D$2:$E$4,2,FALSE)</f>
        <v>Bioeconomía</v>
      </c>
    </row>
    <row r="242" spans="1:8" x14ac:dyDescent="0.35">
      <c r="A242" s="68" t="s">
        <v>1253</v>
      </c>
      <c r="B242" s="7" t="s">
        <v>264</v>
      </c>
      <c r="C242" s="7" t="str">
        <f>VLOOKUP(B242, AT_FILAS!$A$2:$C$8,2,FALSE)</f>
        <v>Consumo intermedio</v>
      </c>
      <c r="D242" s="7" t="str">
        <f>VLOOKUP(B242, AT_FILAS!$A$2:$C$8,3,FALSE)</f>
        <v>P2</v>
      </c>
      <c r="E242" s="53">
        <v>60</v>
      </c>
      <c r="F242" s="54" t="s">
        <v>1012</v>
      </c>
      <c r="G242" s="7">
        <v>1</v>
      </c>
      <c r="H242" s="59" t="str">
        <f>VLOOKUP(G242,[1]bio!$D$2:$E$4,2,FALSE)</f>
        <v>Bioeconomía</v>
      </c>
    </row>
    <row r="243" spans="1:8" x14ac:dyDescent="0.35">
      <c r="A243" s="68" t="s">
        <v>1254</v>
      </c>
      <c r="B243" s="7" t="s">
        <v>264</v>
      </c>
      <c r="C243" s="7" t="str">
        <f>VLOOKUP(B243, AT_FILAS!$A$2:$C$8,2,FALSE)</f>
        <v>Consumo intermedio</v>
      </c>
      <c r="D243" s="7" t="str">
        <f>VLOOKUP(B243, AT_FILAS!$A$2:$C$8,3,FALSE)</f>
        <v>P2</v>
      </c>
      <c r="E243" s="53">
        <v>61</v>
      </c>
      <c r="F243" s="54" t="s">
        <v>1013</v>
      </c>
      <c r="G243" s="7">
        <v>1</v>
      </c>
      <c r="H243" s="59" t="str">
        <f>VLOOKUP(G243,[1]bio!$D$2:$E$4,2,FALSE)</f>
        <v>Bioeconomía</v>
      </c>
    </row>
    <row r="244" spans="1:8" x14ac:dyDescent="0.35">
      <c r="A244" s="68" t="s">
        <v>1255</v>
      </c>
      <c r="B244" s="7" t="s">
        <v>264</v>
      </c>
      <c r="C244" s="7" t="str">
        <f>VLOOKUP(B244, AT_FILAS!$A$2:$C$8,2,FALSE)</f>
        <v>Consumo intermedio</v>
      </c>
      <c r="D244" s="7" t="str">
        <f>VLOOKUP(B244, AT_FILAS!$A$2:$C$8,3,FALSE)</f>
        <v>P2</v>
      </c>
      <c r="E244" s="53">
        <v>62</v>
      </c>
      <c r="F244" s="54" t="s">
        <v>1014</v>
      </c>
      <c r="G244" s="7">
        <v>1</v>
      </c>
      <c r="H244" s="59" t="str">
        <f>VLOOKUP(G244,[1]bio!$D$2:$E$4,2,FALSE)</f>
        <v>Bioeconomía</v>
      </c>
    </row>
    <row r="245" spans="1:8" x14ac:dyDescent="0.35">
      <c r="A245" s="68" t="s">
        <v>1256</v>
      </c>
      <c r="B245" s="7" t="s">
        <v>264</v>
      </c>
      <c r="C245" s="7" t="str">
        <f>VLOOKUP(B245, AT_FILAS!$A$2:$C$8,2,FALSE)</f>
        <v>Consumo intermedio</v>
      </c>
      <c r="D245" s="7" t="str">
        <f>VLOOKUP(B245, AT_FILAS!$A$2:$C$8,3,FALSE)</f>
        <v>P2</v>
      </c>
      <c r="E245" s="53">
        <v>63</v>
      </c>
      <c r="F245" s="54" t="s">
        <v>1015</v>
      </c>
      <c r="G245" s="7">
        <v>1</v>
      </c>
      <c r="H245" s="59" t="str">
        <f>VLOOKUP(G245,[1]bio!$D$2:$E$4,2,FALSE)</f>
        <v>Bioeconomía</v>
      </c>
    </row>
    <row r="246" spans="1:8" x14ac:dyDescent="0.35">
      <c r="A246" s="68" t="s">
        <v>1257</v>
      </c>
      <c r="B246" s="7" t="s">
        <v>264</v>
      </c>
      <c r="C246" s="7" t="str">
        <f>VLOOKUP(B246, AT_FILAS!$A$2:$C$8,2,FALSE)</f>
        <v>Consumo intermedio</v>
      </c>
      <c r="D246" s="7" t="str">
        <f>VLOOKUP(B246, AT_FILAS!$A$2:$C$8,3,FALSE)</f>
        <v>P2</v>
      </c>
      <c r="E246" s="53">
        <v>64</v>
      </c>
      <c r="F246" s="54" t="s">
        <v>1016</v>
      </c>
      <c r="G246" s="7">
        <v>2</v>
      </c>
      <c r="H246" s="59" t="str">
        <f>VLOOKUP(G246,[1]bio!$D$2:$E$4,2,FALSE)</f>
        <v>Bioeconomía extendida</v>
      </c>
    </row>
    <row r="247" spans="1:8" x14ac:dyDescent="0.35">
      <c r="A247" s="68" t="s">
        <v>1258</v>
      </c>
      <c r="B247" s="7" t="s">
        <v>264</v>
      </c>
      <c r="C247" s="7" t="str">
        <f>VLOOKUP(B247, AT_FILAS!$A$2:$C$8,2,FALSE)</f>
        <v>Consumo intermedio</v>
      </c>
      <c r="D247" s="7" t="str">
        <f>VLOOKUP(B247, AT_FILAS!$A$2:$C$8,3,FALSE)</f>
        <v>P2</v>
      </c>
      <c r="E247" s="53">
        <v>65</v>
      </c>
      <c r="F247" s="54" t="s">
        <v>1017</v>
      </c>
      <c r="G247" s="7">
        <v>2</v>
      </c>
      <c r="H247" s="59" t="str">
        <f>VLOOKUP(G247,[1]bio!$D$2:$E$4,2,FALSE)</f>
        <v>Bioeconomía extendida</v>
      </c>
    </row>
    <row r="248" spans="1:8" x14ac:dyDescent="0.35">
      <c r="A248" s="68" t="s">
        <v>1259</v>
      </c>
      <c r="B248" s="7" t="s">
        <v>264</v>
      </c>
      <c r="C248" s="7" t="str">
        <f>VLOOKUP(B248, AT_FILAS!$A$2:$C$8,2,FALSE)</f>
        <v>Consumo intermedio</v>
      </c>
      <c r="D248" s="7" t="str">
        <f>VLOOKUP(B248, AT_FILAS!$A$2:$C$8,3,FALSE)</f>
        <v>P2</v>
      </c>
      <c r="E248" s="53">
        <v>66</v>
      </c>
      <c r="F248" s="54" t="s">
        <v>1018</v>
      </c>
      <c r="G248" s="7">
        <v>1</v>
      </c>
      <c r="H248" s="59" t="str">
        <f>VLOOKUP(G248,[1]bio!$D$2:$E$4,2,FALSE)</f>
        <v>Bioeconomía</v>
      </c>
    </row>
    <row r="249" spans="1:8" x14ac:dyDescent="0.35">
      <c r="A249" s="68" t="s">
        <v>1260</v>
      </c>
      <c r="B249" s="7" t="s">
        <v>264</v>
      </c>
      <c r="C249" s="7" t="str">
        <f>VLOOKUP(B249, AT_FILAS!$A$2:$C$8,2,FALSE)</f>
        <v>Consumo intermedio</v>
      </c>
      <c r="D249" s="7" t="str">
        <f>VLOOKUP(B249, AT_FILAS!$A$2:$C$8,3,FALSE)</f>
        <v>P2</v>
      </c>
      <c r="E249" s="53">
        <v>67</v>
      </c>
      <c r="F249" s="54" t="s">
        <v>1019</v>
      </c>
      <c r="G249" s="7">
        <v>2</v>
      </c>
      <c r="H249" s="59" t="str">
        <f>VLOOKUP(G249,[1]bio!$D$2:$E$4,2,FALSE)</f>
        <v>Bioeconomía extendida</v>
      </c>
    </row>
    <row r="250" spans="1:8" x14ac:dyDescent="0.35">
      <c r="A250" s="68" t="s">
        <v>1261</v>
      </c>
      <c r="B250" s="7" t="s">
        <v>264</v>
      </c>
      <c r="C250" s="7" t="str">
        <f>VLOOKUP(B250, AT_FILAS!$A$2:$C$8,2,FALSE)</f>
        <v>Consumo intermedio</v>
      </c>
      <c r="D250" s="7" t="str">
        <f>VLOOKUP(B250, AT_FILAS!$A$2:$C$8,3,FALSE)</f>
        <v>P2</v>
      </c>
      <c r="E250" s="53">
        <v>68</v>
      </c>
      <c r="F250" s="54" t="s">
        <v>1020</v>
      </c>
      <c r="G250" s="7">
        <v>2</v>
      </c>
      <c r="H250" s="59" t="str">
        <f>VLOOKUP(G250,[1]bio!$D$2:$E$4,2,FALSE)</f>
        <v>Bioeconomía extendida</v>
      </c>
    </row>
    <row r="251" spans="1:8" x14ac:dyDescent="0.35">
      <c r="A251" s="68" t="s">
        <v>1262</v>
      </c>
      <c r="B251" s="7" t="s">
        <v>264</v>
      </c>
      <c r="C251" s="7" t="str">
        <f>VLOOKUP(B251, AT_FILAS!$A$2:$C$8,2,FALSE)</f>
        <v>Consumo intermedio</v>
      </c>
      <c r="D251" s="7" t="str">
        <f>VLOOKUP(B251, AT_FILAS!$A$2:$C$8,3,FALSE)</f>
        <v>P2</v>
      </c>
      <c r="E251" s="53">
        <v>69</v>
      </c>
      <c r="F251" s="54" t="s">
        <v>1021</v>
      </c>
      <c r="G251" s="7">
        <v>2</v>
      </c>
      <c r="H251" s="59" t="str">
        <f>VLOOKUP(G251,[1]bio!$D$2:$E$4,2,FALSE)</f>
        <v>Bioeconomía extendida</v>
      </c>
    </row>
    <row r="252" spans="1:8" x14ac:dyDescent="0.35">
      <c r="A252" s="68" t="s">
        <v>1263</v>
      </c>
      <c r="B252" s="7" t="s">
        <v>264</v>
      </c>
      <c r="C252" s="7" t="str">
        <f>VLOOKUP(B252, AT_FILAS!$A$2:$C$8,2,FALSE)</f>
        <v>Consumo intermedio</v>
      </c>
      <c r="D252" s="7" t="str">
        <f>VLOOKUP(B252, AT_FILAS!$A$2:$C$8,3,FALSE)</f>
        <v>P2</v>
      </c>
      <c r="E252" s="53">
        <v>70</v>
      </c>
      <c r="F252" s="54" t="s">
        <v>1022</v>
      </c>
      <c r="G252" s="7">
        <v>2</v>
      </c>
      <c r="H252" s="59" t="str">
        <f>VLOOKUP(G252,[1]bio!$D$2:$E$4,2,FALSE)</f>
        <v>Bioeconomía extendida</v>
      </c>
    </row>
    <row r="253" spans="1:8" x14ac:dyDescent="0.35">
      <c r="A253" s="68" t="s">
        <v>1264</v>
      </c>
      <c r="B253" s="7" t="s">
        <v>264</v>
      </c>
      <c r="C253" s="7" t="str">
        <f>VLOOKUP(B253, AT_FILAS!$A$2:$C$8,2,FALSE)</f>
        <v>Consumo intermedio</v>
      </c>
      <c r="D253" s="7" t="str">
        <f>VLOOKUP(B253, AT_FILAS!$A$2:$C$8,3,FALSE)</f>
        <v>P2</v>
      </c>
      <c r="E253" s="53">
        <v>71</v>
      </c>
      <c r="F253" s="54" t="s">
        <v>1023</v>
      </c>
      <c r="G253" s="7">
        <v>2</v>
      </c>
      <c r="H253" s="59" t="str">
        <f>VLOOKUP(G253,[1]bio!$D$2:$E$4,2,FALSE)</f>
        <v>Bioeconomía extendida</v>
      </c>
    </row>
    <row r="254" spans="1:8" x14ac:dyDescent="0.35">
      <c r="A254" s="68" t="s">
        <v>1265</v>
      </c>
      <c r="B254" s="7" t="s">
        <v>264</v>
      </c>
      <c r="C254" s="7" t="str">
        <f>VLOOKUP(B254, AT_FILAS!$A$2:$C$8,2,FALSE)</f>
        <v>Consumo intermedio</v>
      </c>
      <c r="D254" s="7" t="str">
        <f>VLOOKUP(B254, AT_FILAS!$A$2:$C$8,3,FALSE)</f>
        <v>P2</v>
      </c>
      <c r="E254" s="53">
        <v>72</v>
      </c>
      <c r="F254" s="54" t="s">
        <v>1024</v>
      </c>
      <c r="G254" s="7">
        <v>2</v>
      </c>
      <c r="H254" s="59" t="str">
        <f>VLOOKUP(G254,[1]bio!$D$2:$E$4,2,FALSE)</f>
        <v>Bioeconomía extendida</v>
      </c>
    </row>
    <row r="255" spans="1:8" x14ac:dyDescent="0.35">
      <c r="A255" s="68" t="s">
        <v>1266</v>
      </c>
      <c r="B255" s="7" t="s">
        <v>264</v>
      </c>
      <c r="C255" s="7" t="str">
        <f>VLOOKUP(B255, AT_FILAS!$A$2:$C$8,2,FALSE)</f>
        <v>Consumo intermedio</v>
      </c>
      <c r="D255" s="7" t="str">
        <f>VLOOKUP(B255, AT_FILAS!$A$2:$C$8,3,FALSE)</f>
        <v>P2</v>
      </c>
      <c r="E255" s="53">
        <v>73</v>
      </c>
      <c r="F255" s="54" t="s">
        <v>1025</v>
      </c>
      <c r="G255" s="7">
        <v>2</v>
      </c>
      <c r="H255" s="59" t="str">
        <f>VLOOKUP(G255,[1]bio!$D$2:$E$4,2,FALSE)</f>
        <v>Bioeconomía extendida</v>
      </c>
    </row>
    <row r="256" spans="1:8" x14ac:dyDescent="0.35">
      <c r="A256" s="68" t="s">
        <v>1267</v>
      </c>
      <c r="B256" s="7" t="s">
        <v>264</v>
      </c>
      <c r="C256" s="7" t="str">
        <f>VLOOKUP(B256, AT_FILAS!$A$2:$C$8,2,FALSE)</f>
        <v>Consumo intermedio</v>
      </c>
      <c r="D256" s="7" t="str">
        <f>VLOOKUP(B256, AT_FILAS!$A$2:$C$8,3,FALSE)</f>
        <v>P2</v>
      </c>
      <c r="E256" s="53">
        <v>74</v>
      </c>
      <c r="F256" s="54" t="s">
        <v>1026</v>
      </c>
      <c r="G256" s="7">
        <v>2</v>
      </c>
      <c r="H256" s="59" t="str">
        <f>VLOOKUP(G256,[1]bio!$D$2:$E$4,2,FALSE)</f>
        <v>Bioeconomía extendida</v>
      </c>
    </row>
    <row r="257" spans="1:8" x14ac:dyDescent="0.35">
      <c r="A257" s="68" t="s">
        <v>1268</v>
      </c>
      <c r="B257" s="7" t="s">
        <v>264</v>
      </c>
      <c r="C257" s="7" t="str">
        <f>VLOOKUP(B257, AT_FILAS!$A$2:$C$8,2,FALSE)</f>
        <v>Consumo intermedio</v>
      </c>
      <c r="D257" s="7" t="str">
        <f>VLOOKUP(B257, AT_FILAS!$A$2:$C$8,3,FALSE)</f>
        <v>P2</v>
      </c>
      <c r="E257" s="53">
        <v>75</v>
      </c>
      <c r="F257" s="54" t="s">
        <v>1027</v>
      </c>
      <c r="G257" s="7">
        <v>2</v>
      </c>
      <c r="H257" s="59" t="str">
        <f>VLOOKUP(G257,[1]bio!$D$2:$E$4,2,FALSE)</f>
        <v>Bioeconomía extendida</v>
      </c>
    </row>
    <row r="258" spans="1:8" x14ac:dyDescent="0.35">
      <c r="A258" s="68" t="s">
        <v>1269</v>
      </c>
      <c r="B258" s="7" t="s">
        <v>264</v>
      </c>
      <c r="C258" s="7" t="str">
        <f>VLOOKUP(B258, AT_FILAS!$A$2:$C$8,2,FALSE)</f>
        <v>Consumo intermedio</v>
      </c>
      <c r="D258" s="7" t="str">
        <f>VLOOKUP(B258, AT_FILAS!$A$2:$C$8,3,FALSE)</f>
        <v>P2</v>
      </c>
      <c r="E258" s="53">
        <v>76</v>
      </c>
      <c r="F258" s="54" t="s">
        <v>1028</v>
      </c>
      <c r="G258" s="7">
        <v>3</v>
      </c>
      <c r="H258" s="59" t="str">
        <f>VLOOKUP(G258,[1]bio!$D$2:$E$4,2,FALSE)</f>
        <v>No bioeconomía</v>
      </c>
    </row>
    <row r="259" spans="1:8" x14ac:dyDescent="0.35">
      <c r="A259" s="68" t="s">
        <v>1270</v>
      </c>
      <c r="B259" s="7" t="s">
        <v>264</v>
      </c>
      <c r="C259" s="7" t="str">
        <f>VLOOKUP(B259, AT_FILAS!$A$2:$C$8,2,FALSE)</f>
        <v>Consumo intermedio</v>
      </c>
      <c r="D259" s="7" t="str">
        <f>VLOOKUP(B259, AT_FILAS!$A$2:$C$8,3,FALSE)</f>
        <v>P2</v>
      </c>
      <c r="E259" s="53">
        <v>77</v>
      </c>
      <c r="F259" s="54" t="s">
        <v>1029</v>
      </c>
      <c r="G259" s="7">
        <v>3</v>
      </c>
      <c r="H259" s="59" t="str">
        <f>VLOOKUP(G259,[1]bio!$D$2:$E$4,2,FALSE)</f>
        <v>No bioeconomía</v>
      </c>
    </row>
    <row r="260" spans="1:8" x14ac:dyDescent="0.35">
      <c r="A260" s="68" t="s">
        <v>1271</v>
      </c>
      <c r="B260" s="7" t="s">
        <v>264</v>
      </c>
      <c r="C260" s="7" t="str">
        <f>VLOOKUP(B260, AT_FILAS!$A$2:$C$8,2,FALSE)</f>
        <v>Consumo intermedio</v>
      </c>
      <c r="D260" s="7" t="str">
        <f>VLOOKUP(B260, AT_FILAS!$A$2:$C$8,3,FALSE)</f>
        <v>P2</v>
      </c>
      <c r="E260" s="53">
        <v>78</v>
      </c>
      <c r="F260" s="54" t="s">
        <v>1030</v>
      </c>
      <c r="G260" s="7">
        <v>3</v>
      </c>
      <c r="H260" s="59" t="str">
        <f>VLOOKUP(G260,[1]bio!$D$2:$E$4,2,FALSE)</f>
        <v>No bioeconomía</v>
      </c>
    </row>
    <row r="261" spans="1:8" x14ac:dyDescent="0.35">
      <c r="A261" s="68" t="s">
        <v>1272</v>
      </c>
      <c r="B261" s="7" t="s">
        <v>264</v>
      </c>
      <c r="C261" s="7" t="str">
        <f>VLOOKUP(B261, AT_FILAS!$A$2:$C$8,2,FALSE)</f>
        <v>Consumo intermedio</v>
      </c>
      <c r="D261" s="7" t="str">
        <f>VLOOKUP(B261, AT_FILAS!$A$2:$C$8,3,FALSE)</f>
        <v>P2</v>
      </c>
      <c r="E261" s="53">
        <v>79</v>
      </c>
      <c r="F261" s="54" t="s">
        <v>1031</v>
      </c>
      <c r="G261" s="7">
        <v>3</v>
      </c>
      <c r="H261" s="59" t="str">
        <f>VLOOKUP(G261,[1]bio!$D$2:$E$4,2,FALSE)</f>
        <v>No bioeconomía</v>
      </c>
    </row>
    <row r="262" spans="1:8" x14ac:dyDescent="0.35">
      <c r="A262" s="68" t="s">
        <v>1273</v>
      </c>
      <c r="B262" s="7" t="s">
        <v>264</v>
      </c>
      <c r="C262" s="7" t="str">
        <f>VLOOKUP(B262, AT_FILAS!$A$2:$C$8,2,FALSE)</f>
        <v>Consumo intermedio</v>
      </c>
      <c r="D262" s="7" t="str">
        <f>VLOOKUP(B262, AT_FILAS!$A$2:$C$8,3,FALSE)</f>
        <v>P2</v>
      </c>
      <c r="E262" s="53">
        <v>80</v>
      </c>
      <c r="F262" s="54" t="s">
        <v>1032</v>
      </c>
      <c r="G262" s="7">
        <v>3</v>
      </c>
      <c r="H262" s="59" t="str">
        <f>VLOOKUP(G262,[1]bio!$D$2:$E$4,2,FALSE)</f>
        <v>No bioeconomía</v>
      </c>
    </row>
    <row r="263" spans="1:8" x14ac:dyDescent="0.35">
      <c r="A263" s="68" t="s">
        <v>1274</v>
      </c>
      <c r="B263" s="7" t="s">
        <v>264</v>
      </c>
      <c r="C263" s="7" t="str">
        <f>VLOOKUP(B263, AT_FILAS!$A$2:$C$8,2,FALSE)</f>
        <v>Consumo intermedio</v>
      </c>
      <c r="D263" s="7" t="str">
        <f>VLOOKUP(B263, AT_FILAS!$A$2:$C$8,3,FALSE)</f>
        <v>P2</v>
      </c>
      <c r="E263" s="53">
        <v>81</v>
      </c>
      <c r="F263" s="54" t="s">
        <v>1033</v>
      </c>
      <c r="G263" s="7">
        <v>3</v>
      </c>
      <c r="H263" s="59" t="str">
        <f>VLOOKUP(G263,[1]bio!$D$2:$E$4,2,FALSE)</f>
        <v>No bioeconomía</v>
      </c>
    </row>
    <row r="264" spans="1:8" x14ac:dyDescent="0.35">
      <c r="A264" s="68" t="s">
        <v>1275</v>
      </c>
      <c r="B264" s="7" t="s">
        <v>264</v>
      </c>
      <c r="C264" s="7" t="str">
        <f>VLOOKUP(B264, AT_FILAS!$A$2:$C$8,2,FALSE)</f>
        <v>Consumo intermedio</v>
      </c>
      <c r="D264" s="7" t="str">
        <f>VLOOKUP(B264, AT_FILAS!$A$2:$C$8,3,FALSE)</f>
        <v>P2</v>
      </c>
      <c r="E264" s="53">
        <v>82</v>
      </c>
      <c r="F264" s="54" t="s">
        <v>1034</v>
      </c>
      <c r="G264" s="7">
        <v>2</v>
      </c>
      <c r="H264" s="59" t="str">
        <f>VLOOKUP(G264,[1]bio!$D$2:$E$4,2,FALSE)</f>
        <v>Bioeconomía extendida</v>
      </c>
    </row>
    <row r="265" spans="1:8" x14ac:dyDescent="0.35">
      <c r="A265" s="68" t="s">
        <v>1276</v>
      </c>
      <c r="B265" s="7" t="s">
        <v>264</v>
      </c>
      <c r="C265" s="7" t="str">
        <f>VLOOKUP(B265, AT_FILAS!$A$2:$C$8,2,FALSE)</f>
        <v>Consumo intermedio</v>
      </c>
      <c r="D265" s="7" t="str">
        <f>VLOOKUP(B265, AT_FILAS!$A$2:$C$8,3,FALSE)</f>
        <v>P2</v>
      </c>
      <c r="E265" s="53">
        <v>83</v>
      </c>
      <c r="F265" s="54" t="s">
        <v>1035</v>
      </c>
      <c r="G265" s="7">
        <v>3</v>
      </c>
      <c r="H265" s="59" t="str">
        <f>VLOOKUP(G265,[1]bio!$D$2:$E$4,2,FALSE)</f>
        <v>No bioeconomía</v>
      </c>
    </row>
    <row r="266" spans="1:8" x14ac:dyDescent="0.35">
      <c r="A266" s="68" t="s">
        <v>1277</v>
      </c>
      <c r="B266" s="7" t="s">
        <v>264</v>
      </c>
      <c r="C266" s="7" t="str">
        <f>VLOOKUP(B266, AT_FILAS!$A$2:$C$8,2,FALSE)</f>
        <v>Consumo intermedio</v>
      </c>
      <c r="D266" s="7" t="str">
        <f>VLOOKUP(B266, AT_FILAS!$A$2:$C$8,3,FALSE)</f>
        <v>P2</v>
      </c>
      <c r="E266" s="53">
        <v>84</v>
      </c>
      <c r="F266" s="54" t="s">
        <v>1036</v>
      </c>
      <c r="G266" s="7">
        <v>3</v>
      </c>
      <c r="H266" s="59" t="str">
        <f>VLOOKUP(G266,[1]bio!$D$2:$E$4,2,FALSE)</f>
        <v>No bioeconomía</v>
      </c>
    </row>
    <row r="267" spans="1:8" x14ac:dyDescent="0.35">
      <c r="A267" s="68" t="s">
        <v>1278</v>
      </c>
      <c r="B267" s="7" t="s">
        <v>264</v>
      </c>
      <c r="C267" s="7" t="str">
        <f>VLOOKUP(B267, AT_FILAS!$A$2:$C$8,2,FALSE)</f>
        <v>Consumo intermedio</v>
      </c>
      <c r="D267" s="7" t="str">
        <f>VLOOKUP(B267, AT_FILAS!$A$2:$C$8,3,FALSE)</f>
        <v>P2</v>
      </c>
      <c r="E267" s="53">
        <v>85</v>
      </c>
      <c r="F267" s="54" t="s">
        <v>1037</v>
      </c>
      <c r="G267" s="7">
        <v>3</v>
      </c>
      <c r="H267" s="59" t="str">
        <f>VLOOKUP(G267,[1]bio!$D$2:$E$4,2,FALSE)</f>
        <v>No bioeconomía</v>
      </c>
    </row>
    <row r="268" spans="1:8" x14ac:dyDescent="0.35">
      <c r="A268" s="68" t="s">
        <v>1279</v>
      </c>
      <c r="B268" s="7" t="s">
        <v>264</v>
      </c>
      <c r="C268" s="7" t="str">
        <f>VLOOKUP(B268, AT_FILAS!$A$2:$C$8,2,FALSE)</f>
        <v>Consumo intermedio</v>
      </c>
      <c r="D268" s="7" t="str">
        <f>VLOOKUP(B268, AT_FILAS!$A$2:$C$8,3,FALSE)</f>
        <v>P2</v>
      </c>
      <c r="E268" s="53">
        <v>86</v>
      </c>
      <c r="F268" s="54" t="s">
        <v>1038</v>
      </c>
      <c r="G268" s="7">
        <v>2</v>
      </c>
      <c r="H268" s="59" t="str">
        <f>VLOOKUP(G268,[1]bio!$D$2:$E$4,2,FALSE)</f>
        <v>Bioeconomía extendida</v>
      </c>
    </row>
    <row r="269" spans="1:8" x14ac:dyDescent="0.35">
      <c r="A269" s="68" t="s">
        <v>1280</v>
      </c>
      <c r="B269" s="7" t="s">
        <v>264</v>
      </c>
      <c r="C269" s="7" t="str">
        <f>VLOOKUP(B269, AT_FILAS!$A$2:$C$8,2,FALSE)</f>
        <v>Consumo intermedio</v>
      </c>
      <c r="D269" s="7" t="str">
        <f>VLOOKUP(B269, AT_FILAS!$A$2:$C$8,3,FALSE)</f>
        <v>P2</v>
      </c>
      <c r="E269" s="53">
        <v>87</v>
      </c>
      <c r="F269" s="54" t="s">
        <v>1039</v>
      </c>
      <c r="G269" s="7">
        <v>2</v>
      </c>
      <c r="H269" s="59" t="str">
        <f>VLOOKUP(G269,[1]bio!$D$2:$E$4,2,FALSE)</f>
        <v>Bioeconomía extendida</v>
      </c>
    </row>
    <row r="270" spans="1:8" x14ac:dyDescent="0.35">
      <c r="A270" s="68" t="s">
        <v>1281</v>
      </c>
      <c r="B270" s="7" t="s">
        <v>264</v>
      </c>
      <c r="C270" s="7" t="str">
        <f>VLOOKUP(B270, AT_FILAS!$A$2:$C$8,2,FALSE)</f>
        <v>Consumo intermedio</v>
      </c>
      <c r="D270" s="7" t="str">
        <f>VLOOKUP(B270, AT_FILAS!$A$2:$C$8,3,FALSE)</f>
        <v>P2</v>
      </c>
      <c r="E270" s="53">
        <v>88</v>
      </c>
      <c r="F270" s="54" t="s">
        <v>1040</v>
      </c>
      <c r="G270" s="7">
        <v>3</v>
      </c>
      <c r="H270" s="59" t="str">
        <f>VLOOKUP(G270,[1]bio!$D$2:$E$4,2,FALSE)</f>
        <v>No bioeconomía</v>
      </c>
    </row>
    <row r="271" spans="1:8" x14ac:dyDescent="0.35">
      <c r="A271" s="68" t="s">
        <v>1282</v>
      </c>
      <c r="B271" s="7" t="s">
        <v>264</v>
      </c>
      <c r="C271" s="7" t="str">
        <f>VLOOKUP(B271, AT_FILAS!$A$2:$C$8,2,FALSE)</f>
        <v>Consumo intermedio</v>
      </c>
      <c r="D271" s="7" t="str">
        <f>VLOOKUP(B271, AT_FILAS!$A$2:$C$8,3,FALSE)</f>
        <v>P2</v>
      </c>
      <c r="E271" s="53">
        <v>89</v>
      </c>
      <c r="F271" s="54" t="s">
        <v>1041</v>
      </c>
      <c r="G271" s="7">
        <v>3</v>
      </c>
      <c r="H271" s="59" t="str">
        <f>VLOOKUP(G271,[1]bio!$D$2:$E$4,2,FALSE)</f>
        <v>No bioeconomía</v>
      </c>
    </row>
    <row r="272" spans="1:8" x14ac:dyDescent="0.35">
      <c r="A272" s="68" t="s">
        <v>1283</v>
      </c>
      <c r="B272" s="7" t="s">
        <v>264</v>
      </c>
      <c r="C272" s="7" t="str">
        <f>VLOOKUP(B272, AT_FILAS!$A$2:$C$8,2,FALSE)</f>
        <v>Consumo intermedio</v>
      </c>
      <c r="D272" s="7" t="str">
        <f>VLOOKUP(B272, AT_FILAS!$A$2:$C$8,3,FALSE)</f>
        <v>P2</v>
      </c>
      <c r="E272" s="53">
        <v>90</v>
      </c>
      <c r="F272" s="54" t="s">
        <v>1042</v>
      </c>
      <c r="G272" s="7">
        <v>3</v>
      </c>
      <c r="H272" s="59" t="str">
        <f>VLOOKUP(G272,[1]bio!$D$2:$E$4,2,FALSE)</f>
        <v>No bioeconomía</v>
      </c>
    </row>
    <row r="273" spans="1:8" x14ac:dyDescent="0.35">
      <c r="A273" s="68" t="s">
        <v>1284</v>
      </c>
      <c r="B273" s="7" t="s">
        <v>264</v>
      </c>
      <c r="C273" s="7" t="str">
        <f>VLOOKUP(B273, AT_FILAS!$A$2:$C$8,2,FALSE)</f>
        <v>Consumo intermedio</v>
      </c>
      <c r="D273" s="7" t="str">
        <f>VLOOKUP(B273, AT_FILAS!$A$2:$C$8,3,FALSE)</f>
        <v>P2</v>
      </c>
      <c r="E273" s="53">
        <v>91</v>
      </c>
      <c r="F273" s="54" t="s">
        <v>1043</v>
      </c>
      <c r="G273" s="7">
        <v>3</v>
      </c>
      <c r="H273" s="59" t="str">
        <f>VLOOKUP(G273,[1]bio!$D$2:$E$4,2,FALSE)</f>
        <v>No bioeconomía</v>
      </c>
    </row>
    <row r="274" spans="1:8" x14ac:dyDescent="0.35">
      <c r="A274" s="68" t="s">
        <v>1285</v>
      </c>
      <c r="B274" s="7" t="s">
        <v>264</v>
      </c>
      <c r="C274" s="7" t="str">
        <f>VLOOKUP(B274, AT_FILAS!$A$2:$C$8,2,FALSE)</f>
        <v>Consumo intermedio</v>
      </c>
      <c r="D274" s="7" t="str">
        <f>VLOOKUP(B274, AT_FILAS!$A$2:$C$8,3,FALSE)</f>
        <v>P2</v>
      </c>
      <c r="E274" s="53">
        <v>92</v>
      </c>
      <c r="F274" s="54" t="s">
        <v>1044</v>
      </c>
      <c r="G274" s="7">
        <v>3</v>
      </c>
      <c r="H274" s="59" t="str">
        <f>VLOOKUP(G274,[1]bio!$D$2:$E$4,2,FALSE)</f>
        <v>No bioeconomía</v>
      </c>
    </row>
    <row r="275" spans="1:8" x14ac:dyDescent="0.35">
      <c r="A275" s="68" t="s">
        <v>1286</v>
      </c>
      <c r="B275" s="7" t="s">
        <v>264</v>
      </c>
      <c r="C275" s="7" t="str">
        <f>VLOOKUP(B275, AT_FILAS!$A$2:$C$8,2,FALSE)</f>
        <v>Consumo intermedio</v>
      </c>
      <c r="D275" s="7" t="str">
        <f>VLOOKUP(B275, AT_FILAS!$A$2:$C$8,3,FALSE)</f>
        <v>P2</v>
      </c>
      <c r="E275" s="53">
        <v>93</v>
      </c>
      <c r="F275" s="54" t="s">
        <v>1045</v>
      </c>
      <c r="G275" s="7">
        <v>3</v>
      </c>
      <c r="H275" s="59" t="str">
        <f>VLOOKUP(G275,[1]bio!$D$2:$E$4,2,FALSE)</f>
        <v>No bioeconomía</v>
      </c>
    </row>
    <row r="276" spans="1:8" x14ac:dyDescent="0.35">
      <c r="A276" s="68" t="s">
        <v>1287</v>
      </c>
      <c r="B276" s="7" t="s">
        <v>264</v>
      </c>
      <c r="C276" s="7" t="str">
        <f>VLOOKUP(B276, AT_FILAS!$A$2:$C$8,2,FALSE)</f>
        <v>Consumo intermedio</v>
      </c>
      <c r="D276" s="7" t="str">
        <f>VLOOKUP(B276, AT_FILAS!$A$2:$C$8,3,FALSE)</f>
        <v>P2</v>
      </c>
      <c r="E276" s="53">
        <v>94</v>
      </c>
      <c r="F276" s="54" t="s">
        <v>1046</v>
      </c>
      <c r="G276" s="7">
        <v>3</v>
      </c>
      <c r="H276" s="59" t="str">
        <f>VLOOKUP(G276,[1]bio!$D$2:$E$4,2,FALSE)</f>
        <v>No bioeconomía</v>
      </c>
    </row>
    <row r="277" spans="1:8" x14ac:dyDescent="0.35">
      <c r="A277" s="68" t="s">
        <v>1288</v>
      </c>
      <c r="B277" s="7" t="s">
        <v>264</v>
      </c>
      <c r="C277" s="7" t="str">
        <f>VLOOKUP(B277, AT_FILAS!$A$2:$C$8,2,FALSE)</f>
        <v>Consumo intermedio</v>
      </c>
      <c r="D277" s="7" t="str">
        <f>VLOOKUP(B277, AT_FILAS!$A$2:$C$8,3,FALSE)</f>
        <v>P2</v>
      </c>
      <c r="E277" s="53">
        <v>95</v>
      </c>
      <c r="F277" s="54" t="s">
        <v>1047</v>
      </c>
      <c r="G277" s="7">
        <v>3</v>
      </c>
      <c r="H277" s="59" t="str">
        <f>VLOOKUP(G277,[1]bio!$D$2:$E$4,2,FALSE)</f>
        <v>No bioeconomía</v>
      </c>
    </row>
    <row r="278" spans="1:8" x14ac:dyDescent="0.35">
      <c r="A278" s="68" t="s">
        <v>1289</v>
      </c>
      <c r="B278" s="7" t="s">
        <v>264</v>
      </c>
      <c r="C278" s="7" t="str">
        <f>VLOOKUP(B278, AT_FILAS!$A$2:$C$8,2,FALSE)</f>
        <v>Consumo intermedio</v>
      </c>
      <c r="D278" s="7" t="str">
        <f>VLOOKUP(B278, AT_FILAS!$A$2:$C$8,3,FALSE)</f>
        <v>P2</v>
      </c>
      <c r="E278" s="53">
        <v>96</v>
      </c>
      <c r="F278" s="54" t="s">
        <v>1048</v>
      </c>
      <c r="G278" s="7">
        <v>3</v>
      </c>
      <c r="H278" s="59" t="str">
        <f>VLOOKUP(G278,[1]bio!$D$2:$E$4,2,FALSE)</f>
        <v>No bioeconomía</v>
      </c>
    </row>
    <row r="279" spans="1:8" x14ac:dyDescent="0.35">
      <c r="A279" s="68" t="s">
        <v>1290</v>
      </c>
      <c r="B279" s="7" t="s">
        <v>264</v>
      </c>
      <c r="C279" s="7" t="str">
        <f>VLOOKUP(B279, AT_FILAS!$A$2:$C$8,2,FALSE)</f>
        <v>Consumo intermedio</v>
      </c>
      <c r="D279" s="7" t="str">
        <f>VLOOKUP(B279, AT_FILAS!$A$2:$C$8,3,FALSE)</f>
        <v>P2</v>
      </c>
      <c r="E279" s="53">
        <v>97</v>
      </c>
      <c r="F279" s="54" t="s">
        <v>1049</v>
      </c>
      <c r="G279" s="7">
        <v>3</v>
      </c>
      <c r="H279" s="59" t="str">
        <f>VLOOKUP(G279,[1]bio!$D$2:$E$4,2,FALSE)</f>
        <v>No bioeconomía</v>
      </c>
    </row>
    <row r="280" spans="1:8" x14ac:dyDescent="0.35">
      <c r="A280" s="68" t="s">
        <v>1291</v>
      </c>
      <c r="B280" s="7" t="s">
        <v>264</v>
      </c>
      <c r="C280" s="7" t="str">
        <f>VLOOKUP(B280, AT_FILAS!$A$2:$C$8,2,FALSE)</f>
        <v>Consumo intermedio</v>
      </c>
      <c r="D280" s="7" t="str">
        <f>VLOOKUP(B280, AT_FILAS!$A$2:$C$8,3,FALSE)</f>
        <v>P2</v>
      </c>
      <c r="E280" s="53">
        <v>98</v>
      </c>
      <c r="F280" s="54" t="s">
        <v>1050</v>
      </c>
      <c r="G280" s="7">
        <v>3</v>
      </c>
      <c r="H280" s="59" t="str">
        <f>VLOOKUP(G280,[1]bio!$D$2:$E$4,2,FALSE)</f>
        <v>No bioeconomía</v>
      </c>
    </row>
    <row r="281" spans="1:8" x14ac:dyDescent="0.35">
      <c r="A281" s="68" t="s">
        <v>1292</v>
      </c>
      <c r="B281" s="7" t="s">
        <v>264</v>
      </c>
      <c r="C281" s="7" t="str">
        <f>VLOOKUP(B281, AT_FILAS!$A$2:$C$8,2,FALSE)</f>
        <v>Consumo intermedio</v>
      </c>
      <c r="D281" s="7" t="str">
        <f>VLOOKUP(B281, AT_FILAS!$A$2:$C$8,3,FALSE)</f>
        <v>P2</v>
      </c>
      <c r="E281" s="53">
        <v>99</v>
      </c>
      <c r="F281" s="54" t="s">
        <v>1051</v>
      </c>
      <c r="G281" s="7">
        <v>3</v>
      </c>
      <c r="H281" s="59" t="str">
        <f>VLOOKUP(G281,[1]bio!$D$2:$E$4,2,FALSE)</f>
        <v>No bioeconomía</v>
      </c>
    </row>
    <row r="282" spans="1:8" x14ac:dyDescent="0.35">
      <c r="A282" s="68" t="s">
        <v>1293</v>
      </c>
      <c r="B282" s="7" t="s">
        <v>264</v>
      </c>
      <c r="C282" s="7" t="str">
        <f>VLOOKUP(B282, AT_FILAS!$A$2:$C$8,2,FALSE)</f>
        <v>Consumo intermedio</v>
      </c>
      <c r="D282" s="7" t="str">
        <f>VLOOKUP(B282, AT_FILAS!$A$2:$C$8,3,FALSE)</f>
        <v>P2</v>
      </c>
      <c r="E282" s="53">
        <v>100</v>
      </c>
      <c r="F282" s="54" t="s">
        <v>1052</v>
      </c>
      <c r="G282" s="7">
        <v>3</v>
      </c>
      <c r="H282" s="59" t="str">
        <f>VLOOKUP(G282,[1]bio!$D$2:$E$4,2,FALSE)</f>
        <v>No bioeconomía</v>
      </c>
    </row>
    <row r="283" spans="1:8" x14ac:dyDescent="0.35">
      <c r="A283" s="68" t="s">
        <v>1294</v>
      </c>
      <c r="B283" s="7" t="s">
        <v>264</v>
      </c>
      <c r="C283" s="7" t="str">
        <f>VLOOKUP(B283, AT_FILAS!$A$2:$C$8,2,FALSE)</f>
        <v>Consumo intermedio</v>
      </c>
      <c r="D283" s="7" t="str">
        <f>VLOOKUP(B283, AT_FILAS!$A$2:$C$8,3,FALSE)</f>
        <v>P2</v>
      </c>
      <c r="E283" s="53">
        <v>101</v>
      </c>
      <c r="F283" s="54" t="s">
        <v>1053</v>
      </c>
      <c r="G283" s="7">
        <v>3</v>
      </c>
      <c r="H283" s="59" t="str">
        <f>VLOOKUP(G283,[1]bio!$D$2:$E$4,2,FALSE)</f>
        <v>No bioeconomía</v>
      </c>
    </row>
    <row r="284" spans="1:8" x14ac:dyDescent="0.35">
      <c r="A284" s="68" t="s">
        <v>1295</v>
      </c>
      <c r="B284" s="7" t="s">
        <v>264</v>
      </c>
      <c r="C284" s="7" t="str">
        <f>VLOOKUP(B284, AT_FILAS!$A$2:$C$8,2,FALSE)</f>
        <v>Consumo intermedio</v>
      </c>
      <c r="D284" s="7" t="str">
        <f>VLOOKUP(B284, AT_FILAS!$A$2:$C$8,3,FALSE)</f>
        <v>P2</v>
      </c>
      <c r="E284" s="53">
        <v>102</v>
      </c>
      <c r="F284" s="54" t="s">
        <v>1054</v>
      </c>
      <c r="G284" s="7">
        <v>3</v>
      </c>
      <c r="H284" s="59" t="str">
        <f>VLOOKUP(G284,[1]bio!$D$2:$E$4,2,FALSE)</f>
        <v>No bioeconomía</v>
      </c>
    </row>
    <row r="285" spans="1:8" x14ac:dyDescent="0.35">
      <c r="A285" s="68" t="s">
        <v>1296</v>
      </c>
      <c r="B285" s="7" t="s">
        <v>264</v>
      </c>
      <c r="C285" s="7" t="str">
        <f>VLOOKUP(B285, AT_FILAS!$A$2:$C$8,2,FALSE)</f>
        <v>Consumo intermedio</v>
      </c>
      <c r="D285" s="7" t="str">
        <f>VLOOKUP(B285, AT_FILAS!$A$2:$C$8,3,FALSE)</f>
        <v>P2</v>
      </c>
      <c r="E285" s="53">
        <v>103</v>
      </c>
      <c r="F285" s="54" t="s">
        <v>1055</v>
      </c>
      <c r="G285" s="7">
        <v>3</v>
      </c>
      <c r="H285" s="59" t="str">
        <f>VLOOKUP(G285,[1]bio!$D$2:$E$4,2,FALSE)</f>
        <v>No bioeconomía</v>
      </c>
    </row>
    <row r="286" spans="1:8" x14ac:dyDescent="0.35">
      <c r="A286" s="68" t="s">
        <v>1297</v>
      </c>
      <c r="B286" s="7" t="s">
        <v>264</v>
      </c>
      <c r="C286" s="7" t="str">
        <f>VLOOKUP(B286, AT_FILAS!$A$2:$C$8,2,FALSE)</f>
        <v>Consumo intermedio</v>
      </c>
      <c r="D286" s="7" t="str">
        <f>VLOOKUP(B286, AT_FILAS!$A$2:$C$8,3,FALSE)</f>
        <v>P2</v>
      </c>
      <c r="E286" s="53">
        <v>104</v>
      </c>
      <c r="F286" s="54" t="s">
        <v>1056</v>
      </c>
      <c r="G286" s="7">
        <v>3</v>
      </c>
      <c r="H286" s="59" t="str">
        <f>VLOOKUP(G286,[1]bio!$D$2:$E$4,2,FALSE)</f>
        <v>No bioeconomía</v>
      </c>
    </row>
    <row r="287" spans="1:8" x14ac:dyDescent="0.35">
      <c r="A287" s="68" t="s">
        <v>1298</v>
      </c>
      <c r="B287" s="7" t="s">
        <v>264</v>
      </c>
      <c r="C287" s="7" t="str">
        <f>VLOOKUP(B287, AT_FILAS!$A$2:$C$8,2,FALSE)</f>
        <v>Consumo intermedio</v>
      </c>
      <c r="D287" s="7" t="str">
        <f>VLOOKUP(B287, AT_FILAS!$A$2:$C$8,3,FALSE)</f>
        <v>P2</v>
      </c>
      <c r="E287" s="53">
        <v>105</v>
      </c>
      <c r="F287" s="54" t="s">
        <v>1057</v>
      </c>
      <c r="G287" s="7">
        <v>3</v>
      </c>
      <c r="H287" s="59" t="str">
        <f>VLOOKUP(G287,[1]bio!$D$2:$E$4,2,FALSE)</f>
        <v>No bioeconomía</v>
      </c>
    </row>
    <row r="288" spans="1:8" x14ac:dyDescent="0.35">
      <c r="A288" s="68" t="s">
        <v>1299</v>
      </c>
      <c r="B288" s="7" t="s">
        <v>264</v>
      </c>
      <c r="C288" s="7" t="str">
        <f>VLOOKUP(B288, AT_FILAS!$A$2:$C$8,2,FALSE)</f>
        <v>Consumo intermedio</v>
      </c>
      <c r="D288" s="7" t="str">
        <f>VLOOKUP(B288, AT_FILAS!$A$2:$C$8,3,FALSE)</f>
        <v>P2</v>
      </c>
      <c r="E288" s="53">
        <v>106</v>
      </c>
      <c r="F288" s="54" t="s">
        <v>1058</v>
      </c>
      <c r="G288" s="7">
        <v>3</v>
      </c>
      <c r="H288" s="59" t="str">
        <f>VLOOKUP(G288,[1]bio!$D$2:$E$4,2,FALSE)</f>
        <v>No bioeconomía</v>
      </c>
    </row>
    <row r="289" spans="1:8" x14ac:dyDescent="0.35">
      <c r="A289" s="68" t="s">
        <v>1300</v>
      </c>
      <c r="B289" s="7" t="s">
        <v>264</v>
      </c>
      <c r="C289" s="7" t="str">
        <f>VLOOKUP(B289, AT_FILAS!$A$2:$C$8,2,FALSE)</f>
        <v>Consumo intermedio</v>
      </c>
      <c r="D289" s="7" t="str">
        <f>VLOOKUP(B289, AT_FILAS!$A$2:$C$8,3,FALSE)</f>
        <v>P2</v>
      </c>
      <c r="E289" s="53">
        <v>107</v>
      </c>
      <c r="F289" s="54" t="s">
        <v>1059</v>
      </c>
      <c r="G289" s="7">
        <v>3</v>
      </c>
      <c r="H289" s="59" t="str">
        <f>VLOOKUP(G289,[1]bio!$D$2:$E$4,2,FALSE)</f>
        <v>No bioeconomía</v>
      </c>
    </row>
    <row r="290" spans="1:8" x14ac:dyDescent="0.35">
      <c r="A290" s="68" t="s">
        <v>1301</v>
      </c>
      <c r="B290" s="7" t="s">
        <v>264</v>
      </c>
      <c r="C290" s="7" t="str">
        <f>VLOOKUP(B290, AT_FILAS!$A$2:$C$8,2,FALSE)</f>
        <v>Consumo intermedio</v>
      </c>
      <c r="D290" s="7" t="str">
        <f>VLOOKUP(B290, AT_FILAS!$A$2:$C$8,3,FALSE)</f>
        <v>P2</v>
      </c>
      <c r="E290" s="53">
        <v>108</v>
      </c>
      <c r="F290" s="54" t="s">
        <v>1060</v>
      </c>
      <c r="G290" s="7">
        <v>3</v>
      </c>
      <c r="H290" s="59" t="str">
        <f>VLOOKUP(G290,[1]bio!$D$2:$E$4,2,FALSE)</f>
        <v>No bioeconomía</v>
      </c>
    </row>
    <row r="291" spans="1:8" x14ac:dyDescent="0.35">
      <c r="A291" s="68" t="s">
        <v>1302</v>
      </c>
      <c r="B291" s="7" t="s">
        <v>264</v>
      </c>
      <c r="C291" s="7" t="str">
        <f>VLOOKUP(B291, AT_FILAS!$A$2:$C$8,2,FALSE)</f>
        <v>Consumo intermedio</v>
      </c>
      <c r="D291" s="7" t="str">
        <f>VLOOKUP(B291, AT_FILAS!$A$2:$C$8,3,FALSE)</f>
        <v>P2</v>
      </c>
      <c r="E291" s="53">
        <v>109</v>
      </c>
      <c r="F291" s="54" t="s">
        <v>1061</v>
      </c>
      <c r="G291" s="7">
        <v>3</v>
      </c>
      <c r="H291" s="59" t="str">
        <f>VLOOKUP(G291,[1]bio!$D$2:$E$4,2,FALSE)</f>
        <v>No bioeconomía</v>
      </c>
    </row>
    <row r="292" spans="1:8" x14ac:dyDescent="0.35">
      <c r="A292" s="68" t="s">
        <v>1303</v>
      </c>
      <c r="B292" s="7" t="s">
        <v>264</v>
      </c>
      <c r="C292" s="7" t="str">
        <f>VLOOKUP(B292, AT_FILAS!$A$2:$C$8,2,FALSE)</f>
        <v>Consumo intermedio</v>
      </c>
      <c r="D292" s="7" t="str">
        <f>VLOOKUP(B292, AT_FILAS!$A$2:$C$8,3,FALSE)</f>
        <v>P2</v>
      </c>
      <c r="E292" s="53">
        <v>110</v>
      </c>
      <c r="F292" s="54" t="s">
        <v>1062</v>
      </c>
      <c r="G292" s="7">
        <v>3</v>
      </c>
      <c r="H292" s="59" t="str">
        <f>VLOOKUP(G292,[1]bio!$D$2:$E$4,2,FALSE)</f>
        <v>No bioeconomía</v>
      </c>
    </row>
    <row r="293" spans="1:8" x14ac:dyDescent="0.35">
      <c r="A293" s="68" t="s">
        <v>1304</v>
      </c>
      <c r="B293" s="7" t="s">
        <v>264</v>
      </c>
      <c r="C293" s="7" t="str">
        <f>VLOOKUP(B293, AT_FILAS!$A$2:$C$8,2,FALSE)</f>
        <v>Consumo intermedio</v>
      </c>
      <c r="D293" s="7" t="str">
        <f>VLOOKUP(B293, AT_FILAS!$A$2:$C$8,3,FALSE)</f>
        <v>P2</v>
      </c>
      <c r="E293" s="53">
        <v>111</v>
      </c>
      <c r="F293" s="54" t="s">
        <v>1063</v>
      </c>
      <c r="G293" s="7">
        <v>3</v>
      </c>
      <c r="H293" s="59" t="str">
        <f>VLOOKUP(G293,[1]bio!$D$2:$E$4,2,FALSE)</f>
        <v>No bioeconomía</v>
      </c>
    </row>
    <row r="294" spans="1:8" x14ac:dyDescent="0.35">
      <c r="A294" s="68" t="s">
        <v>1305</v>
      </c>
      <c r="B294" s="7" t="s">
        <v>264</v>
      </c>
      <c r="C294" s="7" t="str">
        <f>VLOOKUP(B294, AT_FILAS!$A$2:$C$8,2,FALSE)</f>
        <v>Consumo intermedio</v>
      </c>
      <c r="D294" s="7" t="str">
        <f>VLOOKUP(B294, AT_FILAS!$A$2:$C$8,3,FALSE)</f>
        <v>P2</v>
      </c>
      <c r="E294" s="53">
        <v>112</v>
      </c>
      <c r="F294" s="54" t="s">
        <v>1064</v>
      </c>
      <c r="G294" s="7">
        <v>3</v>
      </c>
      <c r="H294" s="59" t="str">
        <f>VLOOKUP(G294,[1]bio!$D$2:$E$4,2,FALSE)</f>
        <v>No bioeconomía</v>
      </c>
    </row>
    <row r="295" spans="1:8" x14ac:dyDescent="0.35">
      <c r="A295" s="68" t="s">
        <v>1306</v>
      </c>
      <c r="B295" s="7" t="s">
        <v>264</v>
      </c>
      <c r="C295" s="7" t="str">
        <f>VLOOKUP(B295, AT_FILAS!$A$2:$C$8,2,FALSE)</f>
        <v>Consumo intermedio</v>
      </c>
      <c r="D295" s="7" t="str">
        <f>VLOOKUP(B295, AT_FILAS!$A$2:$C$8,3,FALSE)</f>
        <v>P2</v>
      </c>
      <c r="E295" s="53">
        <v>113</v>
      </c>
      <c r="F295" s="54" t="s">
        <v>1065</v>
      </c>
      <c r="G295" s="7">
        <v>3</v>
      </c>
      <c r="H295" s="59" t="str">
        <f>VLOOKUP(G295,[1]bio!$D$2:$E$4,2,FALSE)</f>
        <v>No bioeconomía</v>
      </c>
    </row>
    <row r="296" spans="1:8" x14ac:dyDescent="0.35">
      <c r="A296" s="68" t="s">
        <v>1307</v>
      </c>
      <c r="B296" s="7" t="s">
        <v>264</v>
      </c>
      <c r="C296" s="7" t="str">
        <f>VLOOKUP(B296, AT_FILAS!$A$2:$C$8,2,FALSE)</f>
        <v>Consumo intermedio</v>
      </c>
      <c r="D296" s="7" t="str">
        <f>VLOOKUP(B296, AT_FILAS!$A$2:$C$8,3,FALSE)</f>
        <v>P2</v>
      </c>
      <c r="E296" s="53">
        <v>114</v>
      </c>
      <c r="F296" s="54" t="s">
        <v>1066</v>
      </c>
      <c r="G296" s="7">
        <v>3</v>
      </c>
      <c r="H296" s="59" t="str">
        <f>VLOOKUP(G296,[1]bio!$D$2:$E$4,2,FALSE)</f>
        <v>No bioeconomía</v>
      </c>
    </row>
    <row r="297" spans="1:8" x14ac:dyDescent="0.35">
      <c r="A297" s="68" t="s">
        <v>1308</v>
      </c>
      <c r="B297" s="7" t="s">
        <v>264</v>
      </c>
      <c r="C297" s="7" t="str">
        <f>VLOOKUP(B297, AT_FILAS!$A$2:$C$8,2,FALSE)</f>
        <v>Consumo intermedio</v>
      </c>
      <c r="D297" s="7" t="str">
        <f>VLOOKUP(B297, AT_FILAS!$A$2:$C$8,3,FALSE)</f>
        <v>P2</v>
      </c>
      <c r="E297" s="53">
        <v>115</v>
      </c>
      <c r="F297" s="54" t="s">
        <v>1067</v>
      </c>
      <c r="G297" s="7">
        <v>3</v>
      </c>
      <c r="H297" s="59" t="str">
        <f>VLOOKUP(G297,[1]bio!$D$2:$E$4,2,FALSE)</f>
        <v>No bioeconomía</v>
      </c>
    </row>
    <row r="298" spans="1:8" x14ac:dyDescent="0.35">
      <c r="A298" s="68" t="s">
        <v>1309</v>
      </c>
      <c r="B298" s="7" t="s">
        <v>264</v>
      </c>
      <c r="C298" s="7" t="str">
        <f>VLOOKUP(B298, AT_FILAS!$A$2:$C$8,2,FALSE)</f>
        <v>Consumo intermedio</v>
      </c>
      <c r="D298" s="7" t="str">
        <f>VLOOKUP(B298, AT_FILAS!$A$2:$C$8,3,FALSE)</f>
        <v>P2</v>
      </c>
      <c r="E298" s="53">
        <v>116</v>
      </c>
      <c r="F298" s="54" t="s">
        <v>1068</v>
      </c>
      <c r="G298" s="7">
        <v>3</v>
      </c>
      <c r="H298" s="59" t="str">
        <f>VLOOKUP(G298,[1]bio!$D$2:$E$4,2,FALSE)</f>
        <v>No bioeconomía</v>
      </c>
    </row>
    <row r="299" spans="1:8" x14ac:dyDescent="0.35">
      <c r="A299" s="68" t="s">
        <v>1310</v>
      </c>
      <c r="B299" s="7" t="s">
        <v>264</v>
      </c>
      <c r="C299" s="7" t="str">
        <f>VLOOKUP(B299, AT_FILAS!$A$2:$C$8,2,FALSE)</f>
        <v>Consumo intermedio</v>
      </c>
      <c r="D299" s="7" t="str">
        <f>VLOOKUP(B299, AT_FILAS!$A$2:$C$8,3,FALSE)</f>
        <v>P2</v>
      </c>
      <c r="E299" s="53">
        <v>117</v>
      </c>
      <c r="F299" s="54" t="s">
        <v>1069</v>
      </c>
      <c r="G299" s="7">
        <v>3</v>
      </c>
      <c r="H299" s="59" t="str">
        <f>VLOOKUP(G299,[1]bio!$D$2:$E$4,2,FALSE)</f>
        <v>No bioeconomía</v>
      </c>
    </row>
    <row r="300" spans="1:8" x14ac:dyDescent="0.35">
      <c r="A300" s="68" t="s">
        <v>1311</v>
      </c>
      <c r="B300" s="7" t="s">
        <v>264</v>
      </c>
      <c r="C300" s="7" t="str">
        <f>VLOOKUP(B300, AT_FILAS!$A$2:$C$8,2,FALSE)</f>
        <v>Consumo intermedio</v>
      </c>
      <c r="D300" s="7" t="str">
        <f>VLOOKUP(B300, AT_FILAS!$A$2:$C$8,3,FALSE)</f>
        <v>P2</v>
      </c>
      <c r="E300" s="53">
        <v>118</v>
      </c>
      <c r="F300" s="54" t="s">
        <v>1070</v>
      </c>
      <c r="G300" s="7">
        <v>3</v>
      </c>
      <c r="H300" s="59" t="str">
        <f>VLOOKUP(G300,[1]bio!$D$2:$E$4,2,FALSE)</f>
        <v>No bioeconomía</v>
      </c>
    </row>
    <row r="301" spans="1:8" x14ac:dyDescent="0.35">
      <c r="A301" s="68" t="s">
        <v>1312</v>
      </c>
      <c r="B301" s="7" t="s">
        <v>264</v>
      </c>
      <c r="C301" s="7" t="str">
        <f>VLOOKUP(B301, AT_FILAS!$A$2:$C$8,2,FALSE)</f>
        <v>Consumo intermedio</v>
      </c>
      <c r="D301" s="7" t="str">
        <f>VLOOKUP(B301, AT_FILAS!$A$2:$C$8,3,FALSE)</f>
        <v>P2</v>
      </c>
      <c r="E301" s="53">
        <v>119</v>
      </c>
      <c r="F301" s="54" t="s">
        <v>1071</v>
      </c>
      <c r="G301" s="7">
        <v>3</v>
      </c>
      <c r="H301" s="59" t="str">
        <f>VLOOKUP(G301,[1]bio!$D$2:$E$4,2,FALSE)</f>
        <v>No bioeconomía</v>
      </c>
    </row>
    <row r="302" spans="1:8" x14ac:dyDescent="0.35">
      <c r="A302" s="68" t="s">
        <v>1313</v>
      </c>
      <c r="B302" s="7" t="s">
        <v>264</v>
      </c>
      <c r="C302" s="7" t="str">
        <f>VLOOKUP(B302, AT_FILAS!$A$2:$C$8,2,FALSE)</f>
        <v>Consumo intermedio</v>
      </c>
      <c r="D302" s="7" t="str">
        <f>VLOOKUP(B302, AT_FILAS!$A$2:$C$8,3,FALSE)</f>
        <v>P2</v>
      </c>
      <c r="E302" s="53">
        <v>120</v>
      </c>
      <c r="F302" s="54" t="s">
        <v>1072</v>
      </c>
      <c r="G302" s="7">
        <v>3</v>
      </c>
      <c r="H302" s="59" t="str">
        <f>VLOOKUP(G302,[1]bio!$D$2:$E$4,2,FALSE)</f>
        <v>No bioeconomía</v>
      </c>
    </row>
    <row r="303" spans="1:8" x14ac:dyDescent="0.35">
      <c r="A303" s="68" t="s">
        <v>1314</v>
      </c>
      <c r="B303" s="7" t="s">
        <v>264</v>
      </c>
      <c r="C303" s="7" t="str">
        <f>VLOOKUP(B303, AT_FILAS!$A$2:$C$8,2,FALSE)</f>
        <v>Consumo intermedio</v>
      </c>
      <c r="D303" s="7" t="str">
        <f>VLOOKUP(B303, AT_FILAS!$A$2:$C$8,3,FALSE)</f>
        <v>P2</v>
      </c>
      <c r="E303" s="53">
        <v>121</v>
      </c>
      <c r="F303" s="54" t="s">
        <v>1073</v>
      </c>
      <c r="G303" s="7">
        <v>3</v>
      </c>
      <c r="H303" s="59" t="str">
        <f>VLOOKUP(G303,[1]bio!$D$2:$E$4,2,FALSE)</f>
        <v>No bioeconomía</v>
      </c>
    </row>
    <row r="304" spans="1:8" x14ac:dyDescent="0.35">
      <c r="A304" s="68" t="s">
        <v>1315</v>
      </c>
      <c r="B304" s="7" t="s">
        <v>264</v>
      </c>
      <c r="C304" s="7" t="str">
        <f>VLOOKUP(B304, AT_FILAS!$A$2:$C$8,2,FALSE)</f>
        <v>Consumo intermedio</v>
      </c>
      <c r="D304" s="7" t="str">
        <f>VLOOKUP(B304, AT_FILAS!$A$2:$C$8,3,FALSE)</f>
        <v>P2</v>
      </c>
      <c r="E304" s="53">
        <v>122</v>
      </c>
      <c r="F304" s="54" t="s">
        <v>1074</v>
      </c>
      <c r="G304" s="7">
        <v>3</v>
      </c>
      <c r="H304" s="59" t="str">
        <f>VLOOKUP(G304,[1]bio!$D$2:$E$4,2,FALSE)</f>
        <v>No bioeconomía</v>
      </c>
    </row>
    <row r="305" spans="1:8" x14ac:dyDescent="0.35">
      <c r="A305" s="68" t="s">
        <v>1316</v>
      </c>
      <c r="B305" s="7" t="s">
        <v>264</v>
      </c>
      <c r="C305" s="7" t="str">
        <f>VLOOKUP(B305, AT_FILAS!$A$2:$C$8,2,FALSE)</f>
        <v>Consumo intermedio</v>
      </c>
      <c r="D305" s="7" t="str">
        <f>VLOOKUP(B305, AT_FILAS!$A$2:$C$8,3,FALSE)</f>
        <v>P2</v>
      </c>
      <c r="E305" s="53">
        <v>123</v>
      </c>
      <c r="F305" s="54" t="s">
        <v>1075</v>
      </c>
      <c r="G305" s="7">
        <v>2</v>
      </c>
      <c r="H305" s="59" t="str">
        <f>VLOOKUP(G305,[1]bio!$D$2:$E$4,2,FALSE)</f>
        <v>Bioeconomía extendida</v>
      </c>
    </row>
    <row r="306" spans="1:8" x14ac:dyDescent="0.35">
      <c r="A306" s="68" t="s">
        <v>1317</v>
      </c>
      <c r="B306" s="7" t="s">
        <v>264</v>
      </c>
      <c r="C306" s="7" t="str">
        <f>VLOOKUP(B306, AT_FILAS!$A$2:$C$8,2,FALSE)</f>
        <v>Consumo intermedio</v>
      </c>
      <c r="D306" s="7" t="str">
        <f>VLOOKUP(B306, AT_FILAS!$A$2:$C$8,3,FALSE)</f>
        <v>P2</v>
      </c>
      <c r="E306" s="53">
        <v>124</v>
      </c>
      <c r="F306" s="54" t="s">
        <v>1076</v>
      </c>
      <c r="G306" s="7">
        <v>2</v>
      </c>
      <c r="H306" s="59" t="str">
        <f>VLOOKUP(G306,[1]bio!$D$2:$E$4,2,FALSE)</f>
        <v>Bioeconomía extendida</v>
      </c>
    </row>
    <row r="307" spans="1:8" x14ac:dyDescent="0.35">
      <c r="A307" s="68" t="s">
        <v>1318</v>
      </c>
      <c r="B307" s="7" t="s">
        <v>264</v>
      </c>
      <c r="C307" s="7" t="str">
        <f>VLOOKUP(B307, AT_FILAS!$A$2:$C$8,2,FALSE)</f>
        <v>Consumo intermedio</v>
      </c>
      <c r="D307" s="7" t="str">
        <f>VLOOKUP(B307, AT_FILAS!$A$2:$C$8,3,FALSE)</f>
        <v>P2</v>
      </c>
      <c r="E307" s="53">
        <v>125</v>
      </c>
      <c r="F307" s="54" t="s">
        <v>1077</v>
      </c>
      <c r="G307" s="7">
        <v>3</v>
      </c>
      <c r="H307" s="59" t="str">
        <f>VLOOKUP(G307,[1]bio!$D$2:$E$4,2,FALSE)</f>
        <v>No bioeconomía</v>
      </c>
    </row>
    <row r="308" spans="1:8" x14ac:dyDescent="0.35">
      <c r="A308" s="68" t="s">
        <v>1319</v>
      </c>
      <c r="B308" s="7" t="s">
        <v>264</v>
      </c>
      <c r="C308" s="7" t="str">
        <f>VLOOKUP(B308, AT_FILAS!$A$2:$C$8,2,FALSE)</f>
        <v>Consumo intermedio</v>
      </c>
      <c r="D308" s="7" t="str">
        <f>VLOOKUP(B308, AT_FILAS!$A$2:$C$8,3,FALSE)</f>
        <v>P2</v>
      </c>
      <c r="E308" s="53">
        <v>126</v>
      </c>
      <c r="F308" s="54" t="s">
        <v>1078</v>
      </c>
      <c r="G308" s="7">
        <v>3</v>
      </c>
      <c r="H308" s="59" t="str">
        <f>VLOOKUP(G308,[1]bio!$D$2:$E$4,2,FALSE)</f>
        <v>No bioeconomía</v>
      </c>
    </row>
    <row r="309" spans="1:8" x14ac:dyDescent="0.35">
      <c r="A309" s="68" t="s">
        <v>1320</v>
      </c>
      <c r="B309" s="7" t="s">
        <v>264</v>
      </c>
      <c r="C309" s="7" t="str">
        <f>VLOOKUP(B309, AT_FILAS!$A$2:$C$8,2,FALSE)</f>
        <v>Consumo intermedio</v>
      </c>
      <c r="D309" s="7" t="str">
        <f>VLOOKUP(B309, AT_FILAS!$A$2:$C$8,3,FALSE)</f>
        <v>P2</v>
      </c>
      <c r="E309" s="53">
        <v>127</v>
      </c>
      <c r="F309" s="54" t="s">
        <v>1079</v>
      </c>
      <c r="G309" s="7">
        <v>3</v>
      </c>
      <c r="H309" s="59" t="str">
        <f>VLOOKUP(G309,[1]bio!$D$2:$E$4,2,FALSE)</f>
        <v>No bioeconomía</v>
      </c>
    </row>
    <row r="310" spans="1:8" x14ac:dyDescent="0.35">
      <c r="A310" s="68" t="s">
        <v>1321</v>
      </c>
      <c r="B310" s="7" t="s">
        <v>264</v>
      </c>
      <c r="C310" s="7" t="str">
        <f>VLOOKUP(B310, AT_FILAS!$A$2:$C$8,2,FALSE)</f>
        <v>Consumo intermedio</v>
      </c>
      <c r="D310" s="7" t="str">
        <f>VLOOKUP(B310, AT_FILAS!$A$2:$C$8,3,FALSE)</f>
        <v>P2</v>
      </c>
      <c r="E310" s="53">
        <v>128</v>
      </c>
      <c r="F310" s="54" t="s">
        <v>1080</v>
      </c>
      <c r="G310" s="7">
        <v>3</v>
      </c>
      <c r="H310" s="59" t="str">
        <f>VLOOKUP(G310,[1]bio!$D$2:$E$4,2,FALSE)</f>
        <v>No bioeconomía</v>
      </c>
    </row>
    <row r="311" spans="1:8" x14ac:dyDescent="0.35">
      <c r="A311" s="68" t="s">
        <v>1322</v>
      </c>
      <c r="B311" s="7" t="s">
        <v>264</v>
      </c>
      <c r="C311" s="7" t="str">
        <f>VLOOKUP(B311, AT_FILAS!$A$2:$C$8,2,FALSE)</f>
        <v>Consumo intermedio</v>
      </c>
      <c r="D311" s="7" t="str">
        <f>VLOOKUP(B311, AT_FILAS!$A$2:$C$8,3,FALSE)</f>
        <v>P2</v>
      </c>
      <c r="E311" s="53">
        <v>129</v>
      </c>
      <c r="F311" s="54" t="s">
        <v>1081</v>
      </c>
      <c r="G311" s="7">
        <v>3</v>
      </c>
      <c r="H311" s="59" t="str">
        <f>VLOOKUP(G311,[1]bio!$D$2:$E$4,2,FALSE)</f>
        <v>No bioeconomía</v>
      </c>
    </row>
    <row r="312" spans="1:8" x14ac:dyDescent="0.35">
      <c r="A312" s="68" t="s">
        <v>1323</v>
      </c>
      <c r="B312" s="7" t="s">
        <v>264</v>
      </c>
      <c r="C312" s="7" t="str">
        <f>VLOOKUP(B312, AT_FILAS!$A$2:$C$8,2,FALSE)</f>
        <v>Consumo intermedio</v>
      </c>
      <c r="D312" s="7" t="str">
        <f>VLOOKUP(B312, AT_FILAS!$A$2:$C$8,3,FALSE)</f>
        <v>P2</v>
      </c>
      <c r="E312" s="53">
        <v>130</v>
      </c>
      <c r="F312" s="54" t="s">
        <v>1082</v>
      </c>
      <c r="G312" s="7">
        <v>3</v>
      </c>
      <c r="H312" s="59" t="str">
        <f>VLOOKUP(G312,[1]bio!$D$2:$E$4,2,FALSE)</f>
        <v>No bioeconomía</v>
      </c>
    </row>
    <row r="313" spans="1:8" x14ac:dyDescent="0.35">
      <c r="A313" s="68" t="s">
        <v>1324</v>
      </c>
      <c r="B313" s="7" t="s">
        <v>264</v>
      </c>
      <c r="C313" s="7" t="str">
        <f>VLOOKUP(B313, AT_FILAS!$A$2:$C$8,2,FALSE)</f>
        <v>Consumo intermedio</v>
      </c>
      <c r="D313" s="7" t="str">
        <f>VLOOKUP(B313, AT_FILAS!$A$2:$C$8,3,FALSE)</f>
        <v>P2</v>
      </c>
      <c r="E313" s="53">
        <v>131</v>
      </c>
      <c r="F313" s="54" t="s">
        <v>1083</v>
      </c>
      <c r="G313" s="7">
        <v>3</v>
      </c>
      <c r="H313" s="59" t="str">
        <f>VLOOKUP(G313,[1]bio!$D$2:$E$4,2,FALSE)</f>
        <v>No bioeconomía</v>
      </c>
    </row>
    <row r="314" spans="1:8" x14ac:dyDescent="0.35">
      <c r="A314" s="68" t="s">
        <v>1325</v>
      </c>
      <c r="B314" s="7" t="s">
        <v>264</v>
      </c>
      <c r="C314" s="7" t="str">
        <f>VLOOKUP(B314, AT_FILAS!$A$2:$C$8,2,FALSE)</f>
        <v>Consumo intermedio</v>
      </c>
      <c r="D314" s="7" t="str">
        <f>VLOOKUP(B314, AT_FILAS!$A$2:$C$8,3,FALSE)</f>
        <v>P2</v>
      </c>
      <c r="E314" s="53">
        <v>132</v>
      </c>
      <c r="F314" s="54" t="s">
        <v>1084</v>
      </c>
      <c r="G314" s="7">
        <v>3</v>
      </c>
      <c r="H314" s="59" t="str">
        <f>VLOOKUP(G314,[1]bio!$D$2:$E$4,2,FALSE)</f>
        <v>No bioeconomía</v>
      </c>
    </row>
    <row r="315" spans="1:8" x14ac:dyDescent="0.35">
      <c r="A315" s="68" t="s">
        <v>1326</v>
      </c>
      <c r="B315" s="7" t="s">
        <v>264</v>
      </c>
      <c r="C315" s="7" t="str">
        <f>VLOOKUP(B315, AT_FILAS!$A$2:$C$8,2,FALSE)</f>
        <v>Consumo intermedio</v>
      </c>
      <c r="D315" s="7" t="str">
        <f>VLOOKUP(B315, AT_FILAS!$A$2:$C$8,3,FALSE)</f>
        <v>P2</v>
      </c>
      <c r="E315" s="53">
        <v>133</v>
      </c>
      <c r="F315" s="54" t="s">
        <v>1085</v>
      </c>
      <c r="G315" s="7">
        <v>3</v>
      </c>
      <c r="H315" s="59" t="str">
        <f>VLOOKUP(G315,[1]bio!$D$2:$E$4,2,FALSE)</f>
        <v>No bioeconomía</v>
      </c>
    </row>
    <row r="316" spans="1:8" x14ac:dyDescent="0.35">
      <c r="A316" s="68" t="s">
        <v>1327</v>
      </c>
      <c r="B316" s="7" t="s">
        <v>264</v>
      </c>
      <c r="C316" s="7" t="str">
        <f>VLOOKUP(B316, AT_FILAS!$A$2:$C$8,2,FALSE)</f>
        <v>Consumo intermedio</v>
      </c>
      <c r="D316" s="7" t="str">
        <f>VLOOKUP(B316, AT_FILAS!$A$2:$C$8,3,FALSE)</f>
        <v>P2</v>
      </c>
      <c r="E316" s="53">
        <v>134</v>
      </c>
      <c r="F316" s="54" t="s">
        <v>1086</v>
      </c>
      <c r="G316" s="7">
        <v>3</v>
      </c>
      <c r="H316" s="59" t="str">
        <f>VLOOKUP(G316,[1]bio!$D$2:$E$4,2,FALSE)</f>
        <v>No bioeconomía</v>
      </c>
    </row>
    <row r="317" spans="1:8" x14ac:dyDescent="0.35">
      <c r="A317" s="68" t="s">
        <v>1328</v>
      </c>
      <c r="B317" s="7" t="s">
        <v>264</v>
      </c>
      <c r="C317" s="7" t="str">
        <f>VLOOKUP(B317, AT_FILAS!$A$2:$C$8,2,FALSE)</f>
        <v>Consumo intermedio</v>
      </c>
      <c r="D317" s="7" t="str">
        <f>VLOOKUP(B317, AT_FILAS!$A$2:$C$8,3,FALSE)</f>
        <v>P2</v>
      </c>
      <c r="E317" s="53">
        <v>135</v>
      </c>
      <c r="F317" s="54" t="s">
        <v>1087</v>
      </c>
      <c r="G317" s="7">
        <v>3</v>
      </c>
      <c r="H317" s="59" t="str">
        <f>VLOOKUP(G317,[1]bio!$D$2:$E$4,2,FALSE)</f>
        <v>No bioeconomía</v>
      </c>
    </row>
    <row r="318" spans="1:8" x14ac:dyDescent="0.35">
      <c r="A318" s="68" t="s">
        <v>1329</v>
      </c>
      <c r="B318" s="7" t="s">
        <v>264</v>
      </c>
      <c r="C318" s="7" t="str">
        <f>VLOOKUP(B318, AT_FILAS!$A$2:$C$8,2,FALSE)</f>
        <v>Consumo intermedio</v>
      </c>
      <c r="D318" s="7" t="str">
        <f>VLOOKUP(B318, AT_FILAS!$A$2:$C$8,3,FALSE)</f>
        <v>P2</v>
      </c>
      <c r="E318" s="53">
        <v>136</v>
      </c>
      <c r="F318" s="54" t="s">
        <v>1088</v>
      </c>
      <c r="G318" s="7">
        <v>3</v>
      </c>
      <c r="H318" s="59" t="str">
        <f>VLOOKUP(G318,[1]bio!$D$2:$E$4,2,FALSE)</f>
        <v>No bioeconomía</v>
      </c>
    </row>
    <row r="319" spans="1:8" x14ac:dyDescent="0.35">
      <c r="A319" s="68" t="s">
        <v>1330</v>
      </c>
      <c r="B319" s="7" t="s">
        <v>264</v>
      </c>
      <c r="C319" s="7" t="str">
        <f>VLOOKUP(B319, AT_FILAS!$A$2:$C$8,2,FALSE)</f>
        <v>Consumo intermedio</v>
      </c>
      <c r="D319" s="7" t="str">
        <f>VLOOKUP(B319, AT_FILAS!$A$2:$C$8,3,FALSE)</f>
        <v>P2</v>
      </c>
      <c r="E319" s="53">
        <v>137</v>
      </c>
      <c r="F319" s="54" t="s">
        <v>1089</v>
      </c>
      <c r="G319" s="7">
        <v>3</v>
      </c>
      <c r="H319" s="59" t="str">
        <f>VLOOKUP(G319,[1]bio!$D$2:$E$4,2,FALSE)</f>
        <v>No bioeconomía</v>
      </c>
    </row>
    <row r="320" spans="1:8" x14ac:dyDescent="0.35">
      <c r="A320" s="68" t="s">
        <v>1331</v>
      </c>
      <c r="B320" s="7" t="s">
        <v>264</v>
      </c>
      <c r="C320" s="7" t="str">
        <f>VLOOKUP(B320, AT_FILAS!$A$2:$C$8,2,FALSE)</f>
        <v>Consumo intermedio</v>
      </c>
      <c r="D320" s="7" t="str">
        <f>VLOOKUP(B320, AT_FILAS!$A$2:$C$8,3,FALSE)</f>
        <v>P2</v>
      </c>
      <c r="E320" s="53">
        <v>138</v>
      </c>
      <c r="F320" s="54" t="s">
        <v>1090</v>
      </c>
      <c r="G320" s="7">
        <v>2</v>
      </c>
      <c r="H320" s="59" t="str">
        <f>VLOOKUP(G320,[1]bio!$D$2:$E$4,2,FALSE)</f>
        <v>Bioeconomía extendida</v>
      </c>
    </row>
    <row r="321" spans="1:8" x14ac:dyDescent="0.35">
      <c r="A321" s="68" t="s">
        <v>1332</v>
      </c>
      <c r="B321" s="7" t="s">
        <v>264</v>
      </c>
      <c r="C321" s="7" t="str">
        <f>VLOOKUP(B321, AT_FILAS!$A$2:$C$8,2,FALSE)</f>
        <v>Consumo intermedio</v>
      </c>
      <c r="D321" s="7" t="str">
        <f>VLOOKUP(B321, AT_FILAS!$A$2:$C$8,3,FALSE)</f>
        <v>P2</v>
      </c>
      <c r="E321" s="53">
        <v>139</v>
      </c>
      <c r="F321" s="54" t="s">
        <v>1091</v>
      </c>
      <c r="G321" s="7">
        <v>3</v>
      </c>
      <c r="H321" s="59" t="str">
        <f>VLOOKUP(G321,[1]bio!$D$2:$E$4,2,FALSE)</f>
        <v>No bioeconomía</v>
      </c>
    </row>
    <row r="322" spans="1:8" x14ac:dyDescent="0.35">
      <c r="A322" s="68" t="s">
        <v>1333</v>
      </c>
      <c r="B322" s="7" t="s">
        <v>264</v>
      </c>
      <c r="C322" s="7" t="str">
        <f>VLOOKUP(B322, AT_FILAS!$A$2:$C$8,2,FALSE)</f>
        <v>Consumo intermedio</v>
      </c>
      <c r="D322" s="7" t="str">
        <f>VLOOKUP(B322, AT_FILAS!$A$2:$C$8,3,FALSE)</f>
        <v>P2</v>
      </c>
      <c r="E322" s="53">
        <v>140</v>
      </c>
      <c r="F322" s="54" t="s">
        <v>1092</v>
      </c>
      <c r="G322" s="7">
        <v>3</v>
      </c>
      <c r="H322" s="59" t="str">
        <f>VLOOKUP(G322,[1]bio!$D$2:$E$4,2,FALSE)</f>
        <v>No bioeconomía</v>
      </c>
    </row>
    <row r="323" spans="1:8" x14ac:dyDescent="0.35">
      <c r="A323" s="68" t="s">
        <v>1334</v>
      </c>
      <c r="B323" s="7" t="s">
        <v>264</v>
      </c>
      <c r="C323" s="7" t="str">
        <f>VLOOKUP(B323, AT_FILAS!$A$2:$C$8,2,FALSE)</f>
        <v>Consumo intermedio</v>
      </c>
      <c r="D323" s="7" t="str">
        <f>VLOOKUP(B323, AT_FILAS!$A$2:$C$8,3,FALSE)</f>
        <v>P2</v>
      </c>
      <c r="E323" s="53">
        <v>141</v>
      </c>
      <c r="F323" s="54" t="s">
        <v>1093</v>
      </c>
      <c r="G323" s="7">
        <v>3</v>
      </c>
      <c r="H323" s="59" t="str">
        <f>VLOOKUP(G323,[1]bio!$D$2:$E$4,2,FALSE)</f>
        <v>No bioeconomía</v>
      </c>
    </row>
    <row r="324" spans="1:8" x14ac:dyDescent="0.35">
      <c r="A324" s="68" t="s">
        <v>1335</v>
      </c>
      <c r="B324" s="7" t="s">
        <v>264</v>
      </c>
      <c r="C324" s="7" t="str">
        <f>VLOOKUP(B324, AT_FILAS!$A$2:$C$8,2,FALSE)</f>
        <v>Consumo intermedio</v>
      </c>
      <c r="D324" s="7" t="str">
        <f>VLOOKUP(B324, AT_FILAS!$A$2:$C$8,3,FALSE)</f>
        <v>P2</v>
      </c>
      <c r="E324" s="53">
        <v>142</v>
      </c>
      <c r="F324" s="54" t="s">
        <v>411</v>
      </c>
      <c r="G324" s="7">
        <v>3</v>
      </c>
      <c r="H324" s="59" t="str">
        <f>VLOOKUP(G324,[1]bio!$D$2:$E$4,2,FALSE)</f>
        <v>No bioeconomía</v>
      </c>
    </row>
    <row r="325" spans="1:8" x14ac:dyDescent="0.35">
      <c r="A325" s="68" t="s">
        <v>1336</v>
      </c>
      <c r="B325" s="7" t="s">
        <v>264</v>
      </c>
      <c r="C325" s="7" t="str">
        <f>VLOOKUP(B325, AT_FILAS!$A$2:$C$8,2,FALSE)</f>
        <v>Consumo intermedio</v>
      </c>
      <c r="D325" s="7" t="str">
        <f>VLOOKUP(B325, AT_FILAS!$A$2:$C$8,3,FALSE)</f>
        <v>P2</v>
      </c>
      <c r="E325" s="53">
        <v>143</v>
      </c>
      <c r="F325" s="54" t="s">
        <v>1094</v>
      </c>
      <c r="G325" s="7">
        <v>3</v>
      </c>
      <c r="H325" s="59" t="str">
        <f>VLOOKUP(G325,[1]bio!$D$2:$E$4,2,FALSE)</f>
        <v>No bioeconomía</v>
      </c>
    </row>
    <row r="326" spans="1:8" x14ac:dyDescent="0.35">
      <c r="A326" s="68" t="s">
        <v>1337</v>
      </c>
      <c r="B326" s="7" t="s">
        <v>264</v>
      </c>
      <c r="C326" s="7" t="str">
        <f>VLOOKUP(B326, AT_FILAS!$A$2:$C$8,2,FALSE)</f>
        <v>Consumo intermedio</v>
      </c>
      <c r="D326" s="7" t="str">
        <f>VLOOKUP(B326, AT_FILAS!$A$2:$C$8,3,FALSE)</f>
        <v>P2</v>
      </c>
      <c r="E326" s="53">
        <v>144</v>
      </c>
      <c r="F326" s="54" t="s">
        <v>1095</v>
      </c>
      <c r="G326" s="7">
        <v>3</v>
      </c>
      <c r="H326" s="59" t="str">
        <f>VLOOKUP(G326,[1]bio!$D$2:$E$4,2,FALSE)</f>
        <v>No bioeconomía</v>
      </c>
    </row>
    <row r="327" spans="1:8" x14ac:dyDescent="0.35">
      <c r="A327" s="68" t="s">
        <v>1338</v>
      </c>
      <c r="B327" s="7" t="s">
        <v>264</v>
      </c>
      <c r="C327" s="7" t="str">
        <f>VLOOKUP(B327, AT_FILAS!$A$2:$C$8,2,FALSE)</f>
        <v>Consumo intermedio</v>
      </c>
      <c r="D327" s="7" t="str">
        <f>VLOOKUP(B327, AT_FILAS!$A$2:$C$8,3,FALSE)</f>
        <v>P2</v>
      </c>
      <c r="E327" s="53">
        <v>145</v>
      </c>
      <c r="F327" s="54" t="s">
        <v>1096</v>
      </c>
      <c r="G327" s="7">
        <v>3</v>
      </c>
      <c r="H327" s="59" t="str">
        <f>VLOOKUP(G327,[1]bio!$D$2:$E$4,2,FALSE)</f>
        <v>No bioeconomía</v>
      </c>
    </row>
    <row r="328" spans="1:8" x14ac:dyDescent="0.35">
      <c r="A328" s="68" t="s">
        <v>1339</v>
      </c>
      <c r="B328" s="7" t="s">
        <v>264</v>
      </c>
      <c r="C328" s="7" t="str">
        <f>VLOOKUP(B328, AT_FILAS!$A$2:$C$8,2,FALSE)</f>
        <v>Consumo intermedio</v>
      </c>
      <c r="D328" s="7" t="str">
        <f>VLOOKUP(B328, AT_FILAS!$A$2:$C$8,3,FALSE)</f>
        <v>P2</v>
      </c>
      <c r="E328" s="53">
        <v>146</v>
      </c>
      <c r="F328" s="54" t="s">
        <v>1097</v>
      </c>
      <c r="G328" s="7">
        <v>3</v>
      </c>
      <c r="H328" s="59" t="str">
        <f>VLOOKUP(G328,[1]bio!$D$2:$E$4,2,FALSE)</f>
        <v>No bioeconomía</v>
      </c>
    </row>
    <row r="329" spans="1:8" x14ac:dyDescent="0.35">
      <c r="A329" s="68" t="s">
        <v>1340</v>
      </c>
      <c r="B329" s="7" t="s">
        <v>264</v>
      </c>
      <c r="C329" s="7" t="str">
        <f>VLOOKUP(B329, AT_FILAS!$A$2:$C$8,2,FALSE)</f>
        <v>Consumo intermedio</v>
      </c>
      <c r="D329" s="7" t="str">
        <f>VLOOKUP(B329, AT_FILAS!$A$2:$C$8,3,FALSE)</f>
        <v>P2</v>
      </c>
      <c r="E329" s="53">
        <v>147</v>
      </c>
      <c r="F329" s="54" t="s">
        <v>1098</v>
      </c>
      <c r="G329" s="7">
        <v>3</v>
      </c>
      <c r="H329" s="59" t="str">
        <f>VLOOKUP(G329,[1]bio!$D$2:$E$4,2,FALSE)</f>
        <v>No bioeconomía</v>
      </c>
    </row>
    <row r="330" spans="1:8" x14ac:dyDescent="0.35">
      <c r="A330" s="68" t="s">
        <v>1341</v>
      </c>
      <c r="B330" s="7" t="s">
        <v>264</v>
      </c>
      <c r="C330" s="7" t="str">
        <f>VLOOKUP(B330, AT_FILAS!$A$2:$C$8,2,FALSE)</f>
        <v>Consumo intermedio</v>
      </c>
      <c r="D330" s="7" t="str">
        <f>VLOOKUP(B330, AT_FILAS!$A$2:$C$8,3,FALSE)</f>
        <v>P2</v>
      </c>
      <c r="E330" s="53">
        <v>148</v>
      </c>
      <c r="F330" s="54" t="s">
        <v>1099</v>
      </c>
      <c r="G330" s="7">
        <v>3</v>
      </c>
      <c r="H330" s="59" t="str">
        <f>VLOOKUP(G330,[1]bio!$D$2:$E$4,2,FALSE)</f>
        <v>No bioeconomía</v>
      </c>
    </row>
    <row r="331" spans="1:8" x14ac:dyDescent="0.35">
      <c r="A331" s="68" t="s">
        <v>1342</v>
      </c>
      <c r="B331" s="7" t="s">
        <v>264</v>
      </c>
      <c r="C331" s="7" t="str">
        <f>VLOOKUP(B331, AT_FILAS!$A$2:$C$8,2,FALSE)</f>
        <v>Consumo intermedio</v>
      </c>
      <c r="D331" s="7" t="str">
        <f>VLOOKUP(B331, AT_FILAS!$A$2:$C$8,3,FALSE)</f>
        <v>P2</v>
      </c>
      <c r="E331" s="53">
        <v>149</v>
      </c>
      <c r="F331" s="54" t="s">
        <v>1100</v>
      </c>
      <c r="G331" s="7">
        <v>3</v>
      </c>
      <c r="H331" s="59" t="str">
        <f>VLOOKUP(G331,[1]bio!$D$2:$E$4,2,FALSE)</f>
        <v>No bioeconomía</v>
      </c>
    </row>
    <row r="332" spans="1:8" x14ac:dyDescent="0.35">
      <c r="A332" s="68" t="s">
        <v>1343</v>
      </c>
      <c r="B332" s="7" t="s">
        <v>264</v>
      </c>
      <c r="C332" s="7" t="str">
        <f>VLOOKUP(B332, AT_FILAS!$A$2:$C$8,2,FALSE)</f>
        <v>Consumo intermedio</v>
      </c>
      <c r="D332" s="7" t="str">
        <f>VLOOKUP(B332, AT_FILAS!$A$2:$C$8,3,FALSE)</f>
        <v>P2</v>
      </c>
      <c r="E332" s="53">
        <v>150</v>
      </c>
      <c r="F332" s="54" t="s">
        <v>1101</v>
      </c>
      <c r="G332" s="7">
        <v>3</v>
      </c>
      <c r="H332" s="59" t="str">
        <f>VLOOKUP(G332,[1]bio!$D$2:$E$4,2,FALSE)</f>
        <v>No bioeconomía</v>
      </c>
    </row>
    <row r="333" spans="1:8" x14ac:dyDescent="0.35">
      <c r="A333" s="68" t="s">
        <v>1344</v>
      </c>
      <c r="B333" s="7" t="s">
        <v>264</v>
      </c>
      <c r="C333" s="7" t="str">
        <f>VLOOKUP(B333, AT_FILAS!$A$2:$C$8,2,FALSE)</f>
        <v>Consumo intermedio</v>
      </c>
      <c r="D333" s="7" t="str">
        <f>VLOOKUP(B333, AT_FILAS!$A$2:$C$8,3,FALSE)</f>
        <v>P2</v>
      </c>
      <c r="E333" s="53">
        <v>151</v>
      </c>
      <c r="F333" s="54" t="s">
        <v>1102</v>
      </c>
      <c r="G333" s="7">
        <v>3</v>
      </c>
      <c r="H333" s="59" t="str">
        <f>VLOOKUP(G333,[1]bio!$D$2:$E$4,2,FALSE)</f>
        <v>No bioeconomía</v>
      </c>
    </row>
    <row r="334" spans="1:8" x14ac:dyDescent="0.35">
      <c r="A334" s="68" t="s">
        <v>1345</v>
      </c>
      <c r="B334" s="7" t="s">
        <v>264</v>
      </c>
      <c r="C334" s="7" t="str">
        <f>VLOOKUP(B334, AT_FILAS!$A$2:$C$8,2,FALSE)</f>
        <v>Consumo intermedio</v>
      </c>
      <c r="D334" s="7" t="str">
        <f>VLOOKUP(B334, AT_FILAS!$A$2:$C$8,3,FALSE)</f>
        <v>P2</v>
      </c>
      <c r="E334" s="53">
        <v>152</v>
      </c>
      <c r="F334" s="54" t="s">
        <v>1103</v>
      </c>
      <c r="G334" s="7">
        <v>3</v>
      </c>
      <c r="H334" s="59" t="str">
        <f>VLOOKUP(G334,[1]bio!$D$2:$E$4,2,FALSE)</f>
        <v>No bioeconomía</v>
      </c>
    </row>
    <row r="335" spans="1:8" x14ac:dyDescent="0.35">
      <c r="A335" s="68" t="s">
        <v>1346</v>
      </c>
      <c r="B335" s="7" t="s">
        <v>264</v>
      </c>
      <c r="C335" s="7" t="str">
        <f>VLOOKUP(B335, AT_FILAS!$A$2:$C$8,2,FALSE)</f>
        <v>Consumo intermedio</v>
      </c>
      <c r="D335" s="7" t="str">
        <f>VLOOKUP(B335, AT_FILAS!$A$2:$C$8,3,FALSE)</f>
        <v>P2</v>
      </c>
      <c r="E335" s="53">
        <v>153</v>
      </c>
      <c r="F335" s="54" t="s">
        <v>1104</v>
      </c>
      <c r="G335" s="7">
        <v>3</v>
      </c>
      <c r="H335" s="59" t="str">
        <f>VLOOKUP(G335,[1]bio!$D$2:$E$4,2,FALSE)</f>
        <v>No bioeconomía</v>
      </c>
    </row>
    <row r="336" spans="1:8" x14ac:dyDescent="0.35">
      <c r="A336" s="68" t="s">
        <v>1347</v>
      </c>
      <c r="B336" s="7" t="s">
        <v>264</v>
      </c>
      <c r="C336" s="7" t="str">
        <f>VLOOKUP(B336, AT_FILAS!$A$2:$C$8,2,FALSE)</f>
        <v>Consumo intermedio</v>
      </c>
      <c r="D336" s="7" t="str">
        <f>VLOOKUP(B336, AT_FILAS!$A$2:$C$8,3,FALSE)</f>
        <v>P2</v>
      </c>
      <c r="E336" s="53">
        <v>154</v>
      </c>
      <c r="F336" s="54" t="s">
        <v>1105</v>
      </c>
      <c r="G336" s="7">
        <v>3</v>
      </c>
      <c r="H336" s="59" t="str">
        <f>VLOOKUP(G336,[1]bio!$D$2:$E$4,2,FALSE)</f>
        <v>No bioeconomía</v>
      </c>
    </row>
    <row r="337" spans="1:8" x14ac:dyDescent="0.35">
      <c r="A337" s="68" t="s">
        <v>1348</v>
      </c>
      <c r="B337" s="7" t="s">
        <v>264</v>
      </c>
      <c r="C337" s="7" t="str">
        <f>VLOOKUP(B337, AT_FILAS!$A$2:$C$8,2,FALSE)</f>
        <v>Consumo intermedio</v>
      </c>
      <c r="D337" s="7" t="str">
        <f>VLOOKUP(B337, AT_FILAS!$A$2:$C$8,3,FALSE)</f>
        <v>P2</v>
      </c>
      <c r="E337" s="53">
        <v>155</v>
      </c>
      <c r="F337" s="54" t="s">
        <v>1106</v>
      </c>
      <c r="G337" s="7">
        <v>3</v>
      </c>
      <c r="H337" s="59" t="str">
        <f>VLOOKUP(G337,[1]bio!$D$2:$E$4,2,FALSE)</f>
        <v>No bioeconomía</v>
      </c>
    </row>
    <row r="338" spans="1:8" x14ac:dyDescent="0.35">
      <c r="A338" s="68" t="s">
        <v>1349</v>
      </c>
      <c r="B338" s="7" t="s">
        <v>264</v>
      </c>
      <c r="C338" s="7" t="str">
        <f>VLOOKUP(B338, AT_FILAS!$A$2:$C$8,2,FALSE)</f>
        <v>Consumo intermedio</v>
      </c>
      <c r="D338" s="7" t="str">
        <f>VLOOKUP(B338, AT_FILAS!$A$2:$C$8,3,FALSE)</f>
        <v>P2</v>
      </c>
      <c r="E338" s="53">
        <v>156</v>
      </c>
      <c r="F338" s="54" t="s">
        <v>1107</v>
      </c>
      <c r="G338" s="7">
        <v>3</v>
      </c>
      <c r="H338" s="59" t="str">
        <f>VLOOKUP(G338,[1]bio!$D$2:$E$4,2,FALSE)</f>
        <v>No bioeconomía</v>
      </c>
    </row>
    <row r="339" spans="1:8" x14ac:dyDescent="0.35">
      <c r="A339" s="68" t="s">
        <v>1350</v>
      </c>
      <c r="B339" s="7" t="s">
        <v>264</v>
      </c>
      <c r="C339" s="7" t="str">
        <f>VLOOKUP(B339, AT_FILAS!$A$2:$C$8,2,FALSE)</f>
        <v>Consumo intermedio</v>
      </c>
      <c r="D339" s="7" t="str">
        <f>VLOOKUP(B339, AT_FILAS!$A$2:$C$8,3,FALSE)</f>
        <v>P2</v>
      </c>
      <c r="E339" s="53">
        <v>157</v>
      </c>
      <c r="F339" s="54" t="s">
        <v>1108</v>
      </c>
      <c r="G339" s="7">
        <v>3</v>
      </c>
      <c r="H339" s="59" t="str">
        <f>VLOOKUP(G339,[1]bio!$D$2:$E$4,2,FALSE)</f>
        <v>No bioeconomía</v>
      </c>
    </row>
    <row r="340" spans="1:8" x14ac:dyDescent="0.35">
      <c r="A340" s="68" t="s">
        <v>1351</v>
      </c>
      <c r="B340" s="7" t="s">
        <v>264</v>
      </c>
      <c r="C340" s="7" t="str">
        <f>VLOOKUP(B340, AT_FILAS!$A$2:$C$8,2,FALSE)</f>
        <v>Consumo intermedio</v>
      </c>
      <c r="D340" s="7" t="str">
        <f>VLOOKUP(B340, AT_FILAS!$A$2:$C$8,3,FALSE)</f>
        <v>P2</v>
      </c>
      <c r="E340" s="53">
        <v>158</v>
      </c>
      <c r="F340" s="54" t="s">
        <v>1109</v>
      </c>
      <c r="G340" s="7">
        <v>3</v>
      </c>
      <c r="H340" s="59" t="str">
        <f>VLOOKUP(G340,[1]bio!$D$2:$E$4,2,FALSE)</f>
        <v>No bioeconomía</v>
      </c>
    </row>
    <row r="341" spans="1:8" x14ac:dyDescent="0.35">
      <c r="A341" s="68" t="s">
        <v>1352</v>
      </c>
      <c r="B341" s="7" t="s">
        <v>264</v>
      </c>
      <c r="C341" s="7" t="str">
        <f>VLOOKUP(B341, AT_FILAS!$A$2:$C$8,2,FALSE)</f>
        <v>Consumo intermedio</v>
      </c>
      <c r="D341" s="7" t="str">
        <f>VLOOKUP(B341, AT_FILAS!$A$2:$C$8,3,FALSE)</f>
        <v>P2</v>
      </c>
      <c r="E341" s="53">
        <v>159</v>
      </c>
      <c r="F341" s="54" t="s">
        <v>1110</v>
      </c>
      <c r="G341" s="7">
        <v>3</v>
      </c>
      <c r="H341" s="59" t="str">
        <f>VLOOKUP(G341,[1]bio!$D$2:$E$4,2,FALSE)</f>
        <v>No bioeconomía</v>
      </c>
    </row>
    <row r="342" spans="1:8" x14ac:dyDescent="0.35">
      <c r="A342" s="68" t="s">
        <v>1353</v>
      </c>
      <c r="B342" s="7" t="s">
        <v>264</v>
      </c>
      <c r="C342" s="7" t="str">
        <f>VLOOKUP(B342, AT_FILAS!$A$2:$C$8,2,FALSE)</f>
        <v>Consumo intermedio</v>
      </c>
      <c r="D342" s="7" t="str">
        <f>VLOOKUP(B342, AT_FILAS!$A$2:$C$8,3,FALSE)</f>
        <v>P2</v>
      </c>
      <c r="E342" s="53">
        <v>160</v>
      </c>
      <c r="F342" s="54" t="s">
        <v>1111</v>
      </c>
      <c r="G342" s="7">
        <v>3</v>
      </c>
      <c r="H342" s="59" t="str">
        <f>VLOOKUP(G342,[1]bio!$D$2:$E$4,2,FALSE)</f>
        <v>No bioeconomía</v>
      </c>
    </row>
    <row r="343" spans="1:8" x14ac:dyDescent="0.35">
      <c r="A343" s="68" t="s">
        <v>1354</v>
      </c>
      <c r="B343" s="7" t="s">
        <v>264</v>
      </c>
      <c r="C343" s="7" t="str">
        <f>VLOOKUP(B343, AT_FILAS!$A$2:$C$8,2,FALSE)</f>
        <v>Consumo intermedio</v>
      </c>
      <c r="D343" s="7" t="str">
        <f>VLOOKUP(B343, AT_FILAS!$A$2:$C$8,3,FALSE)</f>
        <v>P2</v>
      </c>
      <c r="E343" s="53">
        <v>161</v>
      </c>
      <c r="F343" s="54" t="s">
        <v>1112</v>
      </c>
      <c r="G343" s="7">
        <v>3</v>
      </c>
      <c r="H343" s="59" t="str">
        <f>VLOOKUP(G343,[1]bio!$D$2:$E$4,2,FALSE)</f>
        <v>No bioeconomía</v>
      </c>
    </row>
    <row r="344" spans="1:8" x14ac:dyDescent="0.35">
      <c r="A344" s="68" t="s">
        <v>1355</v>
      </c>
      <c r="B344" s="7" t="s">
        <v>264</v>
      </c>
      <c r="C344" s="7" t="str">
        <f>VLOOKUP(B344, AT_FILAS!$A$2:$C$8,2,FALSE)</f>
        <v>Consumo intermedio</v>
      </c>
      <c r="D344" s="7" t="str">
        <f>VLOOKUP(B344, AT_FILAS!$A$2:$C$8,3,FALSE)</f>
        <v>P2</v>
      </c>
      <c r="E344" s="53">
        <v>162</v>
      </c>
      <c r="F344" s="54" t="s">
        <v>261</v>
      </c>
      <c r="G344" s="7">
        <v>3</v>
      </c>
      <c r="H344" s="59" t="str">
        <f>VLOOKUP(G344,[1]bio!$D$2:$E$4,2,FALSE)</f>
        <v>No bioeconomía</v>
      </c>
    </row>
    <row r="345" spans="1:8" x14ac:dyDescent="0.35">
      <c r="A345" s="68" t="s">
        <v>1356</v>
      </c>
      <c r="B345" s="7" t="s">
        <v>264</v>
      </c>
      <c r="C345" s="7" t="str">
        <f>VLOOKUP(B345, AT_FILAS!$A$2:$C$8,2,FALSE)</f>
        <v>Consumo intermedio</v>
      </c>
      <c r="D345" s="7" t="str">
        <f>VLOOKUP(B345, AT_FILAS!$A$2:$C$8,3,FALSE)</f>
        <v>P2</v>
      </c>
      <c r="E345" s="53">
        <v>163</v>
      </c>
      <c r="F345" s="54" t="s">
        <v>442</v>
      </c>
      <c r="G345" s="7">
        <v>3</v>
      </c>
      <c r="H345" s="59" t="str">
        <f>VLOOKUP(G345,[1]bio!$D$2:$E$4,2,FALSE)</f>
        <v>No bioeconomía</v>
      </c>
    </row>
    <row r="346" spans="1:8" x14ac:dyDescent="0.35">
      <c r="A346" s="68" t="s">
        <v>1357</v>
      </c>
      <c r="B346" s="7" t="s">
        <v>264</v>
      </c>
      <c r="C346" s="7" t="str">
        <f>VLOOKUP(B346, AT_FILAS!$A$2:$C$8,2,FALSE)</f>
        <v>Consumo intermedio</v>
      </c>
      <c r="D346" s="7" t="str">
        <f>VLOOKUP(B346, AT_FILAS!$A$2:$C$8,3,FALSE)</f>
        <v>P2</v>
      </c>
      <c r="E346" s="53">
        <v>164</v>
      </c>
      <c r="F346" s="54" t="s">
        <v>1113</v>
      </c>
      <c r="G346" s="7">
        <v>3</v>
      </c>
      <c r="H346" s="59" t="str">
        <f>VLOOKUP(G346,[1]bio!$D$2:$E$4,2,FALSE)</f>
        <v>No bioeconomía</v>
      </c>
    </row>
    <row r="347" spans="1:8" x14ac:dyDescent="0.35">
      <c r="A347" s="68" t="s">
        <v>1358</v>
      </c>
      <c r="B347" s="7" t="s">
        <v>264</v>
      </c>
      <c r="C347" s="7" t="str">
        <f>VLOOKUP(B347, AT_FILAS!$A$2:$C$8,2,FALSE)</f>
        <v>Consumo intermedio</v>
      </c>
      <c r="D347" s="7" t="str">
        <f>VLOOKUP(B347, AT_FILAS!$A$2:$C$8,3,FALSE)</f>
        <v>P2</v>
      </c>
      <c r="E347" s="53">
        <v>165</v>
      </c>
      <c r="F347" s="54" t="s">
        <v>1114</v>
      </c>
      <c r="G347" s="7">
        <v>3</v>
      </c>
      <c r="H347" s="59" t="str">
        <f>VLOOKUP(G347,[1]bio!$D$2:$E$4,2,FALSE)</f>
        <v>No bioeconomía</v>
      </c>
    </row>
    <row r="348" spans="1:8" x14ac:dyDescent="0.35">
      <c r="A348" s="68" t="s">
        <v>1359</v>
      </c>
      <c r="B348" s="7" t="s">
        <v>264</v>
      </c>
      <c r="C348" s="7" t="str">
        <f>VLOOKUP(B348, AT_FILAS!$A$2:$C$8,2,FALSE)</f>
        <v>Consumo intermedio</v>
      </c>
      <c r="D348" s="7" t="str">
        <f>VLOOKUP(B348, AT_FILAS!$A$2:$C$8,3,FALSE)</f>
        <v>P2</v>
      </c>
      <c r="E348" s="53">
        <v>166</v>
      </c>
      <c r="F348" s="54" t="s">
        <v>1115</v>
      </c>
      <c r="G348" s="7">
        <v>3</v>
      </c>
      <c r="H348" s="59" t="str">
        <f>VLOOKUP(G348,[1]bio!$D$2:$E$4,2,FALSE)</f>
        <v>No bioeconomía</v>
      </c>
    </row>
    <row r="349" spans="1:8" x14ac:dyDescent="0.35">
      <c r="A349" s="68" t="s">
        <v>1360</v>
      </c>
      <c r="B349" s="7" t="s">
        <v>264</v>
      </c>
      <c r="C349" s="7" t="str">
        <f>VLOOKUP(B349, AT_FILAS!$A$2:$C$8,2,FALSE)</f>
        <v>Consumo intermedio</v>
      </c>
      <c r="D349" s="7" t="str">
        <f>VLOOKUP(B349, AT_FILAS!$A$2:$C$8,3,FALSE)</f>
        <v>P2</v>
      </c>
      <c r="E349" s="53">
        <v>167</v>
      </c>
      <c r="F349" s="54" t="s">
        <v>1116</v>
      </c>
      <c r="G349" s="7">
        <v>2</v>
      </c>
      <c r="H349" s="59" t="str">
        <f>VLOOKUP(G349,[1]bio!$D$2:$E$4,2,FALSE)</f>
        <v>Bioeconomía extendida</v>
      </c>
    </row>
    <row r="350" spans="1:8" x14ac:dyDescent="0.35">
      <c r="A350" s="68" t="s">
        <v>1361</v>
      </c>
      <c r="B350" s="7" t="s">
        <v>264</v>
      </c>
      <c r="C350" s="7" t="str">
        <f>VLOOKUP(B350, AT_FILAS!$A$2:$C$8,2,FALSE)</f>
        <v>Consumo intermedio</v>
      </c>
      <c r="D350" s="7" t="str">
        <f>VLOOKUP(B350, AT_FILAS!$A$2:$C$8,3,FALSE)</f>
        <v>P2</v>
      </c>
      <c r="E350" s="53">
        <v>168</v>
      </c>
      <c r="F350" s="54" t="s">
        <v>1117</v>
      </c>
      <c r="G350" s="7">
        <v>3</v>
      </c>
      <c r="H350" s="59" t="str">
        <f>VLOOKUP(G350,[1]bio!$D$2:$E$4,2,FALSE)</f>
        <v>No bioeconomía</v>
      </c>
    </row>
    <row r="351" spans="1:8" x14ac:dyDescent="0.35">
      <c r="A351" s="68" t="s">
        <v>1362</v>
      </c>
      <c r="B351" s="7" t="s">
        <v>264</v>
      </c>
      <c r="C351" s="7" t="str">
        <f>VLOOKUP(B351, AT_FILAS!$A$2:$C$8,2,FALSE)</f>
        <v>Consumo intermedio</v>
      </c>
      <c r="D351" s="7" t="str">
        <f>VLOOKUP(B351, AT_FILAS!$A$2:$C$8,3,FALSE)</f>
        <v>P2</v>
      </c>
      <c r="E351" s="53">
        <v>169</v>
      </c>
      <c r="F351" s="54" t="s">
        <v>1118</v>
      </c>
      <c r="G351" s="7">
        <v>3</v>
      </c>
      <c r="H351" s="59" t="str">
        <f>VLOOKUP(G351,[1]bio!$D$2:$E$4,2,FALSE)</f>
        <v>No bioeconomía</v>
      </c>
    </row>
    <row r="352" spans="1:8" x14ac:dyDescent="0.35">
      <c r="A352" s="68" t="s">
        <v>1363</v>
      </c>
      <c r="B352" s="7" t="s">
        <v>264</v>
      </c>
      <c r="C352" s="7" t="str">
        <f>VLOOKUP(B352, AT_FILAS!$A$2:$C$8,2,FALSE)</f>
        <v>Consumo intermedio</v>
      </c>
      <c r="D352" s="7" t="str">
        <f>VLOOKUP(B352, AT_FILAS!$A$2:$C$8,3,FALSE)</f>
        <v>P2</v>
      </c>
      <c r="E352" s="53">
        <v>170</v>
      </c>
      <c r="F352" s="54" t="s">
        <v>1119</v>
      </c>
      <c r="G352" s="7">
        <v>3</v>
      </c>
      <c r="H352" s="59" t="str">
        <f>VLOOKUP(G352,[1]bio!$D$2:$E$4,2,FALSE)</f>
        <v>No bioeconomía</v>
      </c>
    </row>
    <row r="353" spans="1:8" x14ac:dyDescent="0.35">
      <c r="A353" s="68" t="s">
        <v>1364</v>
      </c>
      <c r="B353" s="7" t="s">
        <v>264</v>
      </c>
      <c r="C353" s="7" t="str">
        <f>VLOOKUP(B353, AT_FILAS!$A$2:$C$8,2,FALSE)</f>
        <v>Consumo intermedio</v>
      </c>
      <c r="D353" s="7" t="str">
        <f>VLOOKUP(B353, AT_FILAS!$A$2:$C$8,3,FALSE)</f>
        <v>P2</v>
      </c>
      <c r="E353" s="53">
        <v>171</v>
      </c>
      <c r="F353" s="54" t="s">
        <v>1120</v>
      </c>
      <c r="G353" s="7">
        <v>3</v>
      </c>
      <c r="H353" s="59" t="str">
        <f>VLOOKUP(G353,[1]bio!$D$2:$E$4,2,FALSE)</f>
        <v>No bioeconomía</v>
      </c>
    </row>
    <row r="354" spans="1:8" x14ac:dyDescent="0.35">
      <c r="A354" s="68" t="s">
        <v>1365</v>
      </c>
      <c r="B354" s="7" t="s">
        <v>264</v>
      </c>
      <c r="C354" s="7" t="str">
        <f>VLOOKUP(B354, AT_FILAS!$A$2:$C$8,2,FALSE)</f>
        <v>Consumo intermedio</v>
      </c>
      <c r="D354" s="7" t="str">
        <f>VLOOKUP(B354, AT_FILAS!$A$2:$C$8,3,FALSE)</f>
        <v>P2</v>
      </c>
      <c r="E354" s="53">
        <v>172</v>
      </c>
      <c r="F354" s="54" t="s">
        <v>1121</v>
      </c>
      <c r="G354" s="7">
        <v>3</v>
      </c>
      <c r="H354" s="59" t="str">
        <f>VLOOKUP(G354,[1]bio!$D$2:$E$4,2,FALSE)</f>
        <v>No bioeconomía</v>
      </c>
    </row>
    <row r="355" spans="1:8" x14ac:dyDescent="0.35">
      <c r="A355" s="68" t="s">
        <v>1366</v>
      </c>
      <c r="B355" s="7" t="s">
        <v>264</v>
      </c>
      <c r="C355" s="7" t="str">
        <f>VLOOKUP(B355, AT_FILAS!$A$2:$C$8,2,FALSE)</f>
        <v>Consumo intermedio</v>
      </c>
      <c r="D355" s="7" t="str">
        <f>VLOOKUP(B355, AT_FILAS!$A$2:$C$8,3,FALSE)</f>
        <v>P2</v>
      </c>
      <c r="E355" s="53">
        <v>173</v>
      </c>
      <c r="F355" s="54" t="s">
        <v>1122</v>
      </c>
      <c r="G355" s="7">
        <v>3</v>
      </c>
      <c r="H355" s="59" t="str">
        <f>VLOOKUP(G355,[1]bio!$D$2:$E$4,2,FALSE)</f>
        <v>No bioeconomía</v>
      </c>
    </row>
    <row r="356" spans="1:8" x14ac:dyDescent="0.35">
      <c r="A356" s="68" t="s">
        <v>1367</v>
      </c>
      <c r="B356" s="7" t="s">
        <v>264</v>
      </c>
      <c r="C356" s="7" t="str">
        <f>VLOOKUP(B356, AT_FILAS!$A$2:$C$8,2,FALSE)</f>
        <v>Consumo intermedio</v>
      </c>
      <c r="D356" s="7" t="str">
        <f>VLOOKUP(B356, AT_FILAS!$A$2:$C$8,3,FALSE)</f>
        <v>P2</v>
      </c>
      <c r="E356" s="53">
        <v>174</v>
      </c>
      <c r="F356" s="54" t="s">
        <v>1123</v>
      </c>
      <c r="G356" s="7">
        <v>3</v>
      </c>
      <c r="H356" s="59" t="str">
        <f>VLOOKUP(G356,[1]bio!$D$2:$E$4,2,FALSE)</f>
        <v>No bioeconomía</v>
      </c>
    </row>
    <row r="357" spans="1:8" x14ac:dyDescent="0.35">
      <c r="A357" s="68" t="s">
        <v>1368</v>
      </c>
      <c r="B357" s="7" t="s">
        <v>264</v>
      </c>
      <c r="C357" s="7" t="str">
        <f>VLOOKUP(B357, AT_FILAS!$A$2:$C$8,2,FALSE)</f>
        <v>Consumo intermedio</v>
      </c>
      <c r="D357" s="7" t="str">
        <f>VLOOKUP(B357, AT_FILAS!$A$2:$C$8,3,FALSE)</f>
        <v>P2</v>
      </c>
      <c r="E357" s="53">
        <v>175</v>
      </c>
      <c r="F357" s="54" t="s">
        <v>1124</v>
      </c>
      <c r="G357" s="7">
        <v>3</v>
      </c>
      <c r="H357" s="59" t="str">
        <f>VLOOKUP(G357,[1]bio!$D$2:$E$4,2,FALSE)</f>
        <v>No bioeconomía</v>
      </c>
    </row>
    <row r="358" spans="1:8" x14ac:dyDescent="0.35">
      <c r="A358" s="68" t="s">
        <v>1369</v>
      </c>
      <c r="B358" s="7" t="s">
        <v>264</v>
      </c>
      <c r="C358" s="7" t="str">
        <f>VLOOKUP(B358, AT_FILAS!$A$2:$C$8,2,FALSE)</f>
        <v>Consumo intermedio</v>
      </c>
      <c r="D358" s="7" t="str">
        <f>VLOOKUP(B358, AT_FILAS!$A$2:$C$8,3,FALSE)</f>
        <v>P2</v>
      </c>
      <c r="E358" s="53">
        <v>176</v>
      </c>
      <c r="F358" s="54" t="s">
        <v>1125</v>
      </c>
      <c r="G358" s="7">
        <v>3</v>
      </c>
      <c r="H358" s="59" t="str">
        <f>VLOOKUP(G358,[1]bio!$D$2:$E$4,2,FALSE)</f>
        <v>No bioeconomía</v>
      </c>
    </row>
    <row r="359" spans="1:8" x14ac:dyDescent="0.35">
      <c r="A359" s="68" t="s">
        <v>1370</v>
      </c>
      <c r="B359" s="7" t="s">
        <v>264</v>
      </c>
      <c r="C359" s="7" t="str">
        <f>VLOOKUP(B359, AT_FILAS!$A$2:$C$8,2,FALSE)</f>
        <v>Consumo intermedio</v>
      </c>
      <c r="D359" s="7" t="str">
        <f>VLOOKUP(B359, AT_FILAS!$A$2:$C$8,3,FALSE)</f>
        <v>P2</v>
      </c>
      <c r="E359" s="53">
        <v>177</v>
      </c>
      <c r="F359" s="54" t="s">
        <v>1126</v>
      </c>
      <c r="G359" s="7">
        <v>3</v>
      </c>
      <c r="H359" s="59" t="str">
        <f>VLOOKUP(G359,[1]bio!$D$2:$E$4,2,FALSE)</f>
        <v>No bioeconomía</v>
      </c>
    </row>
    <row r="360" spans="1:8" x14ac:dyDescent="0.35">
      <c r="A360" s="68" t="s">
        <v>1371</v>
      </c>
      <c r="B360" s="7" t="s">
        <v>264</v>
      </c>
      <c r="C360" s="7" t="str">
        <f>VLOOKUP(B360, AT_FILAS!$A$2:$C$8,2,FALSE)</f>
        <v>Consumo intermedio</v>
      </c>
      <c r="D360" s="7" t="str">
        <f>VLOOKUP(B360, AT_FILAS!$A$2:$C$8,3,FALSE)</f>
        <v>P2</v>
      </c>
      <c r="E360" s="53">
        <v>178</v>
      </c>
      <c r="F360" s="54" t="s">
        <v>1127</v>
      </c>
      <c r="G360" s="7">
        <v>3</v>
      </c>
      <c r="H360" s="59" t="str">
        <f>VLOOKUP(G360,[1]bio!$D$2:$E$4,2,FALSE)</f>
        <v>No bioeconomía</v>
      </c>
    </row>
    <row r="361" spans="1:8" x14ac:dyDescent="0.35">
      <c r="A361" s="68" t="s">
        <v>1372</v>
      </c>
      <c r="B361" s="7" t="s">
        <v>264</v>
      </c>
      <c r="C361" s="7" t="str">
        <f>VLOOKUP(B361, AT_FILAS!$A$2:$C$8,2,FALSE)</f>
        <v>Consumo intermedio</v>
      </c>
      <c r="D361" s="7" t="str">
        <f>VLOOKUP(B361, AT_FILAS!$A$2:$C$8,3,FALSE)</f>
        <v>P2</v>
      </c>
      <c r="E361" s="53">
        <v>179</v>
      </c>
      <c r="F361" s="54" t="s">
        <v>1128</v>
      </c>
      <c r="G361" s="7">
        <v>3</v>
      </c>
      <c r="H361" s="59" t="str">
        <f>VLOOKUP(G361,[1]bio!$D$2:$E$4,2,FALSE)</f>
        <v>No bioeconomía</v>
      </c>
    </row>
    <row r="362" spans="1:8" x14ac:dyDescent="0.35">
      <c r="A362" s="68" t="s">
        <v>1373</v>
      </c>
      <c r="B362" s="7" t="s">
        <v>264</v>
      </c>
      <c r="C362" s="7" t="str">
        <f>VLOOKUP(B362, AT_FILAS!$A$2:$C$8,2,FALSE)</f>
        <v>Consumo intermedio</v>
      </c>
      <c r="D362" s="7" t="str">
        <f>VLOOKUP(B362, AT_FILAS!$A$2:$C$8,3,FALSE)</f>
        <v>P2</v>
      </c>
      <c r="E362" s="53">
        <v>180</v>
      </c>
      <c r="F362" s="54" t="s">
        <v>1129</v>
      </c>
      <c r="G362" s="7">
        <v>3</v>
      </c>
      <c r="H362" s="59" t="str">
        <f>VLOOKUP(G362,[1]bio!$D$2:$E$4,2,FALSE)</f>
        <v>No bioeconomía</v>
      </c>
    </row>
    <row r="363" spans="1:8" x14ac:dyDescent="0.35">
      <c r="A363" s="70" t="s">
        <v>1374</v>
      </c>
      <c r="B363" s="66" t="s">
        <v>264</v>
      </c>
      <c r="C363" s="66" t="str">
        <f>VLOOKUP(B363, AT_FILAS!$A$2:$C$8,2,FALSE)</f>
        <v>Consumo intermedio</v>
      </c>
      <c r="D363" s="66" t="str">
        <f>VLOOKUP(B363, AT_FILAS!$A$2:$C$8,3,FALSE)</f>
        <v>P2</v>
      </c>
      <c r="E363" s="61">
        <v>181</v>
      </c>
      <c r="F363" s="62" t="s">
        <v>1130</v>
      </c>
      <c r="G363" s="66">
        <v>3</v>
      </c>
      <c r="H363" s="67" t="str">
        <f>VLOOKUP(G363,[1]bio!$D$2:$E$4,2,FALSE)</f>
        <v>No bioeconomía</v>
      </c>
    </row>
    <row r="364" spans="1:8" x14ac:dyDescent="0.35">
      <c r="A364" s="71" t="s">
        <v>1375</v>
      </c>
      <c r="B364" s="72" t="s">
        <v>266</v>
      </c>
      <c r="C364" s="72" t="str">
        <f>VLOOKUP(B364, AT_FILAS!$A$2:$C$8,2,FALSE)</f>
        <v>Valor Agregado</v>
      </c>
      <c r="D364" s="72" t="str">
        <f>VLOOKUP(B364, AT_FILAS!$A$2:$C$8,3,FALSE)</f>
        <v>-</v>
      </c>
      <c r="E364" s="72" t="s">
        <v>238</v>
      </c>
      <c r="F364" s="73" t="s">
        <v>238</v>
      </c>
      <c r="G364" s="74" t="s">
        <v>238</v>
      </c>
      <c r="H364" s="75" t="s">
        <v>238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D44C-AEF6-4392-996E-E7CF98E10EFC}">
  <dimension ref="A1:C8"/>
  <sheetViews>
    <sheetView workbookViewId="0">
      <selection activeCell="A3" sqref="A3:C3"/>
    </sheetView>
  </sheetViews>
  <sheetFormatPr defaultRowHeight="14.5" x14ac:dyDescent="0.35"/>
  <cols>
    <col min="2" max="2" width="52.453125" bestFit="1" customWidth="1"/>
  </cols>
  <sheetData>
    <row r="1" spans="1:3" x14ac:dyDescent="0.35">
      <c r="A1" s="1" t="s">
        <v>249</v>
      </c>
      <c r="B1" s="1" t="s">
        <v>250</v>
      </c>
      <c r="C1" s="1" t="s">
        <v>251</v>
      </c>
    </row>
    <row r="2" spans="1:3" x14ac:dyDescent="0.35">
      <c r="A2" t="s">
        <v>255</v>
      </c>
      <c r="B2" t="s">
        <v>144</v>
      </c>
      <c r="C2" t="s">
        <v>145</v>
      </c>
    </row>
    <row r="3" spans="1:3" x14ac:dyDescent="0.35">
      <c r="A3" t="s">
        <v>264</v>
      </c>
      <c r="B3" t="s">
        <v>152</v>
      </c>
      <c r="C3" t="s">
        <v>151</v>
      </c>
    </row>
    <row r="4" spans="1:3" x14ac:dyDescent="0.35">
      <c r="A4" t="s">
        <v>262</v>
      </c>
      <c r="B4" t="s">
        <v>199</v>
      </c>
      <c r="C4" t="s">
        <v>70</v>
      </c>
    </row>
    <row r="5" spans="1:3" x14ac:dyDescent="0.35">
      <c r="A5" t="s">
        <v>263</v>
      </c>
      <c r="B5" t="s">
        <v>268</v>
      </c>
      <c r="C5" t="s">
        <v>189</v>
      </c>
    </row>
    <row r="6" spans="1:3" x14ac:dyDescent="0.35">
      <c r="A6" t="s">
        <v>265</v>
      </c>
      <c r="B6" t="s">
        <v>269</v>
      </c>
      <c r="C6" t="s">
        <v>194</v>
      </c>
    </row>
    <row r="7" spans="1:3" x14ac:dyDescent="0.35">
      <c r="A7" t="s">
        <v>266</v>
      </c>
      <c r="B7" t="s">
        <v>270</v>
      </c>
      <c r="C7" t="s">
        <v>238</v>
      </c>
    </row>
    <row r="8" spans="1:3" x14ac:dyDescent="0.35">
      <c r="A8" t="s">
        <v>267</v>
      </c>
      <c r="B8" t="s">
        <v>271</v>
      </c>
      <c r="C8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columnas</vt:lpstr>
      <vt:lpstr>Correl CIIU</vt:lpstr>
      <vt:lpstr>transacciones </vt:lpstr>
      <vt:lpstr>bio</vt:lpstr>
      <vt:lpstr>at_columnas</vt:lpstr>
      <vt:lpstr>filas</vt:lpstr>
      <vt:lpstr>AT_FILAS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Oscar Mondaini</dc:creator>
  <cp:keywords/>
  <dc:description/>
  <cp:lastModifiedBy>Andres Oscar Mondaini</cp:lastModifiedBy>
  <cp:revision/>
  <dcterms:created xsi:type="dcterms:W3CDTF">2015-06-05T18:17:20Z</dcterms:created>
  <dcterms:modified xsi:type="dcterms:W3CDTF">2022-12-05T19:26:15Z</dcterms:modified>
  <cp:category/>
  <cp:contentStatus/>
</cp:coreProperties>
</file>