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onnections.xml" ContentType="application/vnd.openxmlformats-officedocument.spreadsheetml.connections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124226"/>
  <bookViews>
    <workbookView xWindow="-98" yWindow="-98" windowWidth="19396" windowHeight="10276" firstSheet="0" activeTab="6"/>
  </bookViews>
  <sheets>
    <sheet name="Datos Originales" sheetId="17" state="visible" r:id="rId1"/>
    <sheet name="Preparado" sheetId="14" state="visible" r:id="rId2"/>
    <sheet name="Resultado" sheetId="27" state="visible" r:id="rId3"/>
    <sheet name="Pruebe usted" sheetId="30" state="visible" r:id="rId4"/>
    <sheet name="Filas" sheetId="31" state="visible" r:id="rId5"/>
    <sheet name="Columnas" sheetId="32" state="visible" r:id="rId6"/>
    <sheet name="Bioeconomía" sheetId="33" state="visible" r:id="rId7"/>
    <sheet name="Nuevo Cuadro Dinámico" sheetId="34" state="visible" r:id="rId8"/>
  </sheets>
  <definedNames>
    <definedName name="_71_Temp" localSheetId="0">#REF!</definedName>
    <definedName name="_71_Temp" localSheetId="1">#REF!</definedName>
    <definedName name="_71_Temp">#REF!</definedName>
    <definedName name="_72_Temp" localSheetId="0">#REF!</definedName>
    <definedName name="_72_Temp" localSheetId="1">#REF!</definedName>
    <definedName name="_72_Temp">#REF!</definedName>
    <definedName name="Area_a_imprimir" localSheetId="0">#REF!</definedName>
    <definedName name="Area_a_imprimir" localSheetId="1">#REF!</definedName>
    <definedName name="Area_a_imprimir">#REF!</definedName>
    <definedName name="Area_de_impresión" localSheetId="0">#REF!</definedName>
    <definedName name="Area_de_impresión" localSheetId="1">#REF!</definedName>
    <definedName name="Area_de_impresión">#REF!</definedName>
    <definedName name="comg" localSheetId="0">#REF!</definedName>
    <definedName name="comg" localSheetId="1">#REF!</definedName>
    <definedName name="comg">#REF!</definedName>
    <definedName name="d" localSheetId="0">#REF!</definedName>
    <definedName name="d" localSheetId="1">#REF!</definedName>
    <definedName name="d">#REF!</definedName>
    <definedName name="ff" localSheetId="0">#REF!</definedName>
    <definedName name="ff" localSheetId="1">#REF!</definedName>
    <definedName name="ff">#REF!</definedName>
    <definedName name="P1D" localSheetId="0">#REF!</definedName>
    <definedName name="P1D" localSheetId="1">#REF!</definedName>
    <definedName name="P1D">#REF!</definedName>
    <definedName name="P1G" localSheetId="0">#REF!</definedName>
    <definedName name="P1G" localSheetId="1">#REF!</definedName>
    <definedName name="P1G">#REF!</definedName>
    <definedName name="Pág.1" localSheetId="0">#REF!</definedName>
    <definedName name="Pág.1" localSheetId="1">#REF!</definedName>
    <definedName name="Pág.1">#REF!</definedName>
    <definedName name="Pág.2" localSheetId="0">#REF!</definedName>
    <definedName name="Pág.2" localSheetId="1">#REF!</definedName>
    <definedName name="Pág.2">#REF!</definedName>
    <definedName name="Pág.3" localSheetId="0">#REF!</definedName>
    <definedName name="Pág.3" localSheetId="1">#REF!</definedName>
    <definedName name="Pág.3">#REF!</definedName>
    <definedName name="Pág.4" localSheetId="0">#REF!</definedName>
    <definedName name="Pág.4" localSheetId="1">#REF!</definedName>
    <definedName name="Pág.4">#REF!</definedName>
    <definedName name="Pág.5" localSheetId="0">#REF!</definedName>
    <definedName name="Pág.5" localSheetId="1">#REF!</definedName>
    <definedName name="Pág.5">#REF!</definedName>
    <definedName name="Pág.6" localSheetId="0">#REF!</definedName>
    <definedName name="Pág.6" localSheetId="1">#REF!</definedName>
    <definedName name="Pág.6">#REF!</definedName>
    <definedName name="Publicación" localSheetId="0">#REF!</definedName>
    <definedName name="Publicación" localSheetId="1">#REF!</definedName>
    <definedName name="Publicación">#REF!</definedName>
    <definedName name="SAM" localSheetId="0">#REF!</definedName>
    <definedName name="SAM" localSheetId="1">#REF!</definedName>
    <definedName name="SAM">#REF!</definedName>
    <definedName name="SAM_4x4" localSheetId="0">#REF!</definedName>
    <definedName name="SAM_4x4" localSheetId="1">#REF!</definedName>
    <definedName name="SAM_4x4">#REF!</definedName>
    <definedName name="SAMR" localSheetId="0">#REF!</definedName>
    <definedName name="SAMR" localSheetId="1">#REF!</definedName>
    <definedName name="SAMR">#REF!</definedName>
  </definedNames>
  <calcPr calcId="191029"/>
  <pivotCaches>
    <pivotCache cacheId="6" r:id="rId20001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380F5AE-8336-467A-BDE0-E8B83E35A9EA}" keepAlive="1" name="Consulta - Tabla2" description="Conexión a la consulta 'Tabla2' en el libro." type="5" refreshedVersion="0" background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<sst xmlns="http://schemas.openxmlformats.org/spreadsheetml/2006/main" count="131" uniqueCount="131">
  <si>
    <t>Matriz de insumo-producto</t>
  </si>
  <si>
    <t>Doméstica a precio básico, actividad por actividad</t>
  </si>
  <si>
    <t>Supuesto: estructura de ventas fija por producto</t>
  </si>
  <si>
    <t>Actividad</t>
  </si>
  <si>
    <t>Consumo de hogares</t>
  </si>
  <si>
    <t>Consumo  de IPSFL</t>
  </si>
  <si>
    <t>Consumo de gobierno</t>
  </si>
  <si>
    <t>Formación bruta de capital fijo</t>
  </si>
  <si>
    <t>Variación de existencias</t>
  </si>
  <si>
    <t>Exportaciones</t>
  </si>
  <si>
    <t>Producción precio básico</t>
  </si>
  <si>
    <t>Total</t>
  </si>
  <si>
    <t xml:space="preserve">Importaciones precios cif </t>
  </si>
  <si>
    <t>Impuestos sobre productos</t>
  </si>
  <si>
    <t>Derechos de importación</t>
  </si>
  <si>
    <t xml:space="preserve">Valor agregado </t>
  </si>
  <si>
    <t>Remuneraciones de asalariados</t>
  </si>
  <si>
    <t>Excedente bruto de explotación</t>
  </si>
  <si>
    <t>Impuestos netos sobre la producción</t>
  </si>
  <si>
    <t>Producción precios básicos</t>
  </si>
  <si>
    <t>Intermediación financiera</t>
  </si>
  <si>
    <t>Administración pública</t>
  </si>
  <si>
    <t>Agropecuario-silvícola y Pesca</t>
  </si>
  <si>
    <t>Minería</t>
  </si>
  <si>
    <t>Industria manufacturera</t>
  </si>
  <si>
    <t>Electricidad, gas, agua y gestión de desechos</t>
  </si>
  <si>
    <t>Construcción</t>
  </si>
  <si>
    <t>Comercio, hoteles y restaurantes</t>
  </si>
  <si>
    <t>Transporte, comunicaciones y servicios de información</t>
  </si>
  <si>
    <t>Servicios inmobiliarios y de vivienda</t>
  </si>
  <si>
    <t>Servicios empresariales</t>
  </si>
  <si>
    <t>Servicios personales</t>
  </si>
  <si>
    <t>(miles de millones de pesos de 2022)</t>
  </si>
  <si>
    <t>Oferta intermedia</t>
  </si>
  <si>
    <t>Demanda intermedia</t>
  </si>
  <si>
    <t>Ninguno</t>
  </si>
  <si>
    <t>Demanda intermedia_1_Agropecuario-silvícola y Pesca</t>
  </si>
  <si>
    <t>Demanda intermedia_2_Minería</t>
  </si>
  <si>
    <t>Demanda intermedia_3_Industria manufacturera</t>
  </si>
  <si>
    <t>Demanda intermedia_4_Electricidad, gas, agua y gestión de desechos</t>
  </si>
  <si>
    <t>Demanda intermedia_5_Construcción</t>
  </si>
  <si>
    <t>Demanda intermedia_6_Comercio, hoteles y restaurantes</t>
  </si>
  <si>
    <t>Demanda intermedia_7_Transporte, comunicaciones y servicios de información</t>
  </si>
  <si>
    <t>Demanda intermedia_8_Intermediación financiera</t>
  </si>
  <si>
    <t>Demanda intermedia_9_Servicios inmobiliarios y de vivienda</t>
  </si>
  <si>
    <t>Demanda intermedia_10_Servicios empresariales</t>
  </si>
  <si>
    <t>Demanda intermedia_11_Servicios personales</t>
  </si>
  <si>
    <t>Demanda intermedia_12_Administración pública</t>
  </si>
  <si>
    <t>Consumo de hogares_Ninguno_Ninguno</t>
  </si>
  <si>
    <t>Consumo  de IPSFL_Ninguno_Ninguno</t>
  </si>
  <si>
    <t>Consumo de gobierno_Ninguno_Ninguno</t>
  </si>
  <si>
    <t>Formación bruta de capital fijo_Ninguno_Ninguno</t>
  </si>
  <si>
    <t>Variación de existencias_Ninguno_Ninguno</t>
  </si>
  <si>
    <t>Exportaciones_Ninguno_Ninguno</t>
  </si>
  <si>
    <t>Oferta intermedia_1_Agropecuario-silvícola y Pesca</t>
  </si>
  <si>
    <t>Oferta intermedia_2_Minería</t>
  </si>
  <si>
    <t>Oferta intermedia_3_Industria manufacturera</t>
  </si>
  <si>
    <t>Oferta intermedia_4_Electricidad, gas, agua y gestión de desechos</t>
  </si>
  <si>
    <t>Oferta intermedia_5_Construcción</t>
  </si>
  <si>
    <t>Oferta intermedia_6_Comercio, hoteles y restaurantes</t>
  </si>
  <si>
    <t>Oferta intermedia_7_Transporte, comunicaciones y servicios de información</t>
  </si>
  <si>
    <t>Oferta intermedia_8_Intermediación financiera</t>
  </si>
  <si>
    <t>Oferta intermedia_9_Servicios inmobiliarios y de vivienda</t>
  </si>
  <si>
    <t>Oferta intermedia_10_Servicios empresariales</t>
  </si>
  <si>
    <t>Oferta intermedia_11_Servicios personales</t>
  </si>
  <si>
    <t>Oferta intermedia_12_Administración pública</t>
  </si>
  <si>
    <t>Fila</t>
  </si>
  <si>
    <t>Columna</t>
  </si>
  <si>
    <t>Valor</t>
  </si>
  <si>
    <t>Detalles de Suma de Valor</t>
  </si>
  <si>
    <t>Transaccion Fila</t>
  </si>
  <si>
    <t>Transacción Columnas</t>
  </si>
  <si>
    <t>Código Sector Columna</t>
  </si>
  <si>
    <t>Sector Columna</t>
  </si>
  <si>
    <t>Código Sector Fila</t>
  </si>
  <si>
    <t>Sector Fila</t>
  </si>
  <si>
    <t>Bioeconomía</t>
  </si>
  <si>
    <t>Bioeconomía extendida</t>
  </si>
  <si>
    <t>No Bioeconomía</t>
  </si>
  <si>
    <t>Bioeconomía filas</t>
  </si>
  <si>
    <t>Bioeconomía columnas</t>
  </si>
  <si>
    <t>Suma de Valor</t>
  </si>
  <si>
    <t>Etiquetas de fila</t>
  </si>
  <si>
    <t>Total general</t>
  </si>
  <si>
    <t>Etiquetas de columna</t>
  </si>
  <si>
    <t xml:space="preserve">Código Región</t>
  </si>
  <si>
    <t xml:space="preserve">region_name</t>
  </si>
  <si>
    <t xml:space="preserve">I01_Agropecuario-silvícola y Pesca</t>
  </si>
  <si>
    <t xml:space="preserve">I02_Minería</t>
  </si>
  <si>
    <t xml:space="preserve">I03_Industria manufacturera</t>
  </si>
  <si>
    <t xml:space="preserve">I04_Electricidad, gas, agua y gestión de desechos</t>
  </si>
  <si>
    <t xml:space="preserve">I05_Construcción</t>
  </si>
  <si>
    <t xml:space="preserve">I06_Comercio, hoteles y restaurantes</t>
  </si>
  <si>
    <t xml:space="preserve">I07_Transporte, comunicaciones y servicios de información</t>
  </si>
  <si>
    <t xml:space="preserve">I08_Intermediación financiera</t>
  </si>
  <si>
    <t xml:space="preserve">I09_Servicios inmobiliarios y de vivienda</t>
  </si>
  <si>
    <t xml:space="preserve">I10_Servicios empresariales</t>
  </si>
  <si>
    <t xml:space="preserve">I11_Servicios personales</t>
  </si>
  <si>
    <t xml:space="preserve">I12_Administración pública</t>
  </si>
  <si>
    <t xml:space="preserve">AI</t>
  </si>
  <si>
    <t xml:space="preserve">Región de Aysén del General Carlos Ibáñez del Campo (AI)</t>
  </si>
  <si>
    <t xml:space="preserve">AN</t>
  </si>
  <si>
    <t xml:space="preserve">Región de Antofagasta (AN)</t>
  </si>
  <si>
    <t xml:space="preserve">AP</t>
  </si>
  <si>
    <t xml:space="preserve">Región de Arica y Parinacota (AP)</t>
  </si>
  <si>
    <t xml:space="preserve">AR</t>
  </si>
  <si>
    <t xml:space="preserve">Región de La Araucanía (AR)</t>
  </si>
  <si>
    <t xml:space="preserve">AT</t>
  </si>
  <si>
    <t xml:space="preserve">Región de Atacama (AT)</t>
  </si>
  <si>
    <t xml:space="preserve">BI</t>
  </si>
  <si>
    <t xml:space="preserve">Región del Biobío (BI)</t>
  </si>
  <si>
    <t xml:space="preserve">CO</t>
  </si>
  <si>
    <t xml:space="preserve">Región de Coquimbo (CO)</t>
  </si>
  <si>
    <t xml:space="preserve">LI</t>
  </si>
  <si>
    <t xml:space="preserve">Región del Libertador General Bernardo O'Higgins (LI)</t>
  </si>
  <si>
    <t xml:space="preserve">LL</t>
  </si>
  <si>
    <t xml:space="preserve">Región de Los Lagos (LL)</t>
  </si>
  <si>
    <t xml:space="preserve">LR</t>
  </si>
  <si>
    <t xml:space="preserve">Región de Los Ríos (LR)</t>
  </si>
  <si>
    <t xml:space="preserve">MA</t>
  </si>
  <si>
    <t xml:space="preserve">Región de Magallanes y de la Antártica Chilena (MA)</t>
  </si>
  <si>
    <t xml:space="preserve">ML</t>
  </si>
  <si>
    <t xml:space="preserve">Región del Maule (ML)</t>
  </si>
  <si>
    <t xml:space="preserve">NB</t>
  </si>
  <si>
    <t xml:space="preserve">Región del Ñuble (NB)</t>
  </si>
  <si>
    <t xml:space="preserve">RM</t>
  </si>
  <si>
    <t xml:space="preserve">Región Metropolitana de Santiago (RM)</t>
  </si>
  <si>
    <t xml:space="preserve">TA</t>
  </si>
  <si>
    <t xml:space="preserve">Región de Tarapacá (TA)</t>
  </si>
  <si>
    <t xml:space="preserve">VA</t>
  </si>
  <si>
    <t xml:space="preserve">Región de Valparaíso (VA)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</si>
</sst>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#,##0.0000"/>
  </numFmts>
  <fonts count="9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Calibri"/>
    </font>
    <font>
      <sz val="8"/>
      <color theme="1"/>
      <name val="Times New Roman"/>
      <family val="1"/>
    </font>
    <font>
      <sz val="8"/>
      <color theme="1"/>
      <name val="Times New Roman"/>
      <family val="1"/>
      <b/>
    </font>
    <font>
      <sz val="10"/>
      <color theme="1"/>
      <name val="Times New Roman"/>
      <family val="1"/>
      <b/>
    </font>
    <font>
      <sz val="10"/>
      <color theme="1"/>
      <name val="Times New Roman"/>
      <family val="1"/>
      <u val="single"/>
    </font>
    <font>
      <sz val="11"/>
      <color theme="1"/>
      <name val="Calibri"/>
      <family val="2"/>
      <scheme val="minor"/>
      <b/>
    </font>
    <font>
      <sz val="11"/>
      <color theme="0"/>
      <name val="Calibri"/>
      <family val="2"/>
      <scheme val="minor"/>
      <b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3">
    <border>
      <left/>
      <right/>
      <top/>
      <bottom/>
      <diagonal/>
    </border>
    <border>
      <bottom style="thin">
        <color indexed="64"/>
      </bottom>
    </border>
    <border>
      <bottom style="medium">
        <color indexed="64"/>
      </bottom>
    </border>
    <border>
      <top style="thin">
        <color indexed="64"/>
      </top>
    </border>
    <border>
      <left style="thin">
        <color theme="4" tint="0.39997558519241921"/>
      </left>
      <top style="thin">
        <color theme="4" tint="0.39997558519241921"/>
      </top>
    </border>
    <border>
      <left style="thin">
        <color indexed="64"/>
      </left>
      <top style="thin">
        <color indexed="64"/>
      </top>
    </border>
    <border>
      <left style="thin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theme="4" tint="0.39997558519241921"/>
      </left>
      <top style="thin">
        <color theme="4" tint="0.39997558519241921"/>
      </top>
      <bottom style="thin">
        <color theme="4" tint="0.39997558519241921"/>
      </bottom>
    </border>
    <border>
      <top style="thin">
        <color theme="4" tint="0.39997558519241921"/>
      </top>
      <bottom style="thin">
        <color theme="4" tint="0.39997558519241921"/>
      </bottom>
    </border>
    <border>
      <top style="thin">
        <color theme="4" tint="0.39997558519241921"/>
      </top>
    </border>
    <border>
      <right style="thin">
        <color theme="4" tint="0.39997558519241921"/>
      </right>
      <top style="thin">
        <color theme="4" tint="0.39997558519241921"/>
      </top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0" xfId="0" applyFont="1" applyAlignment="1">
      <alignment horizontal="center" vertical="center" wrapText="1"/>
    </xf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3" fontId="1" fillId="0" borderId="0" xfId="0" applyFont="1" applyNumberFormat="1" applyAlignment="1">
      <alignment horizontal="right"/>
    </xf>
    <xf numFmtId="3" fontId="5" fillId="0" borderId="0" xfId="0" applyFont="1" applyNumberFormat="1"/>
    <xf numFmtId="3" fontId="1" fillId="0" borderId="0" xfId="0" applyFont="1" applyNumberFormat="1"/>
    <xf numFmtId="0" fontId="5" fillId="0" borderId="1" xfId="0" applyFont="1" applyBorder="1"/>
    <xf numFmtId="3" fontId="5" fillId="0" borderId="1" xfId="0" applyFont="1" applyNumberFormat="1" applyBorder="1"/>
    <xf numFmtId="0" fontId="5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38" fontId="1" fillId="0" borderId="0" xfId="0" applyFont="1" applyNumberFormat="1"/>
    <xf numFmtId="0" fontId="3" fillId="0" borderId="0" xfId="0" applyFont="1" applyAlignment="1">
      <alignment horizontal="center"/>
    </xf>
    <xf numFmtId="3" fontId="2" fillId="0" borderId="0" xfId="0" applyFont="1" applyNumberFormat="1"/>
    <xf numFmtId="169" fontId="2" fillId="0" borderId="0" xfId="0" applyFont="1" applyNumberFormat="1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/>
    </xf>
    <xf numFmtId="0" fontId="4" fillId="0" borderId="3" xfId="0" applyFont="1" applyBorder="1"/>
    <xf numFmtId="0" fontId="6" fillId="0" borderId="0" xfId="0" applyFont="1"/>
    <xf numFmtId="0" fontId="3" fillId="0" borderId="3" xfId="0" applyFont="1" applyBorder="1"/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1" xfId="0" applyFont="1" applyBorder="1"/>
    <xf numFmtId="0" fontId="1" fillId="0" borderId="0" xfId="0" applyFont="1" applyAlignment="1">
      <alignment wrapText="1"/>
    </xf>
    <xf numFmtId="49" fontId="1" fillId="0" borderId="0" xfId="0" applyFont="1" applyNumberFormat="1" applyAlignment="1">
      <alignment horizontal="left"/>
    </xf>
    <xf numFmtId="169" fontId="1" fillId="0" borderId="0" xfId="0" applyFont="1" applyNumberFormat="1"/>
    <xf numFmtId="0" fontId="6" fillId="0" borderId="0" xfId="0" applyFont="1" applyAlignment="1">
      <alignment horizontal="left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5" fillId="2" borderId="4" xfId="0" applyFont="1" applyFill="1" applyBorder="1"/>
    <xf numFmtId="0" fontId="5" fillId="2" borderId="5" xfId="0" applyFont="1" applyFill="1" applyBorder="1" applyAlignment="1">
      <alignment wrapText="1"/>
    </xf>
    <xf numFmtId="0" fontId="1" fillId="3" borderId="5" xfId="0" applyFont="1" applyFill="1" applyBorder="1" applyAlignment="1">
      <alignment horizontal="left"/>
    </xf>
    <xf numFmtId="3" fontId="1" fillId="4" borderId="5" xfId="0" applyFont="1" applyNumberFormat="1" applyFill="1" applyBorder="1" applyAlignment="1">
      <alignment horizontal="right"/>
    </xf>
    <xf numFmtId="3" fontId="1" fillId="4" borderId="5" xfId="0" applyFont="1" applyNumberFormat="1" applyFill="1" applyBorder="1"/>
    <xf numFmtId="3" fontId="1" fillId="4" borderId="6" xfId="0" applyFont="1" applyNumberFormat="1" applyFill="1" applyBorder="1"/>
    <xf numFmtId="0" fontId="1" fillId="3" borderId="7" xfId="0" applyFont="1" applyFill="1" applyBorder="1" applyAlignment="1">
      <alignment horizontal="left"/>
    </xf>
    <xf numFmtId="3" fontId="1" fillId="4" borderId="7" xfId="0" applyFont="1" applyNumberFormat="1" applyFill="1" applyBorder="1" applyAlignment="1">
      <alignment horizontal="right"/>
    </xf>
    <xf numFmtId="3" fontId="1" fillId="4" borderId="7" xfId="0" applyFont="1" applyNumberFormat="1" applyFill="1" applyBorder="1"/>
    <xf numFmtId="3" fontId="1" fillId="4" borderId="8" xfId="0" applyFont="1" applyNumberFormat="1" applyFill="1" applyBorder="1"/>
    <xf numFmtId="0" fontId="7" fillId="0" borderId="0" xfId="0" applyFont="1"/>
    <xf numFmtId="0" fontId="2" fillId="0" borderId="9" xfId="0" applyFont="1" applyBorder="1"/>
    <xf numFmtId="0" fontId="2" fillId="0" borderId="10" xfId="0" applyFont="1" applyBorder="1"/>
    <xf numFmtId="0" fontId="8" fillId="2" borderId="4" xfId="0" applyFont="1" applyFill="1" applyBorder="1"/>
    <xf numFmtId="0" fontId="8" fillId="2" borderId="11" xfId="0" applyFont="1" applyFill="1" applyBorder="1"/>
    <xf numFmtId="0" fontId="8" fillId="2" borderId="12" xfId="0" applyFont="1" applyFill="1" applyBorder="1"/>
    <xf numFmtId="0" fontId="2" fillId="5" borderId="4" xfId="0" applyFont="1" applyFill="1" applyBorder="1"/>
    <xf numFmtId="0" fontId="2" fillId="5" borderId="11" xfId="0" applyFont="1" applyFill="1" applyBorder="1"/>
    <xf numFmtId="0" fontId="2" fillId="5" borderId="12" xfId="0" applyFont="1" applyFill="1" applyBorder="1"/>
    <xf numFmtId="0" fontId="2" fillId="0" borderId="4" xfId="0" applyFont="1" applyBorder="1"/>
    <xf numFmtId="0" fontId="2" fillId="0" borderId="11" xfId="0" applyFont="1" applyBorder="1"/>
    <xf numFmtId="0" fontId="2" fillId="0" borderId="0" xfId="0" applyFont="1"/>
    <xf numFmtId="0" fontId="2" fillId="0" borderId="0" xfId="0" applyFont="1" applyAlignment="1">
      <alignment horizontal="left"/>
    </xf>
  </cellXfs>
  <cellStyles count="1">
    <cellStyle name="Normal" xfId="0" builtinId="0"/>
  </cellStyles>
  <dxfs count="1"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connections" Target="connections.xml"/><Relationship Id="rId11" Type="http://schemas.openxmlformats.org/officeDocument/2006/relationships/styles" Target="styles.xml"/><Relationship Id="rId12" Type="http://schemas.openxmlformats.org/officeDocument/2006/relationships/sharedStrings" Target="sharedStrings.xml"/><Relationship Id="rId20001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nato Vargas" refreshedDate="45900.873913425923" createdVersion="8" refreshedVersion="8" minRefreshableVersion="3" recordCount="216" xr:uid="{F5C9C54B-ABF7-43FF-B4D2-E08A842C0C4B}">
  <cacheSource type="worksheet">
    <worksheetSource ref="A3:K219" sheet="Resultado"/>
  </cacheSource>
  <cacheFields count="11">
    <cacheField name="Fila" numFmtId="0">
      <sharedItems/>
    </cacheField>
    <cacheField name="Columna" numFmtId="0">
      <sharedItems/>
    </cacheField>
    <cacheField name="Valor" numFmtId="0">
      <sharedItems containsSemiMixedTypes="0" containsString="0" containsNumber="1" minValue="-315.1916644546144" maxValue="50201.314984253913"/>
    </cacheField>
    <cacheField name="Transaccion Fila" numFmtId="0">
      <sharedItems/>
    </cacheField>
    <cacheField name="Código Sector Fila" numFmtId="0">
      <sharedItems containsSemiMixedTypes="0" containsString="0" containsNumber="1" containsInteger="1" minValue="1" maxValue="12"/>
    </cacheField>
    <cacheField name="Sector Fila" numFmtId="0">
      <sharedItems/>
    </cacheField>
    <cacheField name="Bioeconomía filas" numFmtId="0">
      <sharedItems count="3">
        <s v="Bioeconomía"/>
        <s v="No Bioeconomía"/>
        <s v="Bioeconomía extendida"/>
      </sharedItems>
    </cacheField>
    <cacheField name="Transacción Columnas" numFmtId="0">
      <sharedItems count="7">
        <s v="Demanda intermedia"/>
        <s v="Consumo de hogares"/>
        <s v="Consumo  de IPSFL"/>
        <s v="Consumo de gobierno"/>
        <s v="Formación bruta de capital fijo"/>
        <s v="Variación de existencias"/>
        <s v="Exportaciones"/>
      </sharedItems>
    </cacheField>
    <cacheField name="Código Sector Columna" numFmtId="0">
      <sharedItems containsMixedTypes="1" containsNumber="1" containsInteger="1" minValue="1" maxValue="12"/>
    </cacheField>
    <cacheField name="Sector Columna" numFmtId="0">
      <sharedItems/>
    </cacheField>
    <cacheField name="Bioeconomía columnas" numFmtId="0">
      <sharedItems count="4">
        <s v="Bioeconomía"/>
        <s v="No Bioeconomía"/>
        <s v="Bioeconomía extendida"/>
        <s v="Ningun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6">
  <r>
    <s v="Oferta intermedia_1_Agropecuario-silvícola y Pesca"/>
    <s v="Demanda intermedia_1_Agropecuario-silvícola y Pesca"/>
    <n v="4115.25324179359"/>
    <s v="Oferta intermedia"/>
    <n v="1"/>
    <s v="Agropecuario-silvícola y Pesca"/>
    <x v="0"/>
    <x v="0"/>
    <n v="1"/>
    <s v="Agropecuario-silvícola y Pesca"/>
    <x v="0"/>
  </r>
  <r>
    <s v="Oferta intermedia_1_Agropecuario-silvícola y Pesca"/>
    <s v="Demanda intermedia_2_Minería"/>
    <n v="0.64223706650561818"/>
    <s v="Oferta intermedia"/>
    <n v="1"/>
    <s v="Agropecuario-silvícola y Pesca"/>
    <x v="0"/>
    <x v="0"/>
    <n v="2"/>
    <s v="Minería"/>
    <x v="1"/>
  </r>
  <r>
    <s v="Oferta intermedia_1_Agropecuario-silvícola y Pesca"/>
    <s v="Demanda intermedia_3_Industria manufacturera"/>
    <n v="11866.038642245503"/>
    <s v="Oferta intermedia"/>
    <n v="1"/>
    <s v="Agropecuario-silvícola y Pesca"/>
    <x v="0"/>
    <x v="0"/>
    <n v="3"/>
    <s v="Industria manufacturera"/>
    <x v="1"/>
  </r>
  <r>
    <s v="Oferta intermedia_1_Agropecuario-silvícola y Pesca"/>
    <s v="Demanda intermedia_4_Electricidad, gas, agua y gestión de desechos"/>
    <n v="41.408529901637003"/>
    <s v="Oferta intermedia"/>
    <n v="1"/>
    <s v="Agropecuario-silvícola y Pesca"/>
    <x v="0"/>
    <x v="0"/>
    <n v="4"/>
    <s v="Electricidad, gas, agua y gestión de desechos"/>
    <x v="1"/>
  </r>
  <r>
    <s v="Oferta intermedia_1_Agropecuario-silvícola y Pesca"/>
    <s v="Demanda intermedia_5_Construcción"/>
    <n v="13.540523211729319"/>
    <s v="Oferta intermedia"/>
    <n v="1"/>
    <s v="Agropecuario-silvícola y Pesca"/>
    <x v="0"/>
    <x v="0"/>
    <n v="5"/>
    <s v="Construcción"/>
    <x v="1"/>
  </r>
  <r>
    <s v="Oferta intermedia_1_Agropecuario-silvícola y Pesca"/>
    <s v="Demanda intermedia_6_Comercio, hoteles y restaurantes"/>
    <n v="323.50973122279078"/>
    <s v="Oferta intermedia"/>
    <n v="1"/>
    <s v="Agropecuario-silvícola y Pesca"/>
    <x v="0"/>
    <x v="0"/>
    <n v="6"/>
    <s v="Comercio, hoteles y restaurantes"/>
    <x v="1"/>
  </r>
  <r>
    <s v="Oferta intermedia_1_Agropecuario-silvícola y Pesca"/>
    <s v="Demanda intermedia_7_Transporte, comunicaciones y servicios de información"/>
    <n v="3.7189800027750808"/>
    <s v="Oferta intermedia"/>
    <n v="1"/>
    <s v="Agropecuario-silvícola y Pesca"/>
    <x v="0"/>
    <x v="0"/>
    <n v="7"/>
    <s v="Transporte, comunicaciones y servicios de información"/>
    <x v="1"/>
  </r>
  <r>
    <s v="Oferta intermedia_1_Agropecuario-silvícola y Pesca"/>
    <s v="Demanda intermedia_8_Intermediación financiera"/>
    <n v="1.1738699574293463"/>
    <s v="Oferta intermedia"/>
    <n v="1"/>
    <s v="Agropecuario-silvícola y Pesca"/>
    <x v="0"/>
    <x v="0"/>
    <n v="8"/>
    <s v="Intermediación financiera"/>
    <x v="1"/>
  </r>
  <r>
    <s v="Oferta intermedia_1_Agropecuario-silvícola y Pesca"/>
    <s v="Demanda intermedia_9_Servicios inmobiliarios y de vivienda"/>
    <n v="4.6620560822918836E-2"/>
    <s v="Oferta intermedia"/>
    <n v="1"/>
    <s v="Agropecuario-silvícola y Pesca"/>
    <x v="0"/>
    <x v="0"/>
    <n v="9"/>
    <s v="Servicios inmobiliarios y de vivienda"/>
    <x v="1"/>
  </r>
  <r>
    <s v="Oferta intermedia_1_Agropecuario-silvícola y Pesca"/>
    <s v="Demanda intermedia_10_Servicios empresariales"/>
    <n v="6.0921412337751075"/>
    <s v="Oferta intermedia"/>
    <n v="1"/>
    <s v="Agropecuario-silvícola y Pesca"/>
    <x v="0"/>
    <x v="0"/>
    <n v="10"/>
    <s v="Servicios empresariales"/>
    <x v="2"/>
  </r>
  <r>
    <s v="Oferta intermedia_1_Agropecuario-silvícola y Pesca"/>
    <s v="Demanda intermedia_11_Servicios personales"/>
    <n v="59.351152722115152"/>
    <s v="Oferta intermedia"/>
    <n v="1"/>
    <s v="Agropecuario-silvícola y Pesca"/>
    <x v="0"/>
    <x v="0"/>
    <n v="11"/>
    <s v="Servicios personales"/>
    <x v="1"/>
  </r>
  <r>
    <s v="Oferta intermedia_1_Agropecuario-silvícola y Pesca"/>
    <s v="Demanda intermedia_12_Administración pública"/>
    <n v="62.713022185845844"/>
    <s v="Oferta intermedia"/>
    <n v="1"/>
    <s v="Agropecuario-silvícola y Pesca"/>
    <x v="0"/>
    <x v="0"/>
    <n v="12"/>
    <s v="Administración pública"/>
    <x v="1"/>
  </r>
  <r>
    <s v="Oferta intermedia_1_Agropecuario-silvícola y Pesca"/>
    <s v="Consumo de hogares_Ninguno_Ninguno"/>
    <n v="2783.6759149078262"/>
    <s v="Oferta intermedia"/>
    <n v="1"/>
    <s v="Agropecuario-silvícola y Pesca"/>
    <x v="0"/>
    <x v="1"/>
    <s v="Ninguno"/>
    <s v="Ninguno"/>
    <x v="3"/>
  </r>
  <r>
    <s v="Oferta intermedia_1_Agropecuario-silvícola y Pesca"/>
    <s v="Consumo  de IPSFL_Ninguno_Ninguno"/>
    <n v="0"/>
    <s v="Oferta intermedia"/>
    <n v="1"/>
    <s v="Agropecuario-silvícola y Pesca"/>
    <x v="0"/>
    <x v="2"/>
    <s v="Ninguno"/>
    <s v="Ninguno"/>
    <x v="3"/>
  </r>
  <r>
    <s v="Oferta intermedia_1_Agropecuario-silvícola y Pesca"/>
    <s v="Consumo de gobierno_Ninguno_Ninguno"/>
    <n v="2.668751046842022E-2"/>
    <s v="Oferta intermedia"/>
    <n v="1"/>
    <s v="Agropecuario-silvícola y Pesca"/>
    <x v="0"/>
    <x v="3"/>
    <s v="Ninguno"/>
    <s v="Ninguno"/>
    <x v="3"/>
  </r>
  <r>
    <s v="Oferta intermedia_1_Agropecuario-silvícola y Pesca"/>
    <s v="Formación bruta de capital fijo_Ninguno_Ninguno"/>
    <n v="790.68687043852901"/>
    <s v="Oferta intermedia"/>
    <n v="1"/>
    <s v="Agropecuario-silvícola y Pesca"/>
    <x v="0"/>
    <x v="4"/>
    <s v="Ninguno"/>
    <s v="Ninguno"/>
    <x v="3"/>
  </r>
  <r>
    <s v="Oferta intermedia_1_Agropecuario-silvícola y Pesca"/>
    <s v="Variación de existencias_Ninguno_Ninguno"/>
    <n v="-133.35791971044395"/>
    <s v="Oferta intermedia"/>
    <n v="1"/>
    <s v="Agropecuario-silvícola y Pesca"/>
    <x v="0"/>
    <x v="5"/>
    <s v="Ninguno"/>
    <s v="Ninguno"/>
    <x v="3"/>
  </r>
  <r>
    <s v="Oferta intermedia_1_Agropecuario-silvícola y Pesca"/>
    <s v="Exportaciones_Ninguno_Ninguno"/>
    <n v="3460.4746110713118"/>
    <s v="Oferta intermedia"/>
    <n v="1"/>
    <s v="Agropecuario-silvícola y Pesca"/>
    <x v="0"/>
    <x v="6"/>
    <s v="Ninguno"/>
    <s v="Ninguno"/>
    <x v="3"/>
  </r>
  <r>
    <s v="Oferta intermedia_2_Minería"/>
    <s v="Demanda intermedia_1_Agropecuario-silvícola y Pesca"/>
    <n v="17.284374579552285"/>
    <s v="Oferta intermedia"/>
    <n v="2"/>
    <s v="Minería"/>
    <x v="1"/>
    <x v="0"/>
    <n v="1"/>
    <s v="Agropecuario-silvícola y Pesca"/>
    <x v="0"/>
  </r>
  <r>
    <s v="Oferta intermedia_2_Minería"/>
    <s v="Demanda intermedia_2_Minería"/>
    <n v="5176.8488401808499"/>
    <s v="Oferta intermedia"/>
    <n v="2"/>
    <s v="Minería"/>
    <x v="1"/>
    <x v="0"/>
    <n v="2"/>
    <s v="Minería"/>
    <x v="1"/>
  </r>
  <r>
    <s v="Oferta intermedia_2_Minería"/>
    <s v="Demanda intermedia_3_Industria manufacturera"/>
    <n v="3249.0835489237825"/>
    <s v="Oferta intermedia"/>
    <n v="2"/>
    <s v="Minería"/>
    <x v="1"/>
    <x v="0"/>
    <n v="3"/>
    <s v="Industria manufacturera"/>
    <x v="1"/>
  </r>
  <r>
    <s v="Oferta intermedia_2_Minería"/>
    <s v="Demanda intermedia_4_Electricidad, gas, agua y gestión de desechos"/>
    <n v="69.390608604192025"/>
    <s v="Oferta intermedia"/>
    <n v="2"/>
    <s v="Minería"/>
    <x v="1"/>
    <x v="0"/>
    <n v="4"/>
    <s v="Electricidad, gas, agua y gestión de desechos"/>
    <x v="1"/>
  </r>
  <r>
    <s v="Oferta intermedia_2_Minería"/>
    <s v="Demanda intermedia_5_Construcción"/>
    <n v="194.00930683931554"/>
    <s v="Oferta intermedia"/>
    <n v="2"/>
    <s v="Minería"/>
    <x v="1"/>
    <x v="0"/>
    <n v="5"/>
    <s v="Construcción"/>
    <x v="1"/>
  </r>
  <r>
    <s v="Oferta intermedia_2_Minería"/>
    <s v="Demanda intermedia_6_Comercio, hoteles y restaurantes"/>
    <n v="47.012198735913366"/>
    <s v="Oferta intermedia"/>
    <n v="2"/>
    <s v="Minería"/>
    <x v="1"/>
    <x v="0"/>
    <n v="6"/>
    <s v="Comercio, hoteles y restaurantes"/>
    <x v="1"/>
  </r>
  <r>
    <s v="Oferta intermedia_2_Minería"/>
    <s v="Demanda intermedia_7_Transporte, comunicaciones y servicios de información"/>
    <n v="26.834354104437423"/>
    <s v="Oferta intermedia"/>
    <n v="2"/>
    <s v="Minería"/>
    <x v="1"/>
    <x v="0"/>
    <n v="7"/>
    <s v="Transporte, comunicaciones y servicios de información"/>
    <x v="1"/>
  </r>
  <r>
    <s v="Oferta intermedia_2_Minería"/>
    <s v="Demanda intermedia_8_Intermediación financiera"/>
    <n v="26.634541079722645"/>
    <s v="Oferta intermedia"/>
    <n v="2"/>
    <s v="Minería"/>
    <x v="1"/>
    <x v="0"/>
    <n v="8"/>
    <s v="Intermediación financiera"/>
    <x v="1"/>
  </r>
  <r>
    <s v="Oferta intermedia_2_Minería"/>
    <s v="Demanda intermedia_9_Servicios inmobiliarios y de vivienda"/>
    <n v="5.9874064065828323"/>
    <s v="Oferta intermedia"/>
    <n v="2"/>
    <s v="Minería"/>
    <x v="1"/>
    <x v="0"/>
    <n v="9"/>
    <s v="Servicios inmobiliarios y de vivienda"/>
    <x v="1"/>
  </r>
  <r>
    <s v="Oferta intermedia_2_Minería"/>
    <s v="Demanda intermedia_10_Servicios empresariales"/>
    <n v="48.327516181388418"/>
    <s v="Oferta intermedia"/>
    <n v="2"/>
    <s v="Minería"/>
    <x v="1"/>
    <x v="0"/>
    <n v="10"/>
    <s v="Servicios empresariales"/>
    <x v="2"/>
  </r>
  <r>
    <s v="Oferta intermedia_2_Minería"/>
    <s v="Demanda intermedia_11_Servicios personales"/>
    <n v="28.725164915130467"/>
    <s v="Oferta intermedia"/>
    <n v="2"/>
    <s v="Minería"/>
    <x v="1"/>
    <x v="0"/>
    <n v="11"/>
    <s v="Servicios personales"/>
    <x v="1"/>
  </r>
  <r>
    <s v="Oferta intermedia_2_Minería"/>
    <s v="Demanda intermedia_12_Administración pública"/>
    <n v="9.6188118745458535"/>
    <s v="Oferta intermedia"/>
    <n v="2"/>
    <s v="Minería"/>
    <x v="1"/>
    <x v="0"/>
    <n v="12"/>
    <s v="Administración pública"/>
    <x v="1"/>
  </r>
  <r>
    <s v="Oferta intermedia_2_Minería"/>
    <s v="Consumo de hogares_Ninguno_Ninguno"/>
    <n v="46.319552771228189"/>
    <s v="Oferta intermedia"/>
    <n v="2"/>
    <s v="Minería"/>
    <x v="1"/>
    <x v="1"/>
    <s v="Ninguno"/>
    <s v="Ninguno"/>
    <x v="3"/>
  </r>
  <r>
    <s v="Oferta intermedia_2_Minería"/>
    <s v="Consumo  de IPSFL_Ninguno_Ninguno"/>
    <n v="0"/>
    <s v="Oferta intermedia"/>
    <n v="2"/>
    <s v="Minería"/>
    <x v="1"/>
    <x v="2"/>
    <s v="Ninguno"/>
    <s v="Ninguno"/>
    <x v="3"/>
  </r>
  <r>
    <s v="Oferta intermedia_2_Minería"/>
    <s v="Consumo de gobierno_Ninguno_Ninguno"/>
    <n v="2.722812321192706"/>
    <s v="Oferta intermedia"/>
    <n v="2"/>
    <s v="Minería"/>
    <x v="1"/>
    <x v="3"/>
    <s v="Ninguno"/>
    <s v="Ninguno"/>
    <x v="3"/>
  </r>
  <r>
    <s v="Oferta intermedia_2_Minería"/>
    <s v="Formación bruta de capital fijo_Ninguno_Ninguno"/>
    <n v="704.96650590998138"/>
    <s v="Oferta intermedia"/>
    <n v="2"/>
    <s v="Minería"/>
    <x v="1"/>
    <x v="4"/>
    <s v="Ninguno"/>
    <s v="Ninguno"/>
    <x v="3"/>
  </r>
  <r>
    <s v="Oferta intermedia_2_Minería"/>
    <s v="Variación de existencias_Ninguno_Ninguno"/>
    <n v="-315.1916644546144"/>
    <s v="Oferta intermedia"/>
    <n v="2"/>
    <s v="Minería"/>
    <x v="1"/>
    <x v="5"/>
    <s v="Ninguno"/>
    <s v="Ninguno"/>
    <x v="3"/>
  </r>
  <r>
    <s v="Oferta intermedia_2_Minería"/>
    <s v="Exportaciones_Ninguno_Ninguno"/>
    <n v="50201.314984253913"/>
    <s v="Oferta intermedia"/>
    <n v="2"/>
    <s v="Minería"/>
    <x v="1"/>
    <x v="6"/>
    <s v="Ninguno"/>
    <s v="Ninguno"/>
    <x v="3"/>
  </r>
  <r>
    <s v="Oferta intermedia_3_Industria manufacturera"/>
    <s v="Demanda intermedia_1_Agropecuario-silvícola y Pesca"/>
    <n v="4649.3295943695384"/>
    <s v="Oferta intermedia"/>
    <n v="3"/>
    <s v="Industria manufacturera"/>
    <x v="1"/>
    <x v="0"/>
    <n v="1"/>
    <s v="Agropecuario-silvícola y Pesca"/>
    <x v="0"/>
  </r>
  <r>
    <s v="Oferta intermedia_3_Industria manufacturera"/>
    <s v="Demanda intermedia_2_Minería"/>
    <n v="3599.6667329405113"/>
    <s v="Oferta intermedia"/>
    <n v="3"/>
    <s v="Industria manufacturera"/>
    <x v="1"/>
    <x v="0"/>
    <n v="2"/>
    <s v="Minería"/>
    <x v="1"/>
  </r>
  <r>
    <s v="Oferta intermedia_3_Industria manufacturera"/>
    <s v="Demanda intermedia_3_Industria manufacturera"/>
    <n v="12335.8393584939"/>
    <s v="Oferta intermedia"/>
    <n v="3"/>
    <s v="Industria manufacturera"/>
    <x v="1"/>
    <x v="0"/>
    <n v="3"/>
    <s v="Industria manufacturera"/>
    <x v="1"/>
  </r>
  <r>
    <s v="Oferta intermedia_3_Industria manufacturera"/>
    <s v="Demanda intermedia_4_Electricidad, gas, agua y gestión de desechos"/>
    <n v="629.30829100869278"/>
    <s v="Oferta intermedia"/>
    <n v="3"/>
    <s v="Industria manufacturera"/>
    <x v="1"/>
    <x v="0"/>
    <n v="4"/>
    <s v="Electricidad, gas, agua y gestión de desechos"/>
    <x v="1"/>
  </r>
  <r>
    <s v="Oferta intermedia_3_Industria manufacturera"/>
    <s v="Demanda intermedia_5_Construcción"/>
    <n v="6599.0788607576997"/>
    <s v="Oferta intermedia"/>
    <n v="3"/>
    <s v="Industria manufacturera"/>
    <x v="1"/>
    <x v="0"/>
    <n v="5"/>
    <s v="Construcción"/>
    <x v="1"/>
  </r>
  <r>
    <s v="Oferta intermedia_3_Industria manufacturera"/>
    <s v="Demanda intermedia_6_Comercio, hoteles y restaurantes"/>
    <n v="4798.4363534631539"/>
    <s v="Oferta intermedia"/>
    <n v="3"/>
    <s v="Industria manufacturera"/>
    <x v="1"/>
    <x v="0"/>
    <n v="6"/>
    <s v="Comercio, hoteles y restaurantes"/>
    <x v="1"/>
  </r>
  <r>
    <s v="Oferta intermedia_3_Industria manufacturera"/>
    <s v="Demanda intermedia_7_Transporte, comunicaciones y servicios de información"/>
    <n v="2849.6015364058621"/>
    <s v="Oferta intermedia"/>
    <n v="3"/>
    <s v="Industria manufacturera"/>
    <x v="1"/>
    <x v="0"/>
    <n v="7"/>
    <s v="Transporte, comunicaciones y servicios de información"/>
    <x v="1"/>
  </r>
  <r>
    <s v="Oferta intermedia_3_Industria manufacturera"/>
    <s v="Demanda intermedia_8_Intermediación financiera"/>
    <n v="175.11488424190145"/>
    <s v="Oferta intermedia"/>
    <n v="3"/>
    <s v="Industria manufacturera"/>
    <x v="1"/>
    <x v="0"/>
    <n v="8"/>
    <s v="Intermediación financiera"/>
    <x v="1"/>
  </r>
  <r>
    <s v="Oferta intermedia_3_Industria manufacturera"/>
    <s v="Demanda intermedia_9_Servicios inmobiliarios y de vivienda"/>
    <n v="62.12138377444434"/>
    <s v="Oferta intermedia"/>
    <n v="3"/>
    <s v="Industria manufacturera"/>
    <x v="1"/>
    <x v="0"/>
    <n v="9"/>
    <s v="Servicios inmobiliarios y de vivienda"/>
    <x v="1"/>
  </r>
  <r>
    <s v="Oferta intermedia_3_Industria manufacturera"/>
    <s v="Demanda intermedia_10_Servicios empresariales"/>
    <n v="724.34215505105772"/>
    <s v="Oferta intermedia"/>
    <n v="3"/>
    <s v="Industria manufacturera"/>
    <x v="1"/>
    <x v="0"/>
    <n v="10"/>
    <s v="Servicios empresariales"/>
    <x v="2"/>
  </r>
  <r>
    <s v="Oferta intermedia_3_Industria manufacturera"/>
    <s v="Demanda intermedia_11_Servicios personales"/>
    <n v="2143.2518453646339"/>
    <s v="Oferta intermedia"/>
    <n v="3"/>
    <s v="Industria manufacturera"/>
    <x v="1"/>
    <x v="0"/>
    <n v="11"/>
    <s v="Servicios personales"/>
    <x v="1"/>
  </r>
  <r>
    <s v="Oferta intermedia_3_Industria manufacturera"/>
    <s v="Demanda intermedia_12_Administración pública"/>
    <n v="363.03962712610962"/>
    <s v="Oferta intermedia"/>
    <n v="3"/>
    <s v="Industria manufacturera"/>
    <x v="1"/>
    <x v="0"/>
    <n v="12"/>
    <s v="Administración pública"/>
    <x v="1"/>
  </r>
  <r>
    <s v="Oferta intermedia_3_Industria manufacturera"/>
    <s v="Consumo de hogares_Ninguno_Ninguno"/>
    <n v="22272.496082856436"/>
    <s v="Oferta intermedia"/>
    <n v="3"/>
    <s v="Industria manufacturera"/>
    <x v="1"/>
    <x v="1"/>
    <s v="Ninguno"/>
    <s v="Ninguno"/>
    <x v="3"/>
  </r>
  <r>
    <s v="Oferta intermedia_3_Industria manufacturera"/>
    <s v="Consumo  de IPSFL_Ninguno_Ninguno"/>
    <n v="0"/>
    <s v="Oferta intermedia"/>
    <n v="3"/>
    <s v="Industria manufacturera"/>
    <x v="1"/>
    <x v="2"/>
    <s v="Ninguno"/>
    <s v="Ninguno"/>
    <x v="3"/>
  </r>
  <r>
    <s v="Oferta intermedia_3_Industria manufacturera"/>
    <s v="Consumo de gobierno_Ninguno_Ninguno"/>
    <n v="86.443491400629199"/>
    <s v="Oferta intermedia"/>
    <n v="3"/>
    <s v="Industria manufacturera"/>
    <x v="1"/>
    <x v="3"/>
    <s v="Ninguno"/>
    <s v="Ninguno"/>
    <x v="3"/>
  </r>
  <r>
    <s v="Oferta intermedia_3_Industria manufacturera"/>
    <s v="Formación bruta de capital fijo_Ninguno_Ninguno"/>
    <n v="4045.856643177457"/>
    <s v="Oferta intermedia"/>
    <n v="3"/>
    <s v="Industria manufacturera"/>
    <x v="1"/>
    <x v="4"/>
    <s v="Ninguno"/>
    <s v="Ninguno"/>
    <x v="3"/>
  </r>
  <r>
    <s v="Oferta intermedia_3_Industria manufacturera"/>
    <s v="Variación de existencias_Ninguno_Ninguno"/>
    <n v="-300.63449098921058"/>
    <s v="Oferta intermedia"/>
    <n v="3"/>
    <s v="Industria manufacturera"/>
    <x v="1"/>
    <x v="5"/>
    <s v="Ninguno"/>
    <s v="Ninguno"/>
    <x v="3"/>
  </r>
  <r>
    <s v="Oferta intermedia_3_Industria manufacturera"/>
    <s v="Exportaciones_Ninguno_Ninguno"/>
    <n v="27660.472046589188"/>
    <s v="Oferta intermedia"/>
    <n v="3"/>
    <s v="Industria manufacturera"/>
    <x v="1"/>
    <x v="6"/>
    <s v="Ninguno"/>
    <s v="Ninguno"/>
    <x v="3"/>
  </r>
  <r>
    <s v="Oferta intermedia_4_Electricidad, gas, agua y gestión de desechos"/>
    <s v="Demanda intermedia_1_Agropecuario-silvícola y Pesca"/>
    <n v="245.3914624015523"/>
    <s v="Oferta intermedia"/>
    <n v="4"/>
    <s v="Electricidad, gas, agua y gestión de desechos"/>
    <x v="1"/>
    <x v="0"/>
    <n v="1"/>
    <s v="Agropecuario-silvícola y Pesca"/>
    <x v="0"/>
  </r>
  <r>
    <s v="Oferta intermedia_4_Electricidad, gas, agua y gestión de desechos"/>
    <s v="Demanda intermedia_2_Minería"/>
    <n v="3380.9071105102366"/>
    <s v="Oferta intermedia"/>
    <n v="4"/>
    <s v="Electricidad, gas, agua y gestión de desechos"/>
    <x v="1"/>
    <x v="0"/>
    <n v="2"/>
    <s v="Minería"/>
    <x v="1"/>
  </r>
  <r>
    <s v="Oferta intermedia_4_Electricidad, gas, agua y gestión de desechos"/>
    <s v="Demanda intermedia_3_Industria manufacturera"/>
    <n v="2940.4898871786891"/>
    <s v="Oferta intermedia"/>
    <n v="4"/>
    <s v="Electricidad, gas, agua y gestión de desechos"/>
    <x v="1"/>
    <x v="0"/>
    <n v="3"/>
    <s v="Industria manufacturera"/>
    <x v="1"/>
  </r>
  <r>
    <s v="Oferta intermedia_4_Electricidad, gas, agua y gestión de desechos"/>
    <s v="Demanda intermedia_4_Electricidad, gas, agua y gestión de desechos"/>
    <n v="2005.3179010334675"/>
    <s v="Oferta intermedia"/>
    <n v="4"/>
    <s v="Electricidad, gas, agua y gestión de desechos"/>
    <x v="1"/>
    <x v="0"/>
    <n v="4"/>
    <s v="Electricidad, gas, agua y gestión de desechos"/>
    <x v="1"/>
  </r>
  <r>
    <s v="Oferta intermedia_4_Electricidad, gas, agua y gestión de desechos"/>
    <s v="Demanda intermedia_5_Construcción"/>
    <n v="268.21388592482629"/>
    <s v="Oferta intermedia"/>
    <n v="4"/>
    <s v="Electricidad, gas, agua y gestión de desechos"/>
    <x v="1"/>
    <x v="0"/>
    <n v="5"/>
    <s v="Construcción"/>
    <x v="1"/>
  </r>
  <r>
    <s v="Oferta intermedia_4_Electricidad, gas, agua y gestión de desechos"/>
    <s v="Demanda intermedia_6_Comercio, hoteles y restaurantes"/>
    <n v="987.68203986104686"/>
    <s v="Oferta intermedia"/>
    <n v="4"/>
    <s v="Electricidad, gas, agua y gestión de desechos"/>
    <x v="1"/>
    <x v="0"/>
    <n v="6"/>
    <s v="Comercio, hoteles y restaurantes"/>
    <x v="1"/>
  </r>
  <r>
    <s v="Oferta intermedia_4_Electricidad, gas, agua y gestión de desechos"/>
    <s v="Demanda intermedia_7_Transporte, comunicaciones y servicios de información"/>
    <n v="498.25204850715994"/>
    <s v="Oferta intermedia"/>
    <n v="4"/>
    <s v="Electricidad, gas, agua y gestión de desechos"/>
    <x v="1"/>
    <x v="0"/>
    <n v="7"/>
    <s v="Transporte, comunicaciones y servicios de información"/>
    <x v="1"/>
  </r>
  <r>
    <s v="Oferta intermedia_4_Electricidad, gas, agua y gestión de desechos"/>
    <s v="Demanda intermedia_8_Intermediación financiera"/>
    <n v="134.92253182901922"/>
    <s v="Oferta intermedia"/>
    <n v="4"/>
    <s v="Electricidad, gas, agua y gestión de desechos"/>
    <x v="1"/>
    <x v="0"/>
    <n v="8"/>
    <s v="Intermediación financiera"/>
    <x v="1"/>
  </r>
  <r>
    <s v="Oferta intermedia_4_Electricidad, gas, agua y gestión de desechos"/>
    <s v="Demanda intermedia_9_Servicios inmobiliarios y de vivienda"/>
    <n v="217.21723463459776"/>
    <s v="Oferta intermedia"/>
    <n v="4"/>
    <s v="Electricidad, gas, agua y gestión de desechos"/>
    <x v="1"/>
    <x v="0"/>
    <n v="9"/>
    <s v="Servicios inmobiliarios y de vivienda"/>
    <x v="1"/>
  </r>
  <r>
    <s v="Oferta intermedia_4_Electricidad, gas, agua y gestión de desechos"/>
    <s v="Demanda intermedia_10_Servicios empresariales"/>
    <n v="231.67899014736994"/>
    <s v="Oferta intermedia"/>
    <n v="4"/>
    <s v="Electricidad, gas, agua y gestión de desechos"/>
    <x v="1"/>
    <x v="0"/>
    <n v="10"/>
    <s v="Servicios empresariales"/>
    <x v="2"/>
  </r>
  <r>
    <s v="Oferta intermedia_4_Electricidad, gas, agua y gestión de desechos"/>
    <s v="Demanda intermedia_11_Servicios personales"/>
    <n v="487.05717689247598"/>
    <s v="Oferta intermedia"/>
    <n v="4"/>
    <s v="Electricidad, gas, agua y gestión de desechos"/>
    <x v="1"/>
    <x v="0"/>
    <n v="11"/>
    <s v="Servicios personales"/>
    <x v="1"/>
  </r>
  <r>
    <s v="Oferta intermedia_4_Electricidad, gas, agua y gestión de desechos"/>
    <s v="Demanda intermedia_12_Administración pública"/>
    <n v="578.822278306935"/>
    <s v="Oferta intermedia"/>
    <n v="4"/>
    <s v="Electricidad, gas, agua y gestión de desechos"/>
    <x v="1"/>
    <x v="0"/>
    <n v="12"/>
    <s v="Administración pública"/>
    <x v="1"/>
  </r>
  <r>
    <s v="Oferta intermedia_4_Electricidad, gas, agua y gestión de desechos"/>
    <s v="Consumo de hogares_Ninguno_Ninguno"/>
    <n v="3763.8962261861479"/>
    <s v="Oferta intermedia"/>
    <n v="4"/>
    <s v="Electricidad, gas, agua y gestión de desechos"/>
    <x v="1"/>
    <x v="1"/>
    <s v="Ninguno"/>
    <s v="Ninguno"/>
    <x v="3"/>
  </r>
  <r>
    <s v="Oferta intermedia_4_Electricidad, gas, agua y gestión de desechos"/>
    <s v="Consumo  de IPSFL_Ninguno_Ninguno"/>
    <n v="0"/>
    <s v="Oferta intermedia"/>
    <n v="4"/>
    <s v="Electricidad, gas, agua y gestión de desechos"/>
    <x v="1"/>
    <x v="2"/>
    <s v="Ninguno"/>
    <s v="Ninguno"/>
    <x v="3"/>
  </r>
  <r>
    <s v="Oferta intermedia_4_Electricidad, gas, agua y gestión de desechos"/>
    <s v="Consumo de gobierno_Ninguno_Ninguno"/>
    <n v="83.189665272501514"/>
    <s v="Oferta intermedia"/>
    <n v="4"/>
    <s v="Electricidad, gas, agua y gestión de desechos"/>
    <x v="1"/>
    <x v="3"/>
    <s v="Ninguno"/>
    <s v="Ninguno"/>
    <x v="3"/>
  </r>
  <r>
    <s v="Oferta intermedia_4_Electricidad, gas, agua y gestión de desechos"/>
    <s v="Formación bruta de capital fijo_Ninguno_Ninguno"/>
    <n v="55.968353856951722"/>
    <s v="Oferta intermedia"/>
    <n v="4"/>
    <s v="Electricidad, gas, agua y gestión de desechos"/>
    <x v="1"/>
    <x v="4"/>
    <s v="Ninguno"/>
    <s v="Ninguno"/>
    <x v="3"/>
  </r>
  <r>
    <s v="Oferta intermedia_4_Electricidad, gas, agua y gestión de desechos"/>
    <s v="Variación de existencias_Ninguno_Ninguno"/>
    <n v="0.45411780960103626"/>
    <s v="Oferta intermedia"/>
    <n v="4"/>
    <s v="Electricidad, gas, agua y gestión de desechos"/>
    <x v="1"/>
    <x v="5"/>
    <s v="Ninguno"/>
    <s v="Ninguno"/>
    <x v="3"/>
  </r>
  <r>
    <s v="Oferta intermedia_4_Electricidad, gas, agua y gestión de desechos"/>
    <s v="Exportaciones_Ninguno_Ninguno"/>
    <n v="81.481389629637704"/>
    <s v="Oferta intermedia"/>
    <n v="4"/>
    <s v="Electricidad, gas, agua y gestión de desechos"/>
    <x v="1"/>
    <x v="6"/>
    <s v="Ninguno"/>
    <s v="Ninguno"/>
    <x v="3"/>
  </r>
  <r>
    <s v="Oferta intermedia_5_Construcción"/>
    <s v="Demanda intermedia_1_Agropecuario-silvícola y Pesca"/>
    <n v="1.0332716340274708"/>
    <s v="Oferta intermedia"/>
    <n v="5"/>
    <s v="Construcción"/>
    <x v="1"/>
    <x v="0"/>
    <n v="1"/>
    <s v="Agropecuario-silvícola y Pesca"/>
    <x v="0"/>
  </r>
  <r>
    <s v="Oferta intermedia_5_Construcción"/>
    <s v="Demanda intermedia_2_Minería"/>
    <n v="3.0356265766134927"/>
    <s v="Oferta intermedia"/>
    <n v="5"/>
    <s v="Construcción"/>
    <x v="1"/>
    <x v="0"/>
    <n v="2"/>
    <s v="Minería"/>
    <x v="1"/>
  </r>
  <r>
    <s v="Oferta intermedia_5_Construcción"/>
    <s v="Demanda intermedia_3_Industria manufacturera"/>
    <n v="10.808026343273349"/>
    <s v="Oferta intermedia"/>
    <n v="5"/>
    <s v="Construcción"/>
    <x v="1"/>
    <x v="0"/>
    <n v="3"/>
    <s v="Industria manufacturera"/>
    <x v="1"/>
  </r>
  <r>
    <s v="Oferta intermedia_5_Construcción"/>
    <s v="Demanda intermedia_4_Electricidad, gas, agua y gestión de desechos"/>
    <n v="1.6691959202417861"/>
    <s v="Oferta intermedia"/>
    <n v="5"/>
    <s v="Construcción"/>
    <x v="1"/>
    <x v="0"/>
    <n v="4"/>
    <s v="Electricidad, gas, agua y gestión de desechos"/>
    <x v="1"/>
  </r>
  <r>
    <s v="Oferta intermedia_5_Construcción"/>
    <s v="Demanda intermedia_5_Construcción"/>
    <n v="5292.5470910371168"/>
    <s v="Oferta intermedia"/>
    <n v="5"/>
    <s v="Construcción"/>
    <x v="1"/>
    <x v="0"/>
    <n v="5"/>
    <s v="Construcción"/>
    <x v="1"/>
  </r>
  <r>
    <s v="Oferta intermedia_5_Construcción"/>
    <s v="Demanda intermedia_6_Comercio, hoteles y restaurantes"/>
    <n v="59.406447949104333"/>
    <s v="Oferta intermedia"/>
    <n v="5"/>
    <s v="Construcción"/>
    <x v="1"/>
    <x v="0"/>
    <n v="6"/>
    <s v="Comercio, hoteles y restaurantes"/>
    <x v="1"/>
  </r>
  <r>
    <s v="Oferta intermedia_5_Construcción"/>
    <s v="Demanda intermedia_7_Transporte, comunicaciones y servicios de información"/>
    <n v="30.30313659084123"/>
    <s v="Oferta intermedia"/>
    <n v="5"/>
    <s v="Construcción"/>
    <x v="1"/>
    <x v="0"/>
    <n v="7"/>
    <s v="Transporte, comunicaciones y servicios de información"/>
    <x v="1"/>
  </r>
  <r>
    <s v="Oferta intermedia_5_Construcción"/>
    <s v="Demanda intermedia_8_Intermediación financiera"/>
    <n v="15.079325402288482"/>
    <s v="Oferta intermedia"/>
    <n v="5"/>
    <s v="Construcción"/>
    <x v="1"/>
    <x v="0"/>
    <n v="8"/>
    <s v="Intermediación financiera"/>
    <x v="1"/>
  </r>
  <r>
    <s v="Oferta intermedia_5_Construcción"/>
    <s v="Demanda intermedia_9_Servicios inmobiliarios y de vivienda"/>
    <n v="2916.6355399187187"/>
    <s v="Oferta intermedia"/>
    <n v="5"/>
    <s v="Construcción"/>
    <x v="1"/>
    <x v="0"/>
    <n v="9"/>
    <s v="Servicios inmobiliarios y de vivienda"/>
    <x v="1"/>
  </r>
  <r>
    <s v="Oferta intermedia_5_Construcción"/>
    <s v="Demanda intermedia_10_Servicios empresariales"/>
    <n v="17.996332768911621"/>
    <s v="Oferta intermedia"/>
    <n v="5"/>
    <s v="Construcción"/>
    <x v="1"/>
    <x v="0"/>
    <n v="10"/>
    <s v="Servicios empresariales"/>
    <x v="2"/>
  </r>
  <r>
    <s v="Oferta intermedia_5_Construcción"/>
    <s v="Demanda intermedia_11_Servicios personales"/>
    <n v="20.730084837589924"/>
    <s v="Oferta intermedia"/>
    <n v="5"/>
    <s v="Construcción"/>
    <x v="1"/>
    <x v="0"/>
    <n v="11"/>
    <s v="Servicios personales"/>
    <x v="1"/>
  </r>
  <r>
    <s v="Oferta intermedia_5_Construcción"/>
    <s v="Demanda intermedia_12_Administración pública"/>
    <n v="5.9405624169232105"/>
    <s v="Oferta intermedia"/>
    <n v="5"/>
    <s v="Construcción"/>
    <x v="1"/>
    <x v="0"/>
    <n v="12"/>
    <s v="Administración pública"/>
    <x v="1"/>
  </r>
  <r>
    <s v="Oferta intermedia_5_Construcción"/>
    <s v="Consumo de hogares_Ninguno_Ninguno"/>
    <n v="11.8029683309727"/>
    <s v="Oferta intermedia"/>
    <n v="5"/>
    <s v="Construcción"/>
    <x v="1"/>
    <x v="1"/>
    <s v="Ninguno"/>
    <s v="Ninguno"/>
    <x v="3"/>
  </r>
  <r>
    <s v="Oferta intermedia_5_Construcción"/>
    <s v="Consumo  de IPSFL_Ninguno_Ninguno"/>
    <n v="0"/>
    <s v="Oferta intermedia"/>
    <n v="5"/>
    <s v="Construcción"/>
    <x v="1"/>
    <x v="2"/>
    <s v="Ninguno"/>
    <s v="Ninguno"/>
    <x v="3"/>
  </r>
  <r>
    <s v="Oferta intermedia_5_Construcción"/>
    <s v="Consumo de gobierno_Ninguno_Ninguno"/>
    <n v="0.12944474112889989"/>
    <s v="Oferta intermedia"/>
    <n v="5"/>
    <s v="Construcción"/>
    <x v="1"/>
    <x v="3"/>
    <s v="Ninguno"/>
    <s v="Ninguno"/>
    <x v="3"/>
  </r>
  <r>
    <s v="Oferta intermedia_5_Construcción"/>
    <s v="Formación bruta de capital fijo_Ninguno_Ninguno"/>
    <n v="28753.102909771198"/>
    <s v="Oferta intermedia"/>
    <n v="5"/>
    <s v="Construcción"/>
    <x v="1"/>
    <x v="4"/>
    <s v="Ninguno"/>
    <s v="Ninguno"/>
    <x v="3"/>
  </r>
  <r>
    <s v="Oferta intermedia_5_Construcción"/>
    <s v="Variación de existencias_Ninguno_Ninguno"/>
    <n v="0"/>
    <s v="Oferta intermedia"/>
    <n v="5"/>
    <s v="Construcción"/>
    <x v="1"/>
    <x v="5"/>
    <s v="Ninguno"/>
    <s v="Ninguno"/>
    <x v="3"/>
  </r>
  <r>
    <s v="Oferta intermedia_5_Construcción"/>
    <s v="Exportaciones_Ninguno_Ninguno"/>
    <n v="5.6507347800817076"/>
    <s v="Oferta intermedia"/>
    <n v="5"/>
    <s v="Construcción"/>
    <x v="1"/>
    <x v="6"/>
    <s v="Ninguno"/>
    <s v="Ninguno"/>
    <x v="3"/>
  </r>
  <r>
    <s v="Oferta intermedia_6_Comercio, hoteles y restaurantes"/>
    <s v="Demanda intermedia_1_Agropecuario-silvícola y Pesca"/>
    <n v="966.82833786755134"/>
    <s v="Oferta intermedia"/>
    <n v="6"/>
    <s v="Comercio, hoteles y restaurantes"/>
    <x v="1"/>
    <x v="0"/>
    <n v="1"/>
    <s v="Agropecuario-silvícola y Pesca"/>
    <x v="0"/>
  </r>
  <r>
    <s v="Oferta intermedia_6_Comercio, hoteles y restaurantes"/>
    <s v="Demanda intermedia_2_Minería"/>
    <n v="1770.7817322909834"/>
    <s v="Oferta intermedia"/>
    <n v="6"/>
    <s v="Comercio, hoteles y restaurantes"/>
    <x v="1"/>
    <x v="0"/>
    <n v="2"/>
    <s v="Minería"/>
    <x v="1"/>
  </r>
  <r>
    <s v="Oferta intermedia_6_Comercio, hoteles y restaurantes"/>
    <s v="Demanda intermedia_3_Industria manufacturera"/>
    <n v="4469.314197541139"/>
    <s v="Oferta intermedia"/>
    <n v="6"/>
    <s v="Comercio, hoteles y restaurantes"/>
    <x v="1"/>
    <x v="0"/>
    <n v="3"/>
    <s v="Industria manufacturera"/>
    <x v="1"/>
  </r>
  <r>
    <s v="Oferta intermedia_6_Comercio, hoteles y restaurantes"/>
    <s v="Demanda intermedia_4_Electricidad, gas, agua y gestión de desechos"/>
    <n v="315.0718035047139"/>
    <s v="Oferta intermedia"/>
    <n v="6"/>
    <s v="Comercio, hoteles y restaurantes"/>
    <x v="1"/>
    <x v="0"/>
    <n v="4"/>
    <s v="Electricidad, gas, agua y gestión de desechos"/>
    <x v="1"/>
  </r>
  <r>
    <s v="Oferta intermedia_6_Comercio, hoteles y restaurantes"/>
    <s v="Demanda intermedia_5_Construcción"/>
    <n v="2349.1399443389273"/>
    <s v="Oferta intermedia"/>
    <n v="6"/>
    <s v="Comercio, hoteles y restaurantes"/>
    <x v="1"/>
    <x v="0"/>
    <n v="5"/>
    <s v="Construcción"/>
    <x v="1"/>
  </r>
  <r>
    <s v="Oferta intermedia_6_Comercio, hoteles y restaurantes"/>
    <s v="Demanda intermedia_6_Comercio, hoteles y restaurantes"/>
    <n v="4647.6657757804314"/>
    <s v="Oferta intermedia"/>
    <n v="6"/>
    <s v="Comercio, hoteles y restaurantes"/>
    <x v="1"/>
    <x v="0"/>
    <n v="6"/>
    <s v="Comercio, hoteles y restaurantes"/>
    <x v="1"/>
  </r>
  <r>
    <s v="Oferta intermedia_6_Comercio, hoteles y restaurantes"/>
    <s v="Demanda intermedia_7_Transporte, comunicaciones y servicios de información"/>
    <n v="2529.3725339900752"/>
    <s v="Oferta intermedia"/>
    <n v="6"/>
    <s v="Comercio, hoteles y restaurantes"/>
    <x v="1"/>
    <x v="0"/>
    <n v="7"/>
    <s v="Transporte, comunicaciones y servicios de información"/>
    <x v="1"/>
  </r>
  <r>
    <s v="Oferta intermedia_6_Comercio, hoteles y restaurantes"/>
    <s v="Demanda intermedia_8_Intermediación financiera"/>
    <n v="350.69454613681694"/>
    <s v="Oferta intermedia"/>
    <n v="6"/>
    <s v="Comercio, hoteles y restaurantes"/>
    <x v="1"/>
    <x v="0"/>
    <n v="8"/>
    <s v="Intermediación financiera"/>
    <x v="1"/>
  </r>
  <r>
    <s v="Oferta intermedia_6_Comercio, hoteles y restaurantes"/>
    <s v="Demanda intermedia_9_Servicios inmobiliarios y de vivienda"/>
    <n v="60.12173835484959"/>
    <s v="Oferta intermedia"/>
    <n v="6"/>
    <s v="Comercio, hoteles y restaurantes"/>
    <x v="1"/>
    <x v="0"/>
    <n v="9"/>
    <s v="Servicios inmobiliarios y de vivienda"/>
    <x v="1"/>
  </r>
  <r>
    <s v="Oferta intermedia_6_Comercio, hoteles y restaurantes"/>
    <s v="Demanda intermedia_10_Servicios empresariales"/>
    <n v="1133.367122027342"/>
    <s v="Oferta intermedia"/>
    <n v="6"/>
    <s v="Comercio, hoteles y restaurantes"/>
    <x v="1"/>
    <x v="0"/>
    <n v="10"/>
    <s v="Servicios empresariales"/>
    <x v="2"/>
  </r>
  <r>
    <s v="Oferta intermedia_6_Comercio, hoteles y restaurantes"/>
    <s v="Demanda intermedia_11_Servicios personales"/>
    <n v="1800.0868346419295"/>
    <s v="Oferta intermedia"/>
    <n v="6"/>
    <s v="Comercio, hoteles y restaurantes"/>
    <x v="1"/>
    <x v="0"/>
    <n v="11"/>
    <s v="Servicios personales"/>
    <x v="1"/>
  </r>
  <r>
    <s v="Oferta intermedia_6_Comercio, hoteles y restaurantes"/>
    <s v="Demanda intermedia_12_Administración pública"/>
    <n v="305.19939715018097"/>
    <s v="Oferta intermedia"/>
    <n v="6"/>
    <s v="Comercio, hoteles y restaurantes"/>
    <x v="1"/>
    <x v="0"/>
    <n v="12"/>
    <s v="Administración pública"/>
    <x v="1"/>
  </r>
  <r>
    <s v="Oferta intermedia_6_Comercio, hoteles y restaurantes"/>
    <s v="Consumo de hogares_Ninguno_Ninguno"/>
    <n v="30901.887330008965"/>
    <s v="Oferta intermedia"/>
    <n v="6"/>
    <s v="Comercio, hoteles y restaurantes"/>
    <x v="1"/>
    <x v="1"/>
    <s v="Ninguno"/>
    <s v="Ninguno"/>
    <x v="3"/>
  </r>
  <r>
    <s v="Oferta intermedia_6_Comercio, hoteles y restaurantes"/>
    <s v="Consumo  de IPSFL_Ninguno_Ninguno"/>
    <n v="0"/>
    <s v="Oferta intermedia"/>
    <n v="6"/>
    <s v="Comercio, hoteles y restaurantes"/>
    <x v="1"/>
    <x v="2"/>
    <s v="Ninguno"/>
    <s v="Ninguno"/>
    <x v="3"/>
  </r>
  <r>
    <s v="Oferta intermedia_6_Comercio, hoteles y restaurantes"/>
    <s v="Consumo de gobierno_Ninguno_Ninguno"/>
    <n v="715.54930083129898"/>
    <s v="Oferta intermedia"/>
    <n v="6"/>
    <s v="Comercio, hoteles y restaurantes"/>
    <x v="1"/>
    <x v="3"/>
    <s v="Ninguno"/>
    <s v="Ninguno"/>
    <x v="3"/>
  </r>
  <r>
    <s v="Oferta intermedia_6_Comercio, hoteles y restaurantes"/>
    <s v="Formación bruta de capital fijo_Ninguno_Ninguno"/>
    <n v="6164.3481824745741"/>
    <s v="Oferta intermedia"/>
    <n v="6"/>
    <s v="Comercio, hoteles y restaurantes"/>
    <x v="1"/>
    <x v="4"/>
    <s v="Ninguno"/>
    <s v="Ninguno"/>
    <x v="3"/>
  </r>
  <r>
    <s v="Oferta intermedia_6_Comercio, hoteles y restaurantes"/>
    <s v="Variación de existencias_Ninguno_Ninguno"/>
    <n v="-2.5610536651533788"/>
    <s v="Oferta intermedia"/>
    <n v="6"/>
    <s v="Comercio, hoteles y restaurantes"/>
    <x v="1"/>
    <x v="5"/>
    <s v="Ninguno"/>
    <s v="Ninguno"/>
    <x v="3"/>
  </r>
  <r>
    <s v="Oferta intermedia_6_Comercio, hoteles y restaurantes"/>
    <s v="Exportaciones_Ninguno_Ninguno"/>
    <n v="3003.0162638239958"/>
    <s v="Oferta intermedia"/>
    <n v="6"/>
    <s v="Comercio, hoteles y restaurantes"/>
    <x v="1"/>
    <x v="6"/>
    <s v="Ninguno"/>
    <s v="Ninguno"/>
    <x v="3"/>
  </r>
  <r>
    <s v="Oferta intermedia_7_Transporte, comunicaciones y servicios de información"/>
    <s v="Demanda intermedia_1_Agropecuario-silvícola y Pesca"/>
    <n v="1062.4133737383852"/>
    <s v="Oferta intermedia"/>
    <n v="7"/>
    <s v="Transporte, comunicaciones y servicios de información"/>
    <x v="1"/>
    <x v="0"/>
    <n v="1"/>
    <s v="Agropecuario-silvícola y Pesca"/>
    <x v="0"/>
  </r>
  <r>
    <s v="Oferta intermedia_7_Transporte, comunicaciones y servicios de información"/>
    <s v="Demanda intermedia_2_Minería"/>
    <n v="1833.5671296604153"/>
    <s v="Oferta intermedia"/>
    <n v="7"/>
    <s v="Transporte, comunicaciones y servicios de información"/>
    <x v="1"/>
    <x v="0"/>
    <n v="2"/>
    <s v="Minería"/>
    <x v="1"/>
  </r>
  <r>
    <s v="Oferta intermedia_7_Transporte, comunicaciones y servicios de información"/>
    <s v="Demanda intermedia_3_Industria manufacturera"/>
    <n v="4744.7545438125126"/>
    <s v="Oferta intermedia"/>
    <n v="7"/>
    <s v="Transporte, comunicaciones y servicios de información"/>
    <x v="1"/>
    <x v="0"/>
    <n v="3"/>
    <s v="Industria manufacturera"/>
    <x v="1"/>
  </r>
  <r>
    <s v="Oferta intermedia_7_Transporte, comunicaciones y servicios de información"/>
    <s v="Demanda intermedia_4_Electricidad, gas, agua y gestión de desechos"/>
    <n v="530.47941388537822"/>
    <s v="Oferta intermedia"/>
    <n v="7"/>
    <s v="Transporte, comunicaciones y servicios de información"/>
    <x v="1"/>
    <x v="0"/>
    <n v="4"/>
    <s v="Electricidad, gas, agua y gestión de desechos"/>
    <x v="1"/>
  </r>
  <r>
    <s v="Oferta intermedia_7_Transporte, comunicaciones y servicios de información"/>
    <s v="Demanda intermedia_5_Construcción"/>
    <n v="1031.9693618789372"/>
    <s v="Oferta intermedia"/>
    <n v="7"/>
    <s v="Transporte, comunicaciones y servicios de información"/>
    <x v="1"/>
    <x v="0"/>
    <n v="5"/>
    <s v="Construcción"/>
    <x v="1"/>
  </r>
  <r>
    <s v="Oferta intermedia_7_Transporte, comunicaciones y servicios de información"/>
    <s v="Demanda intermedia_6_Comercio, hoteles y restaurantes"/>
    <n v="7309.3569906340563"/>
    <s v="Oferta intermedia"/>
    <n v="7"/>
    <s v="Transporte, comunicaciones y servicios de información"/>
    <x v="1"/>
    <x v="0"/>
    <n v="6"/>
    <s v="Comercio, hoteles y restaurantes"/>
    <x v="1"/>
  </r>
  <r>
    <s v="Oferta intermedia_7_Transporte, comunicaciones y servicios de información"/>
    <s v="Demanda intermedia_7_Transporte, comunicaciones y servicios de información"/>
    <n v="8000.1396888266036"/>
    <s v="Oferta intermedia"/>
    <n v="7"/>
    <s v="Transporte, comunicaciones y servicios de información"/>
    <x v="1"/>
    <x v="0"/>
    <n v="7"/>
    <s v="Transporte, comunicaciones y servicios de información"/>
    <x v="1"/>
  </r>
  <r>
    <s v="Oferta intermedia_7_Transporte, comunicaciones y servicios de información"/>
    <s v="Demanda intermedia_8_Intermediación financiera"/>
    <n v="904.07699024263366"/>
    <s v="Oferta intermedia"/>
    <n v="7"/>
    <s v="Transporte, comunicaciones y servicios de información"/>
    <x v="1"/>
    <x v="0"/>
    <n v="8"/>
    <s v="Intermediación financiera"/>
    <x v="1"/>
  </r>
  <r>
    <s v="Oferta intermedia_7_Transporte, comunicaciones y servicios de información"/>
    <s v="Demanda intermedia_9_Servicios inmobiliarios y de vivienda"/>
    <n v="77.339440803232648"/>
    <s v="Oferta intermedia"/>
    <n v="7"/>
    <s v="Transporte, comunicaciones y servicios de información"/>
    <x v="1"/>
    <x v="0"/>
    <n v="9"/>
    <s v="Servicios inmobiliarios y de vivienda"/>
    <x v="1"/>
  </r>
  <r>
    <s v="Oferta intermedia_7_Transporte, comunicaciones y servicios de información"/>
    <s v="Demanda intermedia_10_Servicios empresariales"/>
    <n v="1471.0034731919143"/>
    <s v="Oferta intermedia"/>
    <n v="7"/>
    <s v="Transporte, comunicaciones y servicios de información"/>
    <x v="1"/>
    <x v="0"/>
    <n v="10"/>
    <s v="Servicios empresariales"/>
    <x v="2"/>
  </r>
  <r>
    <s v="Oferta intermedia_7_Transporte, comunicaciones y servicios de información"/>
    <s v="Demanda intermedia_11_Servicios personales"/>
    <n v="863.62840417232007"/>
    <s v="Oferta intermedia"/>
    <n v="7"/>
    <s v="Transporte, comunicaciones y servicios de información"/>
    <x v="1"/>
    <x v="0"/>
    <n v="11"/>
    <s v="Servicios personales"/>
    <x v="1"/>
  </r>
  <r>
    <s v="Oferta intermedia_7_Transporte, comunicaciones y servicios de información"/>
    <s v="Demanda intermedia_12_Administración pública"/>
    <n v="594.23803054473694"/>
    <s v="Oferta intermedia"/>
    <n v="7"/>
    <s v="Transporte, comunicaciones y servicios de información"/>
    <x v="1"/>
    <x v="0"/>
    <n v="12"/>
    <s v="Administración pública"/>
    <x v="1"/>
  </r>
  <r>
    <s v="Oferta intermedia_7_Transporte, comunicaciones y servicios de información"/>
    <s v="Consumo de hogares_Ninguno_Ninguno"/>
    <n v="11716.771316548366"/>
    <s v="Oferta intermedia"/>
    <n v="7"/>
    <s v="Transporte, comunicaciones y servicios de información"/>
    <x v="1"/>
    <x v="1"/>
    <s v="Ninguno"/>
    <s v="Ninguno"/>
    <x v="3"/>
  </r>
  <r>
    <s v="Oferta intermedia_7_Transporte, comunicaciones y servicios de información"/>
    <s v="Consumo  de IPSFL_Ninguno_Ninguno"/>
    <n v="0"/>
    <s v="Oferta intermedia"/>
    <n v="7"/>
    <s v="Transporte, comunicaciones y servicios de información"/>
    <x v="1"/>
    <x v="2"/>
    <s v="Ninguno"/>
    <s v="Ninguno"/>
    <x v="3"/>
  </r>
  <r>
    <s v="Oferta intermedia_7_Transporte, comunicaciones y servicios de información"/>
    <s v="Consumo de gobierno_Ninguno_Ninguno"/>
    <n v="10.022818548600483"/>
    <s v="Oferta intermedia"/>
    <n v="7"/>
    <s v="Transporte, comunicaciones y servicios de información"/>
    <x v="1"/>
    <x v="3"/>
    <s v="Ninguno"/>
    <s v="Ninguno"/>
    <x v="3"/>
  </r>
  <r>
    <s v="Oferta intermedia_7_Transporte, comunicaciones y servicios de información"/>
    <s v="Formación bruta de capital fijo_Ninguno_Ninguno"/>
    <n v="2908.8034916749398"/>
    <s v="Oferta intermedia"/>
    <n v="7"/>
    <s v="Transporte, comunicaciones y servicios de información"/>
    <x v="1"/>
    <x v="4"/>
    <s v="Ninguno"/>
    <s v="Ninguno"/>
    <x v="3"/>
  </r>
  <r>
    <s v="Oferta intermedia_7_Transporte, comunicaciones y servicios de información"/>
    <s v="Variación de existencias_Ninguno_Ninguno"/>
    <n v="0"/>
    <s v="Oferta intermedia"/>
    <n v="7"/>
    <s v="Transporte, comunicaciones y servicios de información"/>
    <x v="1"/>
    <x v="5"/>
    <s v="Ninguno"/>
    <s v="Ninguno"/>
    <x v="3"/>
  </r>
  <r>
    <s v="Oferta intermedia_7_Transporte, comunicaciones y servicios de información"/>
    <s v="Exportaciones_Ninguno_Ninguno"/>
    <n v="4108.0305736087175"/>
    <s v="Oferta intermedia"/>
    <n v="7"/>
    <s v="Transporte, comunicaciones y servicios de información"/>
    <x v="1"/>
    <x v="6"/>
    <s v="Ninguno"/>
    <s v="Ninguno"/>
    <x v="3"/>
  </r>
  <r>
    <s v="Oferta intermedia_8_Intermediación financiera"/>
    <s v="Demanda intermedia_1_Agropecuario-silvícola y Pesca"/>
    <n v="310.09645740051849"/>
    <s v="Oferta intermedia"/>
    <n v="8"/>
    <s v="Intermediación financiera"/>
    <x v="1"/>
    <x v="0"/>
    <n v="1"/>
    <s v="Agropecuario-silvícola y Pesca"/>
    <x v="0"/>
  </r>
  <r>
    <s v="Oferta intermedia_8_Intermediación financiera"/>
    <s v="Demanda intermedia_2_Minería"/>
    <n v="274.66528525786589"/>
    <s v="Oferta intermedia"/>
    <n v="8"/>
    <s v="Intermediación financiera"/>
    <x v="1"/>
    <x v="0"/>
    <n v="2"/>
    <s v="Minería"/>
    <x v="1"/>
  </r>
  <r>
    <s v="Oferta intermedia_8_Intermediación financiera"/>
    <s v="Demanda intermedia_3_Industria manufacturera"/>
    <n v="810.19138986447888"/>
    <s v="Oferta intermedia"/>
    <n v="8"/>
    <s v="Intermediación financiera"/>
    <x v="1"/>
    <x v="0"/>
    <n v="3"/>
    <s v="Industria manufacturera"/>
    <x v="1"/>
  </r>
  <r>
    <s v="Oferta intermedia_8_Intermediación financiera"/>
    <s v="Demanda intermedia_4_Electricidad, gas, agua y gestión de desechos"/>
    <n v="363.093240764916"/>
    <s v="Oferta intermedia"/>
    <n v="8"/>
    <s v="Intermediación financiera"/>
    <x v="1"/>
    <x v="0"/>
    <n v="4"/>
    <s v="Electricidad, gas, agua y gestión de desechos"/>
    <x v="1"/>
  </r>
  <r>
    <s v="Oferta intermedia_8_Intermediación financiera"/>
    <s v="Demanda intermedia_5_Construcción"/>
    <n v="584.48260935479061"/>
    <s v="Oferta intermedia"/>
    <n v="8"/>
    <s v="Intermediación financiera"/>
    <x v="1"/>
    <x v="0"/>
    <n v="5"/>
    <s v="Construcción"/>
    <x v="1"/>
  </r>
  <r>
    <s v="Oferta intermedia_8_Intermediación financiera"/>
    <s v="Demanda intermedia_6_Comercio, hoteles y restaurantes"/>
    <n v="1750.6706525790887"/>
    <s v="Oferta intermedia"/>
    <n v="8"/>
    <s v="Intermediación financiera"/>
    <x v="1"/>
    <x v="0"/>
    <n v="6"/>
    <s v="Comercio, hoteles y restaurantes"/>
    <x v="1"/>
  </r>
  <r>
    <s v="Oferta intermedia_8_Intermediación financiera"/>
    <s v="Demanda intermedia_7_Transporte, comunicaciones y servicios de información"/>
    <n v="635.75459166565099"/>
    <s v="Oferta intermedia"/>
    <n v="8"/>
    <s v="Intermediación financiera"/>
    <x v="1"/>
    <x v="0"/>
    <n v="7"/>
    <s v="Transporte, comunicaciones y servicios de información"/>
    <x v="1"/>
  </r>
  <r>
    <s v="Oferta intermedia_8_Intermediación financiera"/>
    <s v="Demanda intermedia_8_Intermediación financiera"/>
    <n v="5982.5788079375088"/>
    <s v="Oferta intermedia"/>
    <n v="8"/>
    <s v="Intermediación financiera"/>
    <x v="1"/>
    <x v="0"/>
    <n v="8"/>
    <s v="Intermediación financiera"/>
    <x v="1"/>
  </r>
  <r>
    <s v="Oferta intermedia_8_Intermediación financiera"/>
    <s v="Demanda intermedia_9_Servicios inmobiliarios y de vivienda"/>
    <n v="617.14534693199323"/>
    <s v="Oferta intermedia"/>
    <n v="8"/>
    <s v="Intermediación financiera"/>
    <x v="1"/>
    <x v="0"/>
    <n v="9"/>
    <s v="Servicios inmobiliarios y de vivienda"/>
    <x v="1"/>
  </r>
  <r>
    <s v="Oferta intermedia_8_Intermediación financiera"/>
    <s v="Demanda intermedia_10_Servicios empresariales"/>
    <n v="898.43815273963571"/>
    <s v="Oferta intermedia"/>
    <n v="8"/>
    <s v="Intermediación financiera"/>
    <x v="1"/>
    <x v="0"/>
    <n v="10"/>
    <s v="Servicios empresariales"/>
    <x v="2"/>
  </r>
  <r>
    <s v="Oferta intermedia_8_Intermediación financiera"/>
    <s v="Demanda intermedia_11_Servicios personales"/>
    <n v="327.8381041152071"/>
    <s v="Oferta intermedia"/>
    <n v="8"/>
    <s v="Intermediación financiera"/>
    <x v="1"/>
    <x v="0"/>
    <n v="11"/>
    <s v="Servicios personales"/>
    <x v="1"/>
  </r>
  <r>
    <s v="Oferta intermedia_8_Intermediación financiera"/>
    <s v="Demanda intermedia_12_Administración pública"/>
    <n v="248.25606623159638"/>
    <s v="Oferta intermedia"/>
    <n v="8"/>
    <s v="Intermediación financiera"/>
    <x v="1"/>
    <x v="0"/>
    <n v="12"/>
    <s v="Administración pública"/>
    <x v="1"/>
  </r>
  <r>
    <s v="Oferta intermedia_8_Intermediación financiera"/>
    <s v="Consumo de hogares_Ninguno_Ninguno"/>
    <n v="7988.7193001477608"/>
    <s v="Oferta intermedia"/>
    <n v="8"/>
    <s v="Intermediación financiera"/>
    <x v="1"/>
    <x v="1"/>
    <s v="Ninguno"/>
    <s v="Ninguno"/>
    <x v="3"/>
  </r>
  <r>
    <s v="Oferta intermedia_8_Intermediación financiera"/>
    <s v="Consumo  de IPSFL_Ninguno_Ninguno"/>
    <n v="0"/>
    <s v="Oferta intermedia"/>
    <n v="8"/>
    <s v="Intermediación financiera"/>
    <x v="1"/>
    <x v="2"/>
    <s v="Ninguno"/>
    <s v="Ninguno"/>
    <x v="3"/>
  </r>
  <r>
    <s v="Oferta intermedia_8_Intermediación financiera"/>
    <s v="Consumo de gobierno_Ninguno_Ninguno"/>
    <n v="228.71296489010598"/>
    <s v="Oferta intermedia"/>
    <n v="8"/>
    <s v="Intermediación financiera"/>
    <x v="1"/>
    <x v="3"/>
    <s v="Ninguno"/>
    <s v="Ninguno"/>
    <x v="3"/>
  </r>
  <r>
    <s v="Oferta intermedia_8_Intermediación financiera"/>
    <s v="Formación bruta de capital fijo_Ninguno_Ninguno"/>
    <n v="61.206592899449085"/>
    <s v="Oferta intermedia"/>
    <n v="8"/>
    <s v="Intermediación financiera"/>
    <x v="1"/>
    <x v="4"/>
    <s v="Ninguno"/>
    <s v="Ninguno"/>
    <x v="3"/>
  </r>
  <r>
    <s v="Oferta intermedia_8_Intermediación financiera"/>
    <s v="Variación de existencias_Ninguno_Ninguno"/>
    <n v="0"/>
    <s v="Oferta intermedia"/>
    <n v="8"/>
    <s v="Intermediación financiera"/>
    <x v="1"/>
    <x v="5"/>
    <s v="Ninguno"/>
    <s v="Ninguno"/>
    <x v="3"/>
  </r>
  <r>
    <s v="Oferta intermedia_8_Intermediación financiera"/>
    <s v="Exportaciones_Ninguno_Ninguno"/>
    <n v="723.43574874002161"/>
    <s v="Oferta intermedia"/>
    <n v="8"/>
    <s v="Intermediación financiera"/>
    <x v="1"/>
    <x v="6"/>
    <s v="Ninguno"/>
    <s v="Ninguno"/>
    <x v="3"/>
  </r>
  <r>
    <s v="Oferta intermedia_9_Servicios inmobiliarios y de vivienda"/>
    <s v="Demanda intermedia_1_Agropecuario-silvícola y Pesca"/>
    <n v="52.019252663173717"/>
    <s v="Oferta intermedia"/>
    <n v="9"/>
    <s v="Servicios inmobiliarios y de vivienda"/>
    <x v="1"/>
    <x v="0"/>
    <n v="1"/>
    <s v="Agropecuario-silvícola y Pesca"/>
    <x v="0"/>
  </r>
  <r>
    <s v="Oferta intermedia_9_Servicios inmobiliarios y de vivienda"/>
    <s v="Demanda intermedia_2_Minería"/>
    <n v="56.805470824236494"/>
    <s v="Oferta intermedia"/>
    <n v="9"/>
    <s v="Servicios inmobiliarios y de vivienda"/>
    <x v="1"/>
    <x v="0"/>
    <n v="2"/>
    <s v="Minería"/>
    <x v="1"/>
  </r>
  <r>
    <s v="Oferta intermedia_9_Servicios inmobiliarios y de vivienda"/>
    <s v="Demanda intermedia_3_Industria manufacturera"/>
    <n v="456.05277774667604"/>
    <s v="Oferta intermedia"/>
    <n v="9"/>
    <s v="Servicios inmobiliarios y de vivienda"/>
    <x v="1"/>
    <x v="0"/>
    <n v="3"/>
    <s v="Industria manufacturera"/>
    <x v="1"/>
  </r>
  <r>
    <s v="Oferta intermedia_9_Servicios inmobiliarios y de vivienda"/>
    <s v="Demanda intermedia_4_Electricidad, gas, agua y gestión de desechos"/>
    <n v="48.722291732972622"/>
    <s v="Oferta intermedia"/>
    <n v="9"/>
    <s v="Servicios inmobiliarios y de vivienda"/>
    <x v="1"/>
    <x v="0"/>
    <n v="4"/>
    <s v="Electricidad, gas, agua y gestión de desechos"/>
    <x v="1"/>
  </r>
  <r>
    <s v="Oferta intermedia_9_Servicios inmobiliarios y de vivienda"/>
    <s v="Demanda intermedia_5_Construcción"/>
    <n v="112.41270105040677"/>
    <s v="Oferta intermedia"/>
    <n v="9"/>
    <s v="Servicios inmobiliarios y de vivienda"/>
    <x v="1"/>
    <x v="0"/>
    <n v="5"/>
    <s v="Construcción"/>
    <x v="1"/>
  </r>
  <r>
    <s v="Oferta intermedia_9_Servicios inmobiliarios y de vivienda"/>
    <s v="Demanda intermedia_6_Comercio, hoteles y restaurantes"/>
    <n v="2527.8830313909971"/>
    <s v="Oferta intermedia"/>
    <n v="9"/>
    <s v="Servicios inmobiliarios y de vivienda"/>
    <x v="1"/>
    <x v="0"/>
    <n v="6"/>
    <s v="Comercio, hoteles y restaurantes"/>
    <x v="1"/>
  </r>
  <r>
    <s v="Oferta intermedia_9_Servicios inmobiliarios y de vivienda"/>
    <s v="Demanda intermedia_7_Transporte, comunicaciones y servicios de información"/>
    <n v="644.81757888727145"/>
    <s v="Oferta intermedia"/>
    <n v="9"/>
    <s v="Servicios inmobiliarios y de vivienda"/>
    <x v="1"/>
    <x v="0"/>
    <n v="7"/>
    <s v="Transporte, comunicaciones y servicios de información"/>
    <x v="1"/>
  </r>
  <r>
    <s v="Oferta intermedia_9_Servicios inmobiliarios y de vivienda"/>
    <s v="Demanda intermedia_8_Intermediación financiera"/>
    <n v="458.16230248226009"/>
    <s v="Oferta intermedia"/>
    <n v="9"/>
    <s v="Servicios inmobiliarios y de vivienda"/>
    <x v="1"/>
    <x v="0"/>
    <n v="8"/>
    <s v="Intermediación financiera"/>
    <x v="1"/>
  </r>
  <r>
    <s v="Oferta intermedia_9_Servicios inmobiliarios y de vivienda"/>
    <s v="Demanda intermedia_9_Servicios inmobiliarios y de vivienda"/>
    <n v="332.54365020357113"/>
    <s v="Oferta intermedia"/>
    <n v="9"/>
    <s v="Servicios inmobiliarios y de vivienda"/>
    <x v="1"/>
    <x v="0"/>
    <n v="9"/>
    <s v="Servicios inmobiliarios y de vivienda"/>
    <x v="1"/>
  </r>
  <r>
    <s v="Oferta intermedia_9_Servicios inmobiliarios y de vivienda"/>
    <s v="Demanda intermedia_10_Servicios empresariales"/>
    <n v="654.14719439340126"/>
    <s v="Oferta intermedia"/>
    <n v="9"/>
    <s v="Servicios inmobiliarios y de vivienda"/>
    <x v="1"/>
    <x v="0"/>
    <n v="10"/>
    <s v="Servicios empresariales"/>
    <x v="2"/>
  </r>
  <r>
    <s v="Oferta intermedia_9_Servicios inmobiliarios y de vivienda"/>
    <s v="Demanda intermedia_11_Servicios personales"/>
    <n v="893.16879355697392"/>
    <s v="Oferta intermedia"/>
    <n v="9"/>
    <s v="Servicios inmobiliarios y de vivienda"/>
    <x v="1"/>
    <x v="0"/>
    <n v="11"/>
    <s v="Servicios personales"/>
    <x v="1"/>
  </r>
  <r>
    <s v="Oferta intermedia_9_Servicios inmobiliarios y de vivienda"/>
    <s v="Demanda intermedia_12_Administración pública"/>
    <n v="167.6369254416006"/>
    <s v="Oferta intermedia"/>
    <n v="9"/>
    <s v="Servicios inmobiliarios y de vivienda"/>
    <x v="1"/>
    <x v="0"/>
    <n v="12"/>
    <s v="Administración pública"/>
    <x v="1"/>
  </r>
  <r>
    <s v="Oferta intermedia_9_Servicios inmobiliarios y de vivienda"/>
    <s v="Consumo de hogares_Ninguno_Ninguno"/>
    <n v="19091.525196647348"/>
    <s v="Oferta intermedia"/>
    <n v="9"/>
    <s v="Servicios inmobiliarios y de vivienda"/>
    <x v="1"/>
    <x v="1"/>
    <s v="Ninguno"/>
    <s v="Ninguno"/>
    <x v="3"/>
  </r>
  <r>
    <s v="Oferta intermedia_9_Servicios inmobiliarios y de vivienda"/>
    <s v="Consumo  de IPSFL_Ninguno_Ninguno"/>
    <n v="0"/>
    <s v="Oferta intermedia"/>
    <n v="9"/>
    <s v="Servicios inmobiliarios y de vivienda"/>
    <x v="1"/>
    <x v="2"/>
    <s v="Ninguno"/>
    <s v="Ninguno"/>
    <x v="3"/>
  </r>
  <r>
    <s v="Oferta intermedia_9_Servicios inmobiliarios y de vivienda"/>
    <s v="Consumo de gobierno_Ninguno_Ninguno"/>
    <n v="0.13745594412125137"/>
    <s v="Oferta intermedia"/>
    <n v="9"/>
    <s v="Servicios inmobiliarios y de vivienda"/>
    <x v="1"/>
    <x v="3"/>
    <s v="Ninguno"/>
    <s v="Ninguno"/>
    <x v="3"/>
  </r>
  <r>
    <s v="Oferta intermedia_9_Servicios inmobiliarios y de vivienda"/>
    <s v="Formación bruta de capital fijo_Ninguno_Ninguno"/>
    <n v="121.53446015282401"/>
    <s v="Oferta intermedia"/>
    <n v="9"/>
    <s v="Servicios inmobiliarios y de vivienda"/>
    <x v="1"/>
    <x v="4"/>
    <s v="Ninguno"/>
    <s v="Ninguno"/>
    <x v="3"/>
  </r>
  <r>
    <s v="Oferta intermedia_9_Servicios inmobiliarios y de vivienda"/>
    <s v="Variación de existencias_Ninguno_Ninguno"/>
    <n v="0"/>
    <s v="Oferta intermedia"/>
    <n v="9"/>
    <s v="Servicios inmobiliarios y de vivienda"/>
    <x v="1"/>
    <x v="5"/>
    <s v="Ninguno"/>
    <s v="Ninguno"/>
    <x v="3"/>
  </r>
  <r>
    <s v="Oferta intermedia_9_Servicios inmobiliarios y de vivienda"/>
    <s v="Exportaciones_Ninguno_Ninguno"/>
    <n v="49.574675015200178"/>
    <s v="Oferta intermedia"/>
    <n v="9"/>
    <s v="Servicios inmobiliarios y de vivienda"/>
    <x v="1"/>
    <x v="6"/>
    <s v="Ninguno"/>
    <s v="Ninguno"/>
    <x v="3"/>
  </r>
  <r>
    <s v="Oferta intermedia_10_Servicios empresariales"/>
    <s v="Demanda intermedia_1_Agropecuario-silvícola y Pesca"/>
    <n v="749.34541065891779"/>
    <s v="Oferta intermedia"/>
    <n v="10"/>
    <s v="Servicios empresariales"/>
    <x v="2"/>
    <x v="0"/>
    <n v="1"/>
    <s v="Agropecuario-silvícola y Pesca"/>
    <x v="0"/>
  </r>
  <r>
    <s v="Oferta intermedia_10_Servicios empresariales"/>
    <s v="Demanda intermedia_2_Minería"/>
    <n v="4370.2376709270884"/>
    <s v="Oferta intermedia"/>
    <n v="10"/>
    <s v="Servicios empresariales"/>
    <x v="2"/>
    <x v="0"/>
    <n v="2"/>
    <s v="Minería"/>
    <x v="1"/>
  </r>
  <r>
    <s v="Oferta intermedia_10_Servicios empresariales"/>
    <s v="Demanda intermedia_3_Industria manufacturera"/>
    <n v="3411.4399274628327"/>
    <s v="Oferta intermedia"/>
    <n v="10"/>
    <s v="Servicios empresariales"/>
    <x v="2"/>
    <x v="0"/>
    <n v="3"/>
    <s v="Industria manufacturera"/>
    <x v="1"/>
  </r>
  <r>
    <s v="Oferta intermedia_10_Servicios empresariales"/>
    <s v="Demanda intermedia_4_Electricidad, gas, agua y gestión de desechos"/>
    <n v="1061.4773696477309"/>
    <s v="Oferta intermedia"/>
    <n v="10"/>
    <s v="Servicios empresariales"/>
    <x v="2"/>
    <x v="0"/>
    <n v="4"/>
    <s v="Electricidad, gas, agua y gestión de desechos"/>
    <x v="1"/>
  </r>
  <r>
    <s v="Oferta intermedia_10_Servicios empresariales"/>
    <s v="Demanda intermedia_5_Construcción"/>
    <n v="1714.9704099583787"/>
    <s v="Oferta intermedia"/>
    <n v="10"/>
    <s v="Servicios empresariales"/>
    <x v="2"/>
    <x v="0"/>
    <n v="5"/>
    <s v="Construcción"/>
    <x v="1"/>
  </r>
  <r>
    <s v="Oferta intermedia_10_Servicios empresariales"/>
    <s v="Demanda intermedia_6_Comercio, hoteles y restaurantes"/>
    <n v="5489.8329214910655"/>
    <s v="Oferta intermedia"/>
    <n v="10"/>
    <s v="Servicios empresariales"/>
    <x v="2"/>
    <x v="0"/>
    <n v="6"/>
    <s v="Comercio, hoteles y restaurantes"/>
    <x v="1"/>
  </r>
  <r>
    <s v="Oferta intermedia_10_Servicios empresariales"/>
    <s v="Demanda intermedia_7_Transporte, comunicaciones y servicios de información"/>
    <n v="2646.587623954787"/>
    <s v="Oferta intermedia"/>
    <n v="10"/>
    <s v="Servicios empresariales"/>
    <x v="2"/>
    <x v="0"/>
    <n v="7"/>
    <s v="Transporte, comunicaciones y servicios de información"/>
    <x v="1"/>
  </r>
  <r>
    <s v="Oferta intermedia_10_Servicios empresariales"/>
    <s v="Demanda intermedia_8_Intermediación financiera"/>
    <n v="2399.6728566456377"/>
    <s v="Oferta intermedia"/>
    <n v="10"/>
    <s v="Servicios empresariales"/>
    <x v="2"/>
    <x v="0"/>
    <n v="8"/>
    <s v="Intermediación financiera"/>
    <x v="1"/>
  </r>
  <r>
    <s v="Oferta intermedia_10_Servicios empresariales"/>
    <s v="Demanda intermedia_9_Servicios inmobiliarios y de vivienda"/>
    <n v="453.41048516706951"/>
    <s v="Oferta intermedia"/>
    <n v="10"/>
    <s v="Servicios empresariales"/>
    <x v="2"/>
    <x v="0"/>
    <n v="9"/>
    <s v="Servicios inmobiliarios y de vivienda"/>
    <x v="1"/>
  </r>
  <r>
    <s v="Oferta intermedia_10_Servicios empresariales"/>
    <s v="Demanda intermedia_10_Servicios empresariales"/>
    <n v="4585.662619325376"/>
    <s v="Oferta intermedia"/>
    <n v="10"/>
    <s v="Servicios empresariales"/>
    <x v="2"/>
    <x v="0"/>
    <n v="10"/>
    <s v="Servicios empresariales"/>
    <x v="2"/>
  </r>
  <r>
    <s v="Oferta intermedia_10_Servicios empresariales"/>
    <s v="Demanda intermedia_11_Servicios personales"/>
    <n v="2007.4007782251022"/>
    <s v="Oferta intermedia"/>
    <n v="10"/>
    <s v="Servicios empresariales"/>
    <x v="2"/>
    <x v="0"/>
    <n v="11"/>
    <s v="Servicios personales"/>
    <x v="1"/>
  </r>
  <r>
    <s v="Oferta intermedia_10_Servicios empresariales"/>
    <s v="Demanda intermedia_12_Administración pública"/>
    <n v="950.45330643330249"/>
    <s v="Oferta intermedia"/>
    <n v="10"/>
    <s v="Servicios empresariales"/>
    <x v="2"/>
    <x v="0"/>
    <n v="12"/>
    <s v="Administración pública"/>
    <x v="1"/>
  </r>
  <r>
    <s v="Oferta intermedia_10_Servicios empresariales"/>
    <s v="Consumo de hogares_Ninguno_Ninguno"/>
    <n v="1570.0364102032977"/>
    <s v="Oferta intermedia"/>
    <n v="10"/>
    <s v="Servicios empresariales"/>
    <x v="2"/>
    <x v="1"/>
    <s v="Ninguno"/>
    <s v="Ninguno"/>
    <x v="3"/>
  </r>
  <r>
    <s v="Oferta intermedia_10_Servicios empresariales"/>
    <s v="Consumo  de IPSFL_Ninguno_Ninguno"/>
    <n v="0"/>
    <s v="Oferta intermedia"/>
    <n v="10"/>
    <s v="Servicios empresariales"/>
    <x v="2"/>
    <x v="2"/>
    <s v="Ninguno"/>
    <s v="Ninguno"/>
    <x v="3"/>
  </r>
  <r>
    <s v="Oferta intermedia_10_Servicios empresariales"/>
    <s v="Consumo de gobierno_Ninguno_Ninguno"/>
    <n v="73.289573665182871"/>
    <s v="Oferta intermedia"/>
    <n v="10"/>
    <s v="Servicios empresariales"/>
    <x v="2"/>
    <x v="3"/>
    <s v="Ninguno"/>
    <s v="Ninguno"/>
    <x v="3"/>
  </r>
  <r>
    <s v="Oferta intermedia_10_Servicios empresariales"/>
    <s v="Formación bruta de capital fijo_Ninguno_Ninguno"/>
    <n v="4072.6307240641954"/>
    <s v="Oferta intermedia"/>
    <n v="10"/>
    <s v="Servicios empresariales"/>
    <x v="2"/>
    <x v="4"/>
    <s v="Ninguno"/>
    <s v="Ninguno"/>
    <x v="3"/>
  </r>
  <r>
    <s v="Oferta intermedia_10_Servicios empresariales"/>
    <s v="Variación de existencias_Ninguno_Ninguno"/>
    <n v="5.1274777730822097E-4"/>
    <s v="Oferta intermedia"/>
    <n v="10"/>
    <s v="Servicios empresariales"/>
    <x v="2"/>
    <x v="5"/>
    <s v="Ninguno"/>
    <s v="Ninguno"/>
    <x v="3"/>
  </r>
  <r>
    <s v="Oferta intermedia_10_Servicios empresariales"/>
    <s v="Exportaciones_Ninguno_Ninguno"/>
    <n v="1232.2600711522966"/>
    <s v="Oferta intermedia"/>
    <n v="10"/>
    <s v="Servicios empresariales"/>
    <x v="2"/>
    <x v="6"/>
    <s v="Ninguno"/>
    <s v="Ninguno"/>
    <x v="3"/>
  </r>
  <r>
    <s v="Oferta intermedia_11_Servicios personales"/>
    <s v="Demanda intermedia_1_Agropecuario-silvícola y Pesca"/>
    <n v="26.146010446501101"/>
    <s v="Oferta intermedia"/>
    <n v="11"/>
    <s v="Servicios personales"/>
    <x v="1"/>
    <x v="0"/>
    <n v="1"/>
    <s v="Agropecuario-silvícola y Pesca"/>
    <x v="0"/>
  </r>
  <r>
    <s v="Oferta intermedia_11_Servicios personales"/>
    <s v="Demanda intermedia_2_Minería"/>
    <n v="71.001522643679934"/>
    <s v="Oferta intermedia"/>
    <n v="11"/>
    <s v="Servicios personales"/>
    <x v="1"/>
    <x v="0"/>
    <n v="2"/>
    <s v="Minería"/>
    <x v="1"/>
  </r>
  <r>
    <s v="Oferta intermedia_11_Servicios personales"/>
    <s v="Demanda intermedia_3_Industria manufacturera"/>
    <n v="104.66133938950553"/>
    <s v="Oferta intermedia"/>
    <n v="11"/>
    <s v="Servicios personales"/>
    <x v="1"/>
    <x v="0"/>
    <n v="3"/>
    <s v="Industria manufacturera"/>
    <x v="1"/>
  </r>
  <r>
    <s v="Oferta intermedia_11_Servicios personales"/>
    <s v="Demanda intermedia_4_Electricidad, gas, agua y gestión de desechos"/>
    <n v="18.74537114568566"/>
    <s v="Oferta intermedia"/>
    <n v="11"/>
    <s v="Servicios personales"/>
    <x v="1"/>
    <x v="0"/>
    <n v="4"/>
    <s v="Electricidad, gas, agua y gestión de desechos"/>
    <x v="1"/>
  </r>
  <r>
    <s v="Oferta intermedia_11_Servicios personales"/>
    <s v="Demanda intermedia_5_Construcción"/>
    <n v="86.166105260201789"/>
    <s v="Oferta intermedia"/>
    <n v="11"/>
    <s v="Servicios personales"/>
    <x v="1"/>
    <x v="0"/>
    <n v="5"/>
    <s v="Construcción"/>
    <x v="1"/>
  </r>
  <r>
    <s v="Oferta intermedia_11_Servicios personales"/>
    <s v="Demanda intermedia_6_Comercio, hoteles y restaurantes"/>
    <n v="172.29881171122656"/>
    <s v="Oferta intermedia"/>
    <n v="11"/>
    <s v="Servicios personales"/>
    <x v="1"/>
    <x v="0"/>
    <n v="6"/>
    <s v="Comercio, hoteles y restaurantes"/>
    <x v="1"/>
  </r>
  <r>
    <s v="Oferta intermedia_11_Servicios personales"/>
    <s v="Demanda intermedia_7_Transporte, comunicaciones y servicios de información"/>
    <n v="243.82967031442757"/>
    <s v="Oferta intermedia"/>
    <n v="11"/>
    <s v="Servicios personales"/>
    <x v="1"/>
    <x v="0"/>
    <n v="7"/>
    <s v="Transporte, comunicaciones y servicios de información"/>
    <x v="1"/>
  </r>
  <r>
    <s v="Oferta intermedia_11_Servicios personales"/>
    <s v="Demanda intermedia_8_Intermediación financiera"/>
    <n v="75.432657765664459"/>
    <s v="Oferta intermedia"/>
    <n v="11"/>
    <s v="Servicios personales"/>
    <x v="1"/>
    <x v="0"/>
    <n v="8"/>
    <s v="Intermediación financiera"/>
    <x v="1"/>
  </r>
  <r>
    <s v="Oferta intermedia_11_Servicios personales"/>
    <s v="Demanda intermedia_9_Servicios inmobiliarios y de vivienda"/>
    <n v="10.201213527495979"/>
    <s v="Oferta intermedia"/>
    <n v="11"/>
    <s v="Servicios personales"/>
    <x v="1"/>
    <x v="0"/>
    <n v="9"/>
    <s v="Servicios inmobiliarios y de vivienda"/>
    <x v="1"/>
  </r>
  <r>
    <s v="Oferta intermedia_11_Servicios personales"/>
    <s v="Demanda intermedia_10_Servicios empresariales"/>
    <n v="92.444838416256331"/>
    <s v="Oferta intermedia"/>
    <n v="11"/>
    <s v="Servicios personales"/>
    <x v="1"/>
    <x v="0"/>
    <n v="10"/>
    <s v="Servicios empresariales"/>
    <x v="2"/>
  </r>
  <r>
    <s v="Oferta intermedia_11_Servicios personales"/>
    <s v="Demanda intermedia_11_Servicios personales"/>
    <n v="2107.4689255578878"/>
    <s v="Oferta intermedia"/>
    <n v="11"/>
    <s v="Servicios personales"/>
    <x v="1"/>
    <x v="0"/>
    <n v="11"/>
    <s v="Servicios personales"/>
    <x v="1"/>
  </r>
  <r>
    <s v="Oferta intermedia_11_Servicios personales"/>
    <s v="Demanda intermedia_12_Administración pública"/>
    <n v="59.650812061650051"/>
    <s v="Oferta intermedia"/>
    <n v="11"/>
    <s v="Servicios personales"/>
    <x v="1"/>
    <x v="0"/>
    <n v="12"/>
    <s v="Administración pública"/>
    <x v="1"/>
  </r>
  <r>
    <s v="Oferta intermedia_11_Servicios personales"/>
    <s v="Consumo de hogares_Ninguno_Ninguno"/>
    <n v="18747.743045551404"/>
    <s v="Oferta intermedia"/>
    <n v="11"/>
    <s v="Servicios personales"/>
    <x v="1"/>
    <x v="1"/>
    <s v="Ninguno"/>
    <s v="Ninguno"/>
    <x v="3"/>
  </r>
  <r>
    <s v="Oferta intermedia_11_Servicios personales"/>
    <s v="Consumo  de IPSFL_Ninguno_Ninguno"/>
    <n v="1392.2380252579896"/>
    <s v="Oferta intermedia"/>
    <n v="11"/>
    <s v="Servicios personales"/>
    <x v="1"/>
    <x v="2"/>
    <s v="Ninguno"/>
    <s v="Ninguno"/>
    <x v="3"/>
  </r>
  <r>
    <s v="Oferta intermedia_11_Servicios personales"/>
    <s v="Consumo de gobierno_Ninguno_Ninguno"/>
    <n v="21792.013073454033"/>
    <s v="Oferta intermedia"/>
    <n v="11"/>
    <s v="Servicios personales"/>
    <x v="1"/>
    <x v="3"/>
    <s v="Ninguno"/>
    <s v="Ninguno"/>
    <x v="3"/>
  </r>
  <r>
    <s v="Oferta intermedia_11_Servicios personales"/>
    <s v="Formación bruta de capital fijo_Ninguno_Ninguno"/>
    <n v="642.2393858889194"/>
    <s v="Oferta intermedia"/>
    <n v="11"/>
    <s v="Servicios personales"/>
    <x v="1"/>
    <x v="4"/>
    <s v="Ninguno"/>
    <s v="Ninguno"/>
    <x v="3"/>
  </r>
  <r>
    <s v="Oferta intermedia_11_Servicios personales"/>
    <s v="Variación de existencias_Ninguno_Ninguno"/>
    <n v="-8.2204399908404561E-3"/>
    <s v="Oferta intermedia"/>
    <n v="11"/>
    <s v="Servicios personales"/>
    <x v="1"/>
    <x v="5"/>
    <s v="Ninguno"/>
    <s v="Ninguno"/>
    <x v="3"/>
  </r>
  <r>
    <s v="Oferta intermedia_11_Servicios personales"/>
    <s v="Exportaciones_Ninguno_Ninguno"/>
    <n v="47.160185488993221"/>
    <s v="Oferta intermedia"/>
    <n v="11"/>
    <s v="Servicios personales"/>
    <x v="1"/>
    <x v="6"/>
    <s v="Ninguno"/>
    <s v="Ninguno"/>
    <x v="3"/>
  </r>
  <r>
    <s v="Oferta intermedia_12_Administración pública"/>
    <s v="Demanda intermedia_1_Agropecuario-silvícola y Pesca"/>
    <n v="45.019161136860212"/>
    <s v="Oferta intermedia"/>
    <n v="12"/>
    <s v="Administración pública"/>
    <x v="1"/>
    <x v="0"/>
    <n v="1"/>
    <s v="Agropecuario-silvícola y Pesca"/>
    <x v="0"/>
  </r>
  <r>
    <s v="Oferta intermedia_12_Administración pública"/>
    <s v="Demanda intermedia_2_Minería"/>
    <n v="105.95826284156541"/>
    <s v="Oferta intermedia"/>
    <n v="12"/>
    <s v="Administración pública"/>
    <x v="1"/>
    <x v="0"/>
    <n v="2"/>
    <s v="Minería"/>
    <x v="1"/>
  </r>
  <r>
    <s v="Oferta intermedia_12_Administración pública"/>
    <s v="Demanda intermedia_3_Industria manufacturera"/>
    <n v="162.0471055939139"/>
    <s v="Oferta intermedia"/>
    <n v="12"/>
    <s v="Administración pública"/>
    <x v="1"/>
    <x v="0"/>
    <n v="3"/>
    <s v="Industria manufacturera"/>
    <x v="1"/>
  </r>
  <r>
    <s v="Oferta intermedia_12_Administración pública"/>
    <s v="Demanda intermedia_4_Electricidad, gas, agua y gestión de desechos"/>
    <n v="22.240215143348898"/>
    <s v="Oferta intermedia"/>
    <n v="12"/>
    <s v="Administración pública"/>
    <x v="1"/>
    <x v="0"/>
    <n v="4"/>
    <s v="Electricidad, gas, agua y gestión de desechos"/>
    <x v="1"/>
  </r>
  <r>
    <s v="Oferta intermedia_12_Administración pública"/>
    <s v="Demanda intermedia_5_Construcción"/>
    <n v="24.677827243492303"/>
    <s v="Oferta intermedia"/>
    <n v="12"/>
    <s v="Administración pública"/>
    <x v="1"/>
    <x v="0"/>
    <n v="5"/>
    <s v="Construcción"/>
    <x v="1"/>
  </r>
  <r>
    <s v="Oferta intermedia_12_Administración pública"/>
    <s v="Demanda intermedia_6_Comercio, hoteles y restaurantes"/>
    <n v="126.68165372499297"/>
    <s v="Oferta intermedia"/>
    <n v="12"/>
    <s v="Administración pública"/>
    <x v="1"/>
    <x v="0"/>
    <n v="6"/>
    <s v="Comercio, hoteles y restaurantes"/>
    <x v="1"/>
  </r>
  <r>
    <s v="Oferta intermedia_12_Administración pública"/>
    <s v="Demanda intermedia_7_Transporte, comunicaciones y servicios de información"/>
    <n v="161.78894070707526"/>
    <s v="Oferta intermedia"/>
    <n v="12"/>
    <s v="Administración pública"/>
    <x v="1"/>
    <x v="0"/>
    <n v="7"/>
    <s v="Transporte, comunicaciones y servicios de información"/>
    <x v="1"/>
  </r>
  <r>
    <s v="Oferta intermedia_12_Administración pública"/>
    <s v="Demanda intermedia_8_Intermediación financiera"/>
    <n v="15.357297307656054"/>
    <s v="Oferta intermedia"/>
    <n v="12"/>
    <s v="Administración pública"/>
    <x v="1"/>
    <x v="0"/>
    <n v="8"/>
    <s v="Intermediación financiera"/>
    <x v="1"/>
  </r>
  <r>
    <s v="Oferta intermedia_12_Administración pública"/>
    <s v="Demanda intermedia_9_Servicios inmobiliarios y de vivienda"/>
    <n v="5.399949221798507"/>
    <s v="Oferta intermedia"/>
    <n v="12"/>
    <s v="Administración pública"/>
    <x v="1"/>
    <x v="0"/>
    <n v="9"/>
    <s v="Servicios inmobiliarios y de vivienda"/>
    <x v="1"/>
  </r>
  <r>
    <s v="Oferta intermedia_12_Administración pública"/>
    <s v="Demanda intermedia_10_Servicios empresariales"/>
    <n v="24.258369001657989"/>
    <s v="Oferta intermedia"/>
    <n v="12"/>
    <s v="Administración pública"/>
    <x v="1"/>
    <x v="0"/>
    <n v="10"/>
    <s v="Servicios empresariales"/>
    <x v="2"/>
  </r>
  <r>
    <s v="Oferta intermedia_12_Administración pública"/>
    <s v="Demanda intermedia_11_Servicios personales"/>
    <n v="36.656948973033373"/>
    <s v="Oferta intermedia"/>
    <n v="12"/>
    <s v="Administración pública"/>
    <x v="1"/>
    <x v="0"/>
    <n v="11"/>
    <s v="Servicios personales"/>
    <x v="1"/>
  </r>
  <r>
    <s v="Oferta intermedia_12_Administración pública"/>
    <s v="Demanda intermedia_12_Administración pública"/>
    <n v="59.206027614482906"/>
    <s v="Oferta intermedia"/>
    <n v="12"/>
    <s v="Administración pública"/>
    <x v="1"/>
    <x v="0"/>
    <n v="12"/>
    <s v="Administración pública"/>
    <x v="1"/>
  </r>
  <r>
    <s v="Oferta intermedia_12_Administración pública"/>
    <s v="Consumo de hogares_Ninguno_Ninguno"/>
    <n v="298.66271651688129"/>
    <s v="Oferta intermedia"/>
    <n v="12"/>
    <s v="Administración pública"/>
    <x v="1"/>
    <x v="1"/>
    <s v="Ninguno"/>
    <s v="Ninguno"/>
    <x v="3"/>
  </r>
  <r>
    <s v="Oferta intermedia_12_Administración pública"/>
    <s v="Consumo  de IPSFL_Ninguno_Ninguno"/>
    <n v="3.5741953963919346E-32"/>
    <s v="Oferta intermedia"/>
    <n v="12"/>
    <s v="Administración pública"/>
    <x v="1"/>
    <x v="2"/>
    <s v="Ninguno"/>
    <s v="Ninguno"/>
    <x v="3"/>
  </r>
  <r>
    <s v="Oferta intermedia_12_Administración pública"/>
    <s v="Consumo de gobierno_Ninguno_Ninguno"/>
    <n v="15301.742139226442"/>
    <s v="Oferta intermedia"/>
    <n v="12"/>
    <s v="Administración pública"/>
    <x v="1"/>
    <x v="3"/>
    <s v="Ninguno"/>
    <s v="Ninguno"/>
    <x v="3"/>
  </r>
  <r>
    <s v="Oferta intermedia_12_Administración pública"/>
    <s v="Formación bruta de capital fijo_Ninguno_Ninguno"/>
    <n v="57.798044834622026"/>
    <s v="Oferta intermedia"/>
    <n v="12"/>
    <s v="Administración pública"/>
    <x v="1"/>
    <x v="4"/>
    <s v="Ninguno"/>
    <s v="Ninguno"/>
    <x v="3"/>
  </r>
  <r>
    <s v="Oferta intermedia_12_Administración pública"/>
    <s v="Variación de existencias_Ninguno_Ninguno"/>
    <n v="-0.56305630084890801"/>
    <s v="Oferta intermedia"/>
    <n v="12"/>
    <s v="Administración pública"/>
    <x v="1"/>
    <x v="5"/>
    <s v="Ninguno"/>
    <s v="Ninguno"/>
    <x v="3"/>
  </r>
  <r>
    <s v="Oferta intermedia_12_Administración pública"/>
    <s v="Exportaciones_Ninguno_Ninguno"/>
    <n v="48.890801325195177"/>
    <s v="Oferta intermedia"/>
    <n v="12"/>
    <s v="Administración pública"/>
    <x v="1"/>
    <x v="6"/>
    <s v="Ninguno"/>
    <s v="Ninguno"/>
    <x v="3"/>
  </r>
</pivotCacheRecords>
</file>

<file path=xl/pivotTables/_rels/pivotTable1.xml.rels><?xml version="1.0" encoding="UTF-8" standalone="yes"?> <Relationships xmlns="http://schemas.openxmlformats.org/package/2006/relationships"><Relationship Id="rId1" Type="http://schemas.openxmlformats.org/officeDocument/2006/relationships/pivotCacheDefinition" Target="../pivotCache/pivotCacheDefinition1.xml"/></Relationships> 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2D3380-0E7C-4936-9DEA-B46C649744B8}" name="TablaDinámica1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K9" firstHeaderRow="1" firstDataRow="3" firstDataCol="1"/>
  <pivotFields count="11"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axis="axisRow" showAll="0" defaultSubtotal="0">
      <items count="3">
        <item x="0"/>
        <item x="2"/>
        <item x="1"/>
      </items>
    </pivotField>
    <pivotField axis="axisCol" showAll="0" defaultSubtotal="0">
      <items count="7">
        <item x="0"/>
        <item x="2"/>
        <item x="3"/>
        <item x="1"/>
        <item x="6"/>
        <item x="4"/>
        <item x="5"/>
      </items>
    </pivotField>
    <pivotField showAll="0" defaultSubtotal="0"/>
    <pivotField showAll="0" defaultSubtotal="0"/>
    <pivotField axis="axisCol" showAll="0" defaultSubtotal="0">
      <items count="4">
        <item x="0"/>
        <item x="2"/>
        <item x="3"/>
        <item x="1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Fields count="2">
    <field x="7"/>
    <field x="10"/>
  </colFields>
  <colItems count="10">
    <i>
      <x/>
      <x/>
    </i>
    <i r="1">
      <x v="1"/>
    </i>
    <i r="1">
      <x v="3"/>
    </i>
    <i>
      <x v="1"/>
      <x v="2"/>
    </i>
    <i>
      <x v="2"/>
      <x v="2"/>
    </i>
    <i>
      <x v="3"/>
      <x v="2"/>
    </i>
    <i>
      <x v="4"/>
      <x v="2"/>
    </i>
    <i>
      <x v="5"/>
      <x v="2"/>
    </i>
    <i>
      <x v="6"/>
      <x v="2"/>
    </i>
    <i t="grand">
      <x/>
    </i>
  </colItems>
  <dataFields count="1">
    <dataField name="Suma de Valor" fld="2" baseField="0" baseItem="0" numFmtId="3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Relationship Id="rId2000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0" zoomScale="72" zoomScaleNormal="70" workbookViewId="0">
      <selection activeCell="C12" sqref="C12"/>
    </sheetView>
  </sheetViews>
  <sheetFormatPr defaultRowHeight="15.0" baseColWidth="10"/>
  <cols>
    <col min="1" max="1" width="9.265625" hidden="0" customWidth="1"/>
    <col min="2" max="2" width="21.3984375" hidden="0" customWidth="1"/>
    <col min="15" max="15" width="1.265625" hidden="0" customWidth="1"/>
    <col min="17" max="17" width="1" hidden="0" customWidth="1"/>
    <col min="30" max="30" width="11.59765625" hidden="0" customWidth="1"/>
  </cols>
  <sheetData>
    <row r="1" ht="13.15" customHeight="1"/>
    <row r="2" ht="13.15" customHeight="1">
      <c r="A2" s="23"/>
      <c r="B2" s="6" t="s">
        <v>0</v>
      </c>
    </row>
    <row r="3" ht="13.15" customHeight="1">
      <c r="B3" s="1" t="s">
        <v>1</v>
      </c>
    </row>
    <row r="4" ht="13.15" customHeight="1">
      <c r="B4" s="1" t="s">
        <v>2</v>
      </c>
    </row>
    <row r="5" ht="13.15" customHeight="1">
      <c r="B5" s="1" t="s">
        <v>32</v>
      </c>
    </row>
    <row r="6" ht="12.75" customHeight="1">
      <c r="B6" s="21"/>
    </row>
    <row r="7" ht="12.75" customHeight="1">
      <c r="A7" s="1"/>
      <c r="B7" s="22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ht="32.25" customHeight="1">
      <c r="A8" s="25"/>
      <c r="B8" s="26" t="s">
        <v>3</v>
      </c>
      <c r="C8" s="27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P8" s="25"/>
      <c r="Q8" s="25"/>
      <c r="R8" s="20" t="s">
        <v>4</v>
      </c>
      <c r="S8" s="20"/>
      <c r="T8" s="20" t="s">
        <v>5</v>
      </c>
      <c r="U8" s="20"/>
      <c r="V8" s="20" t="s">
        <v>6</v>
      </c>
      <c r="W8" s="20"/>
      <c r="X8" s="20" t="s">
        <v>7</v>
      </c>
      <c r="Y8" s="20"/>
      <c r="Z8" s="20" t="s">
        <v>8</v>
      </c>
      <c r="AA8" s="20"/>
      <c r="AB8" s="20" t="s">
        <v>9</v>
      </c>
      <c r="AC8" s="3"/>
      <c r="AD8" s="20" t="s">
        <v>10</v>
      </c>
    </row>
    <row r="9" ht="12.75" customHeight="1">
      <c r="A9" s="25"/>
      <c r="B9" s="25"/>
      <c r="C9" s="25" t="n">
        <v>1</v>
      </c>
      <c r="D9" s="25" t="n">
        <v>2</v>
      </c>
      <c r="E9" s="25" t="n">
        <v>3</v>
      </c>
      <c r="F9" s="25" t="n">
        <v>4</v>
      </c>
      <c r="G9" s="25" t="n">
        <v>5</v>
      </c>
      <c r="H9" s="25" t="n">
        <v>6</v>
      </c>
      <c r="I9" s="25" t="n">
        <v>7</v>
      </c>
      <c r="J9" s="25" t="n">
        <v>8</v>
      </c>
      <c r="K9" s="25" t="n">
        <v>9</v>
      </c>
      <c r="L9" s="25" t="n">
        <v>10</v>
      </c>
      <c r="M9" s="25" t="n">
        <v>11</v>
      </c>
      <c r="N9" s="25" t="n">
        <v>12</v>
      </c>
      <c r="O9" s="25"/>
      <c r="P9" s="26" t="s">
        <v>11</v>
      </c>
      <c r="Q9" s="17"/>
      <c r="R9" s="20"/>
      <c r="S9" s="25"/>
      <c r="T9" s="20"/>
      <c r="U9" s="25"/>
      <c r="V9" s="20"/>
      <c r="W9" s="25"/>
      <c r="X9" s="20"/>
      <c r="Y9" s="25"/>
      <c r="Z9" s="20"/>
      <c r="AA9" s="25"/>
      <c r="AB9" s="20"/>
      <c r="AC9" s="25"/>
      <c r="AD9" s="20"/>
    </row>
    <row r="10" ht="12" customHeight="1">
      <c r="A10" s="25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</row>
    <row r="11">
      <c r="A11" s="25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</row>
    <row r="12" ht="12.75" customHeight="1">
      <c r="B12" s="8" t="n">
        <v>1</v>
      </c>
      <c r="C12" s="9" t="n">
        <v>4115.25324179359</v>
      </c>
      <c r="D12" s="9" t="n">
        <v>0.64223706650561818</v>
      </c>
      <c r="E12" s="9" t="n">
        <v>11866.038642245503</v>
      </c>
      <c r="F12" s="9" t="n">
        <v>41.408529901637003</v>
      </c>
      <c r="G12" s="9" t="n">
        <v>13.540523211729319</v>
      </c>
      <c r="H12" s="9" t="n">
        <v>323.50973122279078</v>
      </c>
      <c r="I12" s="9" t="n">
        <v>3.7189800027750808</v>
      </c>
      <c r="J12" s="9" t="n">
        <v>1.1738699574293463</v>
      </c>
      <c r="K12" s="9" t="n">
        <v>4.6620560822918836E-2</v>
      </c>
      <c r="L12" s="9" t="n">
        <v>6.0921412337751075</v>
      </c>
      <c r="M12" s="9" t="n">
        <v>59.351152722115152</v>
      </c>
      <c r="N12" s="9" t="n">
        <v>62.713022185845844</v>
      </c>
      <c r="O12" s="9"/>
      <c r="P12" s="10" t="n">
        <v>16493.488692104518</v>
      </c>
      <c r="Q12" s="11"/>
      <c r="R12" s="11" t="n">
        <v>2783.6759149078262</v>
      </c>
      <c r="S12" s="11"/>
      <c r="T12" s="11" t="n">
        <v>0</v>
      </c>
      <c r="U12" s="11"/>
      <c r="V12" s="11" t="n">
        <v>2.668751046842022E-2</v>
      </c>
      <c r="W12" s="11"/>
      <c r="X12" s="11" t="n">
        <v>790.68687043852901</v>
      </c>
      <c r="Y12" s="11"/>
      <c r="Z12" s="11" t="n">
        <v>-133.35791971044395</v>
      </c>
      <c r="AA12" s="11"/>
      <c r="AB12" s="11" t="n">
        <v>3460.4746110713118</v>
      </c>
      <c r="AC12" s="11"/>
      <c r="AD12" s="10" t="n">
        <v>23394.99485632221</v>
      </c>
      <c r="AE12" s="18"/>
      <c r="AF12" s="19"/>
    </row>
    <row r="13" ht="12.75" customHeight="1">
      <c r="B13" s="8" t="n">
        <v>2</v>
      </c>
      <c r="C13" s="9" t="n">
        <v>17.284374579552285</v>
      </c>
      <c r="D13" s="9" t="n">
        <v>5176.8488401808499</v>
      </c>
      <c r="E13" s="9" t="n">
        <v>3249.0835489237825</v>
      </c>
      <c r="F13" s="9" t="n">
        <v>69.390608604192025</v>
      </c>
      <c r="G13" s="9" t="n">
        <v>194.00930683931554</v>
      </c>
      <c r="H13" s="9" t="n">
        <v>47.012198735913366</v>
      </c>
      <c r="I13" s="9" t="n">
        <v>26.834354104437423</v>
      </c>
      <c r="J13" s="9" t="n">
        <v>26.634541079722645</v>
      </c>
      <c r="K13" s="9" t="n">
        <v>5.9874064065828323</v>
      </c>
      <c r="L13" s="9" t="n">
        <v>48.327516181388418</v>
      </c>
      <c r="M13" s="9" t="n">
        <v>28.725164915130467</v>
      </c>
      <c r="N13" s="9" t="n">
        <v>9.6188118745458535</v>
      </c>
      <c r="O13" s="9"/>
      <c r="P13" s="10" t="n">
        <v>8899.7566724254139</v>
      </c>
      <c r="Q13" s="11"/>
      <c r="R13" s="11" t="n">
        <v>46.319552771228189</v>
      </c>
      <c r="S13" s="11"/>
      <c r="T13" s="11" t="n">
        <v>0</v>
      </c>
      <c r="U13" s="11"/>
      <c r="V13" s="11" t="n">
        <v>2.722812321192706</v>
      </c>
      <c r="W13" s="11"/>
      <c r="X13" s="11" t="n">
        <v>704.96650590998138</v>
      </c>
      <c r="Y13" s="11"/>
      <c r="Z13" s="11" t="n">
        <v>-315.1916644546144</v>
      </c>
      <c r="AA13" s="11"/>
      <c r="AB13" s="11" t="n">
        <v>50201.314984253913</v>
      </c>
      <c r="AC13" s="11"/>
      <c r="AD13" s="10" t="n">
        <v>59539.888863227112</v>
      </c>
      <c r="AE13" s="18"/>
      <c r="AF13" s="19"/>
    </row>
    <row r="14" ht="12.75" customHeight="1">
      <c r="B14" s="8" t="n">
        <v>3</v>
      </c>
      <c r="C14" s="9" t="n">
        <v>4649.3295943695384</v>
      </c>
      <c r="D14" s="9" t="n">
        <v>3599.6667329405113</v>
      </c>
      <c r="E14" s="9" t="n">
        <v>12335.8393584939</v>
      </c>
      <c r="F14" s="9" t="n">
        <v>629.30829100869278</v>
      </c>
      <c r="G14" s="9" t="n">
        <v>6599.0788607576997</v>
      </c>
      <c r="H14" s="9" t="n">
        <v>4798.4363534631539</v>
      </c>
      <c r="I14" s="9" t="n">
        <v>2849.6015364058621</v>
      </c>
      <c r="J14" s="9" t="n">
        <v>175.11488424190145</v>
      </c>
      <c r="K14" s="9" t="n">
        <v>62.12138377444434</v>
      </c>
      <c r="L14" s="9" t="n">
        <v>724.34215505105772</v>
      </c>
      <c r="M14" s="9" t="n">
        <v>2143.2518453646339</v>
      </c>
      <c r="N14" s="9" t="n">
        <v>363.03962712610962</v>
      </c>
      <c r="O14" s="9"/>
      <c r="P14" s="10" t="n">
        <v>38929.130622997509</v>
      </c>
      <c r="Q14" s="11"/>
      <c r="R14" s="11" t="n">
        <v>22272.496082856436</v>
      </c>
      <c r="S14" s="11"/>
      <c r="T14" s="11" t="n">
        <v>0</v>
      </c>
      <c r="U14" s="11"/>
      <c r="V14" s="11" t="n">
        <v>86.443491400629199</v>
      </c>
      <c r="W14" s="11"/>
      <c r="X14" s="11" t="n">
        <v>4045.856643177457</v>
      </c>
      <c r="Y14" s="11"/>
      <c r="Z14" s="11" t="n">
        <v>-300.63449098921058</v>
      </c>
      <c r="AA14" s="11"/>
      <c r="AB14" s="11" t="n">
        <v>27660.472046589188</v>
      </c>
      <c r="AC14" s="11"/>
      <c r="AD14" s="10" t="n">
        <v>92693.764396031998</v>
      </c>
      <c r="AE14" s="18"/>
      <c r="AF14" s="19"/>
    </row>
    <row r="15" ht="12.75" customHeight="1">
      <c r="B15" s="8" t="n">
        <v>4</v>
      </c>
      <c r="C15" s="9" t="n">
        <v>245.3914624015523</v>
      </c>
      <c r="D15" s="9" t="n">
        <v>3380.9071105102366</v>
      </c>
      <c r="E15" s="9" t="n">
        <v>2940.4898871786891</v>
      </c>
      <c r="F15" s="9" t="n">
        <v>2005.3179010334675</v>
      </c>
      <c r="G15" s="9" t="n">
        <v>268.21388592482629</v>
      </c>
      <c r="H15" s="9" t="n">
        <v>987.68203986104686</v>
      </c>
      <c r="I15" s="9" t="n">
        <v>498.25204850715994</v>
      </c>
      <c r="J15" s="9" t="n">
        <v>134.92253182901922</v>
      </c>
      <c r="K15" s="9" t="n">
        <v>217.21723463459776</v>
      </c>
      <c r="L15" s="9" t="n">
        <v>231.67899014736994</v>
      </c>
      <c r="M15" s="9" t="n">
        <v>487.05717689247598</v>
      </c>
      <c r="N15" s="9" t="n">
        <v>578.822278306935</v>
      </c>
      <c r="O15" s="9"/>
      <c r="P15" s="10" t="n">
        <v>11975.952547227378</v>
      </c>
      <c r="Q15" s="11"/>
      <c r="R15" s="11" t="n">
        <v>3763.8962261861479</v>
      </c>
      <c r="S15" s="11"/>
      <c r="T15" s="11" t="n">
        <v>0</v>
      </c>
      <c r="U15" s="11"/>
      <c r="V15" s="11" t="n">
        <v>83.189665272501514</v>
      </c>
      <c r="W15" s="11"/>
      <c r="X15" s="11" t="n">
        <v>55.968353856951722</v>
      </c>
      <c r="Y15" s="11"/>
      <c r="Z15" s="11" t="n">
        <v>0.45411780960103626</v>
      </c>
      <c r="AA15" s="11"/>
      <c r="AB15" s="11" t="n">
        <v>81.481389629637704</v>
      </c>
      <c r="AC15" s="11"/>
      <c r="AD15" s="10" t="n">
        <v>15960.942299982218</v>
      </c>
      <c r="AE15" s="18"/>
      <c r="AF15" s="19"/>
    </row>
    <row r="16" ht="12.75" customHeight="1">
      <c r="B16" s="8" t="n">
        <v>5</v>
      </c>
      <c r="C16" s="9" t="n">
        <v>1.0332716340274708</v>
      </c>
      <c r="D16" s="9" t="n">
        <v>3.0356265766134927</v>
      </c>
      <c r="E16" s="9" t="n">
        <v>10.808026343273349</v>
      </c>
      <c r="F16" s="9" t="n">
        <v>1.6691959202417861</v>
      </c>
      <c r="G16" s="9" t="n">
        <v>5292.5470910371168</v>
      </c>
      <c r="H16" s="9" t="n">
        <v>59.406447949104333</v>
      </c>
      <c r="I16" s="9" t="n">
        <v>30.30313659084123</v>
      </c>
      <c r="J16" s="9" t="n">
        <v>15.079325402288482</v>
      </c>
      <c r="K16" s="9" t="n">
        <v>2916.6355399187187</v>
      </c>
      <c r="L16" s="9" t="n">
        <v>17.996332768911621</v>
      </c>
      <c r="M16" s="9" t="n">
        <v>20.730084837589924</v>
      </c>
      <c r="N16" s="9" t="n">
        <v>5.9405624169232105</v>
      </c>
      <c r="O16" s="9"/>
      <c r="P16" s="10" t="n">
        <v>8375.18464139565</v>
      </c>
      <c r="Q16" s="11"/>
      <c r="R16" s="11" t="n">
        <v>11.8029683309727</v>
      </c>
      <c r="S16" s="11"/>
      <c r="T16" s="11" t="n">
        <v>0</v>
      </c>
      <c r="U16" s="11"/>
      <c r="V16" s="11" t="n">
        <v>0.12944474112889989</v>
      </c>
      <c r="W16" s="11"/>
      <c r="X16" s="11" t="n">
        <v>28753.102909771198</v>
      </c>
      <c r="Y16" s="11"/>
      <c r="Z16" s="11" t="n">
        <v>0</v>
      </c>
      <c r="AA16" s="11"/>
      <c r="AB16" s="11" t="n">
        <v>5.6507347800817076</v>
      </c>
      <c r="AC16" s="11"/>
      <c r="AD16" s="10" t="n">
        <v>37145.870699019033</v>
      </c>
      <c r="AE16" s="18"/>
      <c r="AF16" s="19"/>
    </row>
    <row r="17" ht="12.75" customHeight="1">
      <c r="B17" s="8" t="n">
        <v>6</v>
      </c>
      <c r="C17" s="9" t="n">
        <v>966.82833786755134</v>
      </c>
      <c r="D17" s="9" t="n">
        <v>1770.7817322909834</v>
      </c>
      <c r="E17" s="9" t="n">
        <v>4469.314197541139</v>
      </c>
      <c r="F17" s="9" t="n">
        <v>315.0718035047139</v>
      </c>
      <c r="G17" s="9" t="n">
        <v>2349.1399443389273</v>
      </c>
      <c r="H17" s="9" t="n">
        <v>4647.6657757804314</v>
      </c>
      <c r="I17" s="9" t="n">
        <v>2529.3725339900752</v>
      </c>
      <c r="J17" s="9" t="n">
        <v>350.69454613681694</v>
      </c>
      <c r="K17" s="9" t="n">
        <v>60.12173835484959</v>
      </c>
      <c r="L17" s="9" t="n">
        <v>1133.367122027342</v>
      </c>
      <c r="M17" s="9" t="n">
        <v>1800.0868346419295</v>
      </c>
      <c r="N17" s="9" t="n">
        <v>305.19939715018097</v>
      </c>
      <c r="O17" s="9"/>
      <c r="P17" s="10" t="n">
        <v>20697.643963624938</v>
      </c>
      <c r="Q17" s="11"/>
      <c r="R17" s="11" t="n">
        <v>30901.887330008965</v>
      </c>
      <c r="S17" s="11"/>
      <c r="T17" s="11" t="n">
        <v>0</v>
      </c>
      <c r="U17" s="11"/>
      <c r="V17" s="11" t="n">
        <v>715.54930083129898</v>
      </c>
      <c r="W17" s="11"/>
      <c r="X17" s="11" t="n">
        <v>6164.3481824745741</v>
      </c>
      <c r="Y17" s="11"/>
      <c r="Z17" s="11" t="n">
        <v>-2.5610536651533788</v>
      </c>
      <c r="AA17" s="11"/>
      <c r="AB17" s="11" t="n">
        <v>3003.0162638239958</v>
      </c>
      <c r="AC17" s="11"/>
      <c r="AD17" s="10" t="n">
        <v>61479.883987098612</v>
      </c>
      <c r="AE17" s="18"/>
      <c r="AF17" s="19"/>
    </row>
    <row r="18" ht="12.75" customHeight="1">
      <c r="B18" s="8" t="n">
        <v>7</v>
      </c>
      <c r="C18" s="9" t="n">
        <v>1062.4133737383852</v>
      </c>
      <c r="D18" s="9" t="n">
        <v>1833.5671296604153</v>
      </c>
      <c r="E18" s="9" t="n">
        <v>4744.7545438125126</v>
      </c>
      <c r="F18" s="9" t="n">
        <v>530.47941388537822</v>
      </c>
      <c r="G18" s="9" t="n">
        <v>1031.9693618789372</v>
      </c>
      <c r="H18" s="9" t="n">
        <v>7309.3569906340563</v>
      </c>
      <c r="I18" s="9" t="n">
        <v>8000.1396888266036</v>
      </c>
      <c r="J18" s="9" t="n">
        <v>904.07699024263366</v>
      </c>
      <c r="K18" s="9" t="n">
        <v>77.339440803232648</v>
      </c>
      <c r="L18" s="9" t="n">
        <v>1471.0034731919143</v>
      </c>
      <c r="M18" s="9" t="n">
        <v>863.62840417232007</v>
      </c>
      <c r="N18" s="9" t="n">
        <v>594.23803054473694</v>
      </c>
      <c r="O18" s="9"/>
      <c r="P18" s="10" t="n">
        <v>28422.966841391124</v>
      </c>
      <c r="Q18" s="11"/>
      <c r="R18" s="11" t="n">
        <v>11716.771316548366</v>
      </c>
      <c r="S18" s="11"/>
      <c r="T18" s="11" t="n">
        <v>0</v>
      </c>
      <c r="U18" s="11"/>
      <c r="V18" s="11" t="n">
        <v>10.022818548600483</v>
      </c>
      <c r="W18" s="11"/>
      <c r="X18" s="11" t="n">
        <v>2908.8034916749398</v>
      </c>
      <c r="Y18" s="11"/>
      <c r="Z18" s="11" t="n">
        <v>0</v>
      </c>
      <c r="AA18" s="11"/>
      <c r="AB18" s="11" t="n">
        <v>4108.0305736087175</v>
      </c>
      <c r="AC18" s="11"/>
      <c r="AD18" s="10" t="n">
        <v>47166.595041771754</v>
      </c>
      <c r="AE18" s="18"/>
      <c r="AF18" s="19"/>
    </row>
    <row r="19" ht="12.75" customHeight="1">
      <c r="B19" s="8" t="n">
        <v>8</v>
      </c>
      <c r="C19" s="9" t="n">
        <v>310.09645740051849</v>
      </c>
      <c r="D19" s="9" t="n">
        <v>274.66528525786589</v>
      </c>
      <c r="E19" s="9" t="n">
        <v>810.19138986447888</v>
      </c>
      <c r="F19" s="9" t="n">
        <v>363.093240764916</v>
      </c>
      <c r="G19" s="9" t="n">
        <v>584.48260935479061</v>
      </c>
      <c r="H19" s="9" t="n">
        <v>1750.6706525790887</v>
      </c>
      <c r="I19" s="9" t="n">
        <v>635.75459166565099</v>
      </c>
      <c r="J19" s="9" t="n">
        <v>5982.5788079375088</v>
      </c>
      <c r="K19" s="9" t="n">
        <v>617.14534693199323</v>
      </c>
      <c r="L19" s="9" t="n">
        <v>898.43815273963571</v>
      </c>
      <c r="M19" s="9" t="n">
        <v>327.8381041152071</v>
      </c>
      <c r="N19" s="9" t="n">
        <v>248.25606623159638</v>
      </c>
      <c r="O19" s="9"/>
      <c r="P19" s="10" t="n">
        <v>12803.210704843252</v>
      </c>
      <c r="Q19" s="11"/>
      <c r="R19" s="11" t="n">
        <v>7988.7193001477608</v>
      </c>
      <c r="S19" s="11"/>
      <c r="T19" s="11" t="n">
        <v>0</v>
      </c>
      <c r="U19" s="11"/>
      <c r="V19" s="11" t="n">
        <v>228.71296489010598</v>
      </c>
      <c r="W19" s="11"/>
      <c r="X19" s="11" t="n">
        <v>61.206592899449085</v>
      </c>
      <c r="Y19" s="11"/>
      <c r="Z19" s="11" t="n">
        <v>0</v>
      </c>
      <c r="AA19" s="11"/>
      <c r="AB19" s="11" t="n">
        <v>723.43574874002161</v>
      </c>
      <c r="AC19" s="11"/>
      <c r="AD19" s="10" t="n">
        <v>21805.285311520587</v>
      </c>
      <c r="AE19" s="18"/>
      <c r="AF19" s="19"/>
    </row>
    <row r="20" ht="12.75" customHeight="1">
      <c r="B20" s="8" t="n">
        <v>9</v>
      </c>
      <c r="C20" s="9" t="n">
        <v>52.019252663173717</v>
      </c>
      <c r="D20" s="9" t="n">
        <v>56.805470824236494</v>
      </c>
      <c r="E20" s="9" t="n">
        <v>456.05277774667604</v>
      </c>
      <c r="F20" s="9" t="n">
        <v>48.722291732972622</v>
      </c>
      <c r="G20" s="9" t="n">
        <v>112.41270105040677</v>
      </c>
      <c r="H20" s="9" t="n">
        <v>2527.8830313909971</v>
      </c>
      <c r="I20" s="9" t="n">
        <v>644.81757888727145</v>
      </c>
      <c r="J20" s="9" t="n">
        <v>458.16230248226009</v>
      </c>
      <c r="K20" s="9" t="n">
        <v>332.54365020357113</v>
      </c>
      <c r="L20" s="9" t="n">
        <v>654.14719439340126</v>
      </c>
      <c r="M20" s="9" t="n">
        <v>893.16879355697392</v>
      </c>
      <c r="N20" s="9" t="n">
        <v>167.6369254416006</v>
      </c>
      <c r="O20" s="9"/>
      <c r="P20" s="10" t="n">
        <v>6404.3719703735405</v>
      </c>
      <c r="Q20" s="11"/>
      <c r="R20" s="11" t="n">
        <v>19091.525196647348</v>
      </c>
      <c r="S20" s="11"/>
      <c r="T20" s="11" t="n">
        <v>0</v>
      </c>
      <c r="U20" s="11"/>
      <c r="V20" s="11" t="n">
        <v>0.13745594412125137</v>
      </c>
      <c r="W20" s="11"/>
      <c r="X20" s="11" t="n">
        <v>121.53446015282401</v>
      </c>
      <c r="Y20" s="11"/>
      <c r="Z20" s="11" t="n">
        <v>0</v>
      </c>
      <c r="AA20" s="11"/>
      <c r="AB20" s="11" t="n">
        <v>49.574675015200178</v>
      </c>
      <c r="AC20" s="11"/>
      <c r="AD20" s="10" t="n">
        <v>25667.143758133032</v>
      </c>
      <c r="AE20" s="18"/>
      <c r="AF20" s="19"/>
    </row>
    <row r="21" ht="12.75" customHeight="1">
      <c r="B21" s="8" t="n">
        <v>10</v>
      </c>
      <c r="C21" s="9" t="n">
        <v>749.34541065891779</v>
      </c>
      <c r="D21" s="9" t="n">
        <v>4370.2376709270884</v>
      </c>
      <c r="E21" s="9" t="n">
        <v>3411.4399274628327</v>
      </c>
      <c r="F21" s="9" t="n">
        <v>1061.4773696477309</v>
      </c>
      <c r="G21" s="9" t="n">
        <v>1714.9704099583787</v>
      </c>
      <c r="H21" s="9" t="n">
        <v>5489.8329214910655</v>
      </c>
      <c r="I21" s="9" t="n">
        <v>2646.587623954787</v>
      </c>
      <c r="J21" s="9" t="n">
        <v>2399.6728566456377</v>
      </c>
      <c r="K21" s="9" t="n">
        <v>453.41048516706951</v>
      </c>
      <c r="L21" s="9" t="n">
        <v>4585.662619325376</v>
      </c>
      <c r="M21" s="9" t="n">
        <v>2007.4007782251022</v>
      </c>
      <c r="N21" s="9" t="n">
        <v>950.45330643330249</v>
      </c>
      <c r="O21" s="9"/>
      <c r="P21" s="10" t="n">
        <v>29840.491379897288</v>
      </c>
      <c r="Q21" s="11"/>
      <c r="R21" s="11" t="n">
        <v>1570.0364102032977</v>
      </c>
      <c r="S21" s="11"/>
      <c r="T21" s="11" t="n">
        <v>0</v>
      </c>
      <c r="U21" s="11"/>
      <c r="V21" s="11" t="n">
        <v>73.289573665182871</v>
      </c>
      <c r="W21" s="11"/>
      <c r="X21" s="11" t="n">
        <v>4072.6307240641954</v>
      </c>
      <c r="Y21" s="11"/>
      <c r="Z21" s="11" t="n">
        <v>5.1274777730822097E-4</v>
      </c>
      <c r="AA21" s="11"/>
      <c r="AB21" s="11" t="n">
        <v>1232.2600711522966</v>
      </c>
      <c r="AC21" s="11"/>
      <c r="AD21" s="10" t="n">
        <v>36788.708671730041</v>
      </c>
      <c r="AE21" s="18"/>
      <c r="AF21" s="19"/>
    </row>
    <row r="22" ht="12.75" customHeight="1">
      <c r="B22" s="8" t="n">
        <v>11</v>
      </c>
      <c r="C22" s="9" t="n">
        <v>26.146010446501101</v>
      </c>
      <c r="D22" s="9" t="n">
        <v>71.001522643679934</v>
      </c>
      <c r="E22" s="9" t="n">
        <v>104.66133938950553</v>
      </c>
      <c r="F22" s="9" t="n">
        <v>18.74537114568566</v>
      </c>
      <c r="G22" s="9" t="n">
        <v>86.166105260201789</v>
      </c>
      <c r="H22" s="9" t="n">
        <v>172.29881171122656</v>
      </c>
      <c r="I22" s="9" t="n">
        <v>243.82967031442757</v>
      </c>
      <c r="J22" s="9" t="n">
        <v>75.432657765664459</v>
      </c>
      <c r="K22" s="9" t="n">
        <v>10.201213527495979</v>
      </c>
      <c r="L22" s="9" t="n">
        <v>92.444838416256331</v>
      </c>
      <c r="M22" s="9" t="n">
        <v>2107.4689255578878</v>
      </c>
      <c r="N22" s="9" t="n">
        <v>59.650812061650051</v>
      </c>
      <c r="O22" s="9"/>
      <c r="P22" s="10" t="n">
        <v>3068.0472782401825</v>
      </c>
      <c r="Q22" s="11"/>
      <c r="R22" s="11" t="n">
        <v>18747.743045551404</v>
      </c>
      <c r="S22" s="11"/>
      <c r="T22" s="11" t="n">
        <v>1392.2380252579896</v>
      </c>
      <c r="U22" s="11"/>
      <c r="V22" s="11" t="n">
        <v>21792.013073454033</v>
      </c>
      <c r="W22" s="11"/>
      <c r="X22" s="11" t="n">
        <v>642.2393858889194</v>
      </c>
      <c r="Y22" s="11"/>
      <c r="Z22" s="11" t="n">
        <v>-8.2204399908404561E-3</v>
      </c>
      <c r="AA22" s="11"/>
      <c r="AB22" s="11" t="n">
        <v>47.160185488993221</v>
      </c>
      <c r="AC22" s="11"/>
      <c r="AD22" s="10" t="n">
        <v>45689.432773441542</v>
      </c>
      <c r="AE22" s="18"/>
      <c r="AF22" s="19"/>
    </row>
    <row r="23" ht="12.75" customHeight="1">
      <c r="B23" s="8" t="n">
        <v>12</v>
      </c>
      <c r="C23" s="9" t="n">
        <v>45.019161136860212</v>
      </c>
      <c r="D23" s="9" t="n">
        <v>105.95826284156541</v>
      </c>
      <c r="E23" s="9" t="n">
        <v>162.0471055939139</v>
      </c>
      <c r="F23" s="9" t="n">
        <v>22.240215143348898</v>
      </c>
      <c r="G23" s="9" t="n">
        <v>24.677827243492303</v>
      </c>
      <c r="H23" s="9" t="n">
        <v>126.68165372499297</v>
      </c>
      <c r="I23" s="9" t="n">
        <v>161.78894070707526</v>
      </c>
      <c r="J23" s="9" t="n">
        <v>15.357297307656054</v>
      </c>
      <c r="K23" s="9" t="n">
        <v>5.399949221798507</v>
      </c>
      <c r="L23" s="9" t="n">
        <v>24.258369001657989</v>
      </c>
      <c r="M23" s="9" t="n">
        <v>36.656948973033373</v>
      </c>
      <c r="N23" s="9" t="n">
        <v>59.206027614482906</v>
      </c>
      <c r="O23" s="9"/>
      <c r="P23" s="10" t="n">
        <v>789.29175850987781</v>
      </c>
      <c r="Q23" s="11"/>
      <c r="R23" s="11" t="n">
        <v>298.66271651688129</v>
      </c>
      <c r="S23" s="11"/>
      <c r="T23" s="11" t="n">
        <v>3.5741953963919346E-32</v>
      </c>
      <c r="U23" s="11"/>
      <c r="V23" s="11" t="n">
        <v>15301.742139226442</v>
      </c>
      <c r="W23" s="11"/>
      <c r="X23" s="11" t="n">
        <v>57.798044834622026</v>
      </c>
      <c r="Y23" s="11"/>
      <c r="Z23" s="11" t="n">
        <v>-0.56305630084890801</v>
      </c>
      <c r="AA23" s="11"/>
      <c r="AB23" s="11" t="n">
        <v>48.890801325195177</v>
      </c>
      <c r="AC23" s="11"/>
      <c r="AD23" s="10" t="n">
        <v>16495.822404112168</v>
      </c>
      <c r="AE23" s="18"/>
      <c r="AF23" s="19"/>
    </row>
    <row r="24" ht="12.75" customHeight="1">
      <c r="B24" s="1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AF24" s="19"/>
    </row>
    <row r="25" ht="12.75" customHeight="1">
      <c r="A25" s="1"/>
      <c r="B25" s="12" t="s">
        <v>11</v>
      </c>
      <c r="C25" s="13" t="n">
        <v>12240.15994869017</v>
      </c>
      <c r="D25" s="13" t="n">
        <v>20644.117621720554</v>
      </c>
      <c r="E25" s="13" t="n">
        <v>44560.720744596205</v>
      </c>
      <c r="F25" s="13" t="n">
        <v>5106.9242322929767</v>
      </c>
      <c r="G25" s="13" t="n">
        <v>18271.208626855823</v>
      </c>
      <c r="H25" s="13" t="n">
        <v>28240.436608543871</v>
      </c>
      <c r="I25" s="13" t="n">
        <v>18271.000683956965</v>
      </c>
      <c r="J25" s="13" t="n">
        <v>10538.900611028537</v>
      </c>
      <c r="K25" s="13" t="n">
        <v>4758.1700095051774</v>
      </c>
      <c r="L25" s="13" t="n">
        <v>9887.7589044780871</v>
      </c>
      <c r="M25" s="13" t="n">
        <v>10775.364213974399</v>
      </c>
      <c r="N25" s="13" t="n">
        <v>3404.7748673879096</v>
      </c>
      <c r="O25" s="13"/>
      <c r="P25" s="13" t="n">
        <v>186699.53707303069</v>
      </c>
      <c r="Q25" s="13"/>
      <c r="R25" s="13" t="n">
        <v>119193.53606067662</v>
      </c>
      <c r="S25" s="13"/>
      <c r="T25" s="13" t="n">
        <v>1392.2380252579896</v>
      </c>
      <c r="U25" s="13"/>
      <c r="V25" s="13" t="n">
        <v>38293.979427805709</v>
      </c>
      <c r="W25" s="13"/>
      <c r="X25" s="13" t="n">
        <v>48379.142165143647</v>
      </c>
      <c r="Y25" s="13"/>
      <c r="Z25" s="13" t="n">
        <v>-751.86177500288375</v>
      </c>
      <c r="AA25" s="13"/>
      <c r="AB25" s="13" t="n">
        <v>90621.762085478549</v>
      </c>
      <c r="AC25" s="13"/>
      <c r="AD25" s="13" t="n">
        <v>483828.33306239027</v>
      </c>
      <c r="AE25" s="18"/>
      <c r="AF25" s="19"/>
    </row>
    <row r="26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</row>
    <row r="28" ht="33" customHeight="1">
      <c r="B28" s="14" t="s">
        <v>12</v>
      </c>
      <c r="C28" s="13" t="n">
        <v>2621.9280808395724</v>
      </c>
      <c r="D28" s="13" t="n">
        <v>3729.7252105234356</v>
      </c>
      <c r="E28" s="13" t="n">
        <v>22990.792093446977</v>
      </c>
      <c r="F28" s="13" t="n">
        <v>4723.5612116698549</v>
      </c>
      <c r="G28" s="13" t="n">
        <v>3217.1655567732764</v>
      </c>
      <c r="H28" s="13" t="n">
        <v>4586.7670869257327</v>
      </c>
      <c r="I28" s="13" t="n">
        <v>8548.9234724597627</v>
      </c>
      <c r="J28" s="13" t="n">
        <v>2005.0088812497274</v>
      </c>
      <c r="K28" s="13" t="n">
        <v>63.643435442522964</v>
      </c>
      <c r="L28" s="13" t="n">
        <v>1472.4797247086938</v>
      </c>
      <c r="M28" s="13" t="n">
        <v>1702.1442435734568</v>
      </c>
      <c r="N28" s="13" t="n">
        <v>864.20392109573584</v>
      </c>
      <c r="O28" s="13"/>
      <c r="P28" s="13" t="n">
        <v>56526.342918708753</v>
      </c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 s="1"/>
    </row>
    <row r="29" ht="33" customHeight="1">
      <c r="B29" s="15" t="s">
        <v>13</v>
      </c>
      <c r="C29" s="11" t="n">
        <v>-6.1578671835141794</v>
      </c>
      <c r="D29" s="11" t="n">
        <v>-25.855656096195126</v>
      </c>
      <c r="E29" s="11" t="n">
        <v>33.94373838084001</v>
      </c>
      <c r="F29" s="11" t="n">
        <v>-4.7832725479421629</v>
      </c>
      <c r="G29" s="11" t="n">
        <v>203.44533901020566</v>
      </c>
      <c r="H29" s="11" t="n">
        <v>116.20250105155807</v>
      </c>
      <c r="I29" s="11" t="n">
        <v>917.55740939538384</v>
      </c>
      <c r="J29" s="11" t="n">
        <v>580.02991606453929</v>
      </c>
      <c r="K29" s="11" t="n">
        <v>94.178253444138832</v>
      </c>
      <c r="L29" s="11" t="n">
        <v>339.14555392314782</v>
      </c>
      <c r="M29" s="11" t="n">
        <v>1463.9756721097374</v>
      </c>
      <c r="N29" s="11" t="n">
        <v>581.57113492192912</v>
      </c>
      <c r="O29" s="11"/>
      <c r="P29" s="11" t="n">
        <v>4293.2527224738287</v>
      </c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 s="1"/>
    </row>
    <row r="30" ht="33" customHeight="1">
      <c r="B30" s="15" t="s">
        <v>14</v>
      </c>
      <c r="C30" s="11" t="n">
        <v>29.741378628641737</v>
      </c>
      <c r="D30" s="11" t="n">
        <v>17.183697078207224</v>
      </c>
      <c r="E30" s="11" t="n">
        <v>181.62211350987934</v>
      </c>
      <c r="F30" s="11" t="n">
        <v>27.483605469587751</v>
      </c>
      <c r="G30" s="11" t="n">
        <v>25.987829273780726</v>
      </c>
      <c r="H30" s="11" t="n">
        <v>50.736194820624419</v>
      </c>
      <c r="I30" s="11" t="n">
        <v>99.295578080373005</v>
      </c>
      <c r="J30" s="11" t="n">
        <v>2.6035014420280138</v>
      </c>
      <c r="K30" s="11" t="n">
        <v>0.85384691330617069</v>
      </c>
      <c r="L30" s="11" t="n">
        <v>16.745443087527491</v>
      </c>
      <c r="M30" s="11" t="n">
        <v>37.971329317198297</v>
      </c>
      <c r="N30" s="11" t="n">
        <v>7.5984560413913682</v>
      </c>
      <c r="O30" s="11"/>
      <c r="P30" s="11" t="n">
        <v>497.82297366254545</v>
      </c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 s="1"/>
    </row>
    <row r="31">
      <c r="B31" s="15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 s="1"/>
    </row>
    <row r="32">
      <c r="B32" s="14" t="s">
        <v>15</v>
      </c>
      <c r="C32" s="13" t="n">
        <v>8509.3233153470737</v>
      </c>
      <c r="D32" s="13" t="n">
        <v>35174.717990001103</v>
      </c>
      <c r="E32" s="13" t="n">
        <v>24926.685706098495</v>
      </c>
      <c r="F32" s="13" t="n">
        <v>6107.7565230977407</v>
      </c>
      <c r="G32" s="13" t="n">
        <v>15428.063347105943</v>
      </c>
      <c r="H32" s="13" t="n">
        <v>28485.741595756641</v>
      </c>
      <c r="I32" s="13" t="n">
        <v>19329.817897879289</v>
      </c>
      <c r="J32" s="13" t="n">
        <v>8678.7424017357534</v>
      </c>
      <c r="K32" s="13" t="n">
        <v>20750.298212827896</v>
      </c>
      <c r="L32" s="13" t="n">
        <v>25072.579045532675</v>
      </c>
      <c r="M32" s="13" t="n">
        <v>31709.977314466632</v>
      </c>
      <c r="N32" s="13" t="n">
        <v>11637.67402466505</v>
      </c>
      <c r="O32" s="13"/>
      <c r="P32" s="13" t="n">
        <v>235811.3773745143</v>
      </c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 s="1"/>
    </row>
    <row r="33">
      <c r="B33" s="15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 s="1"/>
    </row>
    <row r="34" ht="33" customHeight="1">
      <c r="B34" s="15" t="s">
        <v>16</v>
      </c>
      <c r="C34" s="11" t="n">
        <v>2645.681334850934</v>
      </c>
      <c r="D34" s="11" t="n">
        <v>3769.3373881962289</v>
      </c>
      <c r="E34" s="11" t="n">
        <v>8599.0722529684717</v>
      </c>
      <c r="F34" s="11" t="n">
        <v>1424.9128642587689</v>
      </c>
      <c r="G34" s="11" t="n">
        <v>8252.3108205320423</v>
      </c>
      <c r="H34" s="11" t="n">
        <v>17055.341752458855</v>
      </c>
      <c r="I34" s="11" t="n">
        <v>8964.3480012126856</v>
      </c>
      <c r="J34" s="11" t="n">
        <v>6293.9209253899171</v>
      </c>
      <c r="K34" s="11" t="n">
        <v>727.11375330752833</v>
      </c>
      <c r="L34" s="11" t="n">
        <v>11502.883527545328</v>
      </c>
      <c r="M34" s="11" t="n">
        <v>24353.807640754796</v>
      </c>
      <c r="N34" s="11" t="n">
        <v>9302.2420541386382</v>
      </c>
      <c r="O34" s="11"/>
      <c r="P34" s="11" t="n">
        <v>102890.97231561418</v>
      </c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 s="1"/>
    </row>
    <row r="35" ht="33" customHeight="1">
      <c r="B35" s="15" t="s">
        <v>17</v>
      </c>
      <c r="C35" s="11" t="n">
        <v>5751.1043366804606</v>
      </c>
      <c r="D35" s="11" t="n">
        <v>31179.317011507141</v>
      </c>
      <c r="E35" s="11" t="n">
        <v>15959.068409142172</v>
      </c>
      <c r="F35" s="11" t="n">
        <v>4355.3374963269889</v>
      </c>
      <c r="G35" s="11" t="n">
        <v>6990.6379361599375</v>
      </c>
      <c r="H35" s="11" t="n">
        <v>10834.618603607369</v>
      </c>
      <c r="I35" s="11" t="n">
        <v>11032.477017108866</v>
      </c>
      <c r="J35" s="11" t="n">
        <v>1921.8604936491874</v>
      </c>
      <c r="K35" s="11" t="n">
        <v>18450.283562764231</v>
      </c>
      <c r="L35" s="11" t="n">
        <v>13396.453659620764</v>
      </c>
      <c r="M35" s="11" t="n">
        <v>7029.9534310787994</v>
      </c>
      <c r="N35" s="11" t="n">
        <v>2305.9620037279501</v>
      </c>
      <c r="O35" s="11"/>
      <c r="P35" s="11" t="n">
        <v>129207.07396137387</v>
      </c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 s="1"/>
    </row>
    <row r="36" ht="33" customHeight="1">
      <c r="B36" s="15" t="s">
        <v>18</v>
      </c>
      <c r="C36" s="11" t="n">
        <v>112.53764381568075</v>
      </c>
      <c r="D36" s="11" t="n">
        <v>226.06359029772705</v>
      </c>
      <c r="E36" s="11" t="n">
        <v>368.54504398785014</v>
      </c>
      <c r="F36" s="11" t="n">
        <v>327.50616251198204</v>
      </c>
      <c r="G36" s="11" t="n">
        <v>185.11459041396282</v>
      </c>
      <c r="H36" s="11" t="n">
        <v>595.78123969042099</v>
      </c>
      <c r="I36" s="11" t="n">
        <v>-667.00712044226043</v>
      </c>
      <c r="J36" s="11" t="n">
        <v>462.96098269664981</v>
      </c>
      <c r="K36" s="11" t="n">
        <v>1572.9008967561376</v>
      </c>
      <c r="L36" s="11" t="n">
        <v>173.24185836658287</v>
      </c>
      <c r="M36" s="11" t="n">
        <v>326.21624263303607</v>
      </c>
      <c r="N36" s="11" t="n">
        <v>29.469966798461439</v>
      </c>
      <c r="O36" s="11"/>
      <c r="P36" s="11" t="n">
        <v>3713.3310975262311</v>
      </c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 s="1"/>
    </row>
    <row r="37">
      <c r="B37" s="15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 s="1"/>
    </row>
    <row r="38" ht="33" customHeight="1">
      <c r="B38" s="14" t="s">
        <v>19</v>
      </c>
      <c r="C38" s="13" t="n">
        <v>23394.994856321944</v>
      </c>
      <c r="D38" s="13" t="n">
        <v>59539.888863227105</v>
      </c>
      <c r="E38" s="13" t="n">
        <v>92693.764396032391</v>
      </c>
      <c r="F38" s="13" t="n">
        <v>15960.94229998222</v>
      </c>
      <c r="G38" s="13" t="n">
        <v>37145.870699019033</v>
      </c>
      <c r="H38" s="13" t="n">
        <v>61479.883987098423</v>
      </c>
      <c r="I38" s="13" t="n">
        <v>47166.595041771769</v>
      </c>
      <c r="J38" s="13" t="n">
        <v>21805.285311520587</v>
      </c>
      <c r="K38" s="13" t="n">
        <v>25667.143758133043</v>
      </c>
      <c r="L38" s="13" t="n">
        <v>36788.708671730128</v>
      </c>
      <c r="M38" s="13" t="n">
        <v>45689.432773441426</v>
      </c>
      <c r="N38" s="13" t="n">
        <v>16495.822404112016</v>
      </c>
      <c r="O38" s="13" t="n">
        <v>0</v>
      </c>
      <c r="P38" s="13" t="n">
        <v>483828.3330623901</v>
      </c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</row>
    <row r="39"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</row>
    <row r="40">
      <c r="A40" t="s">
        <v>85</v>
      </c>
      <c r="B40" t="s">
        <v>86</v>
      </c>
      <c r="C40" s="11" t="s">
        <v>87</v>
      </c>
      <c r="D40" t="s">
        <v>88</v>
      </c>
      <c r="E40" t="s">
        <v>89</v>
      </c>
      <c r="F40" t="s">
        <v>90</v>
      </c>
      <c r="G40" t="s">
        <v>91</v>
      </c>
      <c r="H40" t="s">
        <v>92</v>
      </c>
      <c r="I40" t="s">
        <v>93</v>
      </c>
      <c r="J40" t="s">
        <v>94</v>
      </c>
      <c r="K40" t="s">
        <v>95</v>
      </c>
      <c r="L40" t="s">
        <v>96</v>
      </c>
      <c r="M40" t="s">
        <v>97</v>
      </c>
      <c r="N40" t="s">
        <v>98</v>
      </c>
    </row>
    <row r="41">
      <c r="A41" t="s">
        <v>99</v>
      </c>
      <c r="B41" t="s">
        <v>100</v>
      </c>
      <c r="C41" t="n">
        <v>4680.64568757826</v>
      </c>
      <c r="D41" t="n">
        <v>658.136124735779</v>
      </c>
      <c r="E41" t="n">
        <v>4383.93381023478</v>
      </c>
      <c r="F41" t="n">
        <v>1147.61355359138</v>
      </c>
      <c r="G41" t="n">
        <v>6474.91914873826</v>
      </c>
      <c r="H41" t="n">
        <v>11567.4533569096</v>
      </c>
      <c r="I41" t="n">
        <v>4146.28640891076</v>
      </c>
      <c r="J41" t="n">
        <v>396.666549795927</v>
      </c>
      <c r="K41" t="n">
        <v>132.397142794628</v>
      </c>
      <c r="L41" t="n">
        <v>3130.26290271665</v>
      </c>
      <c r="M41" t="n">
        <v>12877.2281816782</v>
      </c>
      <c r="N41" t="n">
        <v>8350.84094517973</v>
      </c>
    </row>
    <row r="42">
      <c r="A42" t="s">
        <v>101</v>
      </c>
      <c r="B42" t="s">
        <v>102</v>
      </c>
      <c r="C42" t="n">
        <v>3688.33579454128</v>
      </c>
      <c r="D42" t="n">
        <v>62335.3223986455</v>
      </c>
      <c r="E42" t="n">
        <v>25159.9671755391</v>
      </c>
      <c r="F42" t="n">
        <v>7051.14433075076</v>
      </c>
      <c r="G42" t="n">
        <v>22220.1895671551</v>
      </c>
      <c r="H42" t="n">
        <v>71590.9784310438</v>
      </c>
      <c r="I42" t="n">
        <v>29650.8479177341</v>
      </c>
      <c r="J42" t="n">
        <v>2405.23599503295</v>
      </c>
      <c r="K42" t="n">
        <v>3980.97542862573</v>
      </c>
      <c r="L42" t="n">
        <v>20650.6276296101</v>
      </c>
      <c r="M42" t="n">
        <v>60312.6307928707</v>
      </c>
      <c r="N42" t="n">
        <v>18831.3288143581</v>
      </c>
    </row>
    <row r="43">
      <c r="A43" t="s">
        <v>103</v>
      </c>
      <c r="B43" t="s">
        <v>104</v>
      </c>
      <c r="C43" t="n">
        <v>7611.01933923628</v>
      </c>
      <c r="D43" t="n">
        <v>5669.16297204665</v>
      </c>
      <c r="E43" t="n">
        <v>7198.2748028084</v>
      </c>
      <c r="F43" t="n">
        <v>773.508417432923</v>
      </c>
      <c r="G43" t="n">
        <v>10466.9657456935</v>
      </c>
      <c r="H43" t="n">
        <v>27275.1647949964</v>
      </c>
      <c r="I43" t="n">
        <v>8099.82335313434</v>
      </c>
      <c r="J43" t="n">
        <v>958.828849181345</v>
      </c>
      <c r="K43" t="n">
        <v>671.280282408573</v>
      </c>
      <c r="L43" t="n">
        <v>5403.19588742708</v>
      </c>
      <c r="M43" t="n">
        <v>21806.504028585</v>
      </c>
      <c r="N43" t="n">
        <v>14903.9933683735</v>
      </c>
    </row>
    <row r="44">
      <c r="A44" t="s">
        <v>105</v>
      </c>
      <c r="B44" t="s">
        <v>106</v>
      </c>
      <c r="C44" t="n">
        <v>54945.8583353743</v>
      </c>
      <c r="D44" t="n">
        <v>1392.0087063767</v>
      </c>
      <c r="E44" t="n">
        <v>38803.9624697113</v>
      </c>
      <c r="F44" t="n">
        <v>3714.03251292778</v>
      </c>
      <c r="G44" t="n">
        <v>45442.2891712546</v>
      </c>
      <c r="H44" t="n">
        <v>81881.5184048983</v>
      </c>
      <c r="I44" t="n">
        <v>21926.19952722</v>
      </c>
      <c r="J44" t="n">
        <v>4516.45813521032</v>
      </c>
      <c r="K44" t="n">
        <v>1694.62790673495</v>
      </c>
      <c r="L44" t="n">
        <v>18917.5412290297</v>
      </c>
      <c r="M44" t="n">
        <v>104238.182761816</v>
      </c>
      <c r="N44" t="n">
        <v>30052.6341312501</v>
      </c>
    </row>
    <row r="45">
      <c r="A45" t="s">
        <v>107</v>
      </c>
      <c r="B45" t="s">
        <v>108</v>
      </c>
      <c r="C45" t="n">
        <v>6061.08756640489</v>
      </c>
      <c r="D45" t="n">
        <v>27829.4544449113</v>
      </c>
      <c r="E45" t="n">
        <v>12074.2795692125</v>
      </c>
      <c r="F45" t="n">
        <v>3759.98376196086</v>
      </c>
      <c r="G45" t="n">
        <v>9482.57327606976</v>
      </c>
      <c r="H45" t="n">
        <v>31158.5375382293</v>
      </c>
      <c r="I45" t="n">
        <v>7970.1387426442</v>
      </c>
      <c r="J45" t="n">
        <v>1602.28248746007</v>
      </c>
      <c r="K45" t="n">
        <v>559.857950510617</v>
      </c>
      <c r="L45" t="n">
        <v>5288.06763887189</v>
      </c>
      <c r="M45" t="n">
        <v>25170.4868929586</v>
      </c>
      <c r="N45" t="n">
        <v>11438.0515162772</v>
      </c>
    </row>
    <row r="46">
      <c r="A46" t="s">
        <v>109</v>
      </c>
      <c r="B46" t="s">
        <v>110</v>
      </c>
      <c r="C46" t="n">
        <v>42479.5339613993</v>
      </c>
      <c r="D46" t="n">
        <v>12226.4282949565</v>
      </c>
      <c r="E46" t="n">
        <v>95419.5796696184</v>
      </c>
      <c r="F46" t="n">
        <v>8517.54636980942</v>
      </c>
      <c r="G46" t="n">
        <v>59602.3131100713</v>
      </c>
      <c r="H46" t="n">
        <v>150018.778145786</v>
      </c>
      <c r="I46" t="n">
        <v>50451.6524266515</v>
      </c>
      <c r="J46" t="n">
        <v>6804.37295004136</v>
      </c>
      <c r="K46" t="n">
        <v>4124.02519987993</v>
      </c>
      <c r="L46" t="n">
        <v>31122.0715925432</v>
      </c>
      <c r="M46" t="n">
        <v>180092.501833149</v>
      </c>
      <c r="N46" t="n">
        <v>44372.5684879233</v>
      </c>
    </row>
    <row r="47">
      <c r="A47" t="s">
        <v>111</v>
      </c>
      <c r="B47" t="s">
        <v>112</v>
      </c>
      <c r="C47" t="n">
        <v>29405.3151369059</v>
      </c>
      <c r="D47" t="n">
        <v>39397.023294845</v>
      </c>
      <c r="E47" t="n">
        <v>20684.6397636423</v>
      </c>
      <c r="F47" t="n">
        <v>4945.05978358705</v>
      </c>
      <c r="G47" t="n">
        <v>32377.7447619908</v>
      </c>
      <c r="H47" t="n">
        <v>87439.8887480143</v>
      </c>
      <c r="I47" t="n">
        <v>19244.3336340866</v>
      </c>
      <c r="J47" t="n">
        <v>2398.19142697675</v>
      </c>
      <c r="K47" t="n">
        <v>5165.9852624103</v>
      </c>
      <c r="L47" t="n">
        <v>16941.8524206265</v>
      </c>
      <c r="M47" t="n">
        <v>77029.8407430319</v>
      </c>
      <c r="N47" t="n">
        <v>19203.4697752975</v>
      </c>
    </row>
    <row r="48">
      <c r="A48" t="s">
        <v>113</v>
      </c>
      <c r="B48" t="s">
        <v>114</v>
      </c>
      <c r="C48" t="n">
        <v>79018.6955178296</v>
      </c>
      <c r="D48" t="n">
        <v>18724.7971458532</v>
      </c>
      <c r="E48" t="n">
        <v>46180.5681747053</v>
      </c>
      <c r="F48" t="n">
        <v>4911.6295459791</v>
      </c>
      <c r="G48" t="n">
        <v>35758.2043447416</v>
      </c>
      <c r="H48" t="n">
        <v>95828.5864122822</v>
      </c>
      <c r="I48" t="n">
        <v>21462.5818253683</v>
      </c>
      <c r="J48" t="n">
        <v>3637.56644462576</v>
      </c>
      <c r="K48" t="n">
        <v>2781.23820724002</v>
      </c>
      <c r="L48" t="n">
        <v>17729.2684848896</v>
      </c>
      <c r="M48" t="n">
        <v>82137.97202582</v>
      </c>
      <c r="N48" t="n">
        <v>20738.639813174</v>
      </c>
    </row>
    <row r="49">
      <c r="A49" t="s">
        <v>115</v>
      </c>
      <c r="B49" t="s">
        <v>116</v>
      </c>
      <c r="C49" t="n">
        <v>40790.2756321117</v>
      </c>
      <c r="D49" t="n">
        <v>290.042361589003</v>
      </c>
      <c r="E49" t="n">
        <v>52446.3893938729</v>
      </c>
      <c r="F49" t="n">
        <v>4474.65876860102</v>
      </c>
      <c r="G49" t="n">
        <v>32779.3808299675</v>
      </c>
      <c r="H49" t="n">
        <v>71032.3313638082</v>
      </c>
      <c r="I49" t="n">
        <v>27891.5924754988</v>
      </c>
      <c r="J49" t="n">
        <v>2093.08162809279</v>
      </c>
      <c r="K49" t="n">
        <v>2947.90580565252</v>
      </c>
      <c r="L49" t="n">
        <v>19013.8532716417</v>
      </c>
      <c r="M49" t="n">
        <v>66635.4152117887</v>
      </c>
      <c r="N49" t="n">
        <v>22069.6748489511</v>
      </c>
    </row>
    <row r="50">
      <c r="A50" t="s">
        <v>117</v>
      </c>
      <c r="B50" t="s">
        <v>118</v>
      </c>
      <c r="C50" t="n">
        <v>22353.2870097383</v>
      </c>
      <c r="D50" t="n">
        <v>424.723117203406</v>
      </c>
      <c r="E50" t="n">
        <v>19995.1686742232</v>
      </c>
      <c r="F50" t="n">
        <v>1783.96528944281</v>
      </c>
      <c r="G50" t="n">
        <v>16368.9816072027</v>
      </c>
      <c r="H50" t="n">
        <v>35724.8975773523</v>
      </c>
      <c r="I50" t="n">
        <v>10054.340122786</v>
      </c>
      <c r="J50" t="n">
        <v>1827.19945130737</v>
      </c>
      <c r="K50" t="n">
        <v>1177.16033874283</v>
      </c>
      <c r="L50" t="n">
        <v>10092.9136148146</v>
      </c>
      <c r="M50" t="n">
        <v>43996.1005708296</v>
      </c>
      <c r="N50" t="n">
        <v>12493.4061843146</v>
      </c>
    </row>
    <row r="51">
      <c r="A51" t="s">
        <v>119</v>
      </c>
      <c r="B51" t="s">
        <v>120</v>
      </c>
      <c r="C51" t="n">
        <v>6314.20017766642</v>
      </c>
      <c r="D51" t="n">
        <v>2211.58868503915</v>
      </c>
      <c r="E51" t="n">
        <v>8093.78284098621</v>
      </c>
      <c r="F51" t="n">
        <v>786.770554318478</v>
      </c>
      <c r="G51" t="n">
        <v>9332.84776665851</v>
      </c>
      <c r="H51" t="n">
        <v>20502.0295938538</v>
      </c>
      <c r="I51" t="n">
        <v>8030.36908373412</v>
      </c>
      <c r="J51" t="n">
        <v>1361.48317060591</v>
      </c>
      <c r="K51" t="n">
        <v>525.144189836971</v>
      </c>
      <c r="L51" t="n">
        <v>4074.55856671894</v>
      </c>
      <c r="M51" t="n">
        <v>20094.7384493725</v>
      </c>
      <c r="N51" t="n">
        <v>11636.3932318286</v>
      </c>
    </row>
    <row r="52">
      <c r="A52" t="s">
        <v>121</v>
      </c>
      <c r="B52" t="s">
        <v>122</v>
      </c>
      <c r="C52" t="n">
        <v>96132.735669922</v>
      </c>
      <c r="D52" t="n">
        <v>5086.98328668961</v>
      </c>
      <c r="E52" t="n">
        <v>50710.6447225137</v>
      </c>
      <c r="F52" t="n">
        <v>6094.63635226116</v>
      </c>
      <c r="G52" t="n">
        <v>41191.4771719958</v>
      </c>
      <c r="H52" t="n">
        <v>102413.545801523</v>
      </c>
      <c r="I52" t="n">
        <v>25303.850542637</v>
      </c>
      <c r="J52" t="n">
        <v>4583.68376705421</v>
      </c>
      <c r="K52" t="n">
        <v>1481.07983728277</v>
      </c>
      <c r="L52" t="n">
        <v>22498.8966961308</v>
      </c>
      <c r="M52" t="n">
        <v>110419.853720969</v>
      </c>
      <c r="N52" t="n">
        <v>23993.6773747884</v>
      </c>
    </row>
    <row r="53">
      <c r="A53" t="s">
        <v>123</v>
      </c>
      <c r="B53" t="s">
        <v>124</v>
      </c>
      <c r="C53" t="n">
        <v>36099.8514449951</v>
      </c>
      <c r="D53" t="n">
        <v>1966.34810665869</v>
      </c>
      <c r="E53" t="n">
        <v>21296.7848195292</v>
      </c>
      <c r="F53" t="n">
        <v>2602.73146221704</v>
      </c>
      <c r="G53" t="n">
        <v>18410.6142544298</v>
      </c>
      <c r="H53" t="n">
        <v>45425.3570350177</v>
      </c>
      <c r="I53" t="n">
        <v>15513.8249476708</v>
      </c>
      <c r="J53" t="n">
        <v>1396.1869277929</v>
      </c>
      <c r="K53" t="n">
        <v>484.8152477625</v>
      </c>
      <c r="L53" t="n">
        <v>5593.63577641246</v>
      </c>
      <c r="M53" t="n">
        <v>50671.5720149665</v>
      </c>
      <c r="N53" t="n">
        <v>12465.4121738521</v>
      </c>
    </row>
    <row r="54">
      <c r="A54" t="s">
        <v>125</v>
      </c>
      <c r="B54" t="s">
        <v>126</v>
      </c>
      <c r="C54" t="n">
        <v>62240.4308187786</v>
      </c>
      <c r="D54" t="n">
        <v>35033.1959616126</v>
      </c>
      <c r="E54" t="n">
        <v>396397.992774529</v>
      </c>
      <c r="F54" t="n">
        <v>39263.6552212009</v>
      </c>
      <c r="G54" t="n">
        <v>331951.970754184</v>
      </c>
      <c r="H54" t="n">
        <v>978534.216102059</v>
      </c>
      <c r="I54" t="n">
        <v>410441.429265905</v>
      </c>
      <c r="J54" t="n">
        <v>127878.63680393</v>
      </c>
      <c r="K54" t="n">
        <v>64612.9318433407</v>
      </c>
      <c r="L54" t="n">
        <v>371110.873293635</v>
      </c>
      <c r="M54" t="n">
        <v>978549.82807721</v>
      </c>
      <c r="N54" t="n">
        <v>174748.50877832</v>
      </c>
    </row>
    <row r="55">
      <c r="A55" t="s">
        <v>127</v>
      </c>
      <c r="B55" t="s">
        <v>128</v>
      </c>
      <c r="C55" t="n">
        <v>4421.05182091059</v>
      </c>
      <c r="D55" t="n">
        <v>20013.4229113328</v>
      </c>
      <c r="E55" t="n">
        <v>10406.7687783946</v>
      </c>
      <c r="F55" t="n">
        <v>1012.51888612463</v>
      </c>
      <c r="G55" t="n">
        <v>14628.0150908041</v>
      </c>
      <c r="H55" t="n">
        <v>58182.4910150426</v>
      </c>
      <c r="I55" t="n">
        <v>15774.3997358442</v>
      </c>
      <c r="J55" t="n">
        <v>2334.60289123705</v>
      </c>
      <c r="K55" t="n">
        <v>2857.45493739943</v>
      </c>
      <c r="L55" t="n">
        <v>8866.7137648016</v>
      </c>
      <c r="M55" t="n">
        <v>33315.3461793216</v>
      </c>
      <c r="N55" t="n">
        <v>13474.2123617189</v>
      </c>
    </row>
    <row r="56">
      <c r="A56" t="s">
        <v>129</v>
      </c>
      <c r="B56" t="s">
        <v>130</v>
      </c>
      <c r="C56" t="n">
        <v>47171.9313466429</v>
      </c>
      <c r="D56" t="n">
        <v>37446.6565207973</v>
      </c>
      <c r="E56" t="n">
        <v>67366.2210206364</v>
      </c>
      <c r="F56" t="n">
        <v>11669.9004645185</v>
      </c>
      <c r="G56" t="n">
        <v>83665.4663722776</v>
      </c>
      <c r="H56" t="n">
        <v>209042.204899182</v>
      </c>
      <c r="I56" t="n">
        <v>78368.5998767</v>
      </c>
      <c r="J56" t="n">
        <v>11405.6796821552</v>
      </c>
      <c r="K56" t="n">
        <v>13126.4623001728</v>
      </c>
      <c r="L56" t="n">
        <v>46881.1704199474</v>
      </c>
      <c r="M56" t="n">
        <v>214758.690986997</v>
      </c>
      <c r="N56" t="n">
        <v>57227.4517501682</v>
      </c>
    </row>
  </sheetData>
  <mergeCells count="7">
    <mergeCell ref="AD8:AD9"/>
    <mergeCell ref="R8:R9"/>
    <mergeCell ref="T8:T9"/>
    <mergeCell ref="V8:V9"/>
    <mergeCell ref="X8:X9"/>
    <mergeCell ref="Z8:Z9"/>
    <mergeCell ref="AB8:AB9"/>
  </mergeCell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0" zoomScaleNormal="100" workbookViewId="0"/>
  </sheetViews>
  <sheetFormatPr defaultRowHeight="15.0" baseColWidth="10"/>
  <cols>
    <col min="2" max="2" width="9.265625" hidden="0" customWidth="1"/>
    <col min="3" max="3" width="40.86328125" hidden="0" customWidth="1"/>
    <col min="4" max="4" width="43.3984375" hidden="0" customWidth="1"/>
    <col min="5" max="5" width="34.265625" hidden="0" customWidth="1"/>
    <col min="6" max="6" width="28.06640625" hidden="0" customWidth="1"/>
    <col min="7" max="7" width="34.265625" hidden="0" customWidth="1"/>
    <col min="8" max="8" width="34.265625" hidden="0" customWidth="1"/>
    <col min="9" max="9" width="32.265625" hidden="0" customWidth="1"/>
    <col min="10" max="10" width="34.265625" hidden="0" customWidth="1"/>
    <col min="11" max="11" width="34.265625" hidden="0" customWidth="1"/>
    <col min="12" max="12" width="34.265625" hidden="0" customWidth="1"/>
    <col min="13" max="13" width="34.265625" hidden="0" customWidth="1"/>
    <col min="14" max="14" width="34.265625" hidden="0" customWidth="1"/>
    <col min="15" max="15" width="34.265625" hidden="0" customWidth="1"/>
    <col min="16" max="16" width="34.265625" hidden="0" customWidth="1"/>
    <col min="17" max="17" width="34" hidden="0" customWidth="1"/>
    <col min="18" max="18" width="33.53125" hidden="0" customWidth="1"/>
    <col min="19" max="19" width="34.265625" hidden="0" customWidth="1"/>
    <col min="20" max="20" width="34.265625" hidden="0" customWidth="1"/>
    <col min="21" max="21" width="34.265625" hidden="0" customWidth="1"/>
    <col min="22" max="22" width="28.9296875" hidden="0" customWidth="1"/>
  </cols>
  <sheetData>
    <row r="2">
      <c r="B2" s="1"/>
      <c r="C2" s="1"/>
      <c r="D2" s="1"/>
      <c r="E2" s="28" t="s">
        <v>34</v>
      </c>
      <c r="F2" s="28" t="s">
        <v>34</v>
      </c>
      <c r="G2" s="28" t="s">
        <v>34</v>
      </c>
      <c r="H2" s="28" t="s">
        <v>34</v>
      </c>
      <c r="I2" s="28" t="s">
        <v>34</v>
      </c>
      <c r="J2" s="28" t="s">
        <v>34</v>
      </c>
      <c r="K2" s="28" t="s">
        <v>34</v>
      </c>
      <c r="L2" s="28" t="s">
        <v>34</v>
      </c>
      <c r="M2" s="28" t="s">
        <v>34</v>
      </c>
      <c r="N2" s="28" t="s">
        <v>34</v>
      </c>
      <c r="O2" s="28" t="s">
        <v>34</v>
      </c>
      <c r="P2" s="28" t="s">
        <v>34</v>
      </c>
      <c r="Q2" s="32" t="s">
        <v>4</v>
      </c>
      <c r="R2" s="32" t="s">
        <v>5</v>
      </c>
      <c r="S2" s="32" t="s">
        <v>6</v>
      </c>
      <c r="T2" s="32" t="s">
        <v>7</v>
      </c>
      <c r="U2" s="32" t="s">
        <v>8</v>
      </c>
      <c r="V2" s="32" t="s">
        <v>9</v>
      </c>
    </row>
    <row r="3" ht="32.25" customHeight="1">
      <c r="B3" s="1"/>
      <c r="C3" s="33"/>
      <c r="D3" s="33"/>
      <c r="E3" s="1" t="n">
        <v>1</v>
      </c>
      <c r="F3" s="1" t="n">
        <v>2</v>
      </c>
      <c r="G3" s="1" t="n">
        <v>3</v>
      </c>
      <c r="H3" s="1" t="n">
        <v>4</v>
      </c>
      <c r="I3" s="1" t="n">
        <v>5</v>
      </c>
      <c r="J3" s="1" t="n">
        <v>6</v>
      </c>
      <c r="K3" s="1" t="n">
        <v>7</v>
      </c>
      <c r="L3" s="1" t="n">
        <v>8</v>
      </c>
      <c r="M3" s="1" t="n">
        <v>9</v>
      </c>
      <c r="N3" s="1" t="n">
        <v>10</v>
      </c>
      <c r="O3" s="1" t="n">
        <v>11</v>
      </c>
      <c r="P3" s="1" t="n">
        <v>12</v>
      </c>
      <c r="Q3" s="32" t="s">
        <v>35</v>
      </c>
      <c r="R3" s="32" t="s">
        <v>35</v>
      </c>
      <c r="S3" s="32" t="s">
        <v>35</v>
      </c>
      <c r="T3" s="32" t="s">
        <v>35</v>
      </c>
      <c r="U3" s="32" t="s">
        <v>35</v>
      </c>
      <c r="V3" s="32" t="s">
        <v>35</v>
      </c>
    </row>
    <row r="4" ht="26.25" customHeight="1">
      <c r="B4" s="28"/>
      <c r="C4" s="28"/>
      <c r="D4" s="28"/>
      <c r="E4" s="28" t="s">
        <v>22</v>
      </c>
      <c r="F4" s="28" t="s">
        <v>23</v>
      </c>
      <c r="G4" s="28" t="s">
        <v>24</v>
      </c>
      <c r="H4" s="28" t="s">
        <v>25</v>
      </c>
      <c r="I4" s="28" t="s">
        <v>26</v>
      </c>
      <c r="J4" s="28" t="s">
        <v>27</v>
      </c>
      <c r="K4" s="28" t="s">
        <v>28</v>
      </c>
      <c r="L4" s="28" t="s">
        <v>20</v>
      </c>
      <c r="M4" s="28" t="s">
        <v>29</v>
      </c>
      <c r="N4" s="28" t="s">
        <v>30</v>
      </c>
      <c r="O4" s="28" t="s">
        <v>31</v>
      </c>
      <c r="P4" s="28" t="s">
        <v>21</v>
      </c>
      <c r="Q4" s="32" t="s">
        <v>35</v>
      </c>
      <c r="R4" s="32" t="s">
        <v>35</v>
      </c>
      <c r="S4" s="32" t="s">
        <v>35</v>
      </c>
      <c r="T4" s="32" t="s">
        <v>35</v>
      </c>
      <c r="U4" s="32" t="s">
        <v>35</v>
      </c>
      <c r="V4" s="32" t="s">
        <v>35</v>
      </c>
    </row>
    <row r="5" ht="25.9" customHeight="1">
      <c r="B5" s="1"/>
      <c r="C5" s="1"/>
      <c r="D5" s="34"/>
      <c r="E5" s="35" t="str">
        <f>CONCATENATE(E2, "_",E3,"_",E4)</f>
        <v>Demanda intermedia_1_Agropecuario-silvícola y Pesca</v>
      </c>
      <c r="F5" s="35" t="str">
        <f t="shared" ref="F5:V5" si="0">CONCATENATE(F2, "_",F3,"_",F4)</f>
        <v>Demanda intermedia_2_Minería</v>
      </c>
      <c r="G5" s="35" t="str">
        <f t="shared" si="0"/>
        <v>Demanda intermedia_3_Industria manufacturera</v>
      </c>
      <c r="H5" s="35" t="str">
        <f t="shared" si="0"/>
        <v>Demanda intermedia_4_Electricidad, gas, agua y gestión de desechos</v>
      </c>
      <c r="I5" s="35" t="str">
        <f t="shared" si="0"/>
        <v>Demanda intermedia_5_Construcción</v>
      </c>
      <c r="J5" s="35" t="str">
        <f t="shared" si="0"/>
        <v>Demanda intermedia_6_Comercio, hoteles y restaurantes</v>
      </c>
      <c r="K5" s="35" t="str">
        <f t="shared" si="0"/>
        <v>Demanda intermedia_7_Transporte, comunicaciones y servicios de información</v>
      </c>
      <c r="L5" s="35" t="str">
        <f t="shared" si="0"/>
        <v>Demanda intermedia_8_Intermediación financiera</v>
      </c>
      <c r="M5" s="35" t="str">
        <f t="shared" si="0"/>
        <v>Demanda intermedia_9_Servicios inmobiliarios y de vivienda</v>
      </c>
      <c r="N5" s="35" t="str">
        <f t="shared" si="0"/>
        <v>Demanda intermedia_10_Servicios empresariales</v>
      </c>
      <c r="O5" s="35" t="str">
        <f t="shared" si="0"/>
        <v>Demanda intermedia_11_Servicios personales</v>
      </c>
      <c r="P5" s="35" t="str">
        <f t="shared" si="0"/>
        <v>Demanda intermedia_12_Administración pública</v>
      </c>
      <c r="Q5" s="35" t="str">
        <f t="shared" si="0"/>
        <v>Consumo de hogares_Ninguno_Ninguno</v>
      </c>
      <c r="R5" s="35" t="str">
        <f t="shared" si="0"/>
        <v>Consumo  de IPSFL_Ninguno_Ninguno</v>
      </c>
      <c r="S5" s="35" t="str">
        <f t="shared" si="0"/>
        <v>Consumo de gobierno_Ninguno_Ninguno</v>
      </c>
      <c r="T5" s="35" t="str">
        <f t="shared" si="0"/>
        <v>Formación bruta de capital fijo_Ninguno_Ninguno</v>
      </c>
      <c r="U5" s="35" t="str">
        <f t="shared" si="0"/>
        <v>Variación de existencias_Ninguno_Ninguno</v>
      </c>
      <c r="V5" s="35" t="str">
        <f t="shared" si="0"/>
        <v>Exportaciones_Ninguno_Ninguno</v>
      </c>
    </row>
    <row r="6" ht="12.75" customHeight="1">
      <c r="A6" s="1" t="s">
        <v>33</v>
      </c>
      <c r="B6" s="29" t="n">
        <v>1</v>
      </c>
      <c r="C6" s="8" t="s">
        <v>22</v>
      </c>
      <c r="D6" s="36" t="str">
        <f>CONCATENATE(A6,"_", B6,"_",C6)</f>
        <v>Oferta intermedia_1_Agropecuario-silvícola y Pesca</v>
      </c>
      <c r="E6" s="37" t="n">
        <v>4115.25324179359</v>
      </c>
      <c r="F6" s="37" t="n">
        <v>0.64223706650561818</v>
      </c>
      <c r="G6" s="37" t="n">
        <v>11866.038642245503</v>
      </c>
      <c r="H6" s="37" t="n">
        <v>41.408529901637003</v>
      </c>
      <c r="I6" s="37" t="n">
        <v>13.540523211729319</v>
      </c>
      <c r="J6" s="37" t="n">
        <v>323.50973122279078</v>
      </c>
      <c r="K6" s="37" t="n">
        <v>3.7189800027750808</v>
      </c>
      <c r="L6" s="37" t="n">
        <v>1.1738699574293463</v>
      </c>
      <c r="M6" s="37" t="n">
        <v>4.6620560822918836E-2</v>
      </c>
      <c r="N6" s="37" t="n">
        <v>6.0921412337751075</v>
      </c>
      <c r="O6" s="37" t="n">
        <v>59.351152722115152</v>
      </c>
      <c r="P6" s="37" t="n">
        <v>62.713022185845844</v>
      </c>
      <c r="Q6" s="38" t="n">
        <v>2783.6759149078262</v>
      </c>
      <c r="R6" s="38" t="n">
        <v>0</v>
      </c>
      <c r="S6" s="38" t="n">
        <v>2.668751046842022E-2</v>
      </c>
      <c r="T6" s="38" t="n">
        <v>790.68687043852901</v>
      </c>
      <c r="U6" s="38" t="n">
        <v>-133.35791971044395</v>
      </c>
      <c r="V6" s="39" t="n">
        <v>3460.4746110713118</v>
      </c>
      <c r="W6" s="11"/>
      <c r="X6" s="30"/>
    </row>
    <row r="7" ht="12.75" customHeight="1">
      <c r="A7" s="1" t="s">
        <v>33</v>
      </c>
      <c r="B7" s="29" t="n">
        <v>2</v>
      </c>
      <c r="C7" s="31" t="s">
        <v>23</v>
      </c>
      <c r="D7" s="36" t="str">
        <f t="shared" ref="D7:D17" si="1">CONCATENATE(A7,"_", B7,"_",C7)</f>
        <v>Oferta intermedia_2_Minería</v>
      </c>
      <c r="E7" s="37" t="n">
        <v>17.284374579552285</v>
      </c>
      <c r="F7" s="37" t="n">
        <v>5176.8488401808499</v>
      </c>
      <c r="G7" s="37" t="n">
        <v>3249.0835489237825</v>
      </c>
      <c r="H7" s="37" t="n">
        <v>69.390608604192025</v>
      </c>
      <c r="I7" s="37" t="n">
        <v>194.00930683931554</v>
      </c>
      <c r="J7" s="37" t="n">
        <v>47.012198735913366</v>
      </c>
      <c r="K7" s="37" t="n">
        <v>26.834354104437423</v>
      </c>
      <c r="L7" s="37" t="n">
        <v>26.634541079722645</v>
      </c>
      <c r="M7" s="37" t="n">
        <v>5.9874064065828323</v>
      </c>
      <c r="N7" s="37" t="n">
        <v>48.327516181388418</v>
      </c>
      <c r="O7" s="37" t="n">
        <v>28.725164915130467</v>
      </c>
      <c r="P7" s="37" t="n">
        <v>9.6188118745458535</v>
      </c>
      <c r="Q7" s="38" t="n">
        <v>46.319552771228189</v>
      </c>
      <c r="R7" s="38" t="n">
        <v>0</v>
      </c>
      <c r="S7" s="38" t="n">
        <v>2.722812321192706</v>
      </c>
      <c r="T7" s="38" t="n">
        <v>704.96650590998138</v>
      </c>
      <c r="U7" s="38" t="n">
        <v>-315.1916644546144</v>
      </c>
      <c r="V7" s="39" t="n">
        <v>50201.314984253913</v>
      </c>
      <c r="W7" s="11"/>
      <c r="X7" s="30"/>
    </row>
    <row r="8" ht="12.75" customHeight="1">
      <c r="A8" s="1" t="s">
        <v>33</v>
      </c>
      <c r="B8" s="29" t="n">
        <v>3</v>
      </c>
      <c r="C8" s="8" t="s">
        <v>24</v>
      </c>
      <c r="D8" s="36" t="str">
        <f t="shared" si="1"/>
        <v>Oferta intermedia_3_Industria manufacturera</v>
      </c>
      <c r="E8" s="37" t="n">
        <v>4649.3295943695384</v>
      </c>
      <c r="F8" s="37" t="n">
        <v>3599.6667329405113</v>
      </c>
      <c r="G8" s="37" t="n">
        <v>12335.8393584939</v>
      </c>
      <c r="H8" s="37" t="n">
        <v>629.30829100869278</v>
      </c>
      <c r="I8" s="37" t="n">
        <v>6599.0788607576997</v>
      </c>
      <c r="J8" s="37" t="n">
        <v>4798.4363534631539</v>
      </c>
      <c r="K8" s="37" t="n">
        <v>2849.6015364058621</v>
      </c>
      <c r="L8" s="37" t="n">
        <v>175.11488424190145</v>
      </c>
      <c r="M8" s="37" t="n">
        <v>62.12138377444434</v>
      </c>
      <c r="N8" s="37" t="n">
        <v>724.34215505105772</v>
      </c>
      <c r="O8" s="37" t="n">
        <v>2143.2518453646339</v>
      </c>
      <c r="P8" s="37" t="n">
        <v>363.03962712610962</v>
      </c>
      <c r="Q8" s="38" t="n">
        <v>22272.496082856436</v>
      </c>
      <c r="R8" s="38" t="n">
        <v>0</v>
      </c>
      <c r="S8" s="38" t="n">
        <v>86.443491400629199</v>
      </c>
      <c r="T8" s="38" t="n">
        <v>4045.856643177457</v>
      </c>
      <c r="U8" s="38" t="n">
        <v>-300.63449098921058</v>
      </c>
      <c r="V8" s="39" t="n">
        <v>27660.472046589188</v>
      </c>
      <c r="W8" s="11"/>
      <c r="X8" s="30"/>
    </row>
    <row r="9" ht="12.75" customHeight="1">
      <c r="A9" s="1" t="s">
        <v>33</v>
      </c>
      <c r="B9" s="29" t="n">
        <v>4</v>
      </c>
      <c r="C9" s="8" t="s">
        <v>25</v>
      </c>
      <c r="D9" s="36" t="str">
        <f t="shared" si="1"/>
        <v>Oferta intermedia_4_Electricidad, gas, agua y gestión de desechos</v>
      </c>
      <c r="E9" s="37" t="n">
        <v>245.3914624015523</v>
      </c>
      <c r="F9" s="37" t="n">
        <v>3380.9071105102366</v>
      </c>
      <c r="G9" s="37" t="n">
        <v>2940.4898871786891</v>
      </c>
      <c r="H9" s="37" t="n">
        <v>2005.3179010334675</v>
      </c>
      <c r="I9" s="37" t="n">
        <v>268.21388592482629</v>
      </c>
      <c r="J9" s="37" t="n">
        <v>987.68203986104686</v>
      </c>
      <c r="K9" s="37" t="n">
        <v>498.25204850715994</v>
      </c>
      <c r="L9" s="37" t="n">
        <v>134.92253182901922</v>
      </c>
      <c r="M9" s="37" t="n">
        <v>217.21723463459776</v>
      </c>
      <c r="N9" s="37" t="n">
        <v>231.67899014736994</v>
      </c>
      <c r="O9" s="37" t="n">
        <v>487.05717689247598</v>
      </c>
      <c r="P9" s="37" t="n">
        <v>578.822278306935</v>
      </c>
      <c r="Q9" s="38" t="n">
        <v>3763.8962261861479</v>
      </c>
      <c r="R9" s="38" t="n">
        <v>0</v>
      </c>
      <c r="S9" s="38" t="n">
        <v>83.189665272501514</v>
      </c>
      <c r="T9" s="38" t="n">
        <v>55.968353856951722</v>
      </c>
      <c r="U9" s="38" t="n">
        <v>0.45411780960103626</v>
      </c>
      <c r="V9" s="39" t="n">
        <v>81.481389629637704</v>
      </c>
      <c r="W9" s="11"/>
      <c r="X9" s="30"/>
    </row>
    <row r="10" ht="12.75" customHeight="1">
      <c r="A10" s="1" t="s">
        <v>33</v>
      </c>
      <c r="B10" s="29" t="n">
        <v>5</v>
      </c>
      <c r="C10" s="8" t="s">
        <v>26</v>
      </c>
      <c r="D10" s="36" t="str">
        <f t="shared" si="1"/>
        <v>Oferta intermedia_5_Construcción</v>
      </c>
      <c r="E10" s="37" t="n">
        <v>1.0332716340274708</v>
      </c>
      <c r="F10" s="37" t="n">
        <v>3.0356265766134927</v>
      </c>
      <c r="G10" s="37" t="n">
        <v>10.808026343273349</v>
      </c>
      <c r="H10" s="37" t="n">
        <v>1.6691959202417861</v>
      </c>
      <c r="I10" s="37" t="n">
        <v>5292.5470910371168</v>
      </c>
      <c r="J10" s="37" t="n">
        <v>59.406447949104333</v>
      </c>
      <c r="K10" s="37" t="n">
        <v>30.30313659084123</v>
      </c>
      <c r="L10" s="37" t="n">
        <v>15.079325402288482</v>
      </c>
      <c r="M10" s="37" t="n">
        <v>2916.6355399187187</v>
      </c>
      <c r="N10" s="37" t="n">
        <v>17.996332768911621</v>
      </c>
      <c r="O10" s="37" t="n">
        <v>20.730084837589924</v>
      </c>
      <c r="P10" s="37" t="n">
        <v>5.9405624169232105</v>
      </c>
      <c r="Q10" s="38" t="n">
        <v>11.8029683309727</v>
      </c>
      <c r="R10" s="38" t="n">
        <v>0</v>
      </c>
      <c r="S10" s="38" t="n">
        <v>0.12944474112889989</v>
      </c>
      <c r="T10" s="38" t="n">
        <v>28753.102909771198</v>
      </c>
      <c r="U10" s="38" t="n">
        <v>0</v>
      </c>
      <c r="V10" s="39" t="n">
        <v>5.6507347800817076</v>
      </c>
      <c r="W10" s="11"/>
      <c r="X10" s="30"/>
    </row>
    <row r="11" ht="12.75" customHeight="1">
      <c r="A11" s="1" t="s">
        <v>33</v>
      </c>
      <c r="B11" s="29" t="n">
        <v>6</v>
      </c>
      <c r="C11" s="8" t="s">
        <v>27</v>
      </c>
      <c r="D11" s="36" t="str">
        <f t="shared" si="1"/>
        <v>Oferta intermedia_6_Comercio, hoteles y restaurantes</v>
      </c>
      <c r="E11" s="37" t="n">
        <v>966.82833786755134</v>
      </c>
      <c r="F11" s="37" t="n">
        <v>1770.7817322909834</v>
      </c>
      <c r="G11" s="37" t="n">
        <v>4469.314197541139</v>
      </c>
      <c r="H11" s="37" t="n">
        <v>315.0718035047139</v>
      </c>
      <c r="I11" s="37" t="n">
        <v>2349.1399443389273</v>
      </c>
      <c r="J11" s="37" t="n">
        <v>4647.6657757804314</v>
      </c>
      <c r="K11" s="37" t="n">
        <v>2529.3725339900752</v>
      </c>
      <c r="L11" s="37" t="n">
        <v>350.69454613681694</v>
      </c>
      <c r="M11" s="37" t="n">
        <v>60.12173835484959</v>
      </c>
      <c r="N11" s="37" t="n">
        <v>1133.367122027342</v>
      </c>
      <c r="O11" s="37" t="n">
        <v>1800.0868346419295</v>
      </c>
      <c r="P11" s="37" t="n">
        <v>305.19939715018097</v>
      </c>
      <c r="Q11" s="38" t="n">
        <v>30901.887330008965</v>
      </c>
      <c r="R11" s="38" t="n">
        <v>0</v>
      </c>
      <c r="S11" s="38" t="n">
        <v>715.54930083129898</v>
      </c>
      <c r="T11" s="38" t="n">
        <v>6164.3481824745741</v>
      </c>
      <c r="U11" s="38" t="n">
        <v>-2.5610536651533788</v>
      </c>
      <c r="V11" s="39" t="n">
        <v>3003.0162638239958</v>
      </c>
      <c r="W11" s="11"/>
      <c r="X11" s="30"/>
    </row>
    <row r="12" ht="12.75" customHeight="1">
      <c r="A12" s="1" t="s">
        <v>33</v>
      </c>
      <c r="B12" s="29" t="n">
        <v>7</v>
      </c>
      <c r="C12" s="8" t="s">
        <v>28</v>
      </c>
      <c r="D12" s="36" t="str">
        <f t="shared" si="1"/>
        <v>Oferta intermedia_7_Transporte, comunicaciones y servicios de información</v>
      </c>
      <c r="E12" s="37" t="n">
        <v>1062.4133737383852</v>
      </c>
      <c r="F12" s="37" t="n">
        <v>1833.5671296604153</v>
      </c>
      <c r="G12" s="37" t="n">
        <v>4744.7545438125126</v>
      </c>
      <c r="H12" s="37" t="n">
        <v>530.47941388537822</v>
      </c>
      <c r="I12" s="37" t="n">
        <v>1031.9693618789372</v>
      </c>
      <c r="J12" s="37" t="n">
        <v>7309.3569906340563</v>
      </c>
      <c r="K12" s="37" t="n">
        <v>8000.1396888266036</v>
      </c>
      <c r="L12" s="37" t="n">
        <v>904.07699024263366</v>
      </c>
      <c r="M12" s="37" t="n">
        <v>77.339440803232648</v>
      </c>
      <c r="N12" s="37" t="n">
        <v>1471.0034731919143</v>
      </c>
      <c r="O12" s="37" t="n">
        <v>863.62840417232007</v>
      </c>
      <c r="P12" s="37" t="n">
        <v>594.23803054473694</v>
      </c>
      <c r="Q12" s="38" t="n">
        <v>11716.771316548366</v>
      </c>
      <c r="R12" s="38" t="n">
        <v>0</v>
      </c>
      <c r="S12" s="38" t="n">
        <v>10.022818548600483</v>
      </c>
      <c r="T12" s="38" t="n">
        <v>2908.8034916749398</v>
      </c>
      <c r="U12" s="38" t="n">
        <v>0</v>
      </c>
      <c r="V12" s="39" t="n">
        <v>4108.0305736087175</v>
      </c>
      <c r="W12" s="11"/>
      <c r="X12" s="30"/>
    </row>
    <row r="13" ht="12.75" customHeight="1">
      <c r="A13" s="1" t="s">
        <v>33</v>
      </c>
      <c r="B13" s="29" t="n">
        <v>8</v>
      </c>
      <c r="C13" s="8" t="s">
        <v>20</v>
      </c>
      <c r="D13" s="36" t="str">
        <f t="shared" si="1"/>
        <v>Oferta intermedia_8_Intermediación financiera</v>
      </c>
      <c r="E13" s="37" t="n">
        <v>310.09645740051849</v>
      </c>
      <c r="F13" s="37" t="n">
        <v>274.66528525786589</v>
      </c>
      <c r="G13" s="37" t="n">
        <v>810.19138986447888</v>
      </c>
      <c r="H13" s="37" t="n">
        <v>363.093240764916</v>
      </c>
      <c r="I13" s="37" t="n">
        <v>584.48260935479061</v>
      </c>
      <c r="J13" s="37" t="n">
        <v>1750.6706525790887</v>
      </c>
      <c r="K13" s="37" t="n">
        <v>635.75459166565099</v>
      </c>
      <c r="L13" s="37" t="n">
        <v>5982.5788079375088</v>
      </c>
      <c r="M13" s="37" t="n">
        <v>617.14534693199323</v>
      </c>
      <c r="N13" s="37" t="n">
        <v>898.43815273963571</v>
      </c>
      <c r="O13" s="37" t="n">
        <v>327.8381041152071</v>
      </c>
      <c r="P13" s="37" t="n">
        <v>248.25606623159638</v>
      </c>
      <c r="Q13" s="38" t="n">
        <v>7988.7193001477608</v>
      </c>
      <c r="R13" s="38" t="n">
        <v>0</v>
      </c>
      <c r="S13" s="38" t="n">
        <v>228.71296489010598</v>
      </c>
      <c r="T13" s="38" t="n">
        <v>61.206592899449085</v>
      </c>
      <c r="U13" s="38" t="n">
        <v>0</v>
      </c>
      <c r="V13" s="39" t="n">
        <v>723.43574874002161</v>
      </c>
      <c r="W13" s="11"/>
      <c r="X13" s="30"/>
    </row>
    <row r="14" ht="12.75" customHeight="1">
      <c r="A14" s="1" t="s">
        <v>33</v>
      </c>
      <c r="B14" s="29" t="n">
        <v>9</v>
      </c>
      <c r="C14" s="8" t="s">
        <v>29</v>
      </c>
      <c r="D14" s="36" t="str">
        <f t="shared" si="1"/>
        <v>Oferta intermedia_9_Servicios inmobiliarios y de vivienda</v>
      </c>
      <c r="E14" s="37" t="n">
        <v>52.019252663173717</v>
      </c>
      <c r="F14" s="37" t="n">
        <v>56.805470824236494</v>
      </c>
      <c r="G14" s="37" t="n">
        <v>456.05277774667604</v>
      </c>
      <c r="H14" s="37" t="n">
        <v>48.722291732972622</v>
      </c>
      <c r="I14" s="37" t="n">
        <v>112.41270105040677</v>
      </c>
      <c r="J14" s="37" t="n">
        <v>2527.8830313909971</v>
      </c>
      <c r="K14" s="37" t="n">
        <v>644.81757888727145</v>
      </c>
      <c r="L14" s="37" t="n">
        <v>458.16230248226009</v>
      </c>
      <c r="M14" s="37" t="n">
        <v>332.54365020357113</v>
      </c>
      <c r="N14" s="37" t="n">
        <v>654.14719439340126</v>
      </c>
      <c r="O14" s="37" t="n">
        <v>893.16879355697392</v>
      </c>
      <c r="P14" s="37" t="n">
        <v>167.6369254416006</v>
      </c>
      <c r="Q14" s="38" t="n">
        <v>19091.525196647348</v>
      </c>
      <c r="R14" s="38" t="n">
        <v>0</v>
      </c>
      <c r="S14" s="38" t="n">
        <v>0.13745594412125137</v>
      </c>
      <c r="T14" s="38" t="n">
        <v>121.53446015282401</v>
      </c>
      <c r="U14" s="38" t="n">
        <v>0</v>
      </c>
      <c r="V14" s="39" t="n">
        <v>49.574675015200178</v>
      </c>
      <c r="W14" s="11"/>
      <c r="X14" s="30"/>
    </row>
    <row r="15" ht="12.75" customHeight="1">
      <c r="A15" s="1" t="s">
        <v>33</v>
      </c>
      <c r="B15" s="29" t="n">
        <v>10</v>
      </c>
      <c r="C15" s="29" t="s">
        <v>30</v>
      </c>
      <c r="D15" s="36" t="str">
        <f t="shared" si="1"/>
        <v>Oferta intermedia_10_Servicios empresariales</v>
      </c>
      <c r="E15" s="37" t="n">
        <v>749.34541065891779</v>
      </c>
      <c r="F15" s="37" t="n">
        <v>4370.2376709270884</v>
      </c>
      <c r="G15" s="37" t="n">
        <v>3411.4399274628327</v>
      </c>
      <c r="H15" s="37" t="n">
        <v>1061.4773696477309</v>
      </c>
      <c r="I15" s="37" t="n">
        <v>1714.9704099583787</v>
      </c>
      <c r="J15" s="37" t="n">
        <v>5489.8329214910655</v>
      </c>
      <c r="K15" s="37" t="n">
        <v>2646.587623954787</v>
      </c>
      <c r="L15" s="37" t="n">
        <v>2399.6728566456377</v>
      </c>
      <c r="M15" s="37" t="n">
        <v>453.41048516706951</v>
      </c>
      <c r="N15" s="37" t="n">
        <v>4585.662619325376</v>
      </c>
      <c r="O15" s="37" t="n">
        <v>2007.4007782251022</v>
      </c>
      <c r="P15" s="37" t="n">
        <v>950.45330643330249</v>
      </c>
      <c r="Q15" s="38" t="n">
        <v>1570.0364102032977</v>
      </c>
      <c r="R15" s="38" t="n">
        <v>0</v>
      </c>
      <c r="S15" s="38" t="n">
        <v>73.289573665182871</v>
      </c>
      <c r="T15" s="38" t="n">
        <v>4072.6307240641954</v>
      </c>
      <c r="U15" s="38" t="n">
        <v>5.1274777730822097E-4</v>
      </c>
      <c r="V15" s="39" t="n">
        <v>1232.2600711522966</v>
      </c>
      <c r="W15" s="11"/>
      <c r="X15" s="30"/>
    </row>
    <row r="16" ht="12.75" customHeight="1">
      <c r="A16" s="1" t="s">
        <v>33</v>
      </c>
      <c r="B16" s="29" t="n">
        <v>11</v>
      </c>
      <c r="C16" s="8" t="s">
        <v>31</v>
      </c>
      <c r="D16" s="36" t="str">
        <f t="shared" si="1"/>
        <v>Oferta intermedia_11_Servicios personales</v>
      </c>
      <c r="E16" s="37" t="n">
        <v>26.146010446501101</v>
      </c>
      <c r="F16" s="37" t="n">
        <v>71.001522643679934</v>
      </c>
      <c r="G16" s="37" t="n">
        <v>104.66133938950553</v>
      </c>
      <c r="H16" s="37" t="n">
        <v>18.74537114568566</v>
      </c>
      <c r="I16" s="37" t="n">
        <v>86.166105260201789</v>
      </c>
      <c r="J16" s="37" t="n">
        <v>172.29881171122656</v>
      </c>
      <c r="K16" s="37" t="n">
        <v>243.82967031442757</v>
      </c>
      <c r="L16" s="37" t="n">
        <v>75.432657765664459</v>
      </c>
      <c r="M16" s="37" t="n">
        <v>10.201213527495979</v>
      </c>
      <c r="N16" s="37" t="n">
        <v>92.444838416256331</v>
      </c>
      <c r="O16" s="37" t="n">
        <v>2107.4689255578878</v>
      </c>
      <c r="P16" s="37" t="n">
        <v>59.650812061650051</v>
      </c>
      <c r="Q16" s="38" t="n">
        <v>18747.743045551404</v>
      </c>
      <c r="R16" s="38" t="n">
        <v>1392.2380252579896</v>
      </c>
      <c r="S16" s="38" t="n">
        <v>21792.013073454033</v>
      </c>
      <c r="T16" s="38" t="n">
        <v>642.2393858889194</v>
      </c>
      <c r="U16" s="38" t="n">
        <v>-8.2204399908404561E-3</v>
      </c>
      <c r="V16" s="39" t="n">
        <v>47.160185488993221</v>
      </c>
      <c r="W16" s="11"/>
      <c r="X16" s="30"/>
    </row>
    <row r="17" ht="12.75" customHeight="1">
      <c r="A17" s="1" t="s">
        <v>33</v>
      </c>
      <c r="B17" s="29" t="n">
        <v>12</v>
      </c>
      <c r="C17" s="8" t="s">
        <v>21</v>
      </c>
      <c r="D17" s="40" t="str">
        <f t="shared" si="1"/>
        <v>Oferta intermedia_12_Administración pública</v>
      </c>
      <c r="E17" s="41" t="n">
        <v>45.019161136860212</v>
      </c>
      <c r="F17" s="41" t="n">
        <v>105.95826284156541</v>
      </c>
      <c r="G17" s="41" t="n">
        <v>162.0471055939139</v>
      </c>
      <c r="H17" s="41" t="n">
        <v>22.240215143348898</v>
      </c>
      <c r="I17" s="41" t="n">
        <v>24.677827243492303</v>
      </c>
      <c r="J17" s="41" t="n">
        <v>126.68165372499297</v>
      </c>
      <c r="K17" s="41" t="n">
        <v>161.78894070707526</v>
      </c>
      <c r="L17" s="41" t="n">
        <v>15.357297307656054</v>
      </c>
      <c r="M17" s="41" t="n">
        <v>5.399949221798507</v>
      </c>
      <c r="N17" s="41" t="n">
        <v>24.258369001657989</v>
      </c>
      <c r="O17" s="41" t="n">
        <v>36.656948973033373</v>
      </c>
      <c r="P17" s="41" t="n">
        <v>59.206027614482906</v>
      </c>
      <c r="Q17" s="42" t="n">
        <v>298.66271651688129</v>
      </c>
      <c r="R17" s="42" t="n">
        <v>3.5741953963919346E-32</v>
      </c>
      <c r="S17" s="42" t="n">
        <v>15301.742139226442</v>
      </c>
      <c r="T17" s="42" t="n">
        <v>57.798044834622026</v>
      </c>
      <c r="U17" s="42" t="n">
        <v>-0.56305630084890801</v>
      </c>
      <c r="V17" s="43" t="n">
        <v>48.890801325195177</v>
      </c>
      <c r="W17" s="11"/>
      <c r="X17" s="30"/>
    </row>
    <row r="18">
      <c r="C18" s="23"/>
    </row>
    <row r="19">
      <c r="C19" s="23"/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5" sqref="D5"/>
    </sheetView>
  </sheetViews>
  <sheetFormatPr defaultRowHeight="15.0" baseColWidth="10"/>
  <cols>
    <col min="1" max="1" width="61.06640625" hidden="0" customWidth="1"/>
    <col min="2" max="2" width="63.59765625" hidden="0" customWidth="1"/>
    <col min="3" max="3" width="12.33203125" hidden="0" customWidth="1"/>
    <col min="4" max="4" width="14.86328125" hidden="0" customWidth="1"/>
    <col min="5" max="5" width="15.1328125" hidden="0" customWidth="1"/>
    <col min="6" max="6" width="43.86328125" hidden="0" customWidth="1"/>
    <col min="7" max="7" width="19.265625" hidden="0" customWidth="1"/>
    <col min="8" max="8" width="25" hidden="0" customWidth="1"/>
    <col min="9" max="9" width="19.6640625" hidden="0" customWidth="1"/>
    <col min="10" max="10" width="43.86328125" hidden="0" customWidth="1"/>
    <col min="11" max="11" width="19.6640625" hidden="0" customWidth="1"/>
  </cols>
  <sheetData>
    <row r="1">
      <c r="A1" s="44" t="s">
        <v>69</v>
      </c>
    </row>
    <row r="3">
      <c r="A3" s="47" t="s">
        <v>66</v>
      </c>
      <c r="B3" s="48" t="s">
        <v>67</v>
      </c>
      <c r="C3" s="48" t="s">
        <v>68</v>
      </c>
      <c r="D3" s="48" t="s">
        <v>70</v>
      </c>
      <c r="E3" s="48" t="s">
        <v>74</v>
      </c>
      <c r="F3" s="48" t="s">
        <v>75</v>
      </c>
      <c r="G3" s="48" t="s">
        <v>79</v>
      </c>
      <c r="H3" s="48" t="s">
        <v>71</v>
      </c>
      <c r="I3" s="48" t="s">
        <v>72</v>
      </c>
      <c r="J3" s="48" t="s">
        <v>73</v>
      </c>
      <c r="K3" s="49" t="s">
        <v>80</v>
      </c>
    </row>
    <row r="4">
      <c r="A4" s="50" t="s">
        <v>54</v>
      </c>
      <c r="B4" s="51" t="s">
        <v>36</v>
      </c>
      <c r="C4" s="51" t="n">
        <v>4115.25324179359</v>
      </c>
      <c r="D4" s="51" t="s">
        <v>33</v>
      </c>
      <c r="E4" s="51" t="n">
        <v>1</v>
      </c>
      <c r="F4" s="51" t="s">
        <v>22</v>
      </c>
      <c r="G4" s="51" t="str">
        <f>VLOOKUP(E4,Bioeconomía!$A$1:$C$13,3,FALSE)</f>
        <v>Bioeconomía</v>
      </c>
      <c r="H4" s="51" t="s">
        <v>34</v>
      </c>
      <c r="I4" s="51" t="n">
        <v>1</v>
      </c>
      <c r="J4" s="51" t="s">
        <v>22</v>
      </c>
      <c r="K4" s="52" t="str">
        <f>VLOOKUP(I4,Bioeconomía!$A$1:$C$13,3,FALSE)</f>
        <v>Bioeconomía</v>
      </c>
    </row>
    <row r="5">
      <c r="A5" s="53" t="s">
        <v>54</v>
      </c>
      <c r="B5" s="54" t="s">
        <v>37</v>
      </c>
      <c r="C5" s="54" t="n">
        <v>0.64223706650561818</v>
      </c>
      <c r="D5" s="54" t="s">
        <v>33</v>
      </c>
      <c r="E5" s="54" t="n">
        <v>1</v>
      </c>
      <c r="F5" s="54" t="s">
        <v>22</v>
      </c>
      <c r="G5" s="51" t="str">
        <f>VLOOKUP(E5,Bioeconomía!$A$1:$C$13,3,FALSE)</f>
        <v>Bioeconomía</v>
      </c>
      <c r="H5" s="54" t="s">
        <v>34</v>
      </c>
      <c r="I5" s="54" t="n">
        <v>2</v>
      </c>
      <c r="J5" s="54" t="s">
        <v>23</v>
      </c>
      <c r="K5" s="52" t="str">
        <f>VLOOKUP(I5,Bioeconomía!$A$1:$C$13,3,FALSE)</f>
        <v>No Bioeconomía</v>
      </c>
    </row>
    <row r="6">
      <c r="A6" s="50" t="s">
        <v>54</v>
      </c>
      <c r="B6" s="51" t="s">
        <v>38</v>
      </c>
      <c r="C6" s="51" t="n">
        <v>11866.038642245503</v>
      </c>
      <c r="D6" s="51" t="s">
        <v>33</v>
      </c>
      <c r="E6" s="51" t="n">
        <v>1</v>
      </c>
      <c r="F6" s="51" t="s">
        <v>22</v>
      </c>
      <c r="G6" s="51" t="str">
        <f>VLOOKUP(E6,Bioeconomía!$A$1:$C$13,3,FALSE)</f>
        <v>Bioeconomía</v>
      </c>
      <c r="H6" s="51" t="s">
        <v>34</v>
      </c>
      <c r="I6" s="51" t="n">
        <v>3</v>
      </c>
      <c r="J6" s="51" t="s">
        <v>24</v>
      </c>
      <c r="K6" s="52" t="str">
        <f>VLOOKUP(I6,Bioeconomía!$A$1:$C$13,3,FALSE)</f>
        <v>No Bioeconomía</v>
      </c>
    </row>
    <row r="7">
      <c r="A7" s="53" t="s">
        <v>54</v>
      </c>
      <c r="B7" s="54" t="s">
        <v>39</v>
      </c>
      <c r="C7" s="54" t="n">
        <v>41.408529901637003</v>
      </c>
      <c r="D7" s="54" t="s">
        <v>33</v>
      </c>
      <c r="E7" s="54" t="n">
        <v>1</v>
      </c>
      <c r="F7" s="54" t="s">
        <v>22</v>
      </c>
      <c r="G7" s="51" t="str">
        <f>VLOOKUP(E7,Bioeconomía!$A$1:$C$13,3,FALSE)</f>
        <v>Bioeconomía</v>
      </c>
      <c r="H7" s="54" t="s">
        <v>34</v>
      </c>
      <c r="I7" s="54" t="n">
        <v>4</v>
      </c>
      <c r="J7" s="54" t="s">
        <v>25</v>
      </c>
      <c r="K7" s="52" t="str">
        <f>VLOOKUP(I7,Bioeconomía!$A$1:$C$13,3,FALSE)</f>
        <v>No Bioeconomía</v>
      </c>
    </row>
    <row r="8">
      <c r="A8" s="50" t="s">
        <v>54</v>
      </c>
      <c r="B8" s="51" t="s">
        <v>40</v>
      </c>
      <c r="C8" s="51" t="n">
        <v>13.540523211729319</v>
      </c>
      <c r="D8" s="51" t="s">
        <v>33</v>
      </c>
      <c r="E8" s="51" t="n">
        <v>1</v>
      </c>
      <c r="F8" s="51" t="s">
        <v>22</v>
      </c>
      <c r="G8" s="51" t="str">
        <f>VLOOKUP(E8,Bioeconomía!$A$1:$C$13,3,FALSE)</f>
        <v>Bioeconomía</v>
      </c>
      <c r="H8" s="51" t="s">
        <v>34</v>
      </c>
      <c r="I8" s="51" t="n">
        <v>5</v>
      </c>
      <c r="J8" s="51" t="s">
        <v>26</v>
      </c>
      <c r="K8" s="52" t="str">
        <f>VLOOKUP(I8,Bioeconomía!$A$1:$C$13,3,FALSE)</f>
        <v>No Bioeconomía</v>
      </c>
    </row>
    <row r="9">
      <c r="A9" s="53" t="s">
        <v>54</v>
      </c>
      <c r="B9" s="54" t="s">
        <v>41</v>
      </c>
      <c r="C9" s="54" t="n">
        <v>323.50973122279078</v>
      </c>
      <c r="D9" s="54" t="s">
        <v>33</v>
      </c>
      <c r="E9" s="54" t="n">
        <v>1</v>
      </c>
      <c r="F9" s="54" t="s">
        <v>22</v>
      </c>
      <c r="G9" s="51" t="str">
        <f>VLOOKUP(E9,Bioeconomía!$A$1:$C$13,3,FALSE)</f>
        <v>Bioeconomía</v>
      </c>
      <c r="H9" s="54" t="s">
        <v>34</v>
      </c>
      <c r="I9" s="54" t="n">
        <v>6</v>
      </c>
      <c r="J9" s="54" t="s">
        <v>27</v>
      </c>
      <c r="K9" s="52" t="str">
        <f>VLOOKUP(I9,Bioeconomía!$A$1:$C$13,3,FALSE)</f>
        <v>No Bioeconomía</v>
      </c>
    </row>
    <row r="10">
      <c r="A10" s="50" t="s">
        <v>54</v>
      </c>
      <c r="B10" s="51" t="s">
        <v>42</v>
      </c>
      <c r="C10" s="51" t="n">
        <v>3.7189800027750808</v>
      </c>
      <c r="D10" s="51" t="s">
        <v>33</v>
      </c>
      <c r="E10" s="51" t="n">
        <v>1</v>
      </c>
      <c r="F10" s="51" t="s">
        <v>22</v>
      </c>
      <c r="G10" s="51" t="str">
        <f>VLOOKUP(E10,Bioeconomía!$A$1:$C$13,3,FALSE)</f>
        <v>Bioeconomía</v>
      </c>
      <c r="H10" s="51" t="s">
        <v>34</v>
      </c>
      <c r="I10" s="51" t="n">
        <v>7</v>
      </c>
      <c r="J10" s="51" t="s">
        <v>28</v>
      </c>
      <c r="K10" s="52" t="str">
        <f>VLOOKUP(I10,Bioeconomía!$A$1:$C$13,3,FALSE)</f>
        <v>No Bioeconomía</v>
      </c>
    </row>
    <row r="11">
      <c r="A11" s="53" t="s">
        <v>54</v>
      </c>
      <c r="B11" s="54" t="s">
        <v>43</v>
      </c>
      <c r="C11" s="54" t="n">
        <v>1.1738699574293463</v>
      </c>
      <c r="D11" s="54" t="s">
        <v>33</v>
      </c>
      <c r="E11" s="54" t="n">
        <v>1</v>
      </c>
      <c r="F11" s="54" t="s">
        <v>22</v>
      </c>
      <c r="G11" s="51" t="str">
        <f>VLOOKUP(E11,Bioeconomía!$A$1:$C$13,3,FALSE)</f>
        <v>Bioeconomía</v>
      </c>
      <c r="H11" s="54" t="s">
        <v>34</v>
      </c>
      <c r="I11" s="54" t="n">
        <v>8</v>
      </c>
      <c r="J11" s="54" t="s">
        <v>20</v>
      </c>
      <c r="K11" s="52" t="str">
        <f>VLOOKUP(I11,Bioeconomía!$A$1:$C$13,3,FALSE)</f>
        <v>No Bioeconomía</v>
      </c>
    </row>
    <row r="12">
      <c r="A12" s="50" t="s">
        <v>54</v>
      </c>
      <c r="B12" s="51" t="s">
        <v>44</v>
      </c>
      <c r="C12" s="51" t="n">
        <v>4.6620560822918836E-2</v>
      </c>
      <c r="D12" s="51" t="s">
        <v>33</v>
      </c>
      <c r="E12" s="51" t="n">
        <v>1</v>
      </c>
      <c r="F12" s="51" t="s">
        <v>22</v>
      </c>
      <c r="G12" s="51" t="str">
        <f>VLOOKUP(E12,Bioeconomía!$A$1:$C$13,3,FALSE)</f>
        <v>Bioeconomía</v>
      </c>
      <c r="H12" s="51" t="s">
        <v>34</v>
      </c>
      <c r="I12" s="51" t="n">
        <v>9</v>
      </c>
      <c r="J12" s="51" t="s">
        <v>29</v>
      </c>
      <c r="K12" s="52" t="str">
        <f>VLOOKUP(I12,Bioeconomía!$A$1:$C$13,3,FALSE)</f>
        <v>No Bioeconomía</v>
      </c>
    </row>
    <row r="13">
      <c r="A13" s="53" t="s">
        <v>54</v>
      </c>
      <c r="B13" s="54" t="s">
        <v>45</v>
      </c>
      <c r="C13" s="54" t="n">
        <v>6.0921412337751075</v>
      </c>
      <c r="D13" s="54" t="s">
        <v>33</v>
      </c>
      <c r="E13" s="54" t="n">
        <v>1</v>
      </c>
      <c r="F13" s="54" t="s">
        <v>22</v>
      </c>
      <c r="G13" s="51" t="str">
        <f>VLOOKUP(E13,Bioeconomía!$A$1:$C$13,3,FALSE)</f>
        <v>Bioeconomía</v>
      </c>
      <c r="H13" s="54" t="s">
        <v>34</v>
      </c>
      <c r="I13" s="54" t="n">
        <v>10</v>
      </c>
      <c r="J13" s="54" t="s">
        <v>30</v>
      </c>
      <c r="K13" s="52" t="str">
        <f>VLOOKUP(I13,Bioeconomía!$A$1:$C$13,3,FALSE)</f>
        <v>Bioeconomía extendida</v>
      </c>
    </row>
    <row r="14">
      <c r="A14" s="50" t="s">
        <v>54</v>
      </c>
      <c r="B14" s="51" t="s">
        <v>46</v>
      </c>
      <c r="C14" s="51" t="n">
        <v>59.351152722115152</v>
      </c>
      <c r="D14" s="51" t="s">
        <v>33</v>
      </c>
      <c r="E14" s="51" t="n">
        <v>1</v>
      </c>
      <c r="F14" s="51" t="s">
        <v>22</v>
      </c>
      <c r="G14" s="51" t="str">
        <f>VLOOKUP(E14,Bioeconomía!$A$1:$C$13,3,FALSE)</f>
        <v>Bioeconomía</v>
      </c>
      <c r="H14" s="51" t="s">
        <v>34</v>
      </c>
      <c r="I14" s="51" t="n">
        <v>11</v>
      </c>
      <c r="J14" s="51" t="s">
        <v>31</v>
      </c>
      <c r="K14" s="52" t="str">
        <f>VLOOKUP(I14,Bioeconomía!$A$1:$C$13,3,FALSE)</f>
        <v>No Bioeconomía</v>
      </c>
    </row>
    <row r="15">
      <c r="A15" s="53" t="s">
        <v>54</v>
      </c>
      <c r="B15" s="54" t="s">
        <v>47</v>
      </c>
      <c r="C15" s="54" t="n">
        <v>62.713022185845844</v>
      </c>
      <c r="D15" s="54" t="s">
        <v>33</v>
      </c>
      <c r="E15" s="54" t="n">
        <v>1</v>
      </c>
      <c r="F15" s="54" t="s">
        <v>22</v>
      </c>
      <c r="G15" s="51" t="str">
        <f>VLOOKUP(E15,Bioeconomía!$A$1:$C$13,3,FALSE)</f>
        <v>Bioeconomía</v>
      </c>
      <c r="H15" s="54" t="s">
        <v>34</v>
      </c>
      <c r="I15" s="54" t="n">
        <v>12</v>
      </c>
      <c r="J15" s="54" t="s">
        <v>21</v>
      </c>
      <c r="K15" s="52" t="str">
        <f>VLOOKUP(I15,Bioeconomía!$A$1:$C$13,3,FALSE)</f>
        <v>No Bioeconomía</v>
      </c>
    </row>
    <row r="16">
      <c r="A16" s="50" t="s">
        <v>54</v>
      </c>
      <c r="B16" s="51" t="s">
        <v>48</v>
      </c>
      <c r="C16" s="51" t="n">
        <v>2783.6759149078262</v>
      </c>
      <c r="D16" s="51" t="s">
        <v>33</v>
      </c>
      <c r="E16" s="51" t="n">
        <v>1</v>
      </c>
      <c r="F16" s="51" t="s">
        <v>22</v>
      </c>
      <c r="G16" s="51" t="str">
        <f>VLOOKUP(E16,Bioeconomía!$A$1:$C$13,3,FALSE)</f>
        <v>Bioeconomía</v>
      </c>
      <c r="H16" s="51" t="s">
        <v>4</v>
      </c>
      <c r="I16" s="51" t="s">
        <v>35</v>
      </c>
      <c r="J16" s="51" t="s">
        <v>35</v>
      </c>
      <c r="K16" s="52" t="str">
        <f>VLOOKUP(I16,Bioeconomía!$A$1:$C$13,3,FALSE)</f>
        <v>Ninguno</v>
      </c>
    </row>
    <row r="17">
      <c r="A17" s="53" t="s">
        <v>54</v>
      </c>
      <c r="B17" s="54" t="s">
        <v>49</v>
      </c>
      <c r="C17" s="54" t="n">
        <v>0</v>
      </c>
      <c r="D17" s="54" t="s">
        <v>33</v>
      </c>
      <c r="E17" s="54" t="n">
        <v>1</v>
      </c>
      <c r="F17" s="54" t="s">
        <v>22</v>
      </c>
      <c r="G17" s="51" t="str">
        <f>VLOOKUP(E17,Bioeconomía!$A$1:$C$13,3,FALSE)</f>
        <v>Bioeconomía</v>
      </c>
      <c r="H17" s="54" t="s">
        <v>5</v>
      </c>
      <c r="I17" s="54" t="s">
        <v>35</v>
      </c>
      <c r="J17" s="54" t="s">
        <v>35</v>
      </c>
      <c r="K17" s="52" t="str">
        <f>VLOOKUP(I17,Bioeconomía!$A$1:$C$13,3,FALSE)</f>
        <v>Ninguno</v>
      </c>
    </row>
    <row r="18">
      <c r="A18" s="50" t="s">
        <v>54</v>
      </c>
      <c r="B18" s="51" t="s">
        <v>50</v>
      </c>
      <c r="C18" s="51" t="n">
        <v>2.668751046842022E-2</v>
      </c>
      <c r="D18" s="51" t="s">
        <v>33</v>
      </c>
      <c r="E18" s="51" t="n">
        <v>1</v>
      </c>
      <c r="F18" s="51" t="s">
        <v>22</v>
      </c>
      <c r="G18" s="51" t="str">
        <f>VLOOKUP(E18,Bioeconomía!$A$1:$C$13,3,FALSE)</f>
        <v>Bioeconomía</v>
      </c>
      <c r="H18" s="51" t="s">
        <v>6</v>
      </c>
      <c r="I18" s="51" t="s">
        <v>35</v>
      </c>
      <c r="J18" s="51" t="s">
        <v>35</v>
      </c>
      <c r="K18" s="52" t="str">
        <f>VLOOKUP(I18,Bioeconomía!$A$1:$C$13,3,FALSE)</f>
        <v>Ninguno</v>
      </c>
    </row>
    <row r="19">
      <c r="A19" s="53" t="s">
        <v>54</v>
      </c>
      <c r="B19" s="54" t="s">
        <v>51</v>
      </c>
      <c r="C19" s="54" t="n">
        <v>790.68687043852901</v>
      </c>
      <c r="D19" s="54" t="s">
        <v>33</v>
      </c>
      <c r="E19" s="54" t="n">
        <v>1</v>
      </c>
      <c r="F19" s="54" t="s">
        <v>22</v>
      </c>
      <c r="G19" s="51" t="str">
        <f>VLOOKUP(E19,Bioeconomía!$A$1:$C$13,3,FALSE)</f>
        <v>Bioeconomía</v>
      </c>
      <c r="H19" s="54" t="s">
        <v>7</v>
      </c>
      <c r="I19" s="54" t="s">
        <v>35</v>
      </c>
      <c r="J19" s="54" t="s">
        <v>35</v>
      </c>
      <c r="K19" s="52" t="str">
        <f>VLOOKUP(I19,Bioeconomía!$A$1:$C$13,3,FALSE)</f>
        <v>Ninguno</v>
      </c>
    </row>
    <row r="20">
      <c r="A20" s="50" t="s">
        <v>54</v>
      </c>
      <c r="B20" s="51" t="s">
        <v>52</v>
      </c>
      <c r="C20" s="51" t="n">
        <v>-133.35791971044395</v>
      </c>
      <c r="D20" s="51" t="s">
        <v>33</v>
      </c>
      <c r="E20" s="51" t="n">
        <v>1</v>
      </c>
      <c r="F20" s="51" t="s">
        <v>22</v>
      </c>
      <c r="G20" s="51" t="str">
        <f>VLOOKUP(E20,Bioeconomía!$A$1:$C$13,3,FALSE)</f>
        <v>Bioeconomía</v>
      </c>
      <c r="H20" s="51" t="s">
        <v>8</v>
      </c>
      <c r="I20" s="51" t="s">
        <v>35</v>
      </c>
      <c r="J20" s="51" t="s">
        <v>35</v>
      </c>
      <c r="K20" s="52" t="str">
        <f>VLOOKUP(I20,Bioeconomía!$A$1:$C$13,3,FALSE)</f>
        <v>Ninguno</v>
      </c>
    </row>
    <row r="21">
      <c r="A21" s="53" t="s">
        <v>54</v>
      </c>
      <c r="B21" s="54" t="s">
        <v>53</v>
      </c>
      <c r="C21" s="54" t="n">
        <v>3460.4746110713118</v>
      </c>
      <c r="D21" s="54" t="s">
        <v>33</v>
      </c>
      <c r="E21" s="54" t="n">
        <v>1</v>
      </c>
      <c r="F21" s="54" t="s">
        <v>22</v>
      </c>
      <c r="G21" s="51" t="str">
        <f>VLOOKUP(E21,Bioeconomía!$A$1:$C$13,3,FALSE)</f>
        <v>Bioeconomía</v>
      </c>
      <c r="H21" s="54" t="s">
        <v>9</v>
      </c>
      <c r="I21" s="54" t="s">
        <v>35</v>
      </c>
      <c r="J21" s="54" t="s">
        <v>35</v>
      </c>
      <c r="K21" s="52" t="str">
        <f>VLOOKUP(I21,Bioeconomía!$A$1:$C$13,3,FALSE)</f>
        <v>Ninguno</v>
      </c>
    </row>
    <row r="22">
      <c r="A22" s="50" t="s">
        <v>55</v>
      </c>
      <c r="B22" s="51" t="s">
        <v>36</v>
      </c>
      <c r="C22" s="51" t="n">
        <v>17.284374579552285</v>
      </c>
      <c r="D22" s="51" t="s">
        <v>33</v>
      </c>
      <c r="E22" s="51" t="n">
        <v>2</v>
      </c>
      <c r="F22" s="51" t="s">
        <v>23</v>
      </c>
      <c r="G22" s="51" t="str">
        <f>VLOOKUP(E22,Bioeconomía!$A$1:$C$13,3,FALSE)</f>
        <v>No Bioeconomía</v>
      </c>
      <c r="H22" s="51" t="s">
        <v>34</v>
      </c>
      <c r="I22" s="51" t="n">
        <v>1</v>
      </c>
      <c r="J22" s="51" t="s">
        <v>22</v>
      </c>
      <c r="K22" s="52" t="str">
        <f>VLOOKUP(I22,Bioeconomía!$A$1:$C$13,3,FALSE)</f>
        <v>Bioeconomía</v>
      </c>
    </row>
    <row r="23">
      <c r="A23" s="53" t="s">
        <v>55</v>
      </c>
      <c r="B23" s="54" t="s">
        <v>37</v>
      </c>
      <c r="C23" s="54" t="n">
        <v>5176.8488401808499</v>
      </c>
      <c r="D23" s="54" t="s">
        <v>33</v>
      </c>
      <c r="E23" s="54" t="n">
        <v>2</v>
      </c>
      <c r="F23" s="54" t="s">
        <v>23</v>
      </c>
      <c r="G23" s="51" t="str">
        <f>VLOOKUP(E23,Bioeconomía!$A$1:$C$13,3,FALSE)</f>
        <v>No Bioeconomía</v>
      </c>
      <c r="H23" s="54" t="s">
        <v>34</v>
      </c>
      <c r="I23" s="54" t="n">
        <v>2</v>
      </c>
      <c r="J23" s="54" t="s">
        <v>23</v>
      </c>
      <c r="K23" s="52" t="str">
        <f>VLOOKUP(I23,Bioeconomía!$A$1:$C$13,3,FALSE)</f>
        <v>No Bioeconomía</v>
      </c>
    </row>
    <row r="24">
      <c r="A24" s="50" t="s">
        <v>55</v>
      </c>
      <c r="B24" s="51" t="s">
        <v>38</v>
      </c>
      <c r="C24" s="51" t="n">
        <v>3249.0835489237825</v>
      </c>
      <c r="D24" s="51" t="s">
        <v>33</v>
      </c>
      <c r="E24" s="51" t="n">
        <v>2</v>
      </c>
      <c r="F24" s="51" t="s">
        <v>23</v>
      </c>
      <c r="G24" s="51" t="str">
        <f>VLOOKUP(E24,Bioeconomía!$A$1:$C$13,3,FALSE)</f>
        <v>No Bioeconomía</v>
      </c>
      <c r="H24" s="51" t="s">
        <v>34</v>
      </c>
      <c r="I24" s="51" t="n">
        <v>3</v>
      </c>
      <c r="J24" s="51" t="s">
        <v>24</v>
      </c>
      <c r="K24" s="52" t="str">
        <f>VLOOKUP(I24,Bioeconomía!$A$1:$C$13,3,FALSE)</f>
        <v>No Bioeconomía</v>
      </c>
    </row>
    <row r="25">
      <c r="A25" s="53" t="s">
        <v>55</v>
      </c>
      <c r="B25" s="54" t="s">
        <v>39</v>
      </c>
      <c r="C25" s="54" t="n">
        <v>69.390608604192025</v>
      </c>
      <c r="D25" s="54" t="s">
        <v>33</v>
      </c>
      <c r="E25" s="54" t="n">
        <v>2</v>
      </c>
      <c r="F25" s="54" t="s">
        <v>23</v>
      </c>
      <c r="G25" s="51" t="str">
        <f>VLOOKUP(E25,Bioeconomía!$A$1:$C$13,3,FALSE)</f>
        <v>No Bioeconomía</v>
      </c>
      <c r="H25" s="54" t="s">
        <v>34</v>
      </c>
      <c r="I25" s="54" t="n">
        <v>4</v>
      </c>
      <c r="J25" s="54" t="s">
        <v>25</v>
      </c>
      <c r="K25" s="52" t="str">
        <f>VLOOKUP(I25,Bioeconomía!$A$1:$C$13,3,FALSE)</f>
        <v>No Bioeconomía</v>
      </c>
    </row>
    <row r="26">
      <c r="A26" s="50" t="s">
        <v>55</v>
      </c>
      <c r="B26" s="51" t="s">
        <v>40</v>
      </c>
      <c r="C26" s="51" t="n">
        <v>194.00930683931554</v>
      </c>
      <c r="D26" s="51" t="s">
        <v>33</v>
      </c>
      <c r="E26" s="51" t="n">
        <v>2</v>
      </c>
      <c r="F26" s="51" t="s">
        <v>23</v>
      </c>
      <c r="G26" s="51" t="str">
        <f>VLOOKUP(E26,Bioeconomía!$A$1:$C$13,3,FALSE)</f>
        <v>No Bioeconomía</v>
      </c>
      <c r="H26" s="51" t="s">
        <v>34</v>
      </c>
      <c r="I26" s="51" t="n">
        <v>5</v>
      </c>
      <c r="J26" s="51" t="s">
        <v>26</v>
      </c>
      <c r="K26" s="52" t="str">
        <f>VLOOKUP(I26,Bioeconomía!$A$1:$C$13,3,FALSE)</f>
        <v>No Bioeconomía</v>
      </c>
    </row>
    <row r="27">
      <c r="A27" s="53" t="s">
        <v>55</v>
      </c>
      <c r="B27" s="54" t="s">
        <v>41</v>
      </c>
      <c r="C27" s="54" t="n">
        <v>47.012198735913366</v>
      </c>
      <c r="D27" s="54" t="s">
        <v>33</v>
      </c>
      <c r="E27" s="54" t="n">
        <v>2</v>
      </c>
      <c r="F27" s="54" t="s">
        <v>23</v>
      </c>
      <c r="G27" s="51" t="str">
        <f>VLOOKUP(E27,Bioeconomía!$A$1:$C$13,3,FALSE)</f>
        <v>No Bioeconomía</v>
      </c>
      <c r="H27" s="54" t="s">
        <v>34</v>
      </c>
      <c r="I27" s="54" t="n">
        <v>6</v>
      </c>
      <c r="J27" s="54" t="s">
        <v>27</v>
      </c>
      <c r="K27" s="52" t="str">
        <f>VLOOKUP(I27,Bioeconomía!$A$1:$C$13,3,FALSE)</f>
        <v>No Bioeconomía</v>
      </c>
    </row>
    <row r="28">
      <c r="A28" s="50" t="s">
        <v>55</v>
      </c>
      <c r="B28" s="51" t="s">
        <v>42</v>
      </c>
      <c r="C28" s="51" t="n">
        <v>26.834354104437423</v>
      </c>
      <c r="D28" s="51" t="s">
        <v>33</v>
      </c>
      <c r="E28" s="51" t="n">
        <v>2</v>
      </c>
      <c r="F28" s="51" t="s">
        <v>23</v>
      </c>
      <c r="G28" s="51" t="str">
        <f>VLOOKUP(E28,Bioeconomía!$A$1:$C$13,3,FALSE)</f>
        <v>No Bioeconomía</v>
      </c>
      <c r="H28" s="51" t="s">
        <v>34</v>
      </c>
      <c r="I28" s="51" t="n">
        <v>7</v>
      </c>
      <c r="J28" s="51" t="s">
        <v>28</v>
      </c>
      <c r="K28" s="52" t="str">
        <f>VLOOKUP(I28,Bioeconomía!$A$1:$C$13,3,FALSE)</f>
        <v>No Bioeconomía</v>
      </c>
    </row>
    <row r="29">
      <c r="A29" s="53" t="s">
        <v>55</v>
      </c>
      <c r="B29" s="54" t="s">
        <v>43</v>
      </c>
      <c r="C29" s="54" t="n">
        <v>26.634541079722645</v>
      </c>
      <c r="D29" s="54" t="s">
        <v>33</v>
      </c>
      <c r="E29" s="54" t="n">
        <v>2</v>
      </c>
      <c r="F29" s="54" t="s">
        <v>23</v>
      </c>
      <c r="G29" s="51" t="str">
        <f>VLOOKUP(E29,Bioeconomía!$A$1:$C$13,3,FALSE)</f>
        <v>No Bioeconomía</v>
      </c>
      <c r="H29" s="54" t="s">
        <v>34</v>
      </c>
      <c r="I29" s="54" t="n">
        <v>8</v>
      </c>
      <c r="J29" s="54" t="s">
        <v>20</v>
      </c>
      <c r="K29" s="52" t="str">
        <f>VLOOKUP(I29,Bioeconomía!$A$1:$C$13,3,FALSE)</f>
        <v>No Bioeconomía</v>
      </c>
    </row>
    <row r="30">
      <c r="A30" s="50" t="s">
        <v>55</v>
      </c>
      <c r="B30" s="51" t="s">
        <v>44</v>
      </c>
      <c r="C30" s="51" t="n">
        <v>5.9874064065828323</v>
      </c>
      <c r="D30" s="51" t="s">
        <v>33</v>
      </c>
      <c r="E30" s="51" t="n">
        <v>2</v>
      </c>
      <c r="F30" s="51" t="s">
        <v>23</v>
      </c>
      <c r="G30" s="51" t="str">
        <f>VLOOKUP(E30,Bioeconomía!$A$1:$C$13,3,FALSE)</f>
        <v>No Bioeconomía</v>
      </c>
      <c r="H30" s="51" t="s">
        <v>34</v>
      </c>
      <c r="I30" s="51" t="n">
        <v>9</v>
      </c>
      <c r="J30" s="51" t="s">
        <v>29</v>
      </c>
      <c r="K30" s="52" t="str">
        <f>VLOOKUP(I30,Bioeconomía!$A$1:$C$13,3,FALSE)</f>
        <v>No Bioeconomía</v>
      </c>
    </row>
    <row r="31">
      <c r="A31" s="53" t="s">
        <v>55</v>
      </c>
      <c r="B31" s="54" t="s">
        <v>45</v>
      </c>
      <c r="C31" s="54" t="n">
        <v>48.327516181388418</v>
      </c>
      <c r="D31" s="54" t="s">
        <v>33</v>
      </c>
      <c r="E31" s="54" t="n">
        <v>2</v>
      </c>
      <c r="F31" s="54" t="s">
        <v>23</v>
      </c>
      <c r="G31" s="51" t="str">
        <f>VLOOKUP(E31,Bioeconomía!$A$1:$C$13,3,FALSE)</f>
        <v>No Bioeconomía</v>
      </c>
      <c r="H31" s="54" t="s">
        <v>34</v>
      </c>
      <c r="I31" s="54" t="n">
        <v>10</v>
      </c>
      <c r="J31" s="54" t="s">
        <v>30</v>
      </c>
      <c r="K31" s="52" t="str">
        <f>VLOOKUP(I31,Bioeconomía!$A$1:$C$13,3,FALSE)</f>
        <v>Bioeconomía extendida</v>
      </c>
    </row>
    <row r="32">
      <c r="A32" s="50" t="s">
        <v>55</v>
      </c>
      <c r="B32" s="51" t="s">
        <v>46</v>
      </c>
      <c r="C32" s="51" t="n">
        <v>28.725164915130467</v>
      </c>
      <c r="D32" s="51" t="s">
        <v>33</v>
      </c>
      <c r="E32" s="51" t="n">
        <v>2</v>
      </c>
      <c r="F32" s="51" t="s">
        <v>23</v>
      </c>
      <c r="G32" s="51" t="str">
        <f>VLOOKUP(E32,Bioeconomía!$A$1:$C$13,3,FALSE)</f>
        <v>No Bioeconomía</v>
      </c>
      <c r="H32" s="51" t="s">
        <v>34</v>
      </c>
      <c r="I32" s="51" t="n">
        <v>11</v>
      </c>
      <c r="J32" s="51" t="s">
        <v>31</v>
      </c>
      <c r="K32" s="52" t="str">
        <f>VLOOKUP(I32,Bioeconomía!$A$1:$C$13,3,FALSE)</f>
        <v>No Bioeconomía</v>
      </c>
    </row>
    <row r="33">
      <c r="A33" s="53" t="s">
        <v>55</v>
      </c>
      <c r="B33" s="54" t="s">
        <v>47</v>
      </c>
      <c r="C33" s="54" t="n">
        <v>9.6188118745458535</v>
      </c>
      <c r="D33" s="54" t="s">
        <v>33</v>
      </c>
      <c r="E33" s="54" t="n">
        <v>2</v>
      </c>
      <c r="F33" s="54" t="s">
        <v>23</v>
      </c>
      <c r="G33" s="51" t="str">
        <f>VLOOKUP(E33,Bioeconomía!$A$1:$C$13,3,FALSE)</f>
        <v>No Bioeconomía</v>
      </c>
      <c r="H33" s="54" t="s">
        <v>34</v>
      </c>
      <c r="I33" s="54" t="n">
        <v>12</v>
      </c>
      <c r="J33" s="54" t="s">
        <v>21</v>
      </c>
      <c r="K33" s="52" t="str">
        <f>VLOOKUP(I33,Bioeconomía!$A$1:$C$13,3,FALSE)</f>
        <v>No Bioeconomía</v>
      </c>
    </row>
    <row r="34">
      <c r="A34" s="50" t="s">
        <v>55</v>
      </c>
      <c r="B34" s="51" t="s">
        <v>48</v>
      </c>
      <c r="C34" s="51" t="n">
        <v>46.319552771228189</v>
      </c>
      <c r="D34" s="51" t="s">
        <v>33</v>
      </c>
      <c r="E34" s="51" t="n">
        <v>2</v>
      </c>
      <c r="F34" s="51" t="s">
        <v>23</v>
      </c>
      <c r="G34" s="51" t="str">
        <f>VLOOKUP(E34,Bioeconomía!$A$1:$C$13,3,FALSE)</f>
        <v>No Bioeconomía</v>
      </c>
      <c r="H34" s="51" t="s">
        <v>4</v>
      </c>
      <c r="I34" s="51" t="s">
        <v>35</v>
      </c>
      <c r="J34" s="51" t="s">
        <v>35</v>
      </c>
      <c r="K34" s="52" t="str">
        <f>VLOOKUP(I34,Bioeconomía!$A$1:$C$13,3,FALSE)</f>
        <v>Ninguno</v>
      </c>
    </row>
    <row r="35">
      <c r="A35" s="53" t="s">
        <v>55</v>
      </c>
      <c r="B35" s="54" t="s">
        <v>49</v>
      </c>
      <c r="C35" s="54" t="n">
        <v>0</v>
      </c>
      <c r="D35" s="54" t="s">
        <v>33</v>
      </c>
      <c r="E35" s="54" t="n">
        <v>2</v>
      </c>
      <c r="F35" s="54" t="s">
        <v>23</v>
      </c>
      <c r="G35" s="51" t="str">
        <f>VLOOKUP(E35,Bioeconomía!$A$1:$C$13,3,FALSE)</f>
        <v>No Bioeconomía</v>
      </c>
      <c r="H35" s="54" t="s">
        <v>5</v>
      </c>
      <c r="I35" s="54" t="s">
        <v>35</v>
      </c>
      <c r="J35" s="54" t="s">
        <v>35</v>
      </c>
      <c r="K35" s="52" t="str">
        <f>VLOOKUP(I35,Bioeconomía!$A$1:$C$13,3,FALSE)</f>
        <v>Ninguno</v>
      </c>
    </row>
    <row r="36">
      <c r="A36" s="50" t="s">
        <v>55</v>
      </c>
      <c r="B36" s="51" t="s">
        <v>50</v>
      </c>
      <c r="C36" s="51" t="n">
        <v>2.722812321192706</v>
      </c>
      <c r="D36" s="51" t="s">
        <v>33</v>
      </c>
      <c r="E36" s="51" t="n">
        <v>2</v>
      </c>
      <c r="F36" s="51" t="s">
        <v>23</v>
      </c>
      <c r="G36" s="51" t="str">
        <f>VLOOKUP(E36,Bioeconomía!$A$1:$C$13,3,FALSE)</f>
        <v>No Bioeconomía</v>
      </c>
      <c r="H36" s="51" t="s">
        <v>6</v>
      </c>
      <c r="I36" s="51" t="s">
        <v>35</v>
      </c>
      <c r="J36" s="51" t="s">
        <v>35</v>
      </c>
      <c r="K36" s="52" t="str">
        <f>VLOOKUP(I36,Bioeconomía!$A$1:$C$13,3,FALSE)</f>
        <v>Ninguno</v>
      </c>
    </row>
    <row r="37">
      <c r="A37" s="53" t="s">
        <v>55</v>
      </c>
      <c r="B37" s="54" t="s">
        <v>51</v>
      </c>
      <c r="C37" s="54" t="n">
        <v>704.96650590998138</v>
      </c>
      <c r="D37" s="54" t="s">
        <v>33</v>
      </c>
      <c r="E37" s="54" t="n">
        <v>2</v>
      </c>
      <c r="F37" s="54" t="s">
        <v>23</v>
      </c>
      <c r="G37" s="51" t="str">
        <f>VLOOKUP(E37,Bioeconomía!$A$1:$C$13,3,FALSE)</f>
        <v>No Bioeconomía</v>
      </c>
      <c r="H37" s="54" t="s">
        <v>7</v>
      </c>
      <c r="I37" s="54" t="s">
        <v>35</v>
      </c>
      <c r="J37" s="54" t="s">
        <v>35</v>
      </c>
      <c r="K37" s="52" t="str">
        <f>VLOOKUP(I37,Bioeconomía!$A$1:$C$13,3,FALSE)</f>
        <v>Ninguno</v>
      </c>
    </row>
    <row r="38">
      <c r="A38" s="50" t="s">
        <v>55</v>
      </c>
      <c r="B38" s="51" t="s">
        <v>52</v>
      </c>
      <c r="C38" s="51" t="n">
        <v>-315.1916644546144</v>
      </c>
      <c r="D38" s="51" t="s">
        <v>33</v>
      </c>
      <c r="E38" s="51" t="n">
        <v>2</v>
      </c>
      <c r="F38" s="51" t="s">
        <v>23</v>
      </c>
      <c r="G38" s="51" t="str">
        <f>VLOOKUP(E38,Bioeconomía!$A$1:$C$13,3,FALSE)</f>
        <v>No Bioeconomía</v>
      </c>
      <c r="H38" s="51" t="s">
        <v>8</v>
      </c>
      <c r="I38" s="51" t="s">
        <v>35</v>
      </c>
      <c r="J38" s="51" t="s">
        <v>35</v>
      </c>
      <c r="K38" s="52" t="str">
        <f>VLOOKUP(I38,Bioeconomía!$A$1:$C$13,3,FALSE)</f>
        <v>Ninguno</v>
      </c>
    </row>
    <row r="39">
      <c r="A39" s="53" t="s">
        <v>55</v>
      </c>
      <c r="B39" s="54" t="s">
        <v>53</v>
      </c>
      <c r="C39" s="54" t="n">
        <v>50201.314984253913</v>
      </c>
      <c r="D39" s="54" t="s">
        <v>33</v>
      </c>
      <c r="E39" s="54" t="n">
        <v>2</v>
      </c>
      <c r="F39" s="54" t="s">
        <v>23</v>
      </c>
      <c r="G39" s="51" t="str">
        <f>VLOOKUP(E39,Bioeconomía!$A$1:$C$13,3,FALSE)</f>
        <v>No Bioeconomía</v>
      </c>
      <c r="H39" s="54" t="s">
        <v>9</v>
      </c>
      <c r="I39" s="54" t="s">
        <v>35</v>
      </c>
      <c r="J39" s="54" t="s">
        <v>35</v>
      </c>
      <c r="K39" s="52" t="str">
        <f>VLOOKUP(I39,Bioeconomía!$A$1:$C$13,3,FALSE)</f>
        <v>Ninguno</v>
      </c>
    </row>
    <row r="40">
      <c r="A40" s="50" t="s">
        <v>56</v>
      </c>
      <c r="B40" s="51" t="s">
        <v>36</v>
      </c>
      <c r="C40" s="51" t="n">
        <v>4649.3295943695384</v>
      </c>
      <c r="D40" s="51" t="s">
        <v>33</v>
      </c>
      <c r="E40" s="51" t="n">
        <v>3</v>
      </c>
      <c r="F40" s="51" t="s">
        <v>24</v>
      </c>
      <c r="G40" s="51" t="str">
        <f>VLOOKUP(E40,Bioeconomía!$A$1:$C$13,3,FALSE)</f>
        <v>No Bioeconomía</v>
      </c>
      <c r="H40" s="51" t="s">
        <v>34</v>
      </c>
      <c r="I40" s="51" t="n">
        <v>1</v>
      </c>
      <c r="J40" s="51" t="s">
        <v>22</v>
      </c>
      <c r="K40" s="52" t="str">
        <f>VLOOKUP(I40,Bioeconomía!$A$1:$C$13,3,FALSE)</f>
        <v>Bioeconomía</v>
      </c>
    </row>
    <row r="41">
      <c r="A41" s="53" t="s">
        <v>56</v>
      </c>
      <c r="B41" s="54" t="s">
        <v>37</v>
      </c>
      <c r="C41" s="54" t="n">
        <v>3599.6667329405113</v>
      </c>
      <c r="D41" s="54" t="s">
        <v>33</v>
      </c>
      <c r="E41" s="54" t="n">
        <v>3</v>
      </c>
      <c r="F41" s="54" t="s">
        <v>24</v>
      </c>
      <c r="G41" s="51" t="str">
        <f>VLOOKUP(E41,Bioeconomía!$A$1:$C$13,3,FALSE)</f>
        <v>No Bioeconomía</v>
      </c>
      <c r="H41" s="54" t="s">
        <v>34</v>
      </c>
      <c r="I41" s="54" t="n">
        <v>2</v>
      </c>
      <c r="J41" s="54" t="s">
        <v>23</v>
      </c>
      <c r="K41" s="52" t="str">
        <f>VLOOKUP(I41,Bioeconomía!$A$1:$C$13,3,FALSE)</f>
        <v>No Bioeconomía</v>
      </c>
    </row>
    <row r="42">
      <c r="A42" s="50" t="s">
        <v>56</v>
      </c>
      <c r="B42" s="51" t="s">
        <v>38</v>
      </c>
      <c r="C42" s="51" t="n">
        <v>12335.8393584939</v>
      </c>
      <c r="D42" s="51" t="s">
        <v>33</v>
      </c>
      <c r="E42" s="51" t="n">
        <v>3</v>
      </c>
      <c r="F42" s="51" t="s">
        <v>24</v>
      </c>
      <c r="G42" s="51" t="str">
        <f>VLOOKUP(E42,Bioeconomía!$A$1:$C$13,3,FALSE)</f>
        <v>No Bioeconomía</v>
      </c>
      <c r="H42" s="51" t="s">
        <v>34</v>
      </c>
      <c r="I42" s="51" t="n">
        <v>3</v>
      </c>
      <c r="J42" s="51" t="s">
        <v>24</v>
      </c>
      <c r="K42" s="52" t="str">
        <f>VLOOKUP(I42,Bioeconomía!$A$1:$C$13,3,FALSE)</f>
        <v>No Bioeconomía</v>
      </c>
    </row>
    <row r="43">
      <c r="A43" s="53" t="s">
        <v>56</v>
      </c>
      <c r="B43" s="54" t="s">
        <v>39</v>
      </c>
      <c r="C43" s="54" t="n">
        <v>629.30829100869278</v>
      </c>
      <c r="D43" s="54" t="s">
        <v>33</v>
      </c>
      <c r="E43" s="54" t="n">
        <v>3</v>
      </c>
      <c r="F43" s="54" t="s">
        <v>24</v>
      </c>
      <c r="G43" s="51" t="str">
        <f>VLOOKUP(E43,Bioeconomía!$A$1:$C$13,3,FALSE)</f>
        <v>No Bioeconomía</v>
      </c>
      <c r="H43" s="54" t="s">
        <v>34</v>
      </c>
      <c r="I43" s="54" t="n">
        <v>4</v>
      </c>
      <c r="J43" s="54" t="s">
        <v>25</v>
      </c>
      <c r="K43" s="52" t="str">
        <f>VLOOKUP(I43,Bioeconomía!$A$1:$C$13,3,FALSE)</f>
        <v>No Bioeconomía</v>
      </c>
    </row>
    <row r="44">
      <c r="A44" s="50" t="s">
        <v>56</v>
      </c>
      <c r="B44" s="51" t="s">
        <v>40</v>
      </c>
      <c r="C44" s="51" t="n">
        <v>6599.0788607576997</v>
      </c>
      <c r="D44" s="51" t="s">
        <v>33</v>
      </c>
      <c r="E44" s="51" t="n">
        <v>3</v>
      </c>
      <c r="F44" s="51" t="s">
        <v>24</v>
      </c>
      <c r="G44" s="51" t="str">
        <f>VLOOKUP(E44,Bioeconomía!$A$1:$C$13,3,FALSE)</f>
        <v>No Bioeconomía</v>
      </c>
      <c r="H44" s="51" t="s">
        <v>34</v>
      </c>
      <c r="I44" s="51" t="n">
        <v>5</v>
      </c>
      <c r="J44" s="51" t="s">
        <v>26</v>
      </c>
      <c r="K44" s="52" t="str">
        <f>VLOOKUP(I44,Bioeconomía!$A$1:$C$13,3,FALSE)</f>
        <v>No Bioeconomía</v>
      </c>
    </row>
    <row r="45">
      <c r="A45" s="53" t="s">
        <v>56</v>
      </c>
      <c r="B45" s="54" t="s">
        <v>41</v>
      </c>
      <c r="C45" s="54" t="n">
        <v>4798.4363534631539</v>
      </c>
      <c r="D45" s="54" t="s">
        <v>33</v>
      </c>
      <c r="E45" s="54" t="n">
        <v>3</v>
      </c>
      <c r="F45" s="54" t="s">
        <v>24</v>
      </c>
      <c r="G45" s="51" t="str">
        <f>VLOOKUP(E45,Bioeconomía!$A$1:$C$13,3,FALSE)</f>
        <v>No Bioeconomía</v>
      </c>
      <c r="H45" s="54" t="s">
        <v>34</v>
      </c>
      <c r="I45" s="54" t="n">
        <v>6</v>
      </c>
      <c r="J45" s="54" t="s">
        <v>27</v>
      </c>
      <c r="K45" s="52" t="str">
        <f>VLOOKUP(I45,Bioeconomía!$A$1:$C$13,3,FALSE)</f>
        <v>No Bioeconomía</v>
      </c>
    </row>
    <row r="46">
      <c r="A46" s="50" t="s">
        <v>56</v>
      </c>
      <c r="B46" s="51" t="s">
        <v>42</v>
      </c>
      <c r="C46" s="51" t="n">
        <v>2849.6015364058621</v>
      </c>
      <c r="D46" s="51" t="s">
        <v>33</v>
      </c>
      <c r="E46" s="51" t="n">
        <v>3</v>
      </c>
      <c r="F46" s="51" t="s">
        <v>24</v>
      </c>
      <c r="G46" s="51" t="str">
        <f>VLOOKUP(E46,Bioeconomía!$A$1:$C$13,3,FALSE)</f>
        <v>No Bioeconomía</v>
      </c>
      <c r="H46" s="51" t="s">
        <v>34</v>
      </c>
      <c r="I46" s="51" t="n">
        <v>7</v>
      </c>
      <c r="J46" s="51" t="s">
        <v>28</v>
      </c>
      <c r="K46" s="52" t="str">
        <f>VLOOKUP(I46,Bioeconomía!$A$1:$C$13,3,FALSE)</f>
        <v>No Bioeconomía</v>
      </c>
    </row>
    <row r="47">
      <c r="A47" s="53" t="s">
        <v>56</v>
      </c>
      <c r="B47" s="54" t="s">
        <v>43</v>
      </c>
      <c r="C47" s="54" t="n">
        <v>175.11488424190145</v>
      </c>
      <c r="D47" s="54" t="s">
        <v>33</v>
      </c>
      <c r="E47" s="54" t="n">
        <v>3</v>
      </c>
      <c r="F47" s="54" t="s">
        <v>24</v>
      </c>
      <c r="G47" s="51" t="str">
        <f>VLOOKUP(E47,Bioeconomía!$A$1:$C$13,3,FALSE)</f>
        <v>No Bioeconomía</v>
      </c>
      <c r="H47" s="54" t="s">
        <v>34</v>
      </c>
      <c r="I47" s="54" t="n">
        <v>8</v>
      </c>
      <c r="J47" s="54" t="s">
        <v>20</v>
      </c>
      <c r="K47" s="52" t="str">
        <f>VLOOKUP(I47,Bioeconomía!$A$1:$C$13,3,FALSE)</f>
        <v>No Bioeconomía</v>
      </c>
    </row>
    <row r="48">
      <c r="A48" s="50" t="s">
        <v>56</v>
      </c>
      <c r="B48" s="51" t="s">
        <v>44</v>
      </c>
      <c r="C48" s="51" t="n">
        <v>62.12138377444434</v>
      </c>
      <c r="D48" s="51" t="s">
        <v>33</v>
      </c>
      <c r="E48" s="51" t="n">
        <v>3</v>
      </c>
      <c r="F48" s="51" t="s">
        <v>24</v>
      </c>
      <c r="G48" s="51" t="str">
        <f>VLOOKUP(E48,Bioeconomía!$A$1:$C$13,3,FALSE)</f>
        <v>No Bioeconomía</v>
      </c>
      <c r="H48" s="51" t="s">
        <v>34</v>
      </c>
      <c r="I48" s="51" t="n">
        <v>9</v>
      </c>
      <c r="J48" s="51" t="s">
        <v>29</v>
      </c>
      <c r="K48" s="52" t="str">
        <f>VLOOKUP(I48,Bioeconomía!$A$1:$C$13,3,FALSE)</f>
        <v>No Bioeconomía</v>
      </c>
    </row>
    <row r="49">
      <c r="A49" s="53" t="s">
        <v>56</v>
      </c>
      <c r="B49" s="54" t="s">
        <v>45</v>
      </c>
      <c r="C49" s="54" t="n">
        <v>724.34215505105772</v>
      </c>
      <c r="D49" s="54" t="s">
        <v>33</v>
      </c>
      <c r="E49" s="54" t="n">
        <v>3</v>
      </c>
      <c r="F49" s="54" t="s">
        <v>24</v>
      </c>
      <c r="G49" s="51" t="str">
        <f>VLOOKUP(E49,Bioeconomía!$A$1:$C$13,3,FALSE)</f>
        <v>No Bioeconomía</v>
      </c>
      <c r="H49" s="54" t="s">
        <v>34</v>
      </c>
      <c r="I49" s="54" t="n">
        <v>10</v>
      </c>
      <c r="J49" s="54" t="s">
        <v>30</v>
      </c>
      <c r="K49" s="52" t="str">
        <f>VLOOKUP(I49,Bioeconomía!$A$1:$C$13,3,FALSE)</f>
        <v>Bioeconomía extendida</v>
      </c>
    </row>
    <row r="50">
      <c r="A50" s="50" t="s">
        <v>56</v>
      </c>
      <c r="B50" s="51" t="s">
        <v>46</v>
      </c>
      <c r="C50" s="51" t="n">
        <v>2143.2518453646339</v>
      </c>
      <c r="D50" s="51" t="s">
        <v>33</v>
      </c>
      <c r="E50" s="51" t="n">
        <v>3</v>
      </c>
      <c r="F50" s="51" t="s">
        <v>24</v>
      </c>
      <c r="G50" s="51" t="str">
        <f>VLOOKUP(E50,Bioeconomía!$A$1:$C$13,3,FALSE)</f>
        <v>No Bioeconomía</v>
      </c>
      <c r="H50" s="51" t="s">
        <v>34</v>
      </c>
      <c r="I50" s="51" t="n">
        <v>11</v>
      </c>
      <c r="J50" s="51" t="s">
        <v>31</v>
      </c>
      <c r="K50" s="52" t="str">
        <f>VLOOKUP(I50,Bioeconomía!$A$1:$C$13,3,FALSE)</f>
        <v>No Bioeconomía</v>
      </c>
    </row>
    <row r="51">
      <c r="A51" s="53" t="s">
        <v>56</v>
      </c>
      <c r="B51" s="54" t="s">
        <v>47</v>
      </c>
      <c r="C51" s="54" t="n">
        <v>363.03962712610962</v>
      </c>
      <c r="D51" s="54" t="s">
        <v>33</v>
      </c>
      <c r="E51" s="54" t="n">
        <v>3</v>
      </c>
      <c r="F51" s="54" t="s">
        <v>24</v>
      </c>
      <c r="G51" s="51" t="str">
        <f>VLOOKUP(E51,Bioeconomía!$A$1:$C$13,3,FALSE)</f>
        <v>No Bioeconomía</v>
      </c>
      <c r="H51" s="54" t="s">
        <v>34</v>
      </c>
      <c r="I51" s="54" t="n">
        <v>12</v>
      </c>
      <c r="J51" s="54" t="s">
        <v>21</v>
      </c>
      <c r="K51" s="52" t="str">
        <f>VLOOKUP(I51,Bioeconomía!$A$1:$C$13,3,FALSE)</f>
        <v>No Bioeconomía</v>
      </c>
    </row>
    <row r="52">
      <c r="A52" s="50" t="s">
        <v>56</v>
      </c>
      <c r="B52" s="51" t="s">
        <v>48</v>
      </c>
      <c r="C52" s="51" t="n">
        <v>22272.496082856436</v>
      </c>
      <c r="D52" s="51" t="s">
        <v>33</v>
      </c>
      <c r="E52" s="51" t="n">
        <v>3</v>
      </c>
      <c r="F52" s="51" t="s">
        <v>24</v>
      </c>
      <c r="G52" s="51" t="str">
        <f>VLOOKUP(E52,Bioeconomía!$A$1:$C$13,3,FALSE)</f>
        <v>No Bioeconomía</v>
      </c>
      <c r="H52" s="51" t="s">
        <v>4</v>
      </c>
      <c r="I52" s="51" t="s">
        <v>35</v>
      </c>
      <c r="J52" s="51" t="s">
        <v>35</v>
      </c>
      <c r="K52" s="52" t="str">
        <f>VLOOKUP(I52,Bioeconomía!$A$1:$C$13,3,FALSE)</f>
        <v>Ninguno</v>
      </c>
    </row>
    <row r="53">
      <c r="A53" s="53" t="s">
        <v>56</v>
      </c>
      <c r="B53" s="54" t="s">
        <v>49</v>
      </c>
      <c r="C53" s="54" t="n">
        <v>0</v>
      </c>
      <c r="D53" s="54" t="s">
        <v>33</v>
      </c>
      <c r="E53" s="54" t="n">
        <v>3</v>
      </c>
      <c r="F53" s="54" t="s">
        <v>24</v>
      </c>
      <c r="G53" s="51" t="str">
        <f>VLOOKUP(E53,Bioeconomía!$A$1:$C$13,3,FALSE)</f>
        <v>No Bioeconomía</v>
      </c>
      <c r="H53" s="54" t="s">
        <v>5</v>
      </c>
      <c r="I53" s="54" t="s">
        <v>35</v>
      </c>
      <c r="J53" s="54" t="s">
        <v>35</v>
      </c>
      <c r="K53" s="52" t="str">
        <f>VLOOKUP(I53,Bioeconomía!$A$1:$C$13,3,FALSE)</f>
        <v>Ninguno</v>
      </c>
    </row>
    <row r="54">
      <c r="A54" s="50" t="s">
        <v>56</v>
      </c>
      <c r="B54" s="51" t="s">
        <v>50</v>
      </c>
      <c r="C54" s="51" t="n">
        <v>86.443491400629199</v>
      </c>
      <c r="D54" s="51" t="s">
        <v>33</v>
      </c>
      <c r="E54" s="51" t="n">
        <v>3</v>
      </c>
      <c r="F54" s="51" t="s">
        <v>24</v>
      </c>
      <c r="G54" s="51" t="str">
        <f>VLOOKUP(E54,Bioeconomía!$A$1:$C$13,3,FALSE)</f>
        <v>No Bioeconomía</v>
      </c>
      <c r="H54" s="51" t="s">
        <v>6</v>
      </c>
      <c r="I54" s="51" t="s">
        <v>35</v>
      </c>
      <c r="J54" s="51" t="s">
        <v>35</v>
      </c>
      <c r="K54" s="52" t="str">
        <f>VLOOKUP(I54,Bioeconomía!$A$1:$C$13,3,FALSE)</f>
        <v>Ninguno</v>
      </c>
    </row>
    <row r="55">
      <c r="A55" s="53" t="s">
        <v>56</v>
      </c>
      <c r="B55" s="54" t="s">
        <v>51</v>
      </c>
      <c r="C55" s="54" t="n">
        <v>4045.856643177457</v>
      </c>
      <c r="D55" s="54" t="s">
        <v>33</v>
      </c>
      <c r="E55" s="54" t="n">
        <v>3</v>
      </c>
      <c r="F55" s="54" t="s">
        <v>24</v>
      </c>
      <c r="G55" s="51" t="str">
        <f>VLOOKUP(E55,Bioeconomía!$A$1:$C$13,3,FALSE)</f>
        <v>No Bioeconomía</v>
      </c>
      <c r="H55" s="54" t="s">
        <v>7</v>
      </c>
      <c r="I55" s="54" t="s">
        <v>35</v>
      </c>
      <c r="J55" s="54" t="s">
        <v>35</v>
      </c>
      <c r="K55" s="52" t="str">
        <f>VLOOKUP(I55,Bioeconomía!$A$1:$C$13,3,FALSE)</f>
        <v>Ninguno</v>
      </c>
    </row>
    <row r="56">
      <c r="A56" s="50" t="s">
        <v>56</v>
      </c>
      <c r="B56" s="51" t="s">
        <v>52</v>
      </c>
      <c r="C56" s="51" t="n">
        <v>-300.63449098921058</v>
      </c>
      <c r="D56" s="51" t="s">
        <v>33</v>
      </c>
      <c r="E56" s="51" t="n">
        <v>3</v>
      </c>
      <c r="F56" s="51" t="s">
        <v>24</v>
      </c>
      <c r="G56" s="51" t="str">
        <f>VLOOKUP(E56,Bioeconomía!$A$1:$C$13,3,FALSE)</f>
        <v>No Bioeconomía</v>
      </c>
      <c r="H56" s="51" t="s">
        <v>8</v>
      </c>
      <c r="I56" s="51" t="s">
        <v>35</v>
      </c>
      <c r="J56" s="51" t="s">
        <v>35</v>
      </c>
      <c r="K56" s="52" t="str">
        <f>VLOOKUP(I56,Bioeconomía!$A$1:$C$13,3,FALSE)</f>
        <v>Ninguno</v>
      </c>
    </row>
    <row r="57">
      <c r="A57" s="53" t="s">
        <v>56</v>
      </c>
      <c r="B57" s="54" t="s">
        <v>53</v>
      </c>
      <c r="C57" s="54" t="n">
        <v>27660.472046589188</v>
      </c>
      <c r="D57" s="54" t="s">
        <v>33</v>
      </c>
      <c r="E57" s="54" t="n">
        <v>3</v>
      </c>
      <c r="F57" s="54" t="s">
        <v>24</v>
      </c>
      <c r="G57" s="51" t="str">
        <f>VLOOKUP(E57,Bioeconomía!$A$1:$C$13,3,FALSE)</f>
        <v>No Bioeconomía</v>
      </c>
      <c r="H57" s="54" t="s">
        <v>9</v>
      </c>
      <c r="I57" s="54" t="s">
        <v>35</v>
      </c>
      <c r="J57" s="54" t="s">
        <v>35</v>
      </c>
      <c r="K57" s="52" t="str">
        <f>VLOOKUP(I57,Bioeconomía!$A$1:$C$13,3,FALSE)</f>
        <v>Ninguno</v>
      </c>
    </row>
    <row r="58">
      <c r="A58" s="50" t="s">
        <v>57</v>
      </c>
      <c r="B58" s="51" t="s">
        <v>36</v>
      </c>
      <c r="C58" s="51" t="n">
        <v>245.3914624015523</v>
      </c>
      <c r="D58" s="51" t="s">
        <v>33</v>
      </c>
      <c r="E58" s="51" t="n">
        <v>4</v>
      </c>
      <c r="F58" s="51" t="s">
        <v>25</v>
      </c>
      <c r="G58" s="51" t="str">
        <f>VLOOKUP(E58,Bioeconomía!$A$1:$C$13,3,FALSE)</f>
        <v>No Bioeconomía</v>
      </c>
      <c r="H58" s="51" t="s">
        <v>34</v>
      </c>
      <c r="I58" s="51" t="n">
        <v>1</v>
      </c>
      <c r="J58" s="51" t="s">
        <v>22</v>
      </c>
      <c r="K58" s="52" t="str">
        <f>VLOOKUP(I58,Bioeconomía!$A$1:$C$13,3,FALSE)</f>
        <v>Bioeconomía</v>
      </c>
    </row>
    <row r="59">
      <c r="A59" s="53" t="s">
        <v>57</v>
      </c>
      <c r="B59" s="54" t="s">
        <v>37</v>
      </c>
      <c r="C59" s="54" t="n">
        <v>3380.9071105102366</v>
      </c>
      <c r="D59" s="54" t="s">
        <v>33</v>
      </c>
      <c r="E59" s="54" t="n">
        <v>4</v>
      </c>
      <c r="F59" s="54" t="s">
        <v>25</v>
      </c>
      <c r="G59" s="51" t="str">
        <f>VLOOKUP(E59,Bioeconomía!$A$1:$C$13,3,FALSE)</f>
        <v>No Bioeconomía</v>
      </c>
      <c r="H59" s="54" t="s">
        <v>34</v>
      </c>
      <c r="I59" s="54" t="n">
        <v>2</v>
      </c>
      <c r="J59" s="54" t="s">
        <v>23</v>
      </c>
      <c r="K59" s="52" t="str">
        <f>VLOOKUP(I59,Bioeconomía!$A$1:$C$13,3,FALSE)</f>
        <v>No Bioeconomía</v>
      </c>
    </row>
    <row r="60">
      <c r="A60" s="50" t="s">
        <v>57</v>
      </c>
      <c r="B60" s="51" t="s">
        <v>38</v>
      </c>
      <c r="C60" s="51" t="n">
        <v>2940.4898871786891</v>
      </c>
      <c r="D60" s="51" t="s">
        <v>33</v>
      </c>
      <c r="E60" s="51" t="n">
        <v>4</v>
      </c>
      <c r="F60" s="51" t="s">
        <v>25</v>
      </c>
      <c r="G60" s="51" t="str">
        <f>VLOOKUP(E60,Bioeconomía!$A$1:$C$13,3,FALSE)</f>
        <v>No Bioeconomía</v>
      </c>
      <c r="H60" s="51" t="s">
        <v>34</v>
      </c>
      <c r="I60" s="51" t="n">
        <v>3</v>
      </c>
      <c r="J60" s="51" t="s">
        <v>24</v>
      </c>
      <c r="K60" s="52" t="str">
        <f>VLOOKUP(I60,Bioeconomía!$A$1:$C$13,3,FALSE)</f>
        <v>No Bioeconomía</v>
      </c>
    </row>
    <row r="61">
      <c r="A61" s="53" t="s">
        <v>57</v>
      </c>
      <c r="B61" s="54" t="s">
        <v>39</v>
      </c>
      <c r="C61" s="54" t="n">
        <v>2005.3179010334675</v>
      </c>
      <c r="D61" s="54" t="s">
        <v>33</v>
      </c>
      <c r="E61" s="54" t="n">
        <v>4</v>
      </c>
      <c r="F61" s="54" t="s">
        <v>25</v>
      </c>
      <c r="G61" s="51" t="str">
        <f>VLOOKUP(E61,Bioeconomía!$A$1:$C$13,3,FALSE)</f>
        <v>No Bioeconomía</v>
      </c>
      <c r="H61" s="54" t="s">
        <v>34</v>
      </c>
      <c r="I61" s="54" t="n">
        <v>4</v>
      </c>
      <c r="J61" s="54" t="s">
        <v>25</v>
      </c>
      <c r="K61" s="52" t="str">
        <f>VLOOKUP(I61,Bioeconomía!$A$1:$C$13,3,FALSE)</f>
        <v>No Bioeconomía</v>
      </c>
    </row>
    <row r="62">
      <c r="A62" s="50" t="s">
        <v>57</v>
      </c>
      <c r="B62" s="51" t="s">
        <v>40</v>
      </c>
      <c r="C62" s="51" t="n">
        <v>268.21388592482629</v>
      </c>
      <c r="D62" s="51" t="s">
        <v>33</v>
      </c>
      <c r="E62" s="51" t="n">
        <v>4</v>
      </c>
      <c r="F62" s="51" t="s">
        <v>25</v>
      </c>
      <c r="G62" s="51" t="str">
        <f>VLOOKUP(E62,Bioeconomía!$A$1:$C$13,3,FALSE)</f>
        <v>No Bioeconomía</v>
      </c>
      <c r="H62" s="51" t="s">
        <v>34</v>
      </c>
      <c r="I62" s="51" t="n">
        <v>5</v>
      </c>
      <c r="J62" s="51" t="s">
        <v>26</v>
      </c>
      <c r="K62" s="52" t="str">
        <f>VLOOKUP(I62,Bioeconomía!$A$1:$C$13,3,FALSE)</f>
        <v>No Bioeconomía</v>
      </c>
    </row>
    <row r="63">
      <c r="A63" s="53" t="s">
        <v>57</v>
      </c>
      <c r="B63" s="54" t="s">
        <v>41</v>
      </c>
      <c r="C63" s="54" t="n">
        <v>987.68203986104686</v>
      </c>
      <c r="D63" s="54" t="s">
        <v>33</v>
      </c>
      <c r="E63" s="54" t="n">
        <v>4</v>
      </c>
      <c r="F63" s="54" t="s">
        <v>25</v>
      </c>
      <c r="G63" s="51" t="str">
        <f>VLOOKUP(E63,Bioeconomía!$A$1:$C$13,3,FALSE)</f>
        <v>No Bioeconomía</v>
      </c>
      <c r="H63" s="54" t="s">
        <v>34</v>
      </c>
      <c r="I63" s="54" t="n">
        <v>6</v>
      </c>
      <c r="J63" s="54" t="s">
        <v>27</v>
      </c>
      <c r="K63" s="52" t="str">
        <f>VLOOKUP(I63,Bioeconomía!$A$1:$C$13,3,FALSE)</f>
        <v>No Bioeconomía</v>
      </c>
    </row>
    <row r="64">
      <c r="A64" s="50" t="s">
        <v>57</v>
      </c>
      <c r="B64" s="51" t="s">
        <v>42</v>
      </c>
      <c r="C64" s="51" t="n">
        <v>498.25204850715994</v>
      </c>
      <c r="D64" s="51" t="s">
        <v>33</v>
      </c>
      <c r="E64" s="51" t="n">
        <v>4</v>
      </c>
      <c r="F64" s="51" t="s">
        <v>25</v>
      </c>
      <c r="G64" s="51" t="str">
        <f>VLOOKUP(E64,Bioeconomía!$A$1:$C$13,3,FALSE)</f>
        <v>No Bioeconomía</v>
      </c>
      <c r="H64" s="51" t="s">
        <v>34</v>
      </c>
      <c r="I64" s="51" t="n">
        <v>7</v>
      </c>
      <c r="J64" s="51" t="s">
        <v>28</v>
      </c>
      <c r="K64" s="52" t="str">
        <f>VLOOKUP(I64,Bioeconomía!$A$1:$C$13,3,FALSE)</f>
        <v>No Bioeconomía</v>
      </c>
    </row>
    <row r="65">
      <c r="A65" s="53" t="s">
        <v>57</v>
      </c>
      <c r="B65" s="54" t="s">
        <v>43</v>
      </c>
      <c r="C65" s="54" t="n">
        <v>134.92253182901922</v>
      </c>
      <c r="D65" s="54" t="s">
        <v>33</v>
      </c>
      <c r="E65" s="54" t="n">
        <v>4</v>
      </c>
      <c r="F65" s="54" t="s">
        <v>25</v>
      </c>
      <c r="G65" s="51" t="str">
        <f>VLOOKUP(E65,Bioeconomía!$A$1:$C$13,3,FALSE)</f>
        <v>No Bioeconomía</v>
      </c>
      <c r="H65" s="54" t="s">
        <v>34</v>
      </c>
      <c r="I65" s="54" t="n">
        <v>8</v>
      </c>
      <c r="J65" s="54" t="s">
        <v>20</v>
      </c>
      <c r="K65" s="52" t="str">
        <f>VLOOKUP(I65,Bioeconomía!$A$1:$C$13,3,FALSE)</f>
        <v>No Bioeconomía</v>
      </c>
    </row>
    <row r="66">
      <c r="A66" s="50" t="s">
        <v>57</v>
      </c>
      <c r="B66" s="51" t="s">
        <v>44</v>
      </c>
      <c r="C66" s="51" t="n">
        <v>217.21723463459776</v>
      </c>
      <c r="D66" s="51" t="s">
        <v>33</v>
      </c>
      <c r="E66" s="51" t="n">
        <v>4</v>
      </c>
      <c r="F66" s="51" t="s">
        <v>25</v>
      </c>
      <c r="G66" s="51" t="str">
        <f>VLOOKUP(E66,Bioeconomía!$A$1:$C$13,3,FALSE)</f>
        <v>No Bioeconomía</v>
      </c>
      <c r="H66" s="51" t="s">
        <v>34</v>
      </c>
      <c r="I66" s="51" t="n">
        <v>9</v>
      </c>
      <c r="J66" s="51" t="s">
        <v>29</v>
      </c>
      <c r="K66" s="52" t="str">
        <f>VLOOKUP(I66,Bioeconomía!$A$1:$C$13,3,FALSE)</f>
        <v>No Bioeconomía</v>
      </c>
    </row>
    <row r="67">
      <c r="A67" s="53" t="s">
        <v>57</v>
      </c>
      <c r="B67" s="54" t="s">
        <v>45</v>
      </c>
      <c r="C67" s="54" t="n">
        <v>231.67899014736994</v>
      </c>
      <c r="D67" s="54" t="s">
        <v>33</v>
      </c>
      <c r="E67" s="54" t="n">
        <v>4</v>
      </c>
      <c r="F67" s="54" t="s">
        <v>25</v>
      </c>
      <c r="G67" s="51" t="str">
        <f>VLOOKUP(E67,Bioeconomía!$A$1:$C$13,3,FALSE)</f>
        <v>No Bioeconomía</v>
      </c>
      <c r="H67" s="54" t="s">
        <v>34</v>
      </c>
      <c r="I67" s="54" t="n">
        <v>10</v>
      </c>
      <c r="J67" s="54" t="s">
        <v>30</v>
      </c>
      <c r="K67" s="52" t="str">
        <f>VLOOKUP(I67,Bioeconomía!$A$1:$C$13,3,FALSE)</f>
        <v>Bioeconomía extendida</v>
      </c>
    </row>
    <row r="68">
      <c r="A68" s="50" t="s">
        <v>57</v>
      </c>
      <c r="B68" s="51" t="s">
        <v>46</v>
      </c>
      <c r="C68" s="51" t="n">
        <v>487.05717689247598</v>
      </c>
      <c r="D68" s="51" t="s">
        <v>33</v>
      </c>
      <c r="E68" s="51" t="n">
        <v>4</v>
      </c>
      <c r="F68" s="51" t="s">
        <v>25</v>
      </c>
      <c r="G68" s="51" t="str">
        <f>VLOOKUP(E68,Bioeconomía!$A$1:$C$13,3,FALSE)</f>
        <v>No Bioeconomía</v>
      </c>
      <c r="H68" s="51" t="s">
        <v>34</v>
      </c>
      <c r="I68" s="51" t="n">
        <v>11</v>
      </c>
      <c r="J68" s="51" t="s">
        <v>31</v>
      </c>
      <c r="K68" s="52" t="str">
        <f>VLOOKUP(I68,Bioeconomía!$A$1:$C$13,3,FALSE)</f>
        <v>No Bioeconomía</v>
      </c>
    </row>
    <row r="69">
      <c r="A69" s="53" t="s">
        <v>57</v>
      </c>
      <c r="B69" s="54" t="s">
        <v>47</v>
      </c>
      <c r="C69" s="54" t="n">
        <v>578.822278306935</v>
      </c>
      <c r="D69" s="54" t="s">
        <v>33</v>
      </c>
      <c r="E69" s="54" t="n">
        <v>4</v>
      </c>
      <c r="F69" s="54" t="s">
        <v>25</v>
      </c>
      <c r="G69" s="51" t="str">
        <f>VLOOKUP(E69,Bioeconomía!$A$1:$C$13,3,FALSE)</f>
        <v>No Bioeconomía</v>
      </c>
      <c r="H69" s="54" t="s">
        <v>34</v>
      </c>
      <c r="I69" s="54" t="n">
        <v>12</v>
      </c>
      <c r="J69" s="54" t="s">
        <v>21</v>
      </c>
      <c r="K69" s="52" t="str">
        <f>VLOOKUP(I69,Bioeconomía!$A$1:$C$13,3,FALSE)</f>
        <v>No Bioeconomía</v>
      </c>
    </row>
    <row r="70">
      <c r="A70" s="50" t="s">
        <v>57</v>
      </c>
      <c r="B70" s="51" t="s">
        <v>48</v>
      </c>
      <c r="C70" s="51" t="n">
        <v>3763.8962261861479</v>
      </c>
      <c r="D70" s="51" t="s">
        <v>33</v>
      </c>
      <c r="E70" s="51" t="n">
        <v>4</v>
      </c>
      <c r="F70" s="51" t="s">
        <v>25</v>
      </c>
      <c r="G70" s="51" t="str">
        <f>VLOOKUP(E70,Bioeconomía!$A$1:$C$13,3,FALSE)</f>
        <v>No Bioeconomía</v>
      </c>
      <c r="H70" s="51" t="s">
        <v>4</v>
      </c>
      <c r="I70" s="51" t="s">
        <v>35</v>
      </c>
      <c r="J70" s="51" t="s">
        <v>35</v>
      </c>
      <c r="K70" s="52" t="str">
        <f>VLOOKUP(I70,Bioeconomía!$A$1:$C$13,3,FALSE)</f>
        <v>Ninguno</v>
      </c>
    </row>
    <row r="71">
      <c r="A71" s="53" t="s">
        <v>57</v>
      </c>
      <c r="B71" s="54" t="s">
        <v>49</v>
      </c>
      <c r="C71" s="54" t="n">
        <v>0</v>
      </c>
      <c r="D71" s="54" t="s">
        <v>33</v>
      </c>
      <c r="E71" s="54" t="n">
        <v>4</v>
      </c>
      <c r="F71" s="54" t="s">
        <v>25</v>
      </c>
      <c r="G71" s="51" t="str">
        <f>VLOOKUP(E71,Bioeconomía!$A$1:$C$13,3,FALSE)</f>
        <v>No Bioeconomía</v>
      </c>
      <c r="H71" s="54" t="s">
        <v>5</v>
      </c>
      <c r="I71" s="54" t="s">
        <v>35</v>
      </c>
      <c r="J71" s="54" t="s">
        <v>35</v>
      </c>
      <c r="K71" s="52" t="str">
        <f>VLOOKUP(I71,Bioeconomía!$A$1:$C$13,3,FALSE)</f>
        <v>Ninguno</v>
      </c>
    </row>
    <row r="72">
      <c r="A72" s="50" t="s">
        <v>57</v>
      </c>
      <c r="B72" s="51" t="s">
        <v>50</v>
      </c>
      <c r="C72" s="51" t="n">
        <v>83.189665272501514</v>
      </c>
      <c r="D72" s="51" t="s">
        <v>33</v>
      </c>
      <c r="E72" s="51" t="n">
        <v>4</v>
      </c>
      <c r="F72" s="51" t="s">
        <v>25</v>
      </c>
      <c r="G72" s="51" t="str">
        <f>VLOOKUP(E72,Bioeconomía!$A$1:$C$13,3,FALSE)</f>
        <v>No Bioeconomía</v>
      </c>
      <c r="H72" s="51" t="s">
        <v>6</v>
      </c>
      <c r="I72" s="51" t="s">
        <v>35</v>
      </c>
      <c r="J72" s="51" t="s">
        <v>35</v>
      </c>
      <c r="K72" s="52" t="str">
        <f>VLOOKUP(I72,Bioeconomía!$A$1:$C$13,3,FALSE)</f>
        <v>Ninguno</v>
      </c>
    </row>
    <row r="73">
      <c r="A73" s="53" t="s">
        <v>57</v>
      </c>
      <c r="B73" s="54" t="s">
        <v>51</v>
      </c>
      <c r="C73" s="54" t="n">
        <v>55.968353856951722</v>
      </c>
      <c r="D73" s="54" t="s">
        <v>33</v>
      </c>
      <c r="E73" s="54" t="n">
        <v>4</v>
      </c>
      <c r="F73" s="54" t="s">
        <v>25</v>
      </c>
      <c r="G73" s="51" t="str">
        <f>VLOOKUP(E73,Bioeconomía!$A$1:$C$13,3,FALSE)</f>
        <v>No Bioeconomía</v>
      </c>
      <c r="H73" s="54" t="s">
        <v>7</v>
      </c>
      <c r="I73" s="54" t="s">
        <v>35</v>
      </c>
      <c r="J73" s="54" t="s">
        <v>35</v>
      </c>
      <c r="K73" s="52" t="str">
        <f>VLOOKUP(I73,Bioeconomía!$A$1:$C$13,3,FALSE)</f>
        <v>Ninguno</v>
      </c>
    </row>
    <row r="74">
      <c r="A74" s="50" t="s">
        <v>57</v>
      </c>
      <c r="B74" s="51" t="s">
        <v>52</v>
      </c>
      <c r="C74" s="51" t="n">
        <v>0.45411780960103626</v>
      </c>
      <c r="D74" s="51" t="s">
        <v>33</v>
      </c>
      <c r="E74" s="51" t="n">
        <v>4</v>
      </c>
      <c r="F74" s="51" t="s">
        <v>25</v>
      </c>
      <c r="G74" s="51" t="str">
        <f>VLOOKUP(E74,Bioeconomía!$A$1:$C$13,3,FALSE)</f>
        <v>No Bioeconomía</v>
      </c>
      <c r="H74" s="51" t="s">
        <v>8</v>
      </c>
      <c r="I74" s="51" t="s">
        <v>35</v>
      </c>
      <c r="J74" s="51" t="s">
        <v>35</v>
      </c>
      <c r="K74" s="52" t="str">
        <f>VLOOKUP(I74,Bioeconomía!$A$1:$C$13,3,FALSE)</f>
        <v>Ninguno</v>
      </c>
    </row>
    <row r="75">
      <c r="A75" s="53" t="s">
        <v>57</v>
      </c>
      <c r="B75" s="54" t="s">
        <v>53</v>
      </c>
      <c r="C75" s="54" t="n">
        <v>81.481389629637704</v>
      </c>
      <c r="D75" s="54" t="s">
        <v>33</v>
      </c>
      <c r="E75" s="54" t="n">
        <v>4</v>
      </c>
      <c r="F75" s="54" t="s">
        <v>25</v>
      </c>
      <c r="G75" s="51" t="str">
        <f>VLOOKUP(E75,Bioeconomía!$A$1:$C$13,3,FALSE)</f>
        <v>No Bioeconomía</v>
      </c>
      <c r="H75" s="54" t="s">
        <v>9</v>
      </c>
      <c r="I75" s="54" t="s">
        <v>35</v>
      </c>
      <c r="J75" s="54" t="s">
        <v>35</v>
      </c>
      <c r="K75" s="52" t="str">
        <f>VLOOKUP(I75,Bioeconomía!$A$1:$C$13,3,FALSE)</f>
        <v>Ninguno</v>
      </c>
    </row>
    <row r="76">
      <c r="A76" s="50" t="s">
        <v>58</v>
      </c>
      <c r="B76" s="51" t="s">
        <v>36</v>
      </c>
      <c r="C76" s="51" t="n">
        <v>1.0332716340274708</v>
      </c>
      <c r="D76" s="51" t="s">
        <v>33</v>
      </c>
      <c r="E76" s="51" t="n">
        <v>5</v>
      </c>
      <c r="F76" s="51" t="s">
        <v>26</v>
      </c>
      <c r="G76" s="51" t="str">
        <f>VLOOKUP(E76,Bioeconomía!$A$1:$C$13,3,FALSE)</f>
        <v>No Bioeconomía</v>
      </c>
      <c r="H76" s="51" t="s">
        <v>34</v>
      </c>
      <c r="I76" s="51" t="n">
        <v>1</v>
      </c>
      <c r="J76" s="51" t="s">
        <v>22</v>
      </c>
      <c r="K76" s="52" t="str">
        <f>VLOOKUP(I76,Bioeconomía!$A$1:$C$13,3,FALSE)</f>
        <v>Bioeconomía</v>
      </c>
    </row>
    <row r="77">
      <c r="A77" s="53" t="s">
        <v>58</v>
      </c>
      <c r="B77" s="54" t="s">
        <v>37</v>
      </c>
      <c r="C77" s="54" t="n">
        <v>3.0356265766134927</v>
      </c>
      <c r="D77" s="54" t="s">
        <v>33</v>
      </c>
      <c r="E77" s="54" t="n">
        <v>5</v>
      </c>
      <c r="F77" s="54" t="s">
        <v>26</v>
      </c>
      <c r="G77" s="51" t="str">
        <f>VLOOKUP(E77,Bioeconomía!$A$1:$C$13,3,FALSE)</f>
        <v>No Bioeconomía</v>
      </c>
      <c r="H77" s="54" t="s">
        <v>34</v>
      </c>
      <c r="I77" s="54" t="n">
        <v>2</v>
      </c>
      <c r="J77" s="54" t="s">
        <v>23</v>
      </c>
      <c r="K77" s="52" t="str">
        <f>VLOOKUP(I77,Bioeconomía!$A$1:$C$13,3,FALSE)</f>
        <v>No Bioeconomía</v>
      </c>
    </row>
    <row r="78">
      <c r="A78" s="50" t="s">
        <v>58</v>
      </c>
      <c r="B78" s="51" t="s">
        <v>38</v>
      </c>
      <c r="C78" s="51" t="n">
        <v>10.808026343273349</v>
      </c>
      <c r="D78" s="51" t="s">
        <v>33</v>
      </c>
      <c r="E78" s="51" t="n">
        <v>5</v>
      </c>
      <c r="F78" s="51" t="s">
        <v>26</v>
      </c>
      <c r="G78" s="51" t="str">
        <f>VLOOKUP(E78,Bioeconomía!$A$1:$C$13,3,FALSE)</f>
        <v>No Bioeconomía</v>
      </c>
      <c r="H78" s="51" t="s">
        <v>34</v>
      </c>
      <c r="I78" s="51" t="n">
        <v>3</v>
      </c>
      <c r="J78" s="51" t="s">
        <v>24</v>
      </c>
      <c r="K78" s="52" t="str">
        <f>VLOOKUP(I78,Bioeconomía!$A$1:$C$13,3,FALSE)</f>
        <v>No Bioeconomía</v>
      </c>
    </row>
    <row r="79">
      <c r="A79" s="53" t="s">
        <v>58</v>
      </c>
      <c r="B79" s="54" t="s">
        <v>39</v>
      </c>
      <c r="C79" s="54" t="n">
        <v>1.6691959202417861</v>
      </c>
      <c r="D79" s="54" t="s">
        <v>33</v>
      </c>
      <c r="E79" s="54" t="n">
        <v>5</v>
      </c>
      <c r="F79" s="54" t="s">
        <v>26</v>
      </c>
      <c r="G79" s="51" t="str">
        <f>VLOOKUP(E79,Bioeconomía!$A$1:$C$13,3,FALSE)</f>
        <v>No Bioeconomía</v>
      </c>
      <c r="H79" s="54" t="s">
        <v>34</v>
      </c>
      <c r="I79" s="54" t="n">
        <v>4</v>
      </c>
      <c r="J79" s="54" t="s">
        <v>25</v>
      </c>
      <c r="K79" s="52" t="str">
        <f>VLOOKUP(I79,Bioeconomía!$A$1:$C$13,3,FALSE)</f>
        <v>No Bioeconomía</v>
      </c>
    </row>
    <row r="80">
      <c r="A80" s="50" t="s">
        <v>58</v>
      </c>
      <c r="B80" s="51" t="s">
        <v>40</v>
      </c>
      <c r="C80" s="51" t="n">
        <v>5292.5470910371168</v>
      </c>
      <c r="D80" s="51" t="s">
        <v>33</v>
      </c>
      <c r="E80" s="51" t="n">
        <v>5</v>
      </c>
      <c r="F80" s="51" t="s">
        <v>26</v>
      </c>
      <c r="G80" s="51" t="str">
        <f>VLOOKUP(E80,Bioeconomía!$A$1:$C$13,3,FALSE)</f>
        <v>No Bioeconomía</v>
      </c>
      <c r="H80" s="51" t="s">
        <v>34</v>
      </c>
      <c r="I80" s="51" t="n">
        <v>5</v>
      </c>
      <c r="J80" s="51" t="s">
        <v>26</v>
      </c>
      <c r="K80" s="52" t="str">
        <f>VLOOKUP(I80,Bioeconomía!$A$1:$C$13,3,FALSE)</f>
        <v>No Bioeconomía</v>
      </c>
    </row>
    <row r="81">
      <c r="A81" s="53" t="s">
        <v>58</v>
      </c>
      <c r="B81" s="54" t="s">
        <v>41</v>
      </c>
      <c r="C81" s="54" t="n">
        <v>59.406447949104333</v>
      </c>
      <c r="D81" s="54" t="s">
        <v>33</v>
      </c>
      <c r="E81" s="54" t="n">
        <v>5</v>
      </c>
      <c r="F81" s="54" t="s">
        <v>26</v>
      </c>
      <c r="G81" s="51" t="str">
        <f>VLOOKUP(E81,Bioeconomía!$A$1:$C$13,3,FALSE)</f>
        <v>No Bioeconomía</v>
      </c>
      <c r="H81" s="54" t="s">
        <v>34</v>
      </c>
      <c r="I81" s="54" t="n">
        <v>6</v>
      </c>
      <c r="J81" s="54" t="s">
        <v>27</v>
      </c>
      <c r="K81" s="52" t="str">
        <f>VLOOKUP(I81,Bioeconomía!$A$1:$C$13,3,FALSE)</f>
        <v>No Bioeconomía</v>
      </c>
    </row>
    <row r="82">
      <c r="A82" s="50" t="s">
        <v>58</v>
      </c>
      <c r="B82" s="51" t="s">
        <v>42</v>
      </c>
      <c r="C82" s="51" t="n">
        <v>30.30313659084123</v>
      </c>
      <c r="D82" s="51" t="s">
        <v>33</v>
      </c>
      <c r="E82" s="51" t="n">
        <v>5</v>
      </c>
      <c r="F82" s="51" t="s">
        <v>26</v>
      </c>
      <c r="G82" s="51" t="str">
        <f>VLOOKUP(E82,Bioeconomía!$A$1:$C$13,3,FALSE)</f>
        <v>No Bioeconomía</v>
      </c>
      <c r="H82" s="51" t="s">
        <v>34</v>
      </c>
      <c r="I82" s="51" t="n">
        <v>7</v>
      </c>
      <c r="J82" s="51" t="s">
        <v>28</v>
      </c>
      <c r="K82" s="52" t="str">
        <f>VLOOKUP(I82,Bioeconomía!$A$1:$C$13,3,FALSE)</f>
        <v>No Bioeconomía</v>
      </c>
    </row>
    <row r="83">
      <c r="A83" s="53" t="s">
        <v>58</v>
      </c>
      <c r="B83" s="54" t="s">
        <v>43</v>
      </c>
      <c r="C83" s="54" t="n">
        <v>15.079325402288482</v>
      </c>
      <c r="D83" s="54" t="s">
        <v>33</v>
      </c>
      <c r="E83" s="54" t="n">
        <v>5</v>
      </c>
      <c r="F83" s="54" t="s">
        <v>26</v>
      </c>
      <c r="G83" s="51" t="str">
        <f>VLOOKUP(E83,Bioeconomía!$A$1:$C$13,3,FALSE)</f>
        <v>No Bioeconomía</v>
      </c>
      <c r="H83" s="54" t="s">
        <v>34</v>
      </c>
      <c r="I83" s="54" t="n">
        <v>8</v>
      </c>
      <c r="J83" s="54" t="s">
        <v>20</v>
      </c>
      <c r="K83" s="52" t="str">
        <f>VLOOKUP(I83,Bioeconomía!$A$1:$C$13,3,FALSE)</f>
        <v>No Bioeconomía</v>
      </c>
    </row>
    <row r="84">
      <c r="A84" s="50" t="s">
        <v>58</v>
      </c>
      <c r="B84" s="51" t="s">
        <v>44</v>
      </c>
      <c r="C84" s="51" t="n">
        <v>2916.6355399187187</v>
      </c>
      <c r="D84" s="51" t="s">
        <v>33</v>
      </c>
      <c r="E84" s="51" t="n">
        <v>5</v>
      </c>
      <c r="F84" s="51" t="s">
        <v>26</v>
      </c>
      <c r="G84" s="51" t="str">
        <f>VLOOKUP(E84,Bioeconomía!$A$1:$C$13,3,FALSE)</f>
        <v>No Bioeconomía</v>
      </c>
      <c r="H84" s="51" t="s">
        <v>34</v>
      </c>
      <c r="I84" s="51" t="n">
        <v>9</v>
      </c>
      <c r="J84" s="51" t="s">
        <v>29</v>
      </c>
      <c r="K84" s="52" t="str">
        <f>VLOOKUP(I84,Bioeconomía!$A$1:$C$13,3,FALSE)</f>
        <v>No Bioeconomía</v>
      </c>
    </row>
    <row r="85">
      <c r="A85" s="53" t="s">
        <v>58</v>
      </c>
      <c r="B85" s="54" t="s">
        <v>45</v>
      </c>
      <c r="C85" s="54" t="n">
        <v>17.996332768911621</v>
      </c>
      <c r="D85" s="54" t="s">
        <v>33</v>
      </c>
      <c r="E85" s="54" t="n">
        <v>5</v>
      </c>
      <c r="F85" s="54" t="s">
        <v>26</v>
      </c>
      <c r="G85" s="51" t="str">
        <f>VLOOKUP(E85,Bioeconomía!$A$1:$C$13,3,FALSE)</f>
        <v>No Bioeconomía</v>
      </c>
      <c r="H85" s="54" t="s">
        <v>34</v>
      </c>
      <c r="I85" s="54" t="n">
        <v>10</v>
      </c>
      <c r="J85" s="54" t="s">
        <v>30</v>
      </c>
      <c r="K85" s="52" t="str">
        <f>VLOOKUP(I85,Bioeconomía!$A$1:$C$13,3,FALSE)</f>
        <v>Bioeconomía extendida</v>
      </c>
    </row>
    <row r="86">
      <c r="A86" s="50" t="s">
        <v>58</v>
      </c>
      <c r="B86" s="51" t="s">
        <v>46</v>
      </c>
      <c r="C86" s="51" t="n">
        <v>20.730084837589924</v>
      </c>
      <c r="D86" s="51" t="s">
        <v>33</v>
      </c>
      <c r="E86" s="51" t="n">
        <v>5</v>
      </c>
      <c r="F86" s="51" t="s">
        <v>26</v>
      </c>
      <c r="G86" s="51" t="str">
        <f>VLOOKUP(E86,Bioeconomía!$A$1:$C$13,3,FALSE)</f>
        <v>No Bioeconomía</v>
      </c>
      <c r="H86" s="51" t="s">
        <v>34</v>
      </c>
      <c r="I86" s="51" t="n">
        <v>11</v>
      </c>
      <c r="J86" s="51" t="s">
        <v>31</v>
      </c>
      <c r="K86" s="52" t="str">
        <f>VLOOKUP(I86,Bioeconomía!$A$1:$C$13,3,FALSE)</f>
        <v>No Bioeconomía</v>
      </c>
    </row>
    <row r="87">
      <c r="A87" s="53" t="s">
        <v>58</v>
      </c>
      <c r="B87" s="54" t="s">
        <v>47</v>
      </c>
      <c r="C87" s="54" t="n">
        <v>5.9405624169232105</v>
      </c>
      <c r="D87" s="54" t="s">
        <v>33</v>
      </c>
      <c r="E87" s="54" t="n">
        <v>5</v>
      </c>
      <c r="F87" s="54" t="s">
        <v>26</v>
      </c>
      <c r="G87" s="51" t="str">
        <f>VLOOKUP(E87,Bioeconomía!$A$1:$C$13,3,FALSE)</f>
        <v>No Bioeconomía</v>
      </c>
      <c r="H87" s="54" t="s">
        <v>34</v>
      </c>
      <c r="I87" s="54" t="n">
        <v>12</v>
      </c>
      <c r="J87" s="54" t="s">
        <v>21</v>
      </c>
      <c r="K87" s="52" t="str">
        <f>VLOOKUP(I87,Bioeconomía!$A$1:$C$13,3,FALSE)</f>
        <v>No Bioeconomía</v>
      </c>
    </row>
    <row r="88">
      <c r="A88" s="50" t="s">
        <v>58</v>
      </c>
      <c r="B88" s="51" t="s">
        <v>48</v>
      </c>
      <c r="C88" s="51" t="n">
        <v>11.8029683309727</v>
      </c>
      <c r="D88" s="51" t="s">
        <v>33</v>
      </c>
      <c r="E88" s="51" t="n">
        <v>5</v>
      </c>
      <c r="F88" s="51" t="s">
        <v>26</v>
      </c>
      <c r="G88" s="51" t="str">
        <f>VLOOKUP(E88,Bioeconomía!$A$1:$C$13,3,FALSE)</f>
        <v>No Bioeconomía</v>
      </c>
      <c r="H88" s="51" t="s">
        <v>4</v>
      </c>
      <c r="I88" s="51" t="s">
        <v>35</v>
      </c>
      <c r="J88" s="51" t="s">
        <v>35</v>
      </c>
      <c r="K88" s="52" t="str">
        <f>VLOOKUP(I88,Bioeconomía!$A$1:$C$13,3,FALSE)</f>
        <v>Ninguno</v>
      </c>
    </row>
    <row r="89">
      <c r="A89" s="53" t="s">
        <v>58</v>
      </c>
      <c r="B89" s="54" t="s">
        <v>49</v>
      </c>
      <c r="C89" s="54" t="n">
        <v>0</v>
      </c>
      <c r="D89" s="54" t="s">
        <v>33</v>
      </c>
      <c r="E89" s="54" t="n">
        <v>5</v>
      </c>
      <c r="F89" s="54" t="s">
        <v>26</v>
      </c>
      <c r="G89" s="51" t="str">
        <f>VLOOKUP(E89,Bioeconomía!$A$1:$C$13,3,FALSE)</f>
        <v>No Bioeconomía</v>
      </c>
      <c r="H89" s="54" t="s">
        <v>5</v>
      </c>
      <c r="I89" s="54" t="s">
        <v>35</v>
      </c>
      <c r="J89" s="54" t="s">
        <v>35</v>
      </c>
      <c r="K89" s="52" t="str">
        <f>VLOOKUP(I89,Bioeconomía!$A$1:$C$13,3,FALSE)</f>
        <v>Ninguno</v>
      </c>
    </row>
    <row r="90">
      <c r="A90" s="50" t="s">
        <v>58</v>
      </c>
      <c r="B90" s="51" t="s">
        <v>50</v>
      </c>
      <c r="C90" s="51" t="n">
        <v>0.12944474112889989</v>
      </c>
      <c r="D90" s="51" t="s">
        <v>33</v>
      </c>
      <c r="E90" s="51" t="n">
        <v>5</v>
      </c>
      <c r="F90" s="51" t="s">
        <v>26</v>
      </c>
      <c r="G90" s="51" t="str">
        <f>VLOOKUP(E90,Bioeconomía!$A$1:$C$13,3,FALSE)</f>
        <v>No Bioeconomía</v>
      </c>
      <c r="H90" s="51" t="s">
        <v>6</v>
      </c>
      <c r="I90" s="51" t="s">
        <v>35</v>
      </c>
      <c r="J90" s="51" t="s">
        <v>35</v>
      </c>
      <c r="K90" s="52" t="str">
        <f>VLOOKUP(I90,Bioeconomía!$A$1:$C$13,3,FALSE)</f>
        <v>Ninguno</v>
      </c>
    </row>
    <row r="91">
      <c r="A91" s="53" t="s">
        <v>58</v>
      </c>
      <c r="B91" s="54" t="s">
        <v>51</v>
      </c>
      <c r="C91" s="54" t="n">
        <v>28753.102909771198</v>
      </c>
      <c r="D91" s="54" t="s">
        <v>33</v>
      </c>
      <c r="E91" s="54" t="n">
        <v>5</v>
      </c>
      <c r="F91" s="54" t="s">
        <v>26</v>
      </c>
      <c r="G91" s="51" t="str">
        <f>VLOOKUP(E91,Bioeconomía!$A$1:$C$13,3,FALSE)</f>
        <v>No Bioeconomía</v>
      </c>
      <c r="H91" s="54" t="s">
        <v>7</v>
      </c>
      <c r="I91" s="54" t="s">
        <v>35</v>
      </c>
      <c r="J91" s="54" t="s">
        <v>35</v>
      </c>
      <c r="K91" s="52" t="str">
        <f>VLOOKUP(I91,Bioeconomía!$A$1:$C$13,3,FALSE)</f>
        <v>Ninguno</v>
      </c>
    </row>
    <row r="92">
      <c r="A92" s="50" t="s">
        <v>58</v>
      </c>
      <c r="B92" s="51" t="s">
        <v>52</v>
      </c>
      <c r="C92" s="51" t="n">
        <v>0</v>
      </c>
      <c r="D92" s="51" t="s">
        <v>33</v>
      </c>
      <c r="E92" s="51" t="n">
        <v>5</v>
      </c>
      <c r="F92" s="51" t="s">
        <v>26</v>
      </c>
      <c r="G92" s="51" t="str">
        <f>VLOOKUP(E92,Bioeconomía!$A$1:$C$13,3,FALSE)</f>
        <v>No Bioeconomía</v>
      </c>
      <c r="H92" s="51" t="s">
        <v>8</v>
      </c>
      <c r="I92" s="51" t="s">
        <v>35</v>
      </c>
      <c r="J92" s="51" t="s">
        <v>35</v>
      </c>
      <c r="K92" s="52" t="str">
        <f>VLOOKUP(I92,Bioeconomía!$A$1:$C$13,3,FALSE)</f>
        <v>Ninguno</v>
      </c>
    </row>
    <row r="93">
      <c r="A93" s="53" t="s">
        <v>58</v>
      </c>
      <c r="B93" s="54" t="s">
        <v>53</v>
      </c>
      <c r="C93" s="54" t="n">
        <v>5.6507347800817076</v>
      </c>
      <c r="D93" s="54" t="s">
        <v>33</v>
      </c>
      <c r="E93" s="54" t="n">
        <v>5</v>
      </c>
      <c r="F93" s="54" t="s">
        <v>26</v>
      </c>
      <c r="G93" s="51" t="str">
        <f>VLOOKUP(E93,Bioeconomía!$A$1:$C$13,3,FALSE)</f>
        <v>No Bioeconomía</v>
      </c>
      <c r="H93" s="54" t="s">
        <v>9</v>
      </c>
      <c r="I93" s="54" t="s">
        <v>35</v>
      </c>
      <c r="J93" s="54" t="s">
        <v>35</v>
      </c>
      <c r="K93" s="52" t="str">
        <f>VLOOKUP(I93,Bioeconomía!$A$1:$C$13,3,FALSE)</f>
        <v>Ninguno</v>
      </c>
    </row>
    <row r="94">
      <c r="A94" s="50" t="s">
        <v>59</v>
      </c>
      <c r="B94" s="51" t="s">
        <v>36</v>
      </c>
      <c r="C94" s="51" t="n">
        <v>966.82833786755134</v>
      </c>
      <c r="D94" s="51" t="s">
        <v>33</v>
      </c>
      <c r="E94" s="51" t="n">
        <v>6</v>
      </c>
      <c r="F94" s="51" t="s">
        <v>27</v>
      </c>
      <c r="G94" s="51" t="str">
        <f>VLOOKUP(E94,Bioeconomía!$A$1:$C$13,3,FALSE)</f>
        <v>No Bioeconomía</v>
      </c>
      <c r="H94" s="51" t="s">
        <v>34</v>
      </c>
      <c r="I94" s="51" t="n">
        <v>1</v>
      </c>
      <c r="J94" s="51" t="s">
        <v>22</v>
      </c>
      <c r="K94" s="52" t="str">
        <f>VLOOKUP(I94,Bioeconomía!$A$1:$C$13,3,FALSE)</f>
        <v>Bioeconomía</v>
      </c>
    </row>
    <row r="95">
      <c r="A95" s="53" t="s">
        <v>59</v>
      </c>
      <c r="B95" s="54" t="s">
        <v>37</v>
      </c>
      <c r="C95" s="54" t="n">
        <v>1770.7817322909834</v>
      </c>
      <c r="D95" s="54" t="s">
        <v>33</v>
      </c>
      <c r="E95" s="54" t="n">
        <v>6</v>
      </c>
      <c r="F95" s="54" t="s">
        <v>27</v>
      </c>
      <c r="G95" s="51" t="str">
        <f>VLOOKUP(E95,Bioeconomía!$A$1:$C$13,3,FALSE)</f>
        <v>No Bioeconomía</v>
      </c>
      <c r="H95" s="54" t="s">
        <v>34</v>
      </c>
      <c r="I95" s="54" t="n">
        <v>2</v>
      </c>
      <c r="J95" s="54" t="s">
        <v>23</v>
      </c>
      <c r="K95" s="52" t="str">
        <f>VLOOKUP(I95,Bioeconomía!$A$1:$C$13,3,FALSE)</f>
        <v>No Bioeconomía</v>
      </c>
    </row>
    <row r="96">
      <c r="A96" s="50" t="s">
        <v>59</v>
      </c>
      <c r="B96" s="51" t="s">
        <v>38</v>
      </c>
      <c r="C96" s="51" t="n">
        <v>4469.314197541139</v>
      </c>
      <c r="D96" s="51" t="s">
        <v>33</v>
      </c>
      <c r="E96" s="51" t="n">
        <v>6</v>
      </c>
      <c r="F96" s="51" t="s">
        <v>27</v>
      </c>
      <c r="G96" s="51" t="str">
        <f>VLOOKUP(E96,Bioeconomía!$A$1:$C$13,3,FALSE)</f>
        <v>No Bioeconomía</v>
      </c>
      <c r="H96" s="51" t="s">
        <v>34</v>
      </c>
      <c r="I96" s="51" t="n">
        <v>3</v>
      </c>
      <c r="J96" s="51" t="s">
        <v>24</v>
      </c>
      <c r="K96" s="52" t="str">
        <f>VLOOKUP(I96,Bioeconomía!$A$1:$C$13,3,FALSE)</f>
        <v>No Bioeconomía</v>
      </c>
    </row>
    <row r="97">
      <c r="A97" s="53" t="s">
        <v>59</v>
      </c>
      <c r="B97" s="54" t="s">
        <v>39</v>
      </c>
      <c r="C97" s="54" t="n">
        <v>315.0718035047139</v>
      </c>
      <c r="D97" s="54" t="s">
        <v>33</v>
      </c>
      <c r="E97" s="54" t="n">
        <v>6</v>
      </c>
      <c r="F97" s="54" t="s">
        <v>27</v>
      </c>
      <c r="G97" s="51" t="str">
        <f>VLOOKUP(E97,Bioeconomía!$A$1:$C$13,3,FALSE)</f>
        <v>No Bioeconomía</v>
      </c>
      <c r="H97" s="54" t="s">
        <v>34</v>
      </c>
      <c r="I97" s="54" t="n">
        <v>4</v>
      </c>
      <c r="J97" s="54" t="s">
        <v>25</v>
      </c>
      <c r="K97" s="52" t="str">
        <f>VLOOKUP(I97,Bioeconomía!$A$1:$C$13,3,FALSE)</f>
        <v>No Bioeconomía</v>
      </c>
    </row>
    <row r="98">
      <c r="A98" s="50" t="s">
        <v>59</v>
      </c>
      <c r="B98" s="51" t="s">
        <v>40</v>
      </c>
      <c r="C98" s="51" t="n">
        <v>2349.1399443389273</v>
      </c>
      <c r="D98" s="51" t="s">
        <v>33</v>
      </c>
      <c r="E98" s="51" t="n">
        <v>6</v>
      </c>
      <c r="F98" s="51" t="s">
        <v>27</v>
      </c>
      <c r="G98" s="51" t="str">
        <f>VLOOKUP(E98,Bioeconomía!$A$1:$C$13,3,FALSE)</f>
        <v>No Bioeconomía</v>
      </c>
      <c r="H98" s="51" t="s">
        <v>34</v>
      </c>
      <c r="I98" s="51" t="n">
        <v>5</v>
      </c>
      <c r="J98" s="51" t="s">
        <v>26</v>
      </c>
      <c r="K98" s="52" t="str">
        <f>VLOOKUP(I98,Bioeconomía!$A$1:$C$13,3,FALSE)</f>
        <v>No Bioeconomía</v>
      </c>
    </row>
    <row r="99">
      <c r="A99" s="53" t="s">
        <v>59</v>
      </c>
      <c r="B99" s="54" t="s">
        <v>41</v>
      </c>
      <c r="C99" s="54" t="n">
        <v>4647.6657757804314</v>
      </c>
      <c r="D99" s="54" t="s">
        <v>33</v>
      </c>
      <c r="E99" s="54" t="n">
        <v>6</v>
      </c>
      <c r="F99" s="54" t="s">
        <v>27</v>
      </c>
      <c r="G99" s="51" t="str">
        <f>VLOOKUP(E99,Bioeconomía!$A$1:$C$13,3,FALSE)</f>
        <v>No Bioeconomía</v>
      </c>
      <c r="H99" s="54" t="s">
        <v>34</v>
      </c>
      <c r="I99" s="54" t="n">
        <v>6</v>
      </c>
      <c r="J99" s="54" t="s">
        <v>27</v>
      </c>
      <c r="K99" s="52" t="str">
        <f>VLOOKUP(I99,Bioeconomía!$A$1:$C$13,3,FALSE)</f>
        <v>No Bioeconomía</v>
      </c>
    </row>
    <row r="100">
      <c r="A100" s="50" t="s">
        <v>59</v>
      </c>
      <c r="B100" s="51" t="s">
        <v>42</v>
      </c>
      <c r="C100" s="51" t="n">
        <v>2529.3725339900752</v>
      </c>
      <c r="D100" s="51" t="s">
        <v>33</v>
      </c>
      <c r="E100" s="51" t="n">
        <v>6</v>
      </c>
      <c r="F100" s="51" t="s">
        <v>27</v>
      </c>
      <c r="G100" s="51" t="str">
        <f>VLOOKUP(E100,Bioeconomía!$A$1:$C$13,3,FALSE)</f>
        <v>No Bioeconomía</v>
      </c>
      <c r="H100" s="51" t="s">
        <v>34</v>
      </c>
      <c r="I100" s="51" t="n">
        <v>7</v>
      </c>
      <c r="J100" s="51" t="s">
        <v>28</v>
      </c>
      <c r="K100" s="52" t="str">
        <f>VLOOKUP(I100,Bioeconomía!$A$1:$C$13,3,FALSE)</f>
        <v>No Bioeconomía</v>
      </c>
    </row>
    <row r="101">
      <c r="A101" s="53" t="s">
        <v>59</v>
      </c>
      <c r="B101" s="54" t="s">
        <v>43</v>
      </c>
      <c r="C101" s="54" t="n">
        <v>350.69454613681694</v>
      </c>
      <c r="D101" s="54" t="s">
        <v>33</v>
      </c>
      <c r="E101" s="54" t="n">
        <v>6</v>
      </c>
      <c r="F101" s="54" t="s">
        <v>27</v>
      </c>
      <c r="G101" s="51" t="str">
        <f>VLOOKUP(E101,Bioeconomía!$A$1:$C$13,3,FALSE)</f>
        <v>No Bioeconomía</v>
      </c>
      <c r="H101" s="54" t="s">
        <v>34</v>
      </c>
      <c r="I101" s="54" t="n">
        <v>8</v>
      </c>
      <c r="J101" s="54" t="s">
        <v>20</v>
      </c>
      <c r="K101" s="52" t="str">
        <f>VLOOKUP(I101,Bioeconomía!$A$1:$C$13,3,FALSE)</f>
        <v>No Bioeconomía</v>
      </c>
    </row>
    <row r="102">
      <c r="A102" s="50" t="s">
        <v>59</v>
      </c>
      <c r="B102" s="51" t="s">
        <v>44</v>
      </c>
      <c r="C102" s="51" t="n">
        <v>60.12173835484959</v>
      </c>
      <c r="D102" s="51" t="s">
        <v>33</v>
      </c>
      <c r="E102" s="51" t="n">
        <v>6</v>
      </c>
      <c r="F102" s="51" t="s">
        <v>27</v>
      </c>
      <c r="G102" s="51" t="str">
        <f>VLOOKUP(E102,Bioeconomía!$A$1:$C$13,3,FALSE)</f>
        <v>No Bioeconomía</v>
      </c>
      <c r="H102" s="51" t="s">
        <v>34</v>
      </c>
      <c r="I102" s="51" t="n">
        <v>9</v>
      </c>
      <c r="J102" s="51" t="s">
        <v>29</v>
      </c>
      <c r="K102" s="52" t="str">
        <f>VLOOKUP(I102,Bioeconomía!$A$1:$C$13,3,FALSE)</f>
        <v>No Bioeconomía</v>
      </c>
    </row>
    <row r="103">
      <c r="A103" s="53" t="s">
        <v>59</v>
      </c>
      <c r="B103" s="54" t="s">
        <v>45</v>
      </c>
      <c r="C103" s="54" t="n">
        <v>1133.367122027342</v>
      </c>
      <c r="D103" s="54" t="s">
        <v>33</v>
      </c>
      <c r="E103" s="54" t="n">
        <v>6</v>
      </c>
      <c r="F103" s="54" t="s">
        <v>27</v>
      </c>
      <c r="G103" s="51" t="str">
        <f>VLOOKUP(E103,Bioeconomía!$A$1:$C$13,3,FALSE)</f>
        <v>No Bioeconomía</v>
      </c>
      <c r="H103" s="54" t="s">
        <v>34</v>
      </c>
      <c r="I103" s="54" t="n">
        <v>10</v>
      </c>
      <c r="J103" s="54" t="s">
        <v>30</v>
      </c>
      <c r="K103" s="52" t="str">
        <f>VLOOKUP(I103,Bioeconomía!$A$1:$C$13,3,FALSE)</f>
        <v>Bioeconomía extendida</v>
      </c>
    </row>
    <row r="104">
      <c r="A104" s="50" t="s">
        <v>59</v>
      </c>
      <c r="B104" s="51" t="s">
        <v>46</v>
      </c>
      <c r="C104" s="51" t="n">
        <v>1800.0868346419295</v>
      </c>
      <c r="D104" s="51" t="s">
        <v>33</v>
      </c>
      <c r="E104" s="51" t="n">
        <v>6</v>
      </c>
      <c r="F104" s="51" t="s">
        <v>27</v>
      </c>
      <c r="G104" s="51" t="str">
        <f>VLOOKUP(E104,Bioeconomía!$A$1:$C$13,3,FALSE)</f>
        <v>No Bioeconomía</v>
      </c>
      <c r="H104" s="51" t="s">
        <v>34</v>
      </c>
      <c r="I104" s="51" t="n">
        <v>11</v>
      </c>
      <c r="J104" s="51" t="s">
        <v>31</v>
      </c>
      <c r="K104" s="52" t="str">
        <f>VLOOKUP(I104,Bioeconomía!$A$1:$C$13,3,FALSE)</f>
        <v>No Bioeconomía</v>
      </c>
    </row>
    <row r="105">
      <c r="A105" s="53" t="s">
        <v>59</v>
      </c>
      <c r="B105" s="54" t="s">
        <v>47</v>
      </c>
      <c r="C105" s="54" t="n">
        <v>305.19939715018097</v>
      </c>
      <c r="D105" s="54" t="s">
        <v>33</v>
      </c>
      <c r="E105" s="54" t="n">
        <v>6</v>
      </c>
      <c r="F105" s="54" t="s">
        <v>27</v>
      </c>
      <c r="G105" s="51" t="str">
        <f>VLOOKUP(E105,Bioeconomía!$A$1:$C$13,3,FALSE)</f>
        <v>No Bioeconomía</v>
      </c>
      <c r="H105" s="54" t="s">
        <v>34</v>
      </c>
      <c r="I105" s="54" t="n">
        <v>12</v>
      </c>
      <c r="J105" s="54" t="s">
        <v>21</v>
      </c>
      <c r="K105" s="52" t="str">
        <f>VLOOKUP(I105,Bioeconomía!$A$1:$C$13,3,FALSE)</f>
        <v>No Bioeconomía</v>
      </c>
    </row>
    <row r="106">
      <c r="A106" s="50" t="s">
        <v>59</v>
      </c>
      <c r="B106" s="51" t="s">
        <v>48</v>
      </c>
      <c r="C106" s="51" t="n">
        <v>30901.887330008965</v>
      </c>
      <c r="D106" s="51" t="s">
        <v>33</v>
      </c>
      <c r="E106" s="51" t="n">
        <v>6</v>
      </c>
      <c r="F106" s="51" t="s">
        <v>27</v>
      </c>
      <c r="G106" s="51" t="str">
        <f>VLOOKUP(E106,Bioeconomía!$A$1:$C$13,3,FALSE)</f>
        <v>No Bioeconomía</v>
      </c>
      <c r="H106" s="51" t="s">
        <v>4</v>
      </c>
      <c r="I106" s="51" t="s">
        <v>35</v>
      </c>
      <c r="J106" s="51" t="s">
        <v>35</v>
      </c>
      <c r="K106" s="52" t="str">
        <f>VLOOKUP(I106,Bioeconomía!$A$1:$C$13,3,FALSE)</f>
        <v>Ninguno</v>
      </c>
    </row>
    <row r="107">
      <c r="A107" s="53" t="s">
        <v>59</v>
      </c>
      <c r="B107" s="54" t="s">
        <v>49</v>
      </c>
      <c r="C107" s="54" t="n">
        <v>0</v>
      </c>
      <c r="D107" s="54" t="s">
        <v>33</v>
      </c>
      <c r="E107" s="54" t="n">
        <v>6</v>
      </c>
      <c r="F107" s="54" t="s">
        <v>27</v>
      </c>
      <c r="G107" s="51" t="str">
        <f>VLOOKUP(E107,Bioeconomía!$A$1:$C$13,3,FALSE)</f>
        <v>No Bioeconomía</v>
      </c>
      <c r="H107" s="54" t="s">
        <v>5</v>
      </c>
      <c r="I107" s="54" t="s">
        <v>35</v>
      </c>
      <c r="J107" s="54" t="s">
        <v>35</v>
      </c>
      <c r="K107" s="52" t="str">
        <f>VLOOKUP(I107,Bioeconomía!$A$1:$C$13,3,FALSE)</f>
        <v>Ninguno</v>
      </c>
    </row>
    <row r="108">
      <c r="A108" s="50" t="s">
        <v>59</v>
      </c>
      <c r="B108" s="51" t="s">
        <v>50</v>
      </c>
      <c r="C108" s="51" t="n">
        <v>715.54930083129898</v>
      </c>
      <c r="D108" s="51" t="s">
        <v>33</v>
      </c>
      <c r="E108" s="51" t="n">
        <v>6</v>
      </c>
      <c r="F108" s="51" t="s">
        <v>27</v>
      </c>
      <c r="G108" s="51" t="str">
        <f>VLOOKUP(E108,Bioeconomía!$A$1:$C$13,3,FALSE)</f>
        <v>No Bioeconomía</v>
      </c>
      <c r="H108" s="51" t="s">
        <v>6</v>
      </c>
      <c r="I108" s="51" t="s">
        <v>35</v>
      </c>
      <c r="J108" s="51" t="s">
        <v>35</v>
      </c>
      <c r="K108" s="52" t="str">
        <f>VLOOKUP(I108,Bioeconomía!$A$1:$C$13,3,FALSE)</f>
        <v>Ninguno</v>
      </c>
    </row>
    <row r="109">
      <c r="A109" s="53" t="s">
        <v>59</v>
      </c>
      <c r="B109" s="54" t="s">
        <v>51</v>
      </c>
      <c r="C109" s="54" t="n">
        <v>6164.3481824745741</v>
      </c>
      <c r="D109" s="54" t="s">
        <v>33</v>
      </c>
      <c r="E109" s="54" t="n">
        <v>6</v>
      </c>
      <c r="F109" s="54" t="s">
        <v>27</v>
      </c>
      <c r="G109" s="51" t="str">
        <f>VLOOKUP(E109,Bioeconomía!$A$1:$C$13,3,FALSE)</f>
        <v>No Bioeconomía</v>
      </c>
      <c r="H109" s="54" t="s">
        <v>7</v>
      </c>
      <c r="I109" s="54" t="s">
        <v>35</v>
      </c>
      <c r="J109" s="54" t="s">
        <v>35</v>
      </c>
      <c r="K109" s="52" t="str">
        <f>VLOOKUP(I109,Bioeconomía!$A$1:$C$13,3,FALSE)</f>
        <v>Ninguno</v>
      </c>
    </row>
    <row r="110">
      <c r="A110" s="50" t="s">
        <v>59</v>
      </c>
      <c r="B110" s="51" t="s">
        <v>52</v>
      </c>
      <c r="C110" s="51" t="n">
        <v>-2.5610536651533788</v>
      </c>
      <c r="D110" s="51" t="s">
        <v>33</v>
      </c>
      <c r="E110" s="51" t="n">
        <v>6</v>
      </c>
      <c r="F110" s="51" t="s">
        <v>27</v>
      </c>
      <c r="G110" s="51" t="str">
        <f>VLOOKUP(E110,Bioeconomía!$A$1:$C$13,3,FALSE)</f>
        <v>No Bioeconomía</v>
      </c>
      <c r="H110" s="51" t="s">
        <v>8</v>
      </c>
      <c r="I110" s="51" t="s">
        <v>35</v>
      </c>
      <c r="J110" s="51" t="s">
        <v>35</v>
      </c>
      <c r="K110" s="52" t="str">
        <f>VLOOKUP(I110,Bioeconomía!$A$1:$C$13,3,FALSE)</f>
        <v>Ninguno</v>
      </c>
    </row>
    <row r="111">
      <c r="A111" s="53" t="s">
        <v>59</v>
      </c>
      <c r="B111" s="54" t="s">
        <v>53</v>
      </c>
      <c r="C111" s="54" t="n">
        <v>3003.0162638239958</v>
      </c>
      <c r="D111" s="54" t="s">
        <v>33</v>
      </c>
      <c r="E111" s="54" t="n">
        <v>6</v>
      </c>
      <c r="F111" s="54" t="s">
        <v>27</v>
      </c>
      <c r="G111" s="51" t="str">
        <f>VLOOKUP(E111,Bioeconomía!$A$1:$C$13,3,FALSE)</f>
        <v>No Bioeconomía</v>
      </c>
      <c r="H111" s="54" t="s">
        <v>9</v>
      </c>
      <c r="I111" s="54" t="s">
        <v>35</v>
      </c>
      <c r="J111" s="54" t="s">
        <v>35</v>
      </c>
      <c r="K111" s="52" t="str">
        <f>VLOOKUP(I111,Bioeconomía!$A$1:$C$13,3,FALSE)</f>
        <v>Ninguno</v>
      </c>
    </row>
    <row r="112">
      <c r="A112" s="50" t="s">
        <v>60</v>
      </c>
      <c r="B112" s="51" t="s">
        <v>36</v>
      </c>
      <c r="C112" s="51" t="n">
        <v>1062.4133737383852</v>
      </c>
      <c r="D112" s="51" t="s">
        <v>33</v>
      </c>
      <c r="E112" s="51" t="n">
        <v>7</v>
      </c>
      <c r="F112" s="51" t="s">
        <v>28</v>
      </c>
      <c r="G112" s="51" t="str">
        <f>VLOOKUP(E112,Bioeconomía!$A$1:$C$13,3,FALSE)</f>
        <v>No Bioeconomía</v>
      </c>
      <c r="H112" s="51" t="s">
        <v>34</v>
      </c>
      <c r="I112" s="51" t="n">
        <v>1</v>
      </c>
      <c r="J112" s="51" t="s">
        <v>22</v>
      </c>
      <c r="K112" s="52" t="str">
        <f>VLOOKUP(I112,Bioeconomía!$A$1:$C$13,3,FALSE)</f>
        <v>Bioeconomía</v>
      </c>
    </row>
    <row r="113">
      <c r="A113" s="53" t="s">
        <v>60</v>
      </c>
      <c r="B113" s="54" t="s">
        <v>37</v>
      </c>
      <c r="C113" s="54" t="n">
        <v>1833.5671296604153</v>
      </c>
      <c r="D113" s="54" t="s">
        <v>33</v>
      </c>
      <c r="E113" s="54" t="n">
        <v>7</v>
      </c>
      <c r="F113" s="54" t="s">
        <v>28</v>
      </c>
      <c r="G113" s="51" t="str">
        <f>VLOOKUP(E113,Bioeconomía!$A$1:$C$13,3,FALSE)</f>
        <v>No Bioeconomía</v>
      </c>
      <c r="H113" s="54" t="s">
        <v>34</v>
      </c>
      <c r="I113" s="54" t="n">
        <v>2</v>
      </c>
      <c r="J113" s="54" t="s">
        <v>23</v>
      </c>
      <c r="K113" s="52" t="str">
        <f>VLOOKUP(I113,Bioeconomía!$A$1:$C$13,3,FALSE)</f>
        <v>No Bioeconomía</v>
      </c>
    </row>
    <row r="114">
      <c r="A114" s="50" t="s">
        <v>60</v>
      </c>
      <c r="B114" s="51" t="s">
        <v>38</v>
      </c>
      <c r="C114" s="51" t="n">
        <v>4744.7545438125126</v>
      </c>
      <c r="D114" s="51" t="s">
        <v>33</v>
      </c>
      <c r="E114" s="51" t="n">
        <v>7</v>
      </c>
      <c r="F114" s="51" t="s">
        <v>28</v>
      </c>
      <c r="G114" s="51" t="str">
        <f>VLOOKUP(E114,Bioeconomía!$A$1:$C$13,3,FALSE)</f>
        <v>No Bioeconomía</v>
      </c>
      <c r="H114" s="51" t="s">
        <v>34</v>
      </c>
      <c r="I114" s="51" t="n">
        <v>3</v>
      </c>
      <c r="J114" s="51" t="s">
        <v>24</v>
      </c>
      <c r="K114" s="52" t="str">
        <f>VLOOKUP(I114,Bioeconomía!$A$1:$C$13,3,FALSE)</f>
        <v>No Bioeconomía</v>
      </c>
    </row>
    <row r="115">
      <c r="A115" s="53" t="s">
        <v>60</v>
      </c>
      <c r="B115" s="54" t="s">
        <v>39</v>
      </c>
      <c r="C115" s="54" t="n">
        <v>530.47941388537822</v>
      </c>
      <c r="D115" s="54" t="s">
        <v>33</v>
      </c>
      <c r="E115" s="54" t="n">
        <v>7</v>
      </c>
      <c r="F115" s="54" t="s">
        <v>28</v>
      </c>
      <c r="G115" s="51" t="str">
        <f>VLOOKUP(E115,Bioeconomía!$A$1:$C$13,3,FALSE)</f>
        <v>No Bioeconomía</v>
      </c>
      <c r="H115" s="54" t="s">
        <v>34</v>
      </c>
      <c r="I115" s="54" t="n">
        <v>4</v>
      </c>
      <c r="J115" s="54" t="s">
        <v>25</v>
      </c>
      <c r="K115" s="52" t="str">
        <f>VLOOKUP(I115,Bioeconomía!$A$1:$C$13,3,FALSE)</f>
        <v>No Bioeconomía</v>
      </c>
    </row>
    <row r="116">
      <c r="A116" s="50" t="s">
        <v>60</v>
      </c>
      <c r="B116" s="51" t="s">
        <v>40</v>
      </c>
      <c r="C116" s="51" t="n">
        <v>1031.9693618789372</v>
      </c>
      <c r="D116" s="51" t="s">
        <v>33</v>
      </c>
      <c r="E116" s="51" t="n">
        <v>7</v>
      </c>
      <c r="F116" s="51" t="s">
        <v>28</v>
      </c>
      <c r="G116" s="51" t="str">
        <f>VLOOKUP(E116,Bioeconomía!$A$1:$C$13,3,FALSE)</f>
        <v>No Bioeconomía</v>
      </c>
      <c r="H116" s="51" t="s">
        <v>34</v>
      </c>
      <c r="I116" s="51" t="n">
        <v>5</v>
      </c>
      <c r="J116" s="51" t="s">
        <v>26</v>
      </c>
      <c r="K116" s="52" t="str">
        <f>VLOOKUP(I116,Bioeconomía!$A$1:$C$13,3,FALSE)</f>
        <v>No Bioeconomía</v>
      </c>
    </row>
    <row r="117">
      <c r="A117" s="53" t="s">
        <v>60</v>
      </c>
      <c r="B117" s="54" t="s">
        <v>41</v>
      </c>
      <c r="C117" s="54" t="n">
        <v>7309.3569906340563</v>
      </c>
      <c r="D117" s="54" t="s">
        <v>33</v>
      </c>
      <c r="E117" s="54" t="n">
        <v>7</v>
      </c>
      <c r="F117" s="54" t="s">
        <v>28</v>
      </c>
      <c r="G117" s="51" t="str">
        <f>VLOOKUP(E117,Bioeconomía!$A$1:$C$13,3,FALSE)</f>
        <v>No Bioeconomía</v>
      </c>
      <c r="H117" s="54" t="s">
        <v>34</v>
      </c>
      <c r="I117" s="54" t="n">
        <v>6</v>
      </c>
      <c r="J117" s="54" t="s">
        <v>27</v>
      </c>
      <c r="K117" s="52" t="str">
        <f>VLOOKUP(I117,Bioeconomía!$A$1:$C$13,3,FALSE)</f>
        <v>No Bioeconomía</v>
      </c>
    </row>
    <row r="118">
      <c r="A118" s="50" t="s">
        <v>60</v>
      </c>
      <c r="B118" s="51" t="s">
        <v>42</v>
      </c>
      <c r="C118" s="51" t="n">
        <v>8000.1396888266036</v>
      </c>
      <c r="D118" s="51" t="s">
        <v>33</v>
      </c>
      <c r="E118" s="51" t="n">
        <v>7</v>
      </c>
      <c r="F118" s="51" t="s">
        <v>28</v>
      </c>
      <c r="G118" s="51" t="str">
        <f>VLOOKUP(E118,Bioeconomía!$A$1:$C$13,3,FALSE)</f>
        <v>No Bioeconomía</v>
      </c>
      <c r="H118" s="51" t="s">
        <v>34</v>
      </c>
      <c r="I118" s="51" t="n">
        <v>7</v>
      </c>
      <c r="J118" s="51" t="s">
        <v>28</v>
      </c>
      <c r="K118" s="52" t="str">
        <f>VLOOKUP(I118,Bioeconomía!$A$1:$C$13,3,FALSE)</f>
        <v>No Bioeconomía</v>
      </c>
    </row>
    <row r="119">
      <c r="A119" s="53" t="s">
        <v>60</v>
      </c>
      <c r="B119" s="54" t="s">
        <v>43</v>
      </c>
      <c r="C119" s="54" t="n">
        <v>904.07699024263366</v>
      </c>
      <c r="D119" s="54" t="s">
        <v>33</v>
      </c>
      <c r="E119" s="54" t="n">
        <v>7</v>
      </c>
      <c r="F119" s="54" t="s">
        <v>28</v>
      </c>
      <c r="G119" s="51" t="str">
        <f>VLOOKUP(E119,Bioeconomía!$A$1:$C$13,3,FALSE)</f>
        <v>No Bioeconomía</v>
      </c>
      <c r="H119" s="54" t="s">
        <v>34</v>
      </c>
      <c r="I119" s="54" t="n">
        <v>8</v>
      </c>
      <c r="J119" s="54" t="s">
        <v>20</v>
      </c>
      <c r="K119" s="52" t="str">
        <f>VLOOKUP(I119,Bioeconomía!$A$1:$C$13,3,FALSE)</f>
        <v>No Bioeconomía</v>
      </c>
    </row>
    <row r="120">
      <c r="A120" s="50" t="s">
        <v>60</v>
      </c>
      <c r="B120" s="51" t="s">
        <v>44</v>
      </c>
      <c r="C120" s="51" t="n">
        <v>77.339440803232648</v>
      </c>
      <c r="D120" s="51" t="s">
        <v>33</v>
      </c>
      <c r="E120" s="51" t="n">
        <v>7</v>
      </c>
      <c r="F120" s="51" t="s">
        <v>28</v>
      </c>
      <c r="G120" s="51" t="str">
        <f>VLOOKUP(E120,Bioeconomía!$A$1:$C$13,3,FALSE)</f>
        <v>No Bioeconomía</v>
      </c>
      <c r="H120" s="51" t="s">
        <v>34</v>
      </c>
      <c r="I120" s="51" t="n">
        <v>9</v>
      </c>
      <c r="J120" s="51" t="s">
        <v>29</v>
      </c>
      <c r="K120" s="52" t="str">
        <f>VLOOKUP(I120,Bioeconomía!$A$1:$C$13,3,FALSE)</f>
        <v>No Bioeconomía</v>
      </c>
    </row>
    <row r="121">
      <c r="A121" s="53" t="s">
        <v>60</v>
      </c>
      <c r="B121" s="54" t="s">
        <v>45</v>
      </c>
      <c r="C121" s="54" t="n">
        <v>1471.0034731919143</v>
      </c>
      <c r="D121" s="54" t="s">
        <v>33</v>
      </c>
      <c r="E121" s="54" t="n">
        <v>7</v>
      </c>
      <c r="F121" s="54" t="s">
        <v>28</v>
      </c>
      <c r="G121" s="51" t="str">
        <f>VLOOKUP(E121,Bioeconomía!$A$1:$C$13,3,FALSE)</f>
        <v>No Bioeconomía</v>
      </c>
      <c r="H121" s="54" t="s">
        <v>34</v>
      </c>
      <c r="I121" s="54" t="n">
        <v>10</v>
      </c>
      <c r="J121" s="54" t="s">
        <v>30</v>
      </c>
      <c r="K121" s="52" t="str">
        <f>VLOOKUP(I121,Bioeconomía!$A$1:$C$13,3,FALSE)</f>
        <v>Bioeconomía extendida</v>
      </c>
    </row>
    <row r="122">
      <c r="A122" s="50" t="s">
        <v>60</v>
      </c>
      <c r="B122" s="51" t="s">
        <v>46</v>
      </c>
      <c r="C122" s="51" t="n">
        <v>863.62840417232007</v>
      </c>
      <c r="D122" s="51" t="s">
        <v>33</v>
      </c>
      <c r="E122" s="51" t="n">
        <v>7</v>
      </c>
      <c r="F122" s="51" t="s">
        <v>28</v>
      </c>
      <c r="G122" s="51" t="str">
        <f>VLOOKUP(E122,Bioeconomía!$A$1:$C$13,3,FALSE)</f>
        <v>No Bioeconomía</v>
      </c>
      <c r="H122" s="51" t="s">
        <v>34</v>
      </c>
      <c r="I122" s="51" t="n">
        <v>11</v>
      </c>
      <c r="J122" s="51" t="s">
        <v>31</v>
      </c>
      <c r="K122" s="52" t="str">
        <f>VLOOKUP(I122,Bioeconomía!$A$1:$C$13,3,FALSE)</f>
        <v>No Bioeconomía</v>
      </c>
    </row>
    <row r="123">
      <c r="A123" s="53" t="s">
        <v>60</v>
      </c>
      <c r="B123" s="54" t="s">
        <v>47</v>
      </c>
      <c r="C123" s="54" t="n">
        <v>594.23803054473694</v>
      </c>
      <c r="D123" s="54" t="s">
        <v>33</v>
      </c>
      <c r="E123" s="54" t="n">
        <v>7</v>
      </c>
      <c r="F123" s="54" t="s">
        <v>28</v>
      </c>
      <c r="G123" s="51" t="str">
        <f>VLOOKUP(E123,Bioeconomía!$A$1:$C$13,3,FALSE)</f>
        <v>No Bioeconomía</v>
      </c>
      <c r="H123" s="54" t="s">
        <v>34</v>
      </c>
      <c r="I123" s="54" t="n">
        <v>12</v>
      </c>
      <c r="J123" s="54" t="s">
        <v>21</v>
      </c>
      <c r="K123" s="52" t="str">
        <f>VLOOKUP(I123,Bioeconomía!$A$1:$C$13,3,FALSE)</f>
        <v>No Bioeconomía</v>
      </c>
    </row>
    <row r="124">
      <c r="A124" s="50" t="s">
        <v>60</v>
      </c>
      <c r="B124" s="51" t="s">
        <v>48</v>
      </c>
      <c r="C124" s="51" t="n">
        <v>11716.771316548366</v>
      </c>
      <c r="D124" s="51" t="s">
        <v>33</v>
      </c>
      <c r="E124" s="51" t="n">
        <v>7</v>
      </c>
      <c r="F124" s="51" t="s">
        <v>28</v>
      </c>
      <c r="G124" s="51" t="str">
        <f>VLOOKUP(E124,Bioeconomía!$A$1:$C$13,3,FALSE)</f>
        <v>No Bioeconomía</v>
      </c>
      <c r="H124" s="51" t="s">
        <v>4</v>
      </c>
      <c r="I124" s="51" t="s">
        <v>35</v>
      </c>
      <c r="J124" s="51" t="s">
        <v>35</v>
      </c>
      <c r="K124" s="52" t="str">
        <f>VLOOKUP(I124,Bioeconomía!$A$1:$C$13,3,FALSE)</f>
        <v>Ninguno</v>
      </c>
    </row>
    <row r="125">
      <c r="A125" s="53" t="s">
        <v>60</v>
      </c>
      <c r="B125" s="54" t="s">
        <v>49</v>
      </c>
      <c r="C125" s="54" t="n">
        <v>0</v>
      </c>
      <c r="D125" s="54" t="s">
        <v>33</v>
      </c>
      <c r="E125" s="54" t="n">
        <v>7</v>
      </c>
      <c r="F125" s="54" t="s">
        <v>28</v>
      </c>
      <c r="G125" s="51" t="str">
        <f>VLOOKUP(E125,Bioeconomía!$A$1:$C$13,3,FALSE)</f>
        <v>No Bioeconomía</v>
      </c>
      <c r="H125" s="54" t="s">
        <v>5</v>
      </c>
      <c r="I125" s="54" t="s">
        <v>35</v>
      </c>
      <c r="J125" s="54" t="s">
        <v>35</v>
      </c>
      <c r="K125" s="52" t="str">
        <f>VLOOKUP(I125,Bioeconomía!$A$1:$C$13,3,FALSE)</f>
        <v>Ninguno</v>
      </c>
    </row>
    <row r="126">
      <c r="A126" s="50" t="s">
        <v>60</v>
      </c>
      <c r="B126" s="51" t="s">
        <v>50</v>
      </c>
      <c r="C126" s="51" t="n">
        <v>10.022818548600483</v>
      </c>
      <c r="D126" s="51" t="s">
        <v>33</v>
      </c>
      <c r="E126" s="51" t="n">
        <v>7</v>
      </c>
      <c r="F126" s="51" t="s">
        <v>28</v>
      </c>
      <c r="G126" s="51" t="str">
        <f>VLOOKUP(E126,Bioeconomía!$A$1:$C$13,3,FALSE)</f>
        <v>No Bioeconomía</v>
      </c>
      <c r="H126" s="51" t="s">
        <v>6</v>
      </c>
      <c r="I126" s="51" t="s">
        <v>35</v>
      </c>
      <c r="J126" s="51" t="s">
        <v>35</v>
      </c>
      <c r="K126" s="52" t="str">
        <f>VLOOKUP(I126,Bioeconomía!$A$1:$C$13,3,FALSE)</f>
        <v>Ninguno</v>
      </c>
    </row>
    <row r="127">
      <c r="A127" s="53" t="s">
        <v>60</v>
      </c>
      <c r="B127" s="54" t="s">
        <v>51</v>
      </c>
      <c r="C127" s="54" t="n">
        <v>2908.8034916749398</v>
      </c>
      <c r="D127" s="54" t="s">
        <v>33</v>
      </c>
      <c r="E127" s="54" t="n">
        <v>7</v>
      </c>
      <c r="F127" s="54" t="s">
        <v>28</v>
      </c>
      <c r="G127" s="51" t="str">
        <f>VLOOKUP(E127,Bioeconomía!$A$1:$C$13,3,FALSE)</f>
        <v>No Bioeconomía</v>
      </c>
      <c r="H127" s="54" t="s">
        <v>7</v>
      </c>
      <c r="I127" s="54" t="s">
        <v>35</v>
      </c>
      <c r="J127" s="54" t="s">
        <v>35</v>
      </c>
      <c r="K127" s="52" t="str">
        <f>VLOOKUP(I127,Bioeconomía!$A$1:$C$13,3,FALSE)</f>
        <v>Ninguno</v>
      </c>
    </row>
    <row r="128">
      <c r="A128" s="50" t="s">
        <v>60</v>
      </c>
      <c r="B128" s="51" t="s">
        <v>52</v>
      </c>
      <c r="C128" s="51" t="n">
        <v>0</v>
      </c>
      <c r="D128" s="51" t="s">
        <v>33</v>
      </c>
      <c r="E128" s="51" t="n">
        <v>7</v>
      </c>
      <c r="F128" s="51" t="s">
        <v>28</v>
      </c>
      <c r="G128" s="51" t="str">
        <f>VLOOKUP(E128,Bioeconomía!$A$1:$C$13,3,FALSE)</f>
        <v>No Bioeconomía</v>
      </c>
      <c r="H128" s="51" t="s">
        <v>8</v>
      </c>
      <c r="I128" s="51" t="s">
        <v>35</v>
      </c>
      <c r="J128" s="51" t="s">
        <v>35</v>
      </c>
      <c r="K128" s="52" t="str">
        <f>VLOOKUP(I128,Bioeconomía!$A$1:$C$13,3,FALSE)</f>
        <v>Ninguno</v>
      </c>
    </row>
    <row r="129">
      <c r="A129" s="53" t="s">
        <v>60</v>
      </c>
      <c r="B129" s="54" t="s">
        <v>53</v>
      </c>
      <c r="C129" s="54" t="n">
        <v>4108.0305736087175</v>
      </c>
      <c r="D129" s="54" t="s">
        <v>33</v>
      </c>
      <c r="E129" s="54" t="n">
        <v>7</v>
      </c>
      <c r="F129" s="54" t="s">
        <v>28</v>
      </c>
      <c r="G129" s="51" t="str">
        <f>VLOOKUP(E129,Bioeconomía!$A$1:$C$13,3,FALSE)</f>
        <v>No Bioeconomía</v>
      </c>
      <c r="H129" s="54" t="s">
        <v>9</v>
      </c>
      <c r="I129" s="54" t="s">
        <v>35</v>
      </c>
      <c r="J129" s="54" t="s">
        <v>35</v>
      </c>
      <c r="K129" s="52" t="str">
        <f>VLOOKUP(I129,Bioeconomía!$A$1:$C$13,3,FALSE)</f>
        <v>Ninguno</v>
      </c>
    </row>
    <row r="130">
      <c r="A130" s="50" t="s">
        <v>61</v>
      </c>
      <c r="B130" s="51" t="s">
        <v>36</v>
      </c>
      <c r="C130" s="51" t="n">
        <v>310.09645740051849</v>
      </c>
      <c r="D130" s="51" t="s">
        <v>33</v>
      </c>
      <c r="E130" s="51" t="n">
        <v>8</v>
      </c>
      <c r="F130" s="51" t="s">
        <v>20</v>
      </c>
      <c r="G130" s="51" t="str">
        <f>VLOOKUP(E130,Bioeconomía!$A$1:$C$13,3,FALSE)</f>
        <v>No Bioeconomía</v>
      </c>
      <c r="H130" s="51" t="s">
        <v>34</v>
      </c>
      <c r="I130" s="51" t="n">
        <v>1</v>
      </c>
      <c r="J130" s="51" t="s">
        <v>22</v>
      </c>
      <c r="K130" s="52" t="str">
        <f>VLOOKUP(I130,Bioeconomía!$A$1:$C$13,3,FALSE)</f>
        <v>Bioeconomía</v>
      </c>
    </row>
    <row r="131">
      <c r="A131" s="53" t="s">
        <v>61</v>
      </c>
      <c r="B131" s="54" t="s">
        <v>37</v>
      </c>
      <c r="C131" s="54" t="n">
        <v>274.66528525786589</v>
      </c>
      <c r="D131" s="54" t="s">
        <v>33</v>
      </c>
      <c r="E131" s="54" t="n">
        <v>8</v>
      </c>
      <c r="F131" s="54" t="s">
        <v>20</v>
      </c>
      <c r="G131" s="51" t="str">
        <f>VLOOKUP(E131,Bioeconomía!$A$1:$C$13,3,FALSE)</f>
        <v>No Bioeconomía</v>
      </c>
      <c r="H131" s="54" t="s">
        <v>34</v>
      </c>
      <c r="I131" s="54" t="n">
        <v>2</v>
      </c>
      <c r="J131" s="54" t="s">
        <v>23</v>
      </c>
      <c r="K131" s="52" t="str">
        <f>VLOOKUP(I131,Bioeconomía!$A$1:$C$13,3,FALSE)</f>
        <v>No Bioeconomía</v>
      </c>
    </row>
    <row r="132">
      <c r="A132" s="50" t="s">
        <v>61</v>
      </c>
      <c r="B132" s="51" t="s">
        <v>38</v>
      </c>
      <c r="C132" s="51" t="n">
        <v>810.19138986447888</v>
      </c>
      <c r="D132" s="51" t="s">
        <v>33</v>
      </c>
      <c r="E132" s="51" t="n">
        <v>8</v>
      </c>
      <c r="F132" s="51" t="s">
        <v>20</v>
      </c>
      <c r="G132" s="51" t="str">
        <f>VLOOKUP(E132,Bioeconomía!$A$1:$C$13,3,FALSE)</f>
        <v>No Bioeconomía</v>
      </c>
      <c r="H132" s="51" t="s">
        <v>34</v>
      </c>
      <c r="I132" s="51" t="n">
        <v>3</v>
      </c>
      <c r="J132" s="51" t="s">
        <v>24</v>
      </c>
      <c r="K132" s="52" t="str">
        <f>VLOOKUP(I132,Bioeconomía!$A$1:$C$13,3,FALSE)</f>
        <v>No Bioeconomía</v>
      </c>
    </row>
    <row r="133">
      <c r="A133" s="53" t="s">
        <v>61</v>
      </c>
      <c r="B133" s="54" t="s">
        <v>39</v>
      </c>
      <c r="C133" s="54" t="n">
        <v>363.093240764916</v>
      </c>
      <c r="D133" s="54" t="s">
        <v>33</v>
      </c>
      <c r="E133" s="54" t="n">
        <v>8</v>
      </c>
      <c r="F133" s="54" t="s">
        <v>20</v>
      </c>
      <c r="G133" s="51" t="str">
        <f>VLOOKUP(E133,Bioeconomía!$A$1:$C$13,3,FALSE)</f>
        <v>No Bioeconomía</v>
      </c>
      <c r="H133" s="54" t="s">
        <v>34</v>
      </c>
      <c r="I133" s="54" t="n">
        <v>4</v>
      </c>
      <c r="J133" s="54" t="s">
        <v>25</v>
      </c>
      <c r="K133" s="52" t="str">
        <f>VLOOKUP(I133,Bioeconomía!$A$1:$C$13,3,FALSE)</f>
        <v>No Bioeconomía</v>
      </c>
    </row>
    <row r="134">
      <c r="A134" s="50" t="s">
        <v>61</v>
      </c>
      <c r="B134" s="51" t="s">
        <v>40</v>
      </c>
      <c r="C134" s="51" t="n">
        <v>584.48260935479061</v>
      </c>
      <c r="D134" s="51" t="s">
        <v>33</v>
      </c>
      <c r="E134" s="51" t="n">
        <v>8</v>
      </c>
      <c r="F134" s="51" t="s">
        <v>20</v>
      </c>
      <c r="G134" s="51" t="str">
        <f>VLOOKUP(E134,Bioeconomía!$A$1:$C$13,3,FALSE)</f>
        <v>No Bioeconomía</v>
      </c>
      <c r="H134" s="51" t="s">
        <v>34</v>
      </c>
      <c r="I134" s="51" t="n">
        <v>5</v>
      </c>
      <c r="J134" s="51" t="s">
        <v>26</v>
      </c>
      <c r="K134" s="52" t="str">
        <f>VLOOKUP(I134,Bioeconomía!$A$1:$C$13,3,FALSE)</f>
        <v>No Bioeconomía</v>
      </c>
    </row>
    <row r="135">
      <c r="A135" s="53" t="s">
        <v>61</v>
      </c>
      <c r="B135" s="54" t="s">
        <v>41</v>
      </c>
      <c r="C135" s="54" t="n">
        <v>1750.6706525790887</v>
      </c>
      <c r="D135" s="54" t="s">
        <v>33</v>
      </c>
      <c r="E135" s="54" t="n">
        <v>8</v>
      </c>
      <c r="F135" s="54" t="s">
        <v>20</v>
      </c>
      <c r="G135" s="51" t="str">
        <f>VLOOKUP(E135,Bioeconomía!$A$1:$C$13,3,FALSE)</f>
        <v>No Bioeconomía</v>
      </c>
      <c r="H135" s="54" t="s">
        <v>34</v>
      </c>
      <c r="I135" s="54" t="n">
        <v>6</v>
      </c>
      <c r="J135" s="54" t="s">
        <v>27</v>
      </c>
      <c r="K135" s="52" t="str">
        <f>VLOOKUP(I135,Bioeconomía!$A$1:$C$13,3,FALSE)</f>
        <v>No Bioeconomía</v>
      </c>
    </row>
    <row r="136">
      <c r="A136" s="50" t="s">
        <v>61</v>
      </c>
      <c r="B136" s="51" t="s">
        <v>42</v>
      </c>
      <c r="C136" s="51" t="n">
        <v>635.75459166565099</v>
      </c>
      <c r="D136" s="51" t="s">
        <v>33</v>
      </c>
      <c r="E136" s="51" t="n">
        <v>8</v>
      </c>
      <c r="F136" s="51" t="s">
        <v>20</v>
      </c>
      <c r="G136" s="51" t="str">
        <f>VLOOKUP(E136,Bioeconomía!$A$1:$C$13,3,FALSE)</f>
        <v>No Bioeconomía</v>
      </c>
      <c r="H136" s="51" t="s">
        <v>34</v>
      </c>
      <c r="I136" s="51" t="n">
        <v>7</v>
      </c>
      <c r="J136" s="51" t="s">
        <v>28</v>
      </c>
      <c r="K136" s="52" t="str">
        <f>VLOOKUP(I136,Bioeconomía!$A$1:$C$13,3,FALSE)</f>
        <v>No Bioeconomía</v>
      </c>
    </row>
    <row r="137">
      <c r="A137" s="53" t="s">
        <v>61</v>
      </c>
      <c r="B137" s="54" t="s">
        <v>43</v>
      </c>
      <c r="C137" s="54" t="n">
        <v>5982.5788079375088</v>
      </c>
      <c r="D137" s="54" t="s">
        <v>33</v>
      </c>
      <c r="E137" s="54" t="n">
        <v>8</v>
      </c>
      <c r="F137" s="54" t="s">
        <v>20</v>
      </c>
      <c r="G137" s="51" t="str">
        <f>VLOOKUP(E137,Bioeconomía!$A$1:$C$13,3,FALSE)</f>
        <v>No Bioeconomía</v>
      </c>
      <c r="H137" s="54" t="s">
        <v>34</v>
      </c>
      <c r="I137" s="54" t="n">
        <v>8</v>
      </c>
      <c r="J137" s="54" t="s">
        <v>20</v>
      </c>
      <c r="K137" s="52" t="str">
        <f>VLOOKUP(I137,Bioeconomía!$A$1:$C$13,3,FALSE)</f>
        <v>No Bioeconomía</v>
      </c>
    </row>
    <row r="138">
      <c r="A138" s="50" t="s">
        <v>61</v>
      </c>
      <c r="B138" s="51" t="s">
        <v>44</v>
      </c>
      <c r="C138" s="51" t="n">
        <v>617.14534693199323</v>
      </c>
      <c r="D138" s="51" t="s">
        <v>33</v>
      </c>
      <c r="E138" s="51" t="n">
        <v>8</v>
      </c>
      <c r="F138" s="51" t="s">
        <v>20</v>
      </c>
      <c r="G138" s="51" t="str">
        <f>VLOOKUP(E138,Bioeconomía!$A$1:$C$13,3,FALSE)</f>
        <v>No Bioeconomía</v>
      </c>
      <c r="H138" s="51" t="s">
        <v>34</v>
      </c>
      <c r="I138" s="51" t="n">
        <v>9</v>
      </c>
      <c r="J138" s="51" t="s">
        <v>29</v>
      </c>
      <c r="K138" s="52" t="str">
        <f>VLOOKUP(I138,Bioeconomía!$A$1:$C$13,3,FALSE)</f>
        <v>No Bioeconomía</v>
      </c>
    </row>
    <row r="139">
      <c r="A139" s="53" t="s">
        <v>61</v>
      </c>
      <c r="B139" s="54" t="s">
        <v>45</v>
      </c>
      <c r="C139" s="54" t="n">
        <v>898.43815273963571</v>
      </c>
      <c r="D139" s="54" t="s">
        <v>33</v>
      </c>
      <c r="E139" s="54" t="n">
        <v>8</v>
      </c>
      <c r="F139" s="54" t="s">
        <v>20</v>
      </c>
      <c r="G139" s="51" t="str">
        <f>VLOOKUP(E139,Bioeconomía!$A$1:$C$13,3,FALSE)</f>
        <v>No Bioeconomía</v>
      </c>
      <c r="H139" s="54" t="s">
        <v>34</v>
      </c>
      <c r="I139" s="54" t="n">
        <v>10</v>
      </c>
      <c r="J139" s="54" t="s">
        <v>30</v>
      </c>
      <c r="K139" s="52" t="str">
        <f>VLOOKUP(I139,Bioeconomía!$A$1:$C$13,3,FALSE)</f>
        <v>Bioeconomía extendida</v>
      </c>
    </row>
    <row r="140">
      <c r="A140" s="50" t="s">
        <v>61</v>
      </c>
      <c r="B140" s="51" t="s">
        <v>46</v>
      </c>
      <c r="C140" s="51" t="n">
        <v>327.8381041152071</v>
      </c>
      <c r="D140" s="51" t="s">
        <v>33</v>
      </c>
      <c r="E140" s="51" t="n">
        <v>8</v>
      </c>
      <c r="F140" s="51" t="s">
        <v>20</v>
      </c>
      <c r="G140" s="51" t="str">
        <f>VLOOKUP(E140,Bioeconomía!$A$1:$C$13,3,FALSE)</f>
        <v>No Bioeconomía</v>
      </c>
      <c r="H140" s="51" t="s">
        <v>34</v>
      </c>
      <c r="I140" s="51" t="n">
        <v>11</v>
      </c>
      <c r="J140" s="51" t="s">
        <v>31</v>
      </c>
      <c r="K140" s="52" t="str">
        <f>VLOOKUP(I140,Bioeconomía!$A$1:$C$13,3,FALSE)</f>
        <v>No Bioeconomía</v>
      </c>
    </row>
    <row r="141">
      <c r="A141" s="53" t="s">
        <v>61</v>
      </c>
      <c r="B141" s="54" t="s">
        <v>47</v>
      </c>
      <c r="C141" s="54" t="n">
        <v>248.25606623159638</v>
      </c>
      <c r="D141" s="54" t="s">
        <v>33</v>
      </c>
      <c r="E141" s="54" t="n">
        <v>8</v>
      </c>
      <c r="F141" s="54" t="s">
        <v>20</v>
      </c>
      <c r="G141" s="51" t="str">
        <f>VLOOKUP(E141,Bioeconomía!$A$1:$C$13,3,FALSE)</f>
        <v>No Bioeconomía</v>
      </c>
      <c r="H141" s="54" t="s">
        <v>34</v>
      </c>
      <c r="I141" s="54" t="n">
        <v>12</v>
      </c>
      <c r="J141" s="54" t="s">
        <v>21</v>
      </c>
      <c r="K141" s="52" t="str">
        <f>VLOOKUP(I141,Bioeconomía!$A$1:$C$13,3,FALSE)</f>
        <v>No Bioeconomía</v>
      </c>
    </row>
    <row r="142">
      <c r="A142" s="50" t="s">
        <v>61</v>
      </c>
      <c r="B142" s="51" t="s">
        <v>48</v>
      </c>
      <c r="C142" s="51" t="n">
        <v>7988.7193001477608</v>
      </c>
      <c r="D142" s="51" t="s">
        <v>33</v>
      </c>
      <c r="E142" s="51" t="n">
        <v>8</v>
      </c>
      <c r="F142" s="51" t="s">
        <v>20</v>
      </c>
      <c r="G142" s="51" t="str">
        <f>VLOOKUP(E142,Bioeconomía!$A$1:$C$13,3,FALSE)</f>
        <v>No Bioeconomía</v>
      </c>
      <c r="H142" s="51" t="s">
        <v>4</v>
      </c>
      <c r="I142" s="51" t="s">
        <v>35</v>
      </c>
      <c r="J142" s="51" t="s">
        <v>35</v>
      </c>
      <c r="K142" s="52" t="str">
        <f>VLOOKUP(I142,Bioeconomía!$A$1:$C$13,3,FALSE)</f>
        <v>Ninguno</v>
      </c>
    </row>
    <row r="143">
      <c r="A143" s="53" t="s">
        <v>61</v>
      </c>
      <c r="B143" s="54" t="s">
        <v>49</v>
      </c>
      <c r="C143" s="54" t="n">
        <v>0</v>
      </c>
      <c r="D143" s="54" t="s">
        <v>33</v>
      </c>
      <c r="E143" s="54" t="n">
        <v>8</v>
      </c>
      <c r="F143" s="54" t="s">
        <v>20</v>
      </c>
      <c r="G143" s="51" t="str">
        <f>VLOOKUP(E143,Bioeconomía!$A$1:$C$13,3,FALSE)</f>
        <v>No Bioeconomía</v>
      </c>
      <c r="H143" s="54" t="s">
        <v>5</v>
      </c>
      <c r="I143" s="54" t="s">
        <v>35</v>
      </c>
      <c r="J143" s="54" t="s">
        <v>35</v>
      </c>
      <c r="K143" s="52" t="str">
        <f>VLOOKUP(I143,Bioeconomía!$A$1:$C$13,3,FALSE)</f>
        <v>Ninguno</v>
      </c>
    </row>
    <row r="144">
      <c r="A144" s="50" t="s">
        <v>61</v>
      </c>
      <c r="B144" s="51" t="s">
        <v>50</v>
      </c>
      <c r="C144" s="51" t="n">
        <v>228.71296489010598</v>
      </c>
      <c r="D144" s="51" t="s">
        <v>33</v>
      </c>
      <c r="E144" s="51" t="n">
        <v>8</v>
      </c>
      <c r="F144" s="51" t="s">
        <v>20</v>
      </c>
      <c r="G144" s="51" t="str">
        <f>VLOOKUP(E144,Bioeconomía!$A$1:$C$13,3,FALSE)</f>
        <v>No Bioeconomía</v>
      </c>
      <c r="H144" s="51" t="s">
        <v>6</v>
      </c>
      <c r="I144" s="51" t="s">
        <v>35</v>
      </c>
      <c r="J144" s="51" t="s">
        <v>35</v>
      </c>
      <c r="K144" s="52" t="str">
        <f>VLOOKUP(I144,Bioeconomía!$A$1:$C$13,3,FALSE)</f>
        <v>Ninguno</v>
      </c>
    </row>
    <row r="145">
      <c r="A145" s="53" t="s">
        <v>61</v>
      </c>
      <c r="B145" s="54" t="s">
        <v>51</v>
      </c>
      <c r="C145" s="54" t="n">
        <v>61.206592899449085</v>
      </c>
      <c r="D145" s="54" t="s">
        <v>33</v>
      </c>
      <c r="E145" s="54" t="n">
        <v>8</v>
      </c>
      <c r="F145" s="54" t="s">
        <v>20</v>
      </c>
      <c r="G145" s="51" t="str">
        <f>VLOOKUP(E145,Bioeconomía!$A$1:$C$13,3,FALSE)</f>
        <v>No Bioeconomía</v>
      </c>
      <c r="H145" s="54" t="s">
        <v>7</v>
      </c>
      <c r="I145" s="54" t="s">
        <v>35</v>
      </c>
      <c r="J145" s="54" t="s">
        <v>35</v>
      </c>
      <c r="K145" s="52" t="str">
        <f>VLOOKUP(I145,Bioeconomía!$A$1:$C$13,3,FALSE)</f>
        <v>Ninguno</v>
      </c>
    </row>
    <row r="146">
      <c r="A146" s="50" t="s">
        <v>61</v>
      </c>
      <c r="B146" s="51" t="s">
        <v>52</v>
      </c>
      <c r="C146" s="51" t="n">
        <v>0</v>
      </c>
      <c r="D146" s="51" t="s">
        <v>33</v>
      </c>
      <c r="E146" s="51" t="n">
        <v>8</v>
      </c>
      <c r="F146" s="51" t="s">
        <v>20</v>
      </c>
      <c r="G146" s="51" t="str">
        <f>VLOOKUP(E146,Bioeconomía!$A$1:$C$13,3,FALSE)</f>
        <v>No Bioeconomía</v>
      </c>
      <c r="H146" s="51" t="s">
        <v>8</v>
      </c>
      <c r="I146" s="51" t="s">
        <v>35</v>
      </c>
      <c r="J146" s="51" t="s">
        <v>35</v>
      </c>
      <c r="K146" s="52" t="str">
        <f>VLOOKUP(I146,Bioeconomía!$A$1:$C$13,3,FALSE)</f>
        <v>Ninguno</v>
      </c>
    </row>
    <row r="147">
      <c r="A147" s="53" t="s">
        <v>61</v>
      </c>
      <c r="B147" s="54" t="s">
        <v>53</v>
      </c>
      <c r="C147" s="54" t="n">
        <v>723.43574874002161</v>
      </c>
      <c r="D147" s="54" t="s">
        <v>33</v>
      </c>
      <c r="E147" s="54" t="n">
        <v>8</v>
      </c>
      <c r="F147" s="54" t="s">
        <v>20</v>
      </c>
      <c r="G147" s="51" t="str">
        <f>VLOOKUP(E147,Bioeconomía!$A$1:$C$13,3,FALSE)</f>
        <v>No Bioeconomía</v>
      </c>
      <c r="H147" s="54" t="s">
        <v>9</v>
      </c>
      <c r="I147" s="54" t="s">
        <v>35</v>
      </c>
      <c r="J147" s="54" t="s">
        <v>35</v>
      </c>
      <c r="K147" s="52" t="str">
        <f>VLOOKUP(I147,Bioeconomía!$A$1:$C$13,3,FALSE)</f>
        <v>Ninguno</v>
      </c>
    </row>
    <row r="148">
      <c r="A148" s="50" t="s">
        <v>62</v>
      </c>
      <c r="B148" s="51" t="s">
        <v>36</v>
      </c>
      <c r="C148" s="51" t="n">
        <v>52.019252663173717</v>
      </c>
      <c r="D148" s="51" t="s">
        <v>33</v>
      </c>
      <c r="E148" s="51" t="n">
        <v>9</v>
      </c>
      <c r="F148" s="51" t="s">
        <v>29</v>
      </c>
      <c r="G148" s="51" t="str">
        <f>VLOOKUP(E148,Bioeconomía!$A$1:$C$13,3,FALSE)</f>
        <v>No Bioeconomía</v>
      </c>
      <c r="H148" s="51" t="s">
        <v>34</v>
      </c>
      <c r="I148" s="51" t="n">
        <v>1</v>
      </c>
      <c r="J148" s="51" t="s">
        <v>22</v>
      </c>
      <c r="K148" s="52" t="str">
        <f>VLOOKUP(I148,Bioeconomía!$A$1:$C$13,3,FALSE)</f>
        <v>Bioeconomía</v>
      </c>
    </row>
    <row r="149">
      <c r="A149" s="53" t="s">
        <v>62</v>
      </c>
      <c r="B149" s="54" t="s">
        <v>37</v>
      </c>
      <c r="C149" s="54" t="n">
        <v>56.805470824236494</v>
      </c>
      <c r="D149" s="54" t="s">
        <v>33</v>
      </c>
      <c r="E149" s="54" t="n">
        <v>9</v>
      </c>
      <c r="F149" s="54" t="s">
        <v>29</v>
      </c>
      <c r="G149" s="51" t="str">
        <f>VLOOKUP(E149,Bioeconomía!$A$1:$C$13,3,FALSE)</f>
        <v>No Bioeconomía</v>
      </c>
      <c r="H149" s="54" t="s">
        <v>34</v>
      </c>
      <c r="I149" s="54" t="n">
        <v>2</v>
      </c>
      <c r="J149" s="54" t="s">
        <v>23</v>
      </c>
      <c r="K149" s="52" t="str">
        <f>VLOOKUP(I149,Bioeconomía!$A$1:$C$13,3,FALSE)</f>
        <v>No Bioeconomía</v>
      </c>
    </row>
    <row r="150">
      <c r="A150" s="50" t="s">
        <v>62</v>
      </c>
      <c r="B150" s="51" t="s">
        <v>38</v>
      </c>
      <c r="C150" s="51" t="n">
        <v>456.05277774667604</v>
      </c>
      <c r="D150" s="51" t="s">
        <v>33</v>
      </c>
      <c r="E150" s="51" t="n">
        <v>9</v>
      </c>
      <c r="F150" s="51" t="s">
        <v>29</v>
      </c>
      <c r="G150" s="51" t="str">
        <f>VLOOKUP(E150,Bioeconomía!$A$1:$C$13,3,FALSE)</f>
        <v>No Bioeconomía</v>
      </c>
      <c r="H150" s="51" t="s">
        <v>34</v>
      </c>
      <c r="I150" s="51" t="n">
        <v>3</v>
      </c>
      <c r="J150" s="51" t="s">
        <v>24</v>
      </c>
      <c r="K150" s="52" t="str">
        <f>VLOOKUP(I150,Bioeconomía!$A$1:$C$13,3,FALSE)</f>
        <v>No Bioeconomía</v>
      </c>
    </row>
    <row r="151">
      <c r="A151" s="53" t="s">
        <v>62</v>
      </c>
      <c r="B151" s="54" t="s">
        <v>39</v>
      </c>
      <c r="C151" s="54" t="n">
        <v>48.722291732972622</v>
      </c>
      <c r="D151" s="54" t="s">
        <v>33</v>
      </c>
      <c r="E151" s="54" t="n">
        <v>9</v>
      </c>
      <c r="F151" s="54" t="s">
        <v>29</v>
      </c>
      <c r="G151" s="51" t="str">
        <f>VLOOKUP(E151,Bioeconomía!$A$1:$C$13,3,FALSE)</f>
        <v>No Bioeconomía</v>
      </c>
      <c r="H151" s="54" t="s">
        <v>34</v>
      </c>
      <c r="I151" s="54" t="n">
        <v>4</v>
      </c>
      <c r="J151" s="54" t="s">
        <v>25</v>
      </c>
      <c r="K151" s="52" t="str">
        <f>VLOOKUP(I151,Bioeconomía!$A$1:$C$13,3,FALSE)</f>
        <v>No Bioeconomía</v>
      </c>
    </row>
    <row r="152">
      <c r="A152" s="50" t="s">
        <v>62</v>
      </c>
      <c r="B152" s="51" t="s">
        <v>40</v>
      </c>
      <c r="C152" s="51" t="n">
        <v>112.41270105040677</v>
      </c>
      <c r="D152" s="51" t="s">
        <v>33</v>
      </c>
      <c r="E152" s="51" t="n">
        <v>9</v>
      </c>
      <c r="F152" s="51" t="s">
        <v>29</v>
      </c>
      <c r="G152" s="51" t="str">
        <f>VLOOKUP(E152,Bioeconomía!$A$1:$C$13,3,FALSE)</f>
        <v>No Bioeconomía</v>
      </c>
      <c r="H152" s="51" t="s">
        <v>34</v>
      </c>
      <c r="I152" s="51" t="n">
        <v>5</v>
      </c>
      <c r="J152" s="51" t="s">
        <v>26</v>
      </c>
      <c r="K152" s="52" t="str">
        <f>VLOOKUP(I152,Bioeconomía!$A$1:$C$13,3,FALSE)</f>
        <v>No Bioeconomía</v>
      </c>
    </row>
    <row r="153">
      <c r="A153" s="53" t="s">
        <v>62</v>
      </c>
      <c r="B153" s="54" t="s">
        <v>41</v>
      </c>
      <c r="C153" s="54" t="n">
        <v>2527.8830313909971</v>
      </c>
      <c r="D153" s="54" t="s">
        <v>33</v>
      </c>
      <c r="E153" s="54" t="n">
        <v>9</v>
      </c>
      <c r="F153" s="54" t="s">
        <v>29</v>
      </c>
      <c r="G153" s="51" t="str">
        <f>VLOOKUP(E153,Bioeconomía!$A$1:$C$13,3,FALSE)</f>
        <v>No Bioeconomía</v>
      </c>
      <c r="H153" s="54" t="s">
        <v>34</v>
      </c>
      <c r="I153" s="54" t="n">
        <v>6</v>
      </c>
      <c r="J153" s="54" t="s">
        <v>27</v>
      </c>
      <c r="K153" s="52" t="str">
        <f>VLOOKUP(I153,Bioeconomía!$A$1:$C$13,3,FALSE)</f>
        <v>No Bioeconomía</v>
      </c>
    </row>
    <row r="154">
      <c r="A154" s="50" t="s">
        <v>62</v>
      </c>
      <c r="B154" s="51" t="s">
        <v>42</v>
      </c>
      <c r="C154" s="51" t="n">
        <v>644.81757888727145</v>
      </c>
      <c r="D154" s="51" t="s">
        <v>33</v>
      </c>
      <c r="E154" s="51" t="n">
        <v>9</v>
      </c>
      <c r="F154" s="51" t="s">
        <v>29</v>
      </c>
      <c r="G154" s="51" t="str">
        <f>VLOOKUP(E154,Bioeconomía!$A$1:$C$13,3,FALSE)</f>
        <v>No Bioeconomía</v>
      </c>
      <c r="H154" s="51" t="s">
        <v>34</v>
      </c>
      <c r="I154" s="51" t="n">
        <v>7</v>
      </c>
      <c r="J154" s="51" t="s">
        <v>28</v>
      </c>
      <c r="K154" s="52" t="str">
        <f>VLOOKUP(I154,Bioeconomía!$A$1:$C$13,3,FALSE)</f>
        <v>No Bioeconomía</v>
      </c>
    </row>
    <row r="155">
      <c r="A155" s="53" t="s">
        <v>62</v>
      </c>
      <c r="B155" s="54" t="s">
        <v>43</v>
      </c>
      <c r="C155" s="54" t="n">
        <v>458.16230248226009</v>
      </c>
      <c r="D155" s="54" t="s">
        <v>33</v>
      </c>
      <c r="E155" s="54" t="n">
        <v>9</v>
      </c>
      <c r="F155" s="54" t="s">
        <v>29</v>
      </c>
      <c r="G155" s="51" t="str">
        <f>VLOOKUP(E155,Bioeconomía!$A$1:$C$13,3,FALSE)</f>
        <v>No Bioeconomía</v>
      </c>
      <c r="H155" s="54" t="s">
        <v>34</v>
      </c>
      <c r="I155" s="54" t="n">
        <v>8</v>
      </c>
      <c r="J155" s="54" t="s">
        <v>20</v>
      </c>
      <c r="K155" s="52" t="str">
        <f>VLOOKUP(I155,Bioeconomía!$A$1:$C$13,3,FALSE)</f>
        <v>No Bioeconomía</v>
      </c>
    </row>
    <row r="156">
      <c r="A156" s="50" t="s">
        <v>62</v>
      </c>
      <c r="B156" s="51" t="s">
        <v>44</v>
      </c>
      <c r="C156" s="51" t="n">
        <v>332.54365020357113</v>
      </c>
      <c r="D156" s="51" t="s">
        <v>33</v>
      </c>
      <c r="E156" s="51" t="n">
        <v>9</v>
      </c>
      <c r="F156" s="51" t="s">
        <v>29</v>
      </c>
      <c r="G156" s="51" t="str">
        <f>VLOOKUP(E156,Bioeconomía!$A$1:$C$13,3,FALSE)</f>
        <v>No Bioeconomía</v>
      </c>
      <c r="H156" s="51" t="s">
        <v>34</v>
      </c>
      <c r="I156" s="51" t="n">
        <v>9</v>
      </c>
      <c r="J156" s="51" t="s">
        <v>29</v>
      </c>
      <c r="K156" s="52" t="str">
        <f>VLOOKUP(I156,Bioeconomía!$A$1:$C$13,3,FALSE)</f>
        <v>No Bioeconomía</v>
      </c>
    </row>
    <row r="157">
      <c r="A157" s="53" t="s">
        <v>62</v>
      </c>
      <c r="B157" s="54" t="s">
        <v>45</v>
      </c>
      <c r="C157" s="54" t="n">
        <v>654.14719439340126</v>
      </c>
      <c r="D157" s="54" t="s">
        <v>33</v>
      </c>
      <c r="E157" s="54" t="n">
        <v>9</v>
      </c>
      <c r="F157" s="54" t="s">
        <v>29</v>
      </c>
      <c r="G157" s="51" t="str">
        <f>VLOOKUP(E157,Bioeconomía!$A$1:$C$13,3,FALSE)</f>
        <v>No Bioeconomía</v>
      </c>
      <c r="H157" s="54" t="s">
        <v>34</v>
      </c>
      <c r="I157" s="54" t="n">
        <v>10</v>
      </c>
      <c r="J157" s="54" t="s">
        <v>30</v>
      </c>
      <c r="K157" s="52" t="str">
        <f>VLOOKUP(I157,Bioeconomía!$A$1:$C$13,3,FALSE)</f>
        <v>Bioeconomía extendida</v>
      </c>
    </row>
    <row r="158">
      <c r="A158" s="50" t="s">
        <v>62</v>
      </c>
      <c r="B158" s="51" t="s">
        <v>46</v>
      </c>
      <c r="C158" s="51" t="n">
        <v>893.16879355697392</v>
      </c>
      <c r="D158" s="51" t="s">
        <v>33</v>
      </c>
      <c r="E158" s="51" t="n">
        <v>9</v>
      </c>
      <c r="F158" s="51" t="s">
        <v>29</v>
      </c>
      <c r="G158" s="51" t="str">
        <f>VLOOKUP(E158,Bioeconomía!$A$1:$C$13,3,FALSE)</f>
        <v>No Bioeconomía</v>
      </c>
      <c r="H158" s="51" t="s">
        <v>34</v>
      </c>
      <c r="I158" s="51" t="n">
        <v>11</v>
      </c>
      <c r="J158" s="51" t="s">
        <v>31</v>
      </c>
      <c r="K158" s="52" t="str">
        <f>VLOOKUP(I158,Bioeconomía!$A$1:$C$13,3,FALSE)</f>
        <v>No Bioeconomía</v>
      </c>
    </row>
    <row r="159">
      <c r="A159" s="53" t="s">
        <v>62</v>
      </c>
      <c r="B159" s="54" t="s">
        <v>47</v>
      </c>
      <c r="C159" s="54" t="n">
        <v>167.6369254416006</v>
      </c>
      <c r="D159" s="54" t="s">
        <v>33</v>
      </c>
      <c r="E159" s="54" t="n">
        <v>9</v>
      </c>
      <c r="F159" s="54" t="s">
        <v>29</v>
      </c>
      <c r="G159" s="51" t="str">
        <f>VLOOKUP(E159,Bioeconomía!$A$1:$C$13,3,FALSE)</f>
        <v>No Bioeconomía</v>
      </c>
      <c r="H159" s="54" t="s">
        <v>34</v>
      </c>
      <c r="I159" s="54" t="n">
        <v>12</v>
      </c>
      <c r="J159" s="54" t="s">
        <v>21</v>
      </c>
      <c r="K159" s="52" t="str">
        <f>VLOOKUP(I159,Bioeconomía!$A$1:$C$13,3,FALSE)</f>
        <v>No Bioeconomía</v>
      </c>
    </row>
    <row r="160">
      <c r="A160" s="50" t="s">
        <v>62</v>
      </c>
      <c r="B160" s="51" t="s">
        <v>48</v>
      </c>
      <c r="C160" s="51" t="n">
        <v>19091.525196647348</v>
      </c>
      <c r="D160" s="51" t="s">
        <v>33</v>
      </c>
      <c r="E160" s="51" t="n">
        <v>9</v>
      </c>
      <c r="F160" s="51" t="s">
        <v>29</v>
      </c>
      <c r="G160" s="51" t="str">
        <f>VLOOKUP(E160,Bioeconomía!$A$1:$C$13,3,FALSE)</f>
        <v>No Bioeconomía</v>
      </c>
      <c r="H160" s="51" t="s">
        <v>4</v>
      </c>
      <c r="I160" s="51" t="s">
        <v>35</v>
      </c>
      <c r="J160" s="51" t="s">
        <v>35</v>
      </c>
      <c r="K160" s="52" t="str">
        <f>VLOOKUP(I160,Bioeconomía!$A$1:$C$13,3,FALSE)</f>
        <v>Ninguno</v>
      </c>
    </row>
    <row r="161">
      <c r="A161" s="53" t="s">
        <v>62</v>
      </c>
      <c r="B161" s="54" t="s">
        <v>49</v>
      </c>
      <c r="C161" s="54" t="n">
        <v>0</v>
      </c>
      <c r="D161" s="54" t="s">
        <v>33</v>
      </c>
      <c r="E161" s="54" t="n">
        <v>9</v>
      </c>
      <c r="F161" s="54" t="s">
        <v>29</v>
      </c>
      <c r="G161" s="51" t="str">
        <f>VLOOKUP(E161,Bioeconomía!$A$1:$C$13,3,FALSE)</f>
        <v>No Bioeconomía</v>
      </c>
      <c r="H161" s="54" t="s">
        <v>5</v>
      </c>
      <c r="I161" s="54" t="s">
        <v>35</v>
      </c>
      <c r="J161" s="54" t="s">
        <v>35</v>
      </c>
      <c r="K161" s="52" t="str">
        <f>VLOOKUP(I161,Bioeconomía!$A$1:$C$13,3,FALSE)</f>
        <v>Ninguno</v>
      </c>
    </row>
    <row r="162">
      <c r="A162" s="50" t="s">
        <v>62</v>
      </c>
      <c r="B162" s="51" t="s">
        <v>50</v>
      </c>
      <c r="C162" s="51" t="n">
        <v>0.13745594412125137</v>
      </c>
      <c r="D162" s="51" t="s">
        <v>33</v>
      </c>
      <c r="E162" s="51" t="n">
        <v>9</v>
      </c>
      <c r="F162" s="51" t="s">
        <v>29</v>
      </c>
      <c r="G162" s="51" t="str">
        <f>VLOOKUP(E162,Bioeconomía!$A$1:$C$13,3,FALSE)</f>
        <v>No Bioeconomía</v>
      </c>
      <c r="H162" s="51" t="s">
        <v>6</v>
      </c>
      <c r="I162" s="51" t="s">
        <v>35</v>
      </c>
      <c r="J162" s="51" t="s">
        <v>35</v>
      </c>
      <c r="K162" s="52" t="str">
        <f>VLOOKUP(I162,Bioeconomía!$A$1:$C$13,3,FALSE)</f>
        <v>Ninguno</v>
      </c>
    </row>
    <row r="163">
      <c r="A163" s="53" t="s">
        <v>62</v>
      </c>
      <c r="B163" s="54" t="s">
        <v>51</v>
      </c>
      <c r="C163" s="54" t="n">
        <v>121.53446015282401</v>
      </c>
      <c r="D163" s="54" t="s">
        <v>33</v>
      </c>
      <c r="E163" s="54" t="n">
        <v>9</v>
      </c>
      <c r="F163" s="54" t="s">
        <v>29</v>
      </c>
      <c r="G163" s="51" t="str">
        <f>VLOOKUP(E163,Bioeconomía!$A$1:$C$13,3,FALSE)</f>
        <v>No Bioeconomía</v>
      </c>
      <c r="H163" s="54" t="s">
        <v>7</v>
      </c>
      <c r="I163" s="54" t="s">
        <v>35</v>
      </c>
      <c r="J163" s="54" t="s">
        <v>35</v>
      </c>
      <c r="K163" s="52" t="str">
        <f>VLOOKUP(I163,Bioeconomía!$A$1:$C$13,3,FALSE)</f>
        <v>Ninguno</v>
      </c>
    </row>
    <row r="164">
      <c r="A164" s="50" t="s">
        <v>62</v>
      </c>
      <c r="B164" s="51" t="s">
        <v>52</v>
      </c>
      <c r="C164" s="51" t="n">
        <v>0</v>
      </c>
      <c r="D164" s="51" t="s">
        <v>33</v>
      </c>
      <c r="E164" s="51" t="n">
        <v>9</v>
      </c>
      <c r="F164" s="51" t="s">
        <v>29</v>
      </c>
      <c r="G164" s="51" t="str">
        <f>VLOOKUP(E164,Bioeconomía!$A$1:$C$13,3,FALSE)</f>
        <v>No Bioeconomía</v>
      </c>
      <c r="H164" s="51" t="s">
        <v>8</v>
      </c>
      <c r="I164" s="51" t="s">
        <v>35</v>
      </c>
      <c r="J164" s="51" t="s">
        <v>35</v>
      </c>
      <c r="K164" s="52" t="str">
        <f>VLOOKUP(I164,Bioeconomía!$A$1:$C$13,3,FALSE)</f>
        <v>Ninguno</v>
      </c>
    </row>
    <row r="165">
      <c r="A165" s="53" t="s">
        <v>62</v>
      </c>
      <c r="B165" s="54" t="s">
        <v>53</v>
      </c>
      <c r="C165" s="54" t="n">
        <v>49.574675015200178</v>
      </c>
      <c r="D165" s="54" t="s">
        <v>33</v>
      </c>
      <c r="E165" s="54" t="n">
        <v>9</v>
      </c>
      <c r="F165" s="54" t="s">
        <v>29</v>
      </c>
      <c r="G165" s="51" t="str">
        <f>VLOOKUP(E165,Bioeconomía!$A$1:$C$13,3,FALSE)</f>
        <v>No Bioeconomía</v>
      </c>
      <c r="H165" s="54" t="s">
        <v>9</v>
      </c>
      <c r="I165" s="54" t="s">
        <v>35</v>
      </c>
      <c r="J165" s="54" t="s">
        <v>35</v>
      </c>
      <c r="K165" s="52" t="str">
        <f>VLOOKUP(I165,Bioeconomía!$A$1:$C$13,3,FALSE)</f>
        <v>Ninguno</v>
      </c>
    </row>
    <row r="166">
      <c r="A166" s="50" t="s">
        <v>63</v>
      </c>
      <c r="B166" s="51" t="s">
        <v>36</v>
      </c>
      <c r="C166" s="51" t="n">
        <v>749.34541065891779</v>
      </c>
      <c r="D166" s="51" t="s">
        <v>33</v>
      </c>
      <c r="E166" s="51" t="n">
        <v>10</v>
      </c>
      <c r="F166" s="51" t="s">
        <v>30</v>
      </c>
      <c r="G166" s="51" t="str">
        <f>VLOOKUP(E166,Bioeconomía!$A$1:$C$13,3,FALSE)</f>
        <v>Bioeconomía extendida</v>
      </c>
      <c r="H166" s="51" t="s">
        <v>34</v>
      </c>
      <c r="I166" s="51" t="n">
        <v>1</v>
      </c>
      <c r="J166" s="51" t="s">
        <v>22</v>
      </c>
      <c r="K166" s="52" t="str">
        <f>VLOOKUP(I166,Bioeconomía!$A$1:$C$13,3,FALSE)</f>
        <v>Bioeconomía</v>
      </c>
    </row>
    <row r="167">
      <c r="A167" s="53" t="s">
        <v>63</v>
      </c>
      <c r="B167" s="54" t="s">
        <v>37</v>
      </c>
      <c r="C167" s="54" t="n">
        <v>4370.2376709270884</v>
      </c>
      <c r="D167" s="54" t="s">
        <v>33</v>
      </c>
      <c r="E167" s="54" t="n">
        <v>10</v>
      </c>
      <c r="F167" s="54" t="s">
        <v>30</v>
      </c>
      <c r="G167" s="51" t="str">
        <f>VLOOKUP(E167,Bioeconomía!$A$1:$C$13,3,FALSE)</f>
        <v>Bioeconomía extendida</v>
      </c>
      <c r="H167" s="54" t="s">
        <v>34</v>
      </c>
      <c r="I167" s="54" t="n">
        <v>2</v>
      </c>
      <c r="J167" s="54" t="s">
        <v>23</v>
      </c>
      <c r="K167" s="52" t="str">
        <f>VLOOKUP(I167,Bioeconomía!$A$1:$C$13,3,FALSE)</f>
        <v>No Bioeconomía</v>
      </c>
    </row>
    <row r="168">
      <c r="A168" s="50" t="s">
        <v>63</v>
      </c>
      <c r="B168" s="51" t="s">
        <v>38</v>
      </c>
      <c r="C168" s="51" t="n">
        <v>3411.4399274628327</v>
      </c>
      <c r="D168" s="51" t="s">
        <v>33</v>
      </c>
      <c r="E168" s="51" t="n">
        <v>10</v>
      </c>
      <c r="F168" s="51" t="s">
        <v>30</v>
      </c>
      <c r="G168" s="51" t="str">
        <f>VLOOKUP(E168,Bioeconomía!$A$1:$C$13,3,FALSE)</f>
        <v>Bioeconomía extendida</v>
      </c>
      <c r="H168" s="51" t="s">
        <v>34</v>
      </c>
      <c r="I168" s="51" t="n">
        <v>3</v>
      </c>
      <c r="J168" s="51" t="s">
        <v>24</v>
      </c>
      <c r="K168" s="52" t="str">
        <f>VLOOKUP(I168,Bioeconomía!$A$1:$C$13,3,FALSE)</f>
        <v>No Bioeconomía</v>
      </c>
    </row>
    <row r="169">
      <c r="A169" s="53" t="s">
        <v>63</v>
      </c>
      <c r="B169" s="54" t="s">
        <v>39</v>
      </c>
      <c r="C169" s="54" t="n">
        <v>1061.4773696477309</v>
      </c>
      <c r="D169" s="54" t="s">
        <v>33</v>
      </c>
      <c r="E169" s="54" t="n">
        <v>10</v>
      </c>
      <c r="F169" s="54" t="s">
        <v>30</v>
      </c>
      <c r="G169" s="51" t="str">
        <f>VLOOKUP(E169,Bioeconomía!$A$1:$C$13,3,FALSE)</f>
        <v>Bioeconomía extendida</v>
      </c>
      <c r="H169" s="54" t="s">
        <v>34</v>
      </c>
      <c r="I169" s="54" t="n">
        <v>4</v>
      </c>
      <c r="J169" s="54" t="s">
        <v>25</v>
      </c>
      <c r="K169" s="52" t="str">
        <f>VLOOKUP(I169,Bioeconomía!$A$1:$C$13,3,FALSE)</f>
        <v>No Bioeconomía</v>
      </c>
    </row>
    <row r="170">
      <c r="A170" s="50" t="s">
        <v>63</v>
      </c>
      <c r="B170" s="51" t="s">
        <v>40</v>
      </c>
      <c r="C170" s="51" t="n">
        <v>1714.9704099583787</v>
      </c>
      <c r="D170" s="51" t="s">
        <v>33</v>
      </c>
      <c r="E170" s="51" t="n">
        <v>10</v>
      </c>
      <c r="F170" s="51" t="s">
        <v>30</v>
      </c>
      <c r="G170" s="51" t="str">
        <f>VLOOKUP(E170,Bioeconomía!$A$1:$C$13,3,FALSE)</f>
        <v>Bioeconomía extendida</v>
      </c>
      <c r="H170" s="51" t="s">
        <v>34</v>
      </c>
      <c r="I170" s="51" t="n">
        <v>5</v>
      </c>
      <c r="J170" s="51" t="s">
        <v>26</v>
      </c>
      <c r="K170" s="52" t="str">
        <f>VLOOKUP(I170,Bioeconomía!$A$1:$C$13,3,FALSE)</f>
        <v>No Bioeconomía</v>
      </c>
    </row>
    <row r="171">
      <c r="A171" s="53" t="s">
        <v>63</v>
      </c>
      <c r="B171" s="54" t="s">
        <v>41</v>
      </c>
      <c r="C171" s="54" t="n">
        <v>5489.8329214910655</v>
      </c>
      <c r="D171" s="54" t="s">
        <v>33</v>
      </c>
      <c r="E171" s="54" t="n">
        <v>10</v>
      </c>
      <c r="F171" s="54" t="s">
        <v>30</v>
      </c>
      <c r="G171" s="51" t="str">
        <f>VLOOKUP(E171,Bioeconomía!$A$1:$C$13,3,FALSE)</f>
        <v>Bioeconomía extendida</v>
      </c>
      <c r="H171" s="54" t="s">
        <v>34</v>
      </c>
      <c r="I171" s="54" t="n">
        <v>6</v>
      </c>
      <c r="J171" s="54" t="s">
        <v>27</v>
      </c>
      <c r="K171" s="52" t="str">
        <f>VLOOKUP(I171,Bioeconomía!$A$1:$C$13,3,FALSE)</f>
        <v>No Bioeconomía</v>
      </c>
    </row>
    <row r="172">
      <c r="A172" s="50" t="s">
        <v>63</v>
      </c>
      <c r="B172" s="51" t="s">
        <v>42</v>
      </c>
      <c r="C172" s="51" t="n">
        <v>2646.587623954787</v>
      </c>
      <c r="D172" s="51" t="s">
        <v>33</v>
      </c>
      <c r="E172" s="51" t="n">
        <v>10</v>
      </c>
      <c r="F172" s="51" t="s">
        <v>30</v>
      </c>
      <c r="G172" s="51" t="str">
        <f>VLOOKUP(E172,Bioeconomía!$A$1:$C$13,3,FALSE)</f>
        <v>Bioeconomía extendida</v>
      </c>
      <c r="H172" s="51" t="s">
        <v>34</v>
      </c>
      <c r="I172" s="51" t="n">
        <v>7</v>
      </c>
      <c r="J172" s="51" t="s">
        <v>28</v>
      </c>
      <c r="K172" s="52" t="str">
        <f>VLOOKUP(I172,Bioeconomía!$A$1:$C$13,3,FALSE)</f>
        <v>No Bioeconomía</v>
      </c>
    </row>
    <row r="173">
      <c r="A173" s="53" t="s">
        <v>63</v>
      </c>
      <c r="B173" s="54" t="s">
        <v>43</v>
      </c>
      <c r="C173" s="54" t="n">
        <v>2399.6728566456377</v>
      </c>
      <c r="D173" s="54" t="s">
        <v>33</v>
      </c>
      <c r="E173" s="54" t="n">
        <v>10</v>
      </c>
      <c r="F173" s="54" t="s">
        <v>30</v>
      </c>
      <c r="G173" s="51" t="str">
        <f>VLOOKUP(E173,Bioeconomía!$A$1:$C$13,3,FALSE)</f>
        <v>Bioeconomía extendida</v>
      </c>
      <c r="H173" s="54" t="s">
        <v>34</v>
      </c>
      <c r="I173" s="54" t="n">
        <v>8</v>
      </c>
      <c r="J173" s="54" t="s">
        <v>20</v>
      </c>
      <c r="K173" s="52" t="str">
        <f>VLOOKUP(I173,Bioeconomía!$A$1:$C$13,3,FALSE)</f>
        <v>No Bioeconomía</v>
      </c>
    </row>
    <row r="174">
      <c r="A174" s="50" t="s">
        <v>63</v>
      </c>
      <c r="B174" s="51" t="s">
        <v>44</v>
      </c>
      <c r="C174" s="51" t="n">
        <v>453.41048516706951</v>
      </c>
      <c r="D174" s="51" t="s">
        <v>33</v>
      </c>
      <c r="E174" s="51" t="n">
        <v>10</v>
      </c>
      <c r="F174" s="51" t="s">
        <v>30</v>
      </c>
      <c r="G174" s="51" t="str">
        <f>VLOOKUP(E174,Bioeconomía!$A$1:$C$13,3,FALSE)</f>
        <v>Bioeconomía extendida</v>
      </c>
      <c r="H174" s="51" t="s">
        <v>34</v>
      </c>
      <c r="I174" s="51" t="n">
        <v>9</v>
      </c>
      <c r="J174" s="51" t="s">
        <v>29</v>
      </c>
      <c r="K174" s="52" t="str">
        <f>VLOOKUP(I174,Bioeconomía!$A$1:$C$13,3,FALSE)</f>
        <v>No Bioeconomía</v>
      </c>
    </row>
    <row r="175">
      <c r="A175" s="53" t="s">
        <v>63</v>
      </c>
      <c r="B175" s="54" t="s">
        <v>45</v>
      </c>
      <c r="C175" s="54" t="n">
        <v>4585.662619325376</v>
      </c>
      <c r="D175" s="54" t="s">
        <v>33</v>
      </c>
      <c r="E175" s="54" t="n">
        <v>10</v>
      </c>
      <c r="F175" s="54" t="s">
        <v>30</v>
      </c>
      <c r="G175" s="51" t="str">
        <f>VLOOKUP(E175,Bioeconomía!$A$1:$C$13,3,FALSE)</f>
        <v>Bioeconomía extendida</v>
      </c>
      <c r="H175" s="54" t="s">
        <v>34</v>
      </c>
      <c r="I175" s="54" t="n">
        <v>10</v>
      </c>
      <c r="J175" s="54" t="s">
        <v>30</v>
      </c>
      <c r="K175" s="52" t="str">
        <f>VLOOKUP(I175,Bioeconomía!$A$1:$C$13,3,FALSE)</f>
        <v>Bioeconomía extendida</v>
      </c>
    </row>
    <row r="176">
      <c r="A176" s="50" t="s">
        <v>63</v>
      </c>
      <c r="B176" s="51" t="s">
        <v>46</v>
      </c>
      <c r="C176" s="51" t="n">
        <v>2007.4007782251022</v>
      </c>
      <c r="D176" s="51" t="s">
        <v>33</v>
      </c>
      <c r="E176" s="51" t="n">
        <v>10</v>
      </c>
      <c r="F176" s="51" t="s">
        <v>30</v>
      </c>
      <c r="G176" s="51" t="str">
        <f>VLOOKUP(E176,Bioeconomía!$A$1:$C$13,3,FALSE)</f>
        <v>Bioeconomía extendida</v>
      </c>
      <c r="H176" s="51" t="s">
        <v>34</v>
      </c>
      <c r="I176" s="51" t="n">
        <v>11</v>
      </c>
      <c r="J176" s="51" t="s">
        <v>31</v>
      </c>
      <c r="K176" s="52" t="str">
        <f>VLOOKUP(I176,Bioeconomía!$A$1:$C$13,3,FALSE)</f>
        <v>No Bioeconomía</v>
      </c>
    </row>
    <row r="177">
      <c r="A177" s="53" t="s">
        <v>63</v>
      </c>
      <c r="B177" s="54" t="s">
        <v>47</v>
      </c>
      <c r="C177" s="54" t="n">
        <v>950.45330643330249</v>
      </c>
      <c r="D177" s="54" t="s">
        <v>33</v>
      </c>
      <c r="E177" s="54" t="n">
        <v>10</v>
      </c>
      <c r="F177" s="54" t="s">
        <v>30</v>
      </c>
      <c r="G177" s="51" t="str">
        <f>VLOOKUP(E177,Bioeconomía!$A$1:$C$13,3,FALSE)</f>
        <v>Bioeconomía extendida</v>
      </c>
      <c r="H177" s="54" t="s">
        <v>34</v>
      </c>
      <c r="I177" s="54" t="n">
        <v>12</v>
      </c>
      <c r="J177" s="54" t="s">
        <v>21</v>
      </c>
      <c r="K177" s="52" t="str">
        <f>VLOOKUP(I177,Bioeconomía!$A$1:$C$13,3,FALSE)</f>
        <v>No Bioeconomía</v>
      </c>
    </row>
    <row r="178">
      <c r="A178" s="50" t="s">
        <v>63</v>
      </c>
      <c r="B178" s="51" t="s">
        <v>48</v>
      </c>
      <c r="C178" s="51" t="n">
        <v>1570.0364102032977</v>
      </c>
      <c r="D178" s="51" t="s">
        <v>33</v>
      </c>
      <c r="E178" s="51" t="n">
        <v>10</v>
      </c>
      <c r="F178" s="51" t="s">
        <v>30</v>
      </c>
      <c r="G178" s="51" t="str">
        <f>VLOOKUP(E178,Bioeconomía!$A$1:$C$13,3,FALSE)</f>
        <v>Bioeconomía extendida</v>
      </c>
      <c r="H178" s="51" t="s">
        <v>4</v>
      </c>
      <c r="I178" s="51" t="s">
        <v>35</v>
      </c>
      <c r="J178" s="51" t="s">
        <v>35</v>
      </c>
      <c r="K178" s="52" t="str">
        <f>VLOOKUP(I178,Bioeconomía!$A$1:$C$13,3,FALSE)</f>
        <v>Ninguno</v>
      </c>
    </row>
    <row r="179">
      <c r="A179" s="53" t="s">
        <v>63</v>
      </c>
      <c r="B179" s="54" t="s">
        <v>49</v>
      </c>
      <c r="C179" s="54" t="n">
        <v>0</v>
      </c>
      <c r="D179" s="54" t="s">
        <v>33</v>
      </c>
      <c r="E179" s="54" t="n">
        <v>10</v>
      </c>
      <c r="F179" s="54" t="s">
        <v>30</v>
      </c>
      <c r="G179" s="51" t="str">
        <f>VLOOKUP(E179,Bioeconomía!$A$1:$C$13,3,FALSE)</f>
        <v>Bioeconomía extendida</v>
      </c>
      <c r="H179" s="54" t="s">
        <v>5</v>
      </c>
      <c r="I179" s="54" t="s">
        <v>35</v>
      </c>
      <c r="J179" s="54" t="s">
        <v>35</v>
      </c>
      <c r="K179" s="52" t="str">
        <f>VLOOKUP(I179,Bioeconomía!$A$1:$C$13,3,FALSE)</f>
        <v>Ninguno</v>
      </c>
    </row>
    <row r="180">
      <c r="A180" s="50" t="s">
        <v>63</v>
      </c>
      <c r="B180" s="51" t="s">
        <v>50</v>
      </c>
      <c r="C180" s="51" t="n">
        <v>73.289573665182871</v>
      </c>
      <c r="D180" s="51" t="s">
        <v>33</v>
      </c>
      <c r="E180" s="51" t="n">
        <v>10</v>
      </c>
      <c r="F180" s="51" t="s">
        <v>30</v>
      </c>
      <c r="G180" s="51" t="str">
        <f>VLOOKUP(E180,Bioeconomía!$A$1:$C$13,3,FALSE)</f>
        <v>Bioeconomía extendida</v>
      </c>
      <c r="H180" s="51" t="s">
        <v>6</v>
      </c>
      <c r="I180" s="51" t="s">
        <v>35</v>
      </c>
      <c r="J180" s="51" t="s">
        <v>35</v>
      </c>
      <c r="K180" s="52" t="str">
        <f>VLOOKUP(I180,Bioeconomía!$A$1:$C$13,3,FALSE)</f>
        <v>Ninguno</v>
      </c>
    </row>
    <row r="181">
      <c r="A181" s="53" t="s">
        <v>63</v>
      </c>
      <c r="B181" s="54" t="s">
        <v>51</v>
      </c>
      <c r="C181" s="54" t="n">
        <v>4072.6307240641954</v>
      </c>
      <c r="D181" s="54" t="s">
        <v>33</v>
      </c>
      <c r="E181" s="54" t="n">
        <v>10</v>
      </c>
      <c r="F181" s="54" t="s">
        <v>30</v>
      </c>
      <c r="G181" s="51" t="str">
        <f>VLOOKUP(E181,Bioeconomía!$A$1:$C$13,3,FALSE)</f>
        <v>Bioeconomía extendida</v>
      </c>
      <c r="H181" s="54" t="s">
        <v>7</v>
      </c>
      <c r="I181" s="54" t="s">
        <v>35</v>
      </c>
      <c r="J181" s="54" t="s">
        <v>35</v>
      </c>
      <c r="K181" s="52" t="str">
        <f>VLOOKUP(I181,Bioeconomía!$A$1:$C$13,3,FALSE)</f>
        <v>Ninguno</v>
      </c>
    </row>
    <row r="182">
      <c r="A182" s="50" t="s">
        <v>63</v>
      </c>
      <c r="B182" s="51" t="s">
        <v>52</v>
      </c>
      <c r="C182" s="51" t="n">
        <v>5.1274777730822097E-4</v>
      </c>
      <c r="D182" s="51" t="s">
        <v>33</v>
      </c>
      <c r="E182" s="51" t="n">
        <v>10</v>
      </c>
      <c r="F182" s="51" t="s">
        <v>30</v>
      </c>
      <c r="G182" s="51" t="str">
        <f>VLOOKUP(E182,Bioeconomía!$A$1:$C$13,3,FALSE)</f>
        <v>Bioeconomía extendida</v>
      </c>
      <c r="H182" s="51" t="s">
        <v>8</v>
      </c>
      <c r="I182" s="51" t="s">
        <v>35</v>
      </c>
      <c r="J182" s="51" t="s">
        <v>35</v>
      </c>
      <c r="K182" s="52" t="str">
        <f>VLOOKUP(I182,Bioeconomía!$A$1:$C$13,3,FALSE)</f>
        <v>Ninguno</v>
      </c>
    </row>
    <row r="183">
      <c r="A183" s="53" t="s">
        <v>63</v>
      </c>
      <c r="B183" s="54" t="s">
        <v>53</v>
      </c>
      <c r="C183" s="54" t="n">
        <v>1232.2600711522966</v>
      </c>
      <c r="D183" s="54" t="s">
        <v>33</v>
      </c>
      <c r="E183" s="54" t="n">
        <v>10</v>
      </c>
      <c r="F183" s="54" t="s">
        <v>30</v>
      </c>
      <c r="G183" s="51" t="str">
        <f>VLOOKUP(E183,Bioeconomía!$A$1:$C$13,3,FALSE)</f>
        <v>Bioeconomía extendida</v>
      </c>
      <c r="H183" s="54" t="s">
        <v>9</v>
      </c>
      <c r="I183" s="54" t="s">
        <v>35</v>
      </c>
      <c r="J183" s="54" t="s">
        <v>35</v>
      </c>
      <c r="K183" s="52" t="str">
        <f>VLOOKUP(I183,Bioeconomía!$A$1:$C$13,3,FALSE)</f>
        <v>Ninguno</v>
      </c>
    </row>
    <row r="184">
      <c r="A184" s="50" t="s">
        <v>64</v>
      </c>
      <c r="B184" s="51" t="s">
        <v>36</v>
      </c>
      <c r="C184" s="51" t="n">
        <v>26.146010446501101</v>
      </c>
      <c r="D184" s="51" t="s">
        <v>33</v>
      </c>
      <c r="E184" s="51" t="n">
        <v>11</v>
      </c>
      <c r="F184" s="51" t="s">
        <v>31</v>
      </c>
      <c r="G184" s="51" t="str">
        <f>VLOOKUP(E184,Bioeconomía!$A$1:$C$13,3,FALSE)</f>
        <v>No Bioeconomía</v>
      </c>
      <c r="H184" s="51" t="s">
        <v>34</v>
      </c>
      <c r="I184" s="51" t="n">
        <v>1</v>
      </c>
      <c r="J184" s="51" t="s">
        <v>22</v>
      </c>
      <c r="K184" s="52" t="str">
        <f>VLOOKUP(I184,Bioeconomía!$A$1:$C$13,3,FALSE)</f>
        <v>Bioeconomía</v>
      </c>
    </row>
    <row r="185">
      <c r="A185" s="53" t="s">
        <v>64</v>
      </c>
      <c r="B185" s="54" t="s">
        <v>37</v>
      </c>
      <c r="C185" s="54" t="n">
        <v>71.001522643679934</v>
      </c>
      <c r="D185" s="54" t="s">
        <v>33</v>
      </c>
      <c r="E185" s="54" t="n">
        <v>11</v>
      </c>
      <c r="F185" s="54" t="s">
        <v>31</v>
      </c>
      <c r="G185" s="51" t="str">
        <f>VLOOKUP(E185,Bioeconomía!$A$1:$C$13,3,FALSE)</f>
        <v>No Bioeconomía</v>
      </c>
      <c r="H185" s="54" t="s">
        <v>34</v>
      </c>
      <c r="I185" s="54" t="n">
        <v>2</v>
      </c>
      <c r="J185" s="54" t="s">
        <v>23</v>
      </c>
      <c r="K185" s="52" t="str">
        <f>VLOOKUP(I185,Bioeconomía!$A$1:$C$13,3,FALSE)</f>
        <v>No Bioeconomía</v>
      </c>
    </row>
    <row r="186">
      <c r="A186" s="50" t="s">
        <v>64</v>
      </c>
      <c r="B186" s="51" t="s">
        <v>38</v>
      </c>
      <c r="C186" s="51" t="n">
        <v>104.66133938950553</v>
      </c>
      <c r="D186" s="51" t="s">
        <v>33</v>
      </c>
      <c r="E186" s="51" t="n">
        <v>11</v>
      </c>
      <c r="F186" s="51" t="s">
        <v>31</v>
      </c>
      <c r="G186" s="51" t="str">
        <f>VLOOKUP(E186,Bioeconomía!$A$1:$C$13,3,FALSE)</f>
        <v>No Bioeconomía</v>
      </c>
      <c r="H186" s="51" t="s">
        <v>34</v>
      </c>
      <c r="I186" s="51" t="n">
        <v>3</v>
      </c>
      <c r="J186" s="51" t="s">
        <v>24</v>
      </c>
      <c r="K186" s="52" t="str">
        <f>VLOOKUP(I186,Bioeconomía!$A$1:$C$13,3,FALSE)</f>
        <v>No Bioeconomía</v>
      </c>
    </row>
    <row r="187">
      <c r="A187" s="53" t="s">
        <v>64</v>
      </c>
      <c r="B187" s="54" t="s">
        <v>39</v>
      </c>
      <c r="C187" s="54" t="n">
        <v>18.74537114568566</v>
      </c>
      <c r="D187" s="54" t="s">
        <v>33</v>
      </c>
      <c r="E187" s="54" t="n">
        <v>11</v>
      </c>
      <c r="F187" s="54" t="s">
        <v>31</v>
      </c>
      <c r="G187" s="51" t="str">
        <f>VLOOKUP(E187,Bioeconomía!$A$1:$C$13,3,FALSE)</f>
        <v>No Bioeconomía</v>
      </c>
      <c r="H187" s="54" t="s">
        <v>34</v>
      </c>
      <c r="I187" s="54" t="n">
        <v>4</v>
      </c>
      <c r="J187" s="54" t="s">
        <v>25</v>
      </c>
      <c r="K187" s="52" t="str">
        <f>VLOOKUP(I187,Bioeconomía!$A$1:$C$13,3,FALSE)</f>
        <v>No Bioeconomía</v>
      </c>
    </row>
    <row r="188">
      <c r="A188" s="50" t="s">
        <v>64</v>
      </c>
      <c r="B188" s="51" t="s">
        <v>40</v>
      </c>
      <c r="C188" s="51" t="n">
        <v>86.166105260201789</v>
      </c>
      <c r="D188" s="51" t="s">
        <v>33</v>
      </c>
      <c r="E188" s="51" t="n">
        <v>11</v>
      </c>
      <c r="F188" s="51" t="s">
        <v>31</v>
      </c>
      <c r="G188" s="51" t="str">
        <f>VLOOKUP(E188,Bioeconomía!$A$1:$C$13,3,FALSE)</f>
        <v>No Bioeconomía</v>
      </c>
      <c r="H188" s="51" t="s">
        <v>34</v>
      </c>
      <c r="I188" s="51" t="n">
        <v>5</v>
      </c>
      <c r="J188" s="51" t="s">
        <v>26</v>
      </c>
      <c r="K188" s="52" t="str">
        <f>VLOOKUP(I188,Bioeconomía!$A$1:$C$13,3,FALSE)</f>
        <v>No Bioeconomía</v>
      </c>
    </row>
    <row r="189">
      <c r="A189" s="53" t="s">
        <v>64</v>
      </c>
      <c r="B189" s="54" t="s">
        <v>41</v>
      </c>
      <c r="C189" s="54" t="n">
        <v>172.29881171122656</v>
      </c>
      <c r="D189" s="54" t="s">
        <v>33</v>
      </c>
      <c r="E189" s="54" t="n">
        <v>11</v>
      </c>
      <c r="F189" s="54" t="s">
        <v>31</v>
      </c>
      <c r="G189" s="51" t="str">
        <f>VLOOKUP(E189,Bioeconomía!$A$1:$C$13,3,FALSE)</f>
        <v>No Bioeconomía</v>
      </c>
      <c r="H189" s="54" t="s">
        <v>34</v>
      </c>
      <c r="I189" s="54" t="n">
        <v>6</v>
      </c>
      <c r="J189" s="54" t="s">
        <v>27</v>
      </c>
      <c r="K189" s="52" t="str">
        <f>VLOOKUP(I189,Bioeconomía!$A$1:$C$13,3,FALSE)</f>
        <v>No Bioeconomía</v>
      </c>
    </row>
    <row r="190">
      <c r="A190" s="50" t="s">
        <v>64</v>
      </c>
      <c r="B190" s="51" t="s">
        <v>42</v>
      </c>
      <c r="C190" s="51" t="n">
        <v>243.82967031442757</v>
      </c>
      <c r="D190" s="51" t="s">
        <v>33</v>
      </c>
      <c r="E190" s="51" t="n">
        <v>11</v>
      </c>
      <c r="F190" s="51" t="s">
        <v>31</v>
      </c>
      <c r="G190" s="51" t="str">
        <f>VLOOKUP(E190,Bioeconomía!$A$1:$C$13,3,FALSE)</f>
        <v>No Bioeconomía</v>
      </c>
      <c r="H190" s="51" t="s">
        <v>34</v>
      </c>
      <c r="I190" s="51" t="n">
        <v>7</v>
      </c>
      <c r="J190" s="51" t="s">
        <v>28</v>
      </c>
      <c r="K190" s="52" t="str">
        <f>VLOOKUP(I190,Bioeconomía!$A$1:$C$13,3,FALSE)</f>
        <v>No Bioeconomía</v>
      </c>
    </row>
    <row r="191">
      <c r="A191" s="53" t="s">
        <v>64</v>
      </c>
      <c r="B191" s="54" t="s">
        <v>43</v>
      </c>
      <c r="C191" s="54" t="n">
        <v>75.432657765664459</v>
      </c>
      <c r="D191" s="54" t="s">
        <v>33</v>
      </c>
      <c r="E191" s="54" t="n">
        <v>11</v>
      </c>
      <c r="F191" s="54" t="s">
        <v>31</v>
      </c>
      <c r="G191" s="51" t="str">
        <f>VLOOKUP(E191,Bioeconomía!$A$1:$C$13,3,FALSE)</f>
        <v>No Bioeconomía</v>
      </c>
      <c r="H191" s="54" t="s">
        <v>34</v>
      </c>
      <c r="I191" s="54" t="n">
        <v>8</v>
      </c>
      <c r="J191" s="54" t="s">
        <v>20</v>
      </c>
      <c r="K191" s="52" t="str">
        <f>VLOOKUP(I191,Bioeconomía!$A$1:$C$13,3,FALSE)</f>
        <v>No Bioeconomía</v>
      </c>
    </row>
    <row r="192">
      <c r="A192" s="50" t="s">
        <v>64</v>
      </c>
      <c r="B192" s="51" t="s">
        <v>44</v>
      </c>
      <c r="C192" s="51" t="n">
        <v>10.201213527495979</v>
      </c>
      <c r="D192" s="51" t="s">
        <v>33</v>
      </c>
      <c r="E192" s="51" t="n">
        <v>11</v>
      </c>
      <c r="F192" s="51" t="s">
        <v>31</v>
      </c>
      <c r="G192" s="51" t="str">
        <f>VLOOKUP(E192,Bioeconomía!$A$1:$C$13,3,FALSE)</f>
        <v>No Bioeconomía</v>
      </c>
      <c r="H192" s="51" t="s">
        <v>34</v>
      </c>
      <c r="I192" s="51" t="n">
        <v>9</v>
      </c>
      <c r="J192" s="51" t="s">
        <v>29</v>
      </c>
      <c r="K192" s="52" t="str">
        <f>VLOOKUP(I192,Bioeconomía!$A$1:$C$13,3,FALSE)</f>
        <v>No Bioeconomía</v>
      </c>
    </row>
    <row r="193">
      <c r="A193" s="53" t="s">
        <v>64</v>
      </c>
      <c r="B193" s="54" t="s">
        <v>45</v>
      </c>
      <c r="C193" s="54" t="n">
        <v>92.444838416256331</v>
      </c>
      <c r="D193" s="54" t="s">
        <v>33</v>
      </c>
      <c r="E193" s="54" t="n">
        <v>11</v>
      </c>
      <c r="F193" s="54" t="s">
        <v>31</v>
      </c>
      <c r="G193" s="51" t="str">
        <f>VLOOKUP(E193,Bioeconomía!$A$1:$C$13,3,FALSE)</f>
        <v>No Bioeconomía</v>
      </c>
      <c r="H193" s="54" t="s">
        <v>34</v>
      </c>
      <c r="I193" s="54" t="n">
        <v>10</v>
      </c>
      <c r="J193" s="54" t="s">
        <v>30</v>
      </c>
      <c r="K193" s="52" t="str">
        <f>VLOOKUP(I193,Bioeconomía!$A$1:$C$13,3,FALSE)</f>
        <v>Bioeconomía extendida</v>
      </c>
    </row>
    <row r="194">
      <c r="A194" s="50" t="s">
        <v>64</v>
      </c>
      <c r="B194" s="51" t="s">
        <v>46</v>
      </c>
      <c r="C194" s="51" t="n">
        <v>2107.4689255578878</v>
      </c>
      <c r="D194" s="51" t="s">
        <v>33</v>
      </c>
      <c r="E194" s="51" t="n">
        <v>11</v>
      </c>
      <c r="F194" s="51" t="s">
        <v>31</v>
      </c>
      <c r="G194" s="51" t="str">
        <f>VLOOKUP(E194,Bioeconomía!$A$1:$C$13,3,FALSE)</f>
        <v>No Bioeconomía</v>
      </c>
      <c r="H194" s="51" t="s">
        <v>34</v>
      </c>
      <c r="I194" s="51" t="n">
        <v>11</v>
      </c>
      <c r="J194" s="51" t="s">
        <v>31</v>
      </c>
      <c r="K194" s="52" t="str">
        <f>VLOOKUP(I194,Bioeconomía!$A$1:$C$13,3,FALSE)</f>
        <v>No Bioeconomía</v>
      </c>
    </row>
    <row r="195">
      <c r="A195" s="53" t="s">
        <v>64</v>
      </c>
      <c r="B195" s="54" t="s">
        <v>47</v>
      </c>
      <c r="C195" s="54" t="n">
        <v>59.650812061650051</v>
      </c>
      <c r="D195" s="54" t="s">
        <v>33</v>
      </c>
      <c r="E195" s="54" t="n">
        <v>11</v>
      </c>
      <c r="F195" s="54" t="s">
        <v>31</v>
      </c>
      <c r="G195" s="51" t="str">
        <f>VLOOKUP(E195,Bioeconomía!$A$1:$C$13,3,FALSE)</f>
        <v>No Bioeconomía</v>
      </c>
      <c r="H195" s="54" t="s">
        <v>34</v>
      </c>
      <c r="I195" s="54" t="n">
        <v>12</v>
      </c>
      <c r="J195" s="54" t="s">
        <v>21</v>
      </c>
      <c r="K195" s="52" t="str">
        <f>VLOOKUP(I195,Bioeconomía!$A$1:$C$13,3,FALSE)</f>
        <v>No Bioeconomía</v>
      </c>
    </row>
    <row r="196">
      <c r="A196" s="50" t="s">
        <v>64</v>
      </c>
      <c r="B196" s="51" t="s">
        <v>48</v>
      </c>
      <c r="C196" s="51" t="n">
        <v>18747.743045551404</v>
      </c>
      <c r="D196" s="51" t="s">
        <v>33</v>
      </c>
      <c r="E196" s="51" t="n">
        <v>11</v>
      </c>
      <c r="F196" s="51" t="s">
        <v>31</v>
      </c>
      <c r="G196" s="51" t="str">
        <f>VLOOKUP(E196,Bioeconomía!$A$1:$C$13,3,FALSE)</f>
        <v>No Bioeconomía</v>
      </c>
      <c r="H196" s="51" t="s">
        <v>4</v>
      </c>
      <c r="I196" s="51" t="s">
        <v>35</v>
      </c>
      <c r="J196" s="51" t="s">
        <v>35</v>
      </c>
      <c r="K196" s="52" t="str">
        <f>VLOOKUP(I196,Bioeconomía!$A$1:$C$13,3,FALSE)</f>
        <v>Ninguno</v>
      </c>
    </row>
    <row r="197">
      <c r="A197" s="53" t="s">
        <v>64</v>
      </c>
      <c r="B197" s="54" t="s">
        <v>49</v>
      </c>
      <c r="C197" s="54" t="n">
        <v>1392.2380252579896</v>
      </c>
      <c r="D197" s="54" t="s">
        <v>33</v>
      </c>
      <c r="E197" s="54" t="n">
        <v>11</v>
      </c>
      <c r="F197" s="54" t="s">
        <v>31</v>
      </c>
      <c r="G197" s="51" t="str">
        <f>VLOOKUP(E197,Bioeconomía!$A$1:$C$13,3,FALSE)</f>
        <v>No Bioeconomía</v>
      </c>
      <c r="H197" s="54" t="s">
        <v>5</v>
      </c>
      <c r="I197" s="54" t="s">
        <v>35</v>
      </c>
      <c r="J197" s="54" t="s">
        <v>35</v>
      </c>
      <c r="K197" s="52" t="str">
        <f>VLOOKUP(I197,Bioeconomía!$A$1:$C$13,3,FALSE)</f>
        <v>Ninguno</v>
      </c>
    </row>
    <row r="198">
      <c r="A198" s="50" t="s">
        <v>64</v>
      </c>
      <c r="B198" s="51" t="s">
        <v>50</v>
      </c>
      <c r="C198" s="51" t="n">
        <v>21792.013073454033</v>
      </c>
      <c r="D198" s="51" t="s">
        <v>33</v>
      </c>
      <c r="E198" s="51" t="n">
        <v>11</v>
      </c>
      <c r="F198" s="51" t="s">
        <v>31</v>
      </c>
      <c r="G198" s="51" t="str">
        <f>VLOOKUP(E198,Bioeconomía!$A$1:$C$13,3,FALSE)</f>
        <v>No Bioeconomía</v>
      </c>
      <c r="H198" s="51" t="s">
        <v>6</v>
      </c>
      <c r="I198" s="51" t="s">
        <v>35</v>
      </c>
      <c r="J198" s="51" t="s">
        <v>35</v>
      </c>
      <c r="K198" s="52" t="str">
        <f>VLOOKUP(I198,Bioeconomía!$A$1:$C$13,3,FALSE)</f>
        <v>Ninguno</v>
      </c>
    </row>
    <row r="199">
      <c r="A199" s="53" t="s">
        <v>64</v>
      </c>
      <c r="B199" s="54" t="s">
        <v>51</v>
      </c>
      <c r="C199" s="54" t="n">
        <v>642.2393858889194</v>
      </c>
      <c r="D199" s="54" t="s">
        <v>33</v>
      </c>
      <c r="E199" s="54" t="n">
        <v>11</v>
      </c>
      <c r="F199" s="54" t="s">
        <v>31</v>
      </c>
      <c r="G199" s="51" t="str">
        <f>VLOOKUP(E199,Bioeconomía!$A$1:$C$13,3,FALSE)</f>
        <v>No Bioeconomía</v>
      </c>
      <c r="H199" s="54" t="s">
        <v>7</v>
      </c>
      <c r="I199" s="54" t="s">
        <v>35</v>
      </c>
      <c r="J199" s="54" t="s">
        <v>35</v>
      </c>
      <c r="K199" s="52" t="str">
        <f>VLOOKUP(I199,Bioeconomía!$A$1:$C$13,3,FALSE)</f>
        <v>Ninguno</v>
      </c>
    </row>
    <row r="200">
      <c r="A200" s="50" t="s">
        <v>64</v>
      </c>
      <c r="B200" s="51" t="s">
        <v>52</v>
      </c>
      <c r="C200" s="51" t="n">
        <v>-8.2204399908404561E-3</v>
      </c>
      <c r="D200" s="51" t="s">
        <v>33</v>
      </c>
      <c r="E200" s="51" t="n">
        <v>11</v>
      </c>
      <c r="F200" s="51" t="s">
        <v>31</v>
      </c>
      <c r="G200" s="51" t="str">
        <f>VLOOKUP(E200,Bioeconomía!$A$1:$C$13,3,FALSE)</f>
        <v>No Bioeconomía</v>
      </c>
      <c r="H200" s="51" t="s">
        <v>8</v>
      </c>
      <c r="I200" s="51" t="s">
        <v>35</v>
      </c>
      <c r="J200" s="51" t="s">
        <v>35</v>
      </c>
      <c r="K200" s="52" t="str">
        <f>VLOOKUP(I200,Bioeconomía!$A$1:$C$13,3,FALSE)</f>
        <v>Ninguno</v>
      </c>
    </row>
    <row r="201">
      <c r="A201" s="53" t="s">
        <v>64</v>
      </c>
      <c r="B201" s="54" t="s">
        <v>53</v>
      </c>
      <c r="C201" s="54" t="n">
        <v>47.160185488993221</v>
      </c>
      <c r="D201" s="54" t="s">
        <v>33</v>
      </c>
      <c r="E201" s="54" t="n">
        <v>11</v>
      </c>
      <c r="F201" s="54" t="s">
        <v>31</v>
      </c>
      <c r="G201" s="51" t="str">
        <f>VLOOKUP(E201,Bioeconomía!$A$1:$C$13,3,FALSE)</f>
        <v>No Bioeconomía</v>
      </c>
      <c r="H201" s="54" t="s">
        <v>9</v>
      </c>
      <c r="I201" s="54" t="s">
        <v>35</v>
      </c>
      <c r="J201" s="54" t="s">
        <v>35</v>
      </c>
      <c r="K201" s="52" t="str">
        <f>VLOOKUP(I201,Bioeconomía!$A$1:$C$13,3,FALSE)</f>
        <v>Ninguno</v>
      </c>
    </row>
    <row r="202">
      <c r="A202" s="50" t="s">
        <v>65</v>
      </c>
      <c r="B202" s="51" t="s">
        <v>36</v>
      </c>
      <c r="C202" s="51" t="n">
        <v>45.019161136860212</v>
      </c>
      <c r="D202" s="51" t="s">
        <v>33</v>
      </c>
      <c r="E202" s="51" t="n">
        <v>12</v>
      </c>
      <c r="F202" s="51" t="s">
        <v>21</v>
      </c>
      <c r="G202" s="51" t="str">
        <f>VLOOKUP(E202,Bioeconomía!$A$1:$C$13,3,FALSE)</f>
        <v>No Bioeconomía</v>
      </c>
      <c r="H202" s="51" t="s">
        <v>34</v>
      </c>
      <c r="I202" s="51" t="n">
        <v>1</v>
      </c>
      <c r="J202" s="51" t="s">
        <v>22</v>
      </c>
      <c r="K202" s="52" t="str">
        <f>VLOOKUP(I202,Bioeconomía!$A$1:$C$13,3,FALSE)</f>
        <v>Bioeconomía</v>
      </c>
    </row>
    <row r="203">
      <c r="A203" s="53" t="s">
        <v>65</v>
      </c>
      <c r="B203" s="54" t="s">
        <v>37</v>
      </c>
      <c r="C203" s="54" t="n">
        <v>105.95826284156541</v>
      </c>
      <c r="D203" s="54" t="s">
        <v>33</v>
      </c>
      <c r="E203" s="54" t="n">
        <v>12</v>
      </c>
      <c r="F203" s="54" t="s">
        <v>21</v>
      </c>
      <c r="G203" s="51" t="str">
        <f>VLOOKUP(E203,Bioeconomía!$A$1:$C$13,3,FALSE)</f>
        <v>No Bioeconomía</v>
      </c>
      <c r="H203" s="54" t="s">
        <v>34</v>
      </c>
      <c r="I203" s="54" t="n">
        <v>2</v>
      </c>
      <c r="J203" s="54" t="s">
        <v>23</v>
      </c>
      <c r="K203" s="52" t="str">
        <f>VLOOKUP(I203,Bioeconomía!$A$1:$C$13,3,FALSE)</f>
        <v>No Bioeconomía</v>
      </c>
    </row>
    <row r="204">
      <c r="A204" s="50" t="s">
        <v>65</v>
      </c>
      <c r="B204" s="51" t="s">
        <v>38</v>
      </c>
      <c r="C204" s="51" t="n">
        <v>162.0471055939139</v>
      </c>
      <c r="D204" s="51" t="s">
        <v>33</v>
      </c>
      <c r="E204" s="51" t="n">
        <v>12</v>
      </c>
      <c r="F204" s="51" t="s">
        <v>21</v>
      </c>
      <c r="G204" s="51" t="str">
        <f>VLOOKUP(E204,Bioeconomía!$A$1:$C$13,3,FALSE)</f>
        <v>No Bioeconomía</v>
      </c>
      <c r="H204" s="51" t="s">
        <v>34</v>
      </c>
      <c r="I204" s="51" t="n">
        <v>3</v>
      </c>
      <c r="J204" s="51" t="s">
        <v>24</v>
      </c>
      <c r="K204" s="52" t="str">
        <f>VLOOKUP(I204,Bioeconomía!$A$1:$C$13,3,FALSE)</f>
        <v>No Bioeconomía</v>
      </c>
    </row>
    <row r="205">
      <c r="A205" s="53" t="s">
        <v>65</v>
      </c>
      <c r="B205" s="54" t="s">
        <v>39</v>
      </c>
      <c r="C205" s="54" t="n">
        <v>22.240215143348898</v>
      </c>
      <c r="D205" s="54" t="s">
        <v>33</v>
      </c>
      <c r="E205" s="54" t="n">
        <v>12</v>
      </c>
      <c r="F205" s="54" t="s">
        <v>21</v>
      </c>
      <c r="G205" s="51" t="str">
        <f>VLOOKUP(E205,Bioeconomía!$A$1:$C$13,3,FALSE)</f>
        <v>No Bioeconomía</v>
      </c>
      <c r="H205" s="54" t="s">
        <v>34</v>
      </c>
      <c r="I205" s="54" t="n">
        <v>4</v>
      </c>
      <c r="J205" s="54" t="s">
        <v>25</v>
      </c>
      <c r="K205" s="52" t="str">
        <f>VLOOKUP(I205,Bioeconomía!$A$1:$C$13,3,FALSE)</f>
        <v>No Bioeconomía</v>
      </c>
    </row>
    <row r="206">
      <c r="A206" s="50" t="s">
        <v>65</v>
      </c>
      <c r="B206" s="51" t="s">
        <v>40</v>
      </c>
      <c r="C206" s="51" t="n">
        <v>24.677827243492303</v>
      </c>
      <c r="D206" s="51" t="s">
        <v>33</v>
      </c>
      <c r="E206" s="51" t="n">
        <v>12</v>
      </c>
      <c r="F206" s="51" t="s">
        <v>21</v>
      </c>
      <c r="G206" s="51" t="str">
        <f>VLOOKUP(E206,Bioeconomía!$A$1:$C$13,3,FALSE)</f>
        <v>No Bioeconomía</v>
      </c>
      <c r="H206" s="51" t="s">
        <v>34</v>
      </c>
      <c r="I206" s="51" t="n">
        <v>5</v>
      </c>
      <c r="J206" s="51" t="s">
        <v>26</v>
      </c>
      <c r="K206" s="52" t="str">
        <f>VLOOKUP(I206,Bioeconomía!$A$1:$C$13,3,FALSE)</f>
        <v>No Bioeconomía</v>
      </c>
    </row>
    <row r="207">
      <c r="A207" s="53" t="s">
        <v>65</v>
      </c>
      <c r="B207" s="54" t="s">
        <v>41</v>
      </c>
      <c r="C207" s="54" t="n">
        <v>126.68165372499297</v>
      </c>
      <c r="D207" s="54" t="s">
        <v>33</v>
      </c>
      <c r="E207" s="54" t="n">
        <v>12</v>
      </c>
      <c r="F207" s="54" t="s">
        <v>21</v>
      </c>
      <c r="G207" s="51" t="str">
        <f>VLOOKUP(E207,Bioeconomía!$A$1:$C$13,3,FALSE)</f>
        <v>No Bioeconomía</v>
      </c>
      <c r="H207" s="54" t="s">
        <v>34</v>
      </c>
      <c r="I207" s="54" t="n">
        <v>6</v>
      </c>
      <c r="J207" s="54" t="s">
        <v>27</v>
      </c>
      <c r="K207" s="52" t="str">
        <f>VLOOKUP(I207,Bioeconomía!$A$1:$C$13,3,FALSE)</f>
        <v>No Bioeconomía</v>
      </c>
    </row>
    <row r="208">
      <c r="A208" s="50" t="s">
        <v>65</v>
      </c>
      <c r="B208" s="51" t="s">
        <v>42</v>
      </c>
      <c r="C208" s="51" t="n">
        <v>161.78894070707526</v>
      </c>
      <c r="D208" s="51" t="s">
        <v>33</v>
      </c>
      <c r="E208" s="51" t="n">
        <v>12</v>
      </c>
      <c r="F208" s="51" t="s">
        <v>21</v>
      </c>
      <c r="G208" s="51" t="str">
        <f>VLOOKUP(E208,Bioeconomía!$A$1:$C$13,3,FALSE)</f>
        <v>No Bioeconomía</v>
      </c>
      <c r="H208" s="51" t="s">
        <v>34</v>
      </c>
      <c r="I208" s="51" t="n">
        <v>7</v>
      </c>
      <c r="J208" s="51" t="s">
        <v>28</v>
      </c>
      <c r="K208" s="52" t="str">
        <f>VLOOKUP(I208,Bioeconomía!$A$1:$C$13,3,FALSE)</f>
        <v>No Bioeconomía</v>
      </c>
    </row>
    <row r="209">
      <c r="A209" s="53" t="s">
        <v>65</v>
      </c>
      <c r="B209" s="54" t="s">
        <v>43</v>
      </c>
      <c r="C209" s="54" t="n">
        <v>15.357297307656054</v>
      </c>
      <c r="D209" s="54" t="s">
        <v>33</v>
      </c>
      <c r="E209" s="54" t="n">
        <v>12</v>
      </c>
      <c r="F209" s="54" t="s">
        <v>21</v>
      </c>
      <c r="G209" s="51" t="str">
        <f>VLOOKUP(E209,Bioeconomía!$A$1:$C$13,3,FALSE)</f>
        <v>No Bioeconomía</v>
      </c>
      <c r="H209" s="54" t="s">
        <v>34</v>
      </c>
      <c r="I209" s="54" t="n">
        <v>8</v>
      </c>
      <c r="J209" s="54" t="s">
        <v>20</v>
      </c>
      <c r="K209" s="52" t="str">
        <f>VLOOKUP(I209,Bioeconomía!$A$1:$C$13,3,FALSE)</f>
        <v>No Bioeconomía</v>
      </c>
    </row>
    <row r="210">
      <c r="A210" s="50" t="s">
        <v>65</v>
      </c>
      <c r="B210" s="51" t="s">
        <v>44</v>
      </c>
      <c r="C210" s="51" t="n">
        <v>5.399949221798507</v>
      </c>
      <c r="D210" s="51" t="s">
        <v>33</v>
      </c>
      <c r="E210" s="51" t="n">
        <v>12</v>
      </c>
      <c r="F210" s="51" t="s">
        <v>21</v>
      </c>
      <c r="G210" s="51" t="str">
        <f>VLOOKUP(E210,Bioeconomía!$A$1:$C$13,3,FALSE)</f>
        <v>No Bioeconomía</v>
      </c>
      <c r="H210" s="51" t="s">
        <v>34</v>
      </c>
      <c r="I210" s="51" t="n">
        <v>9</v>
      </c>
      <c r="J210" s="51" t="s">
        <v>29</v>
      </c>
      <c r="K210" s="52" t="str">
        <f>VLOOKUP(I210,Bioeconomía!$A$1:$C$13,3,FALSE)</f>
        <v>No Bioeconomía</v>
      </c>
    </row>
    <row r="211">
      <c r="A211" s="53" t="s">
        <v>65</v>
      </c>
      <c r="B211" s="54" t="s">
        <v>45</v>
      </c>
      <c r="C211" s="54" t="n">
        <v>24.258369001657989</v>
      </c>
      <c r="D211" s="54" t="s">
        <v>33</v>
      </c>
      <c r="E211" s="54" t="n">
        <v>12</v>
      </c>
      <c r="F211" s="54" t="s">
        <v>21</v>
      </c>
      <c r="G211" s="51" t="str">
        <f>VLOOKUP(E211,Bioeconomía!$A$1:$C$13,3,FALSE)</f>
        <v>No Bioeconomía</v>
      </c>
      <c r="H211" s="54" t="s">
        <v>34</v>
      </c>
      <c r="I211" s="54" t="n">
        <v>10</v>
      </c>
      <c r="J211" s="54" t="s">
        <v>30</v>
      </c>
      <c r="K211" s="52" t="str">
        <f>VLOOKUP(I211,Bioeconomía!$A$1:$C$13,3,FALSE)</f>
        <v>Bioeconomía extendida</v>
      </c>
    </row>
    <row r="212">
      <c r="A212" s="50" t="s">
        <v>65</v>
      </c>
      <c r="B212" s="51" t="s">
        <v>46</v>
      </c>
      <c r="C212" s="51" t="n">
        <v>36.656948973033373</v>
      </c>
      <c r="D212" s="51" t="s">
        <v>33</v>
      </c>
      <c r="E212" s="51" t="n">
        <v>12</v>
      </c>
      <c r="F212" s="51" t="s">
        <v>21</v>
      </c>
      <c r="G212" s="51" t="str">
        <f>VLOOKUP(E212,Bioeconomía!$A$1:$C$13,3,FALSE)</f>
        <v>No Bioeconomía</v>
      </c>
      <c r="H212" s="51" t="s">
        <v>34</v>
      </c>
      <c r="I212" s="51" t="n">
        <v>11</v>
      </c>
      <c r="J212" s="51" t="s">
        <v>31</v>
      </c>
      <c r="K212" s="52" t="str">
        <f>VLOOKUP(I212,Bioeconomía!$A$1:$C$13,3,FALSE)</f>
        <v>No Bioeconomía</v>
      </c>
    </row>
    <row r="213">
      <c r="A213" s="53" t="s">
        <v>65</v>
      </c>
      <c r="B213" s="54" t="s">
        <v>47</v>
      </c>
      <c r="C213" s="54" t="n">
        <v>59.206027614482906</v>
      </c>
      <c r="D213" s="54" t="s">
        <v>33</v>
      </c>
      <c r="E213" s="54" t="n">
        <v>12</v>
      </c>
      <c r="F213" s="54" t="s">
        <v>21</v>
      </c>
      <c r="G213" s="51" t="str">
        <f>VLOOKUP(E213,Bioeconomía!$A$1:$C$13,3,FALSE)</f>
        <v>No Bioeconomía</v>
      </c>
      <c r="H213" s="54" t="s">
        <v>34</v>
      </c>
      <c r="I213" s="54" t="n">
        <v>12</v>
      </c>
      <c r="J213" s="54" t="s">
        <v>21</v>
      </c>
      <c r="K213" s="52" t="str">
        <f>VLOOKUP(I213,Bioeconomía!$A$1:$C$13,3,FALSE)</f>
        <v>No Bioeconomía</v>
      </c>
    </row>
    <row r="214">
      <c r="A214" s="50" t="s">
        <v>65</v>
      </c>
      <c r="B214" s="51" t="s">
        <v>48</v>
      </c>
      <c r="C214" s="51" t="n">
        <v>298.66271651688129</v>
      </c>
      <c r="D214" s="51" t="s">
        <v>33</v>
      </c>
      <c r="E214" s="51" t="n">
        <v>12</v>
      </c>
      <c r="F214" s="51" t="s">
        <v>21</v>
      </c>
      <c r="G214" s="51" t="str">
        <f>VLOOKUP(E214,Bioeconomía!$A$1:$C$13,3,FALSE)</f>
        <v>No Bioeconomía</v>
      </c>
      <c r="H214" s="51" t="s">
        <v>4</v>
      </c>
      <c r="I214" s="51" t="s">
        <v>35</v>
      </c>
      <c r="J214" s="51" t="s">
        <v>35</v>
      </c>
      <c r="K214" s="52" t="str">
        <f>VLOOKUP(I214,Bioeconomía!$A$1:$C$13,3,FALSE)</f>
        <v>Ninguno</v>
      </c>
    </row>
    <row r="215">
      <c r="A215" s="53" t="s">
        <v>65</v>
      </c>
      <c r="B215" s="54" t="s">
        <v>49</v>
      </c>
      <c r="C215" s="54" t="n">
        <v>3.5741953963919346E-32</v>
      </c>
      <c r="D215" s="54" t="s">
        <v>33</v>
      </c>
      <c r="E215" s="54" t="n">
        <v>12</v>
      </c>
      <c r="F215" s="54" t="s">
        <v>21</v>
      </c>
      <c r="G215" s="51" t="str">
        <f>VLOOKUP(E215,Bioeconomía!$A$1:$C$13,3,FALSE)</f>
        <v>No Bioeconomía</v>
      </c>
      <c r="H215" s="54" t="s">
        <v>5</v>
      </c>
      <c r="I215" s="54" t="s">
        <v>35</v>
      </c>
      <c r="J215" s="54" t="s">
        <v>35</v>
      </c>
      <c r="K215" s="52" t="str">
        <f>VLOOKUP(I215,Bioeconomía!$A$1:$C$13,3,FALSE)</f>
        <v>Ninguno</v>
      </c>
    </row>
    <row r="216">
      <c r="A216" s="50" t="s">
        <v>65</v>
      </c>
      <c r="B216" s="51" t="s">
        <v>50</v>
      </c>
      <c r="C216" s="51" t="n">
        <v>15301.742139226442</v>
      </c>
      <c r="D216" s="51" t="s">
        <v>33</v>
      </c>
      <c r="E216" s="51" t="n">
        <v>12</v>
      </c>
      <c r="F216" s="51" t="s">
        <v>21</v>
      </c>
      <c r="G216" s="51" t="str">
        <f>VLOOKUP(E216,Bioeconomía!$A$1:$C$13,3,FALSE)</f>
        <v>No Bioeconomía</v>
      </c>
      <c r="H216" s="51" t="s">
        <v>6</v>
      </c>
      <c r="I216" s="51" t="s">
        <v>35</v>
      </c>
      <c r="J216" s="51" t="s">
        <v>35</v>
      </c>
      <c r="K216" s="52" t="str">
        <f>VLOOKUP(I216,Bioeconomía!$A$1:$C$13,3,FALSE)</f>
        <v>Ninguno</v>
      </c>
    </row>
    <row r="217">
      <c r="A217" s="53" t="s">
        <v>65</v>
      </c>
      <c r="B217" s="54" t="s">
        <v>51</v>
      </c>
      <c r="C217" s="54" t="n">
        <v>57.798044834622026</v>
      </c>
      <c r="D217" s="54" t="s">
        <v>33</v>
      </c>
      <c r="E217" s="54" t="n">
        <v>12</v>
      </c>
      <c r="F217" s="54" t="s">
        <v>21</v>
      </c>
      <c r="G217" s="51" t="str">
        <f>VLOOKUP(E217,Bioeconomía!$A$1:$C$13,3,FALSE)</f>
        <v>No Bioeconomía</v>
      </c>
      <c r="H217" s="54" t="s">
        <v>7</v>
      </c>
      <c r="I217" s="54" t="s">
        <v>35</v>
      </c>
      <c r="J217" s="54" t="s">
        <v>35</v>
      </c>
      <c r="K217" s="52" t="str">
        <f>VLOOKUP(I217,Bioeconomía!$A$1:$C$13,3,FALSE)</f>
        <v>Ninguno</v>
      </c>
    </row>
    <row r="218">
      <c r="A218" s="50" t="s">
        <v>65</v>
      </c>
      <c r="B218" s="51" t="s">
        <v>52</v>
      </c>
      <c r="C218" s="51" t="n">
        <v>-0.56305630084890801</v>
      </c>
      <c r="D218" s="51" t="s">
        <v>33</v>
      </c>
      <c r="E218" s="51" t="n">
        <v>12</v>
      </c>
      <c r="F218" s="51" t="s">
        <v>21</v>
      </c>
      <c r="G218" s="51" t="str">
        <f>VLOOKUP(E218,Bioeconomía!$A$1:$C$13,3,FALSE)</f>
        <v>No Bioeconomía</v>
      </c>
      <c r="H218" s="51" t="s">
        <v>8</v>
      </c>
      <c r="I218" s="51" t="s">
        <v>35</v>
      </c>
      <c r="J218" s="51" t="s">
        <v>35</v>
      </c>
      <c r="K218" s="52" t="str">
        <f>VLOOKUP(I218,Bioeconomía!$A$1:$C$13,3,FALSE)</f>
        <v>Ninguno</v>
      </c>
    </row>
    <row r="219">
      <c r="A219" s="45" t="s">
        <v>65</v>
      </c>
      <c r="B219" s="46" t="s">
        <v>53</v>
      </c>
      <c r="C219" s="46" t="n">
        <v>48.890801325195177</v>
      </c>
      <c r="D219" s="46" t="s">
        <v>33</v>
      </c>
      <c r="E219" s="46" t="n">
        <v>12</v>
      </c>
      <c r="F219" s="46" t="s">
        <v>21</v>
      </c>
      <c r="G219" s="51" t="str">
        <f>VLOOKUP(E219,Bioeconomía!$A$1:$C$13,3,FALSE)</f>
        <v>No Bioeconomía</v>
      </c>
      <c r="H219" s="46" t="s">
        <v>9</v>
      </c>
      <c r="I219" s="46" t="s">
        <v>35</v>
      </c>
      <c r="J219" s="46" t="s">
        <v>35</v>
      </c>
      <c r="K219" s="52" t="str">
        <f>VLOOKUP(I219,Bioeconomía!$A$1:$C$13,3,FALSE)</f>
        <v>Ninguno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cols>
    <col min="1" max="1" width="14.86328125" hidden="0" customWidth="1"/>
    <col min="2" max="2" width="15.1328125" hidden="0" customWidth="1"/>
    <col min="3" max="3" width="43.86328125" hidden="0" customWidth="1"/>
  </cols>
  <sheetData>
    <row r="1">
      <c r="A1" s="44" t="s">
        <v>70</v>
      </c>
      <c r="B1" s="44" t="s">
        <v>74</v>
      </c>
      <c r="C1" s="44" t="s">
        <v>75</v>
      </c>
    </row>
    <row r="2">
      <c r="A2" t="s">
        <v>33</v>
      </c>
      <c r="B2" t="n">
        <v>1</v>
      </c>
      <c r="C2" t="s">
        <v>22</v>
      </c>
    </row>
    <row r="3">
      <c r="A3" t="s">
        <v>33</v>
      </c>
      <c r="B3" t="n">
        <v>1</v>
      </c>
      <c r="C3" t="s">
        <v>22</v>
      </c>
    </row>
    <row r="4">
      <c r="A4" t="s">
        <v>33</v>
      </c>
      <c r="B4" t="n">
        <v>1</v>
      </c>
      <c r="C4" t="s">
        <v>22</v>
      </c>
    </row>
    <row r="5">
      <c r="A5" t="s">
        <v>33</v>
      </c>
      <c r="B5" t="n">
        <v>1</v>
      </c>
      <c r="C5" t="s">
        <v>22</v>
      </c>
    </row>
    <row r="6">
      <c r="A6" t="s">
        <v>33</v>
      </c>
      <c r="B6" t="n">
        <v>1</v>
      </c>
      <c r="C6" t="s">
        <v>22</v>
      </c>
    </row>
    <row r="7">
      <c r="A7" t="s">
        <v>33</v>
      </c>
      <c r="B7" t="n">
        <v>1</v>
      </c>
      <c r="C7" t="s">
        <v>22</v>
      </c>
    </row>
    <row r="8">
      <c r="A8" t="s">
        <v>33</v>
      </c>
      <c r="B8" t="n">
        <v>1</v>
      </c>
      <c r="C8" t="s">
        <v>22</v>
      </c>
    </row>
    <row r="9">
      <c r="A9" t="s">
        <v>33</v>
      </c>
      <c r="B9" t="n">
        <v>1</v>
      </c>
      <c r="C9" t="s">
        <v>22</v>
      </c>
    </row>
    <row r="10">
      <c r="A10" t="s">
        <v>33</v>
      </c>
      <c r="B10" t="n">
        <v>1</v>
      </c>
      <c r="C10" t="s">
        <v>22</v>
      </c>
    </row>
    <row r="11">
      <c r="A11" t="s">
        <v>33</v>
      </c>
      <c r="B11" t="n">
        <v>1</v>
      </c>
      <c r="C11" t="s">
        <v>22</v>
      </c>
    </row>
    <row r="12">
      <c r="A12" t="s">
        <v>33</v>
      </c>
      <c r="B12" t="n">
        <v>1</v>
      </c>
      <c r="C12" t="s">
        <v>22</v>
      </c>
    </row>
    <row r="13">
      <c r="A13" t="s">
        <v>33</v>
      </c>
      <c r="B13" t="n">
        <v>1</v>
      </c>
      <c r="C13" t="s">
        <v>22</v>
      </c>
    </row>
    <row r="14">
      <c r="A14" t="s">
        <v>33</v>
      </c>
      <c r="B14" t="n">
        <v>1</v>
      </c>
      <c r="C14" t="s">
        <v>22</v>
      </c>
    </row>
    <row r="15">
      <c r="A15" t="s">
        <v>33</v>
      </c>
      <c r="B15" t="n">
        <v>1</v>
      </c>
      <c r="C15" t="s">
        <v>22</v>
      </c>
    </row>
    <row r="16">
      <c r="A16" t="s">
        <v>33</v>
      </c>
      <c r="B16" t="n">
        <v>1</v>
      </c>
      <c r="C16" t="s">
        <v>22</v>
      </c>
    </row>
    <row r="17">
      <c r="A17" t="s">
        <v>33</v>
      </c>
      <c r="B17" t="n">
        <v>1</v>
      </c>
      <c r="C17" t="s">
        <v>22</v>
      </c>
    </row>
    <row r="18">
      <c r="A18" t="s">
        <v>33</v>
      </c>
      <c r="B18" t="n">
        <v>1</v>
      </c>
      <c r="C18" t="s">
        <v>22</v>
      </c>
    </row>
    <row r="19">
      <c r="A19" t="s">
        <v>33</v>
      </c>
      <c r="B19" t="n">
        <v>1</v>
      </c>
      <c r="C19" t="s">
        <v>22</v>
      </c>
    </row>
    <row r="20">
      <c r="A20" t="s">
        <v>33</v>
      </c>
      <c r="B20" t="n">
        <v>2</v>
      </c>
      <c r="C20" t="s">
        <v>23</v>
      </c>
    </row>
    <row r="21">
      <c r="A21" t="s">
        <v>33</v>
      </c>
      <c r="B21" t="n">
        <v>2</v>
      </c>
      <c r="C21" t="s">
        <v>23</v>
      </c>
    </row>
    <row r="22">
      <c r="A22" t="s">
        <v>33</v>
      </c>
      <c r="B22" t="n">
        <v>2</v>
      </c>
      <c r="C22" t="s">
        <v>23</v>
      </c>
    </row>
    <row r="23">
      <c r="A23" t="s">
        <v>33</v>
      </c>
      <c r="B23" t="n">
        <v>2</v>
      </c>
      <c r="C23" t="s">
        <v>23</v>
      </c>
    </row>
    <row r="24">
      <c r="A24" t="s">
        <v>33</v>
      </c>
      <c r="B24" t="n">
        <v>2</v>
      </c>
      <c r="C24" t="s">
        <v>23</v>
      </c>
    </row>
    <row r="25">
      <c r="A25" t="s">
        <v>33</v>
      </c>
      <c r="B25" t="n">
        <v>2</v>
      </c>
      <c r="C25" t="s">
        <v>23</v>
      </c>
    </row>
    <row r="26">
      <c r="A26" t="s">
        <v>33</v>
      </c>
      <c r="B26" t="n">
        <v>2</v>
      </c>
      <c r="C26" t="s">
        <v>23</v>
      </c>
    </row>
    <row r="27">
      <c r="A27" t="s">
        <v>33</v>
      </c>
      <c r="B27" t="n">
        <v>2</v>
      </c>
      <c r="C27" t="s">
        <v>23</v>
      </c>
    </row>
    <row r="28">
      <c r="A28" t="s">
        <v>33</v>
      </c>
      <c r="B28" t="n">
        <v>2</v>
      </c>
      <c r="C28" t="s">
        <v>23</v>
      </c>
    </row>
    <row r="29">
      <c r="A29" t="s">
        <v>33</v>
      </c>
      <c r="B29" t="n">
        <v>2</v>
      </c>
      <c r="C29" t="s">
        <v>23</v>
      </c>
    </row>
    <row r="30">
      <c r="A30" t="s">
        <v>33</v>
      </c>
      <c r="B30" t="n">
        <v>2</v>
      </c>
      <c r="C30" t="s">
        <v>23</v>
      </c>
    </row>
    <row r="31">
      <c r="A31" t="s">
        <v>33</v>
      </c>
      <c r="B31" t="n">
        <v>2</v>
      </c>
      <c r="C31" t="s">
        <v>23</v>
      </c>
    </row>
    <row r="32">
      <c r="A32" t="s">
        <v>33</v>
      </c>
      <c r="B32" t="n">
        <v>2</v>
      </c>
      <c r="C32" t="s">
        <v>23</v>
      </c>
    </row>
    <row r="33">
      <c r="A33" t="s">
        <v>33</v>
      </c>
      <c r="B33" t="n">
        <v>2</v>
      </c>
      <c r="C33" t="s">
        <v>23</v>
      </c>
    </row>
    <row r="34">
      <c r="A34" t="s">
        <v>33</v>
      </c>
      <c r="B34" t="n">
        <v>2</v>
      </c>
      <c r="C34" t="s">
        <v>23</v>
      </c>
    </row>
    <row r="35">
      <c r="A35" t="s">
        <v>33</v>
      </c>
      <c r="B35" t="n">
        <v>2</v>
      </c>
      <c r="C35" t="s">
        <v>23</v>
      </c>
    </row>
    <row r="36">
      <c r="A36" t="s">
        <v>33</v>
      </c>
      <c r="B36" t="n">
        <v>2</v>
      </c>
      <c r="C36" t="s">
        <v>23</v>
      </c>
    </row>
    <row r="37">
      <c r="A37" t="s">
        <v>33</v>
      </c>
      <c r="B37" t="n">
        <v>2</v>
      </c>
      <c r="C37" t="s">
        <v>23</v>
      </c>
    </row>
    <row r="38">
      <c r="A38" t="s">
        <v>33</v>
      </c>
      <c r="B38" t="n">
        <v>3</v>
      </c>
      <c r="C38" t="s">
        <v>24</v>
      </c>
    </row>
    <row r="39">
      <c r="A39" t="s">
        <v>33</v>
      </c>
      <c r="B39" t="n">
        <v>3</v>
      </c>
      <c r="C39" t="s">
        <v>24</v>
      </c>
    </row>
    <row r="40">
      <c r="A40" t="s">
        <v>33</v>
      </c>
      <c r="B40" t="n">
        <v>3</v>
      </c>
      <c r="C40" t="s">
        <v>24</v>
      </c>
    </row>
    <row r="41">
      <c r="A41" t="s">
        <v>33</v>
      </c>
      <c r="B41" t="n">
        <v>3</v>
      </c>
      <c r="C41" t="s">
        <v>24</v>
      </c>
    </row>
    <row r="42">
      <c r="A42" t="s">
        <v>33</v>
      </c>
      <c r="B42" t="n">
        <v>3</v>
      </c>
      <c r="C42" t="s">
        <v>24</v>
      </c>
    </row>
    <row r="43">
      <c r="A43" t="s">
        <v>33</v>
      </c>
      <c r="B43" t="n">
        <v>3</v>
      </c>
      <c r="C43" t="s">
        <v>24</v>
      </c>
    </row>
    <row r="44">
      <c r="A44" t="s">
        <v>33</v>
      </c>
      <c r="B44" t="n">
        <v>3</v>
      </c>
      <c r="C44" t="s">
        <v>24</v>
      </c>
    </row>
    <row r="45">
      <c r="A45" t="s">
        <v>33</v>
      </c>
      <c r="B45" t="n">
        <v>3</v>
      </c>
      <c r="C45" t="s">
        <v>24</v>
      </c>
    </row>
    <row r="46">
      <c r="A46" t="s">
        <v>33</v>
      </c>
      <c r="B46" t="n">
        <v>3</v>
      </c>
      <c r="C46" t="s">
        <v>24</v>
      </c>
    </row>
    <row r="47">
      <c r="A47" t="s">
        <v>33</v>
      </c>
      <c r="B47" t="n">
        <v>3</v>
      </c>
      <c r="C47" t="s">
        <v>24</v>
      </c>
    </row>
    <row r="48">
      <c r="A48" t="s">
        <v>33</v>
      </c>
      <c r="B48" t="n">
        <v>3</v>
      </c>
      <c r="C48" t="s">
        <v>24</v>
      </c>
    </row>
    <row r="49">
      <c r="A49" t="s">
        <v>33</v>
      </c>
      <c r="B49" t="n">
        <v>3</v>
      </c>
      <c r="C49" t="s">
        <v>24</v>
      </c>
    </row>
    <row r="50">
      <c r="A50" t="s">
        <v>33</v>
      </c>
      <c r="B50" t="n">
        <v>3</v>
      </c>
      <c r="C50" t="s">
        <v>24</v>
      </c>
    </row>
    <row r="51">
      <c r="A51" t="s">
        <v>33</v>
      </c>
      <c r="B51" t="n">
        <v>3</v>
      </c>
      <c r="C51" t="s">
        <v>24</v>
      </c>
    </row>
    <row r="52">
      <c r="A52" t="s">
        <v>33</v>
      </c>
      <c r="B52" t="n">
        <v>3</v>
      </c>
      <c r="C52" t="s">
        <v>24</v>
      </c>
    </row>
    <row r="53">
      <c r="A53" t="s">
        <v>33</v>
      </c>
      <c r="B53" t="n">
        <v>3</v>
      </c>
      <c r="C53" t="s">
        <v>24</v>
      </c>
    </row>
    <row r="54">
      <c r="A54" t="s">
        <v>33</v>
      </c>
      <c r="B54" t="n">
        <v>3</v>
      </c>
      <c r="C54" t="s">
        <v>24</v>
      </c>
    </row>
    <row r="55">
      <c r="A55" t="s">
        <v>33</v>
      </c>
      <c r="B55" t="n">
        <v>3</v>
      </c>
      <c r="C55" t="s">
        <v>24</v>
      </c>
    </row>
    <row r="56">
      <c r="A56" t="s">
        <v>33</v>
      </c>
      <c r="B56" t="n">
        <v>4</v>
      </c>
      <c r="C56" t="s">
        <v>25</v>
      </c>
    </row>
    <row r="57">
      <c r="A57" t="s">
        <v>33</v>
      </c>
      <c r="B57" t="n">
        <v>4</v>
      </c>
      <c r="C57" t="s">
        <v>25</v>
      </c>
    </row>
    <row r="58">
      <c r="A58" t="s">
        <v>33</v>
      </c>
      <c r="B58" t="n">
        <v>4</v>
      </c>
      <c r="C58" t="s">
        <v>25</v>
      </c>
    </row>
    <row r="59">
      <c r="A59" t="s">
        <v>33</v>
      </c>
      <c r="B59" t="n">
        <v>4</v>
      </c>
      <c r="C59" t="s">
        <v>25</v>
      </c>
    </row>
    <row r="60">
      <c r="A60" t="s">
        <v>33</v>
      </c>
      <c r="B60" t="n">
        <v>4</v>
      </c>
      <c r="C60" t="s">
        <v>25</v>
      </c>
    </row>
    <row r="61">
      <c r="A61" t="s">
        <v>33</v>
      </c>
      <c r="B61" t="n">
        <v>4</v>
      </c>
      <c r="C61" t="s">
        <v>25</v>
      </c>
    </row>
    <row r="62">
      <c r="A62" t="s">
        <v>33</v>
      </c>
      <c r="B62" t="n">
        <v>4</v>
      </c>
      <c r="C62" t="s">
        <v>25</v>
      </c>
    </row>
    <row r="63">
      <c r="A63" t="s">
        <v>33</v>
      </c>
      <c r="B63" t="n">
        <v>4</v>
      </c>
      <c r="C63" t="s">
        <v>25</v>
      </c>
    </row>
    <row r="64">
      <c r="A64" t="s">
        <v>33</v>
      </c>
      <c r="B64" t="n">
        <v>4</v>
      </c>
      <c r="C64" t="s">
        <v>25</v>
      </c>
    </row>
    <row r="65">
      <c r="A65" t="s">
        <v>33</v>
      </c>
      <c r="B65" t="n">
        <v>4</v>
      </c>
      <c r="C65" t="s">
        <v>25</v>
      </c>
    </row>
    <row r="66">
      <c r="A66" t="s">
        <v>33</v>
      </c>
      <c r="B66" t="n">
        <v>4</v>
      </c>
      <c r="C66" t="s">
        <v>25</v>
      </c>
    </row>
    <row r="67">
      <c r="A67" t="s">
        <v>33</v>
      </c>
      <c r="B67" t="n">
        <v>4</v>
      </c>
      <c r="C67" t="s">
        <v>25</v>
      </c>
    </row>
    <row r="68">
      <c r="A68" t="s">
        <v>33</v>
      </c>
      <c r="B68" t="n">
        <v>4</v>
      </c>
      <c r="C68" t="s">
        <v>25</v>
      </c>
    </row>
    <row r="69">
      <c r="A69" t="s">
        <v>33</v>
      </c>
      <c r="B69" t="n">
        <v>4</v>
      </c>
      <c r="C69" t="s">
        <v>25</v>
      </c>
    </row>
    <row r="70">
      <c r="A70" t="s">
        <v>33</v>
      </c>
      <c r="B70" t="n">
        <v>4</v>
      </c>
      <c r="C70" t="s">
        <v>25</v>
      </c>
    </row>
    <row r="71">
      <c r="A71" t="s">
        <v>33</v>
      </c>
      <c r="B71" t="n">
        <v>4</v>
      </c>
      <c r="C71" t="s">
        <v>25</v>
      </c>
    </row>
    <row r="72">
      <c r="A72" t="s">
        <v>33</v>
      </c>
      <c r="B72" t="n">
        <v>4</v>
      </c>
      <c r="C72" t="s">
        <v>25</v>
      </c>
    </row>
    <row r="73">
      <c r="A73" t="s">
        <v>33</v>
      </c>
      <c r="B73" t="n">
        <v>4</v>
      </c>
      <c r="C73" t="s">
        <v>25</v>
      </c>
    </row>
    <row r="74">
      <c r="A74" t="s">
        <v>33</v>
      </c>
      <c r="B74" t="n">
        <v>5</v>
      </c>
      <c r="C74" t="s">
        <v>26</v>
      </c>
    </row>
    <row r="75">
      <c r="A75" t="s">
        <v>33</v>
      </c>
      <c r="B75" t="n">
        <v>5</v>
      </c>
      <c r="C75" t="s">
        <v>26</v>
      </c>
    </row>
    <row r="76">
      <c r="A76" t="s">
        <v>33</v>
      </c>
      <c r="B76" t="n">
        <v>5</v>
      </c>
      <c r="C76" t="s">
        <v>26</v>
      </c>
    </row>
    <row r="77">
      <c r="A77" t="s">
        <v>33</v>
      </c>
      <c r="B77" t="n">
        <v>5</v>
      </c>
      <c r="C77" t="s">
        <v>26</v>
      </c>
    </row>
    <row r="78">
      <c r="A78" t="s">
        <v>33</v>
      </c>
      <c r="B78" t="n">
        <v>5</v>
      </c>
      <c r="C78" t="s">
        <v>26</v>
      </c>
    </row>
    <row r="79">
      <c r="A79" t="s">
        <v>33</v>
      </c>
      <c r="B79" t="n">
        <v>5</v>
      </c>
      <c r="C79" t="s">
        <v>26</v>
      </c>
    </row>
    <row r="80">
      <c r="A80" t="s">
        <v>33</v>
      </c>
      <c r="B80" t="n">
        <v>5</v>
      </c>
      <c r="C80" t="s">
        <v>26</v>
      </c>
    </row>
    <row r="81">
      <c r="A81" t="s">
        <v>33</v>
      </c>
      <c r="B81" t="n">
        <v>5</v>
      </c>
      <c r="C81" t="s">
        <v>26</v>
      </c>
    </row>
    <row r="82">
      <c r="A82" t="s">
        <v>33</v>
      </c>
      <c r="B82" t="n">
        <v>5</v>
      </c>
      <c r="C82" t="s">
        <v>26</v>
      </c>
    </row>
    <row r="83">
      <c r="A83" t="s">
        <v>33</v>
      </c>
      <c r="B83" t="n">
        <v>5</v>
      </c>
      <c r="C83" t="s">
        <v>26</v>
      </c>
    </row>
    <row r="84">
      <c r="A84" t="s">
        <v>33</v>
      </c>
      <c r="B84" t="n">
        <v>5</v>
      </c>
      <c r="C84" t="s">
        <v>26</v>
      </c>
    </row>
    <row r="85">
      <c r="A85" t="s">
        <v>33</v>
      </c>
      <c r="B85" t="n">
        <v>5</v>
      </c>
      <c r="C85" t="s">
        <v>26</v>
      </c>
    </row>
    <row r="86">
      <c r="A86" t="s">
        <v>33</v>
      </c>
      <c r="B86" t="n">
        <v>5</v>
      </c>
      <c r="C86" t="s">
        <v>26</v>
      </c>
    </row>
    <row r="87">
      <c r="A87" t="s">
        <v>33</v>
      </c>
      <c r="B87" t="n">
        <v>5</v>
      </c>
      <c r="C87" t="s">
        <v>26</v>
      </c>
    </row>
    <row r="88">
      <c r="A88" t="s">
        <v>33</v>
      </c>
      <c r="B88" t="n">
        <v>5</v>
      </c>
      <c r="C88" t="s">
        <v>26</v>
      </c>
    </row>
    <row r="89">
      <c r="A89" t="s">
        <v>33</v>
      </c>
      <c r="B89" t="n">
        <v>5</v>
      </c>
      <c r="C89" t="s">
        <v>26</v>
      </c>
    </row>
    <row r="90">
      <c r="A90" t="s">
        <v>33</v>
      </c>
      <c r="B90" t="n">
        <v>5</v>
      </c>
      <c r="C90" t="s">
        <v>26</v>
      </c>
    </row>
    <row r="91">
      <c r="A91" t="s">
        <v>33</v>
      </c>
      <c r="B91" t="n">
        <v>5</v>
      </c>
      <c r="C91" t="s">
        <v>26</v>
      </c>
    </row>
    <row r="92">
      <c r="A92" t="s">
        <v>33</v>
      </c>
      <c r="B92" t="n">
        <v>6</v>
      </c>
      <c r="C92" t="s">
        <v>27</v>
      </c>
    </row>
    <row r="93">
      <c r="A93" t="s">
        <v>33</v>
      </c>
      <c r="B93" t="n">
        <v>6</v>
      </c>
      <c r="C93" t="s">
        <v>27</v>
      </c>
    </row>
    <row r="94">
      <c r="A94" t="s">
        <v>33</v>
      </c>
      <c r="B94" t="n">
        <v>6</v>
      </c>
      <c r="C94" t="s">
        <v>27</v>
      </c>
    </row>
    <row r="95">
      <c r="A95" t="s">
        <v>33</v>
      </c>
      <c r="B95" t="n">
        <v>6</v>
      </c>
      <c r="C95" t="s">
        <v>27</v>
      </c>
    </row>
    <row r="96">
      <c r="A96" t="s">
        <v>33</v>
      </c>
      <c r="B96" t="n">
        <v>6</v>
      </c>
      <c r="C96" t="s">
        <v>27</v>
      </c>
    </row>
    <row r="97">
      <c r="A97" t="s">
        <v>33</v>
      </c>
      <c r="B97" t="n">
        <v>6</v>
      </c>
      <c r="C97" t="s">
        <v>27</v>
      </c>
    </row>
    <row r="98">
      <c r="A98" t="s">
        <v>33</v>
      </c>
      <c r="B98" t="n">
        <v>6</v>
      </c>
      <c r="C98" t="s">
        <v>27</v>
      </c>
    </row>
    <row r="99">
      <c r="A99" t="s">
        <v>33</v>
      </c>
      <c r="B99" t="n">
        <v>6</v>
      </c>
      <c r="C99" t="s">
        <v>27</v>
      </c>
    </row>
    <row r="100">
      <c r="A100" t="s">
        <v>33</v>
      </c>
      <c r="B100" t="n">
        <v>6</v>
      </c>
      <c r="C100" t="s">
        <v>27</v>
      </c>
    </row>
    <row r="101">
      <c r="A101" t="s">
        <v>33</v>
      </c>
      <c r="B101" t="n">
        <v>6</v>
      </c>
      <c r="C101" t="s">
        <v>27</v>
      </c>
    </row>
    <row r="102">
      <c r="A102" t="s">
        <v>33</v>
      </c>
      <c r="B102" t="n">
        <v>6</v>
      </c>
      <c r="C102" t="s">
        <v>27</v>
      </c>
    </row>
    <row r="103">
      <c r="A103" t="s">
        <v>33</v>
      </c>
      <c r="B103" t="n">
        <v>6</v>
      </c>
      <c r="C103" t="s">
        <v>27</v>
      </c>
    </row>
    <row r="104">
      <c r="A104" t="s">
        <v>33</v>
      </c>
      <c r="B104" t="n">
        <v>6</v>
      </c>
      <c r="C104" t="s">
        <v>27</v>
      </c>
    </row>
    <row r="105">
      <c r="A105" t="s">
        <v>33</v>
      </c>
      <c r="B105" t="n">
        <v>6</v>
      </c>
      <c r="C105" t="s">
        <v>27</v>
      </c>
    </row>
    <row r="106">
      <c r="A106" t="s">
        <v>33</v>
      </c>
      <c r="B106" t="n">
        <v>6</v>
      </c>
      <c r="C106" t="s">
        <v>27</v>
      </c>
    </row>
    <row r="107">
      <c r="A107" t="s">
        <v>33</v>
      </c>
      <c r="B107" t="n">
        <v>6</v>
      </c>
      <c r="C107" t="s">
        <v>27</v>
      </c>
    </row>
    <row r="108">
      <c r="A108" t="s">
        <v>33</v>
      </c>
      <c r="B108" t="n">
        <v>6</v>
      </c>
      <c r="C108" t="s">
        <v>27</v>
      </c>
    </row>
    <row r="109">
      <c r="A109" t="s">
        <v>33</v>
      </c>
      <c r="B109" t="n">
        <v>6</v>
      </c>
      <c r="C109" t="s">
        <v>27</v>
      </c>
    </row>
    <row r="110">
      <c r="A110" t="s">
        <v>33</v>
      </c>
      <c r="B110" t="n">
        <v>7</v>
      </c>
      <c r="C110" t="s">
        <v>28</v>
      </c>
    </row>
    <row r="111">
      <c r="A111" t="s">
        <v>33</v>
      </c>
      <c r="B111" t="n">
        <v>7</v>
      </c>
      <c r="C111" t="s">
        <v>28</v>
      </c>
    </row>
    <row r="112">
      <c r="A112" t="s">
        <v>33</v>
      </c>
      <c r="B112" t="n">
        <v>7</v>
      </c>
      <c r="C112" t="s">
        <v>28</v>
      </c>
    </row>
    <row r="113">
      <c r="A113" t="s">
        <v>33</v>
      </c>
      <c r="B113" t="n">
        <v>7</v>
      </c>
      <c r="C113" t="s">
        <v>28</v>
      </c>
    </row>
    <row r="114">
      <c r="A114" t="s">
        <v>33</v>
      </c>
      <c r="B114" t="n">
        <v>7</v>
      </c>
      <c r="C114" t="s">
        <v>28</v>
      </c>
    </row>
    <row r="115">
      <c r="A115" t="s">
        <v>33</v>
      </c>
      <c r="B115" t="n">
        <v>7</v>
      </c>
      <c r="C115" t="s">
        <v>28</v>
      </c>
    </row>
    <row r="116">
      <c r="A116" t="s">
        <v>33</v>
      </c>
      <c r="B116" t="n">
        <v>7</v>
      </c>
      <c r="C116" t="s">
        <v>28</v>
      </c>
    </row>
    <row r="117">
      <c r="A117" t="s">
        <v>33</v>
      </c>
      <c r="B117" t="n">
        <v>7</v>
      </c>
      <c r="C117" t="s">
        <v>28</v>
      </c>
    </row>
    <row r="118">
      <c r="A118" t="s">
        <v>33</v>
      </c>
      <c r="B118" t="n">
        <v>7</v>
      </c>
      <c r="C118" t="s">
        <v>28</v>
      </c>
    </row>
    <row r="119">
      <c r="A119" t="s">
        <v>33</v>
      </c>
      <c r="B119" t="n">
        <v>7</v>
      </c>
      <c r="C119" t="s">
        <v>28</v>
      </c>
    </row>
    <row r="120">
      <c r="A120" t="s">
        <v>33</v>
      </c>
      <c r="B120" t="n">
        <v>7</v>
      </c>
      <c r="C120" t="s">
        <v>28</v>
      </c>
    </row>
    <row r="121">
      <c r="A121" t="s">
        <v>33</v>
      </c>
      <c r="B121" t="n">
        <v>7</v>
      </c>
      <c r="C121" t="s">
        <v>28</v>
      </c>
    </row>
    <row r="122">
      <c r="A122" t="s">
        <v>33</v>
      </c>
      <c r="B122" t="n">
        <v>7</v>
      </c>
      <c r="C122" t="s">
        <v>28</v>
      </c>
    </row>
    <row r="123">
      <c r="A123" t="s">
        <v>33</v>
      </c>
      <c r="B123" t="n">
        <v>7</v>
      </c>
      <c r="C123" t="s">
        <v>28</v>
      </c>
    </row>
    <row r="124">
      <c r="A124" t="s">
        <v>33</v>
      </c>
      <c r="B124" t="n">
        <v>7</v>
      </c>
      <c r="C124" t="s">
        <v>28</v>
      </c>
    </row>
    <row r="125">
      <c r="A125" t="s">
        <v>33</v>
      </c>
      <c r="B125" t="n">
        <v>7</v>
      </c>
      <c r="C125" t="s">
        <v>28</v>
      </c>
    </row>
    <row r="126">
      <c r="A126" t="s">
        <v>33</v>
      </c>
      <c r="B126" t="n">
        <v>7</v>
      </c>
      <c r="C126" t="s">
        <v>28</v>
      </c>
    </row>
    <row r="127">
      <c r="A127" t="s">
        <v>33</v>
      </c>
      <c r="B127" t="n">
        <v>7</v>
      </c>
      <c r="C127" t="s">
        <v>28</v>
      </c>
    </row>
    <row r="128">
      <c r="A128" t="s">
        <v>33</v>
      </c>
      <c r="B128" t="n">
        <v>8</v>
      </c>
      <c r="C128" t="s">
        <v>20</v>
      </c>
    </row>
    <row r="129">
      <c r="A129" t="s">
        <v>33</v>
      </c>
      <c r="B129" t="n">
        <v>8</v>
      </c>
      <c r="C129" t="s">
        <v>20</v>
      </c>
    </row>
    <row r="130">
      <c r="A130" t="s">
        <v>33</v>
      </c>
      <c r="B130" t="n">
        <v>8</v>
      </c>
      <c r="C130" t="s">
        <v>20</v>
      </c>
    </row>
    <row r="131">
      <c r="A131" t="s">
        <v>33</v>
      </c>
      <c r="B131" t="n">
        <v>8</v>
      </c>
      <c r="C131" t="s">
        <v>20</v>
      </c>
    </row>
    <row r="132">
      <c r="A132" t="s">
        <v>33</v>
      </c>
      <c r="B132" t="n">
        <v>8</v>
      </c>
      <c r="C132" t="s">
        <v>20</v>
      </c>
    </row>
    <row r="133">
      <c r="A133" t="s">
        <v>33</v>
      </c>
      <c r="B133" t="n">
        <v>8</v>
      </c>
      <c r="C133" t="s">
        <v>20</v>
      </c>
    </row>
    <row r="134">
      <c r="A134" t="s">
        <v>33</v>
      </c>
      <c r="B134" t="n">
        <v>8</v>
      </c>
      <c r="C134" t="s">
        <v>20</v>
      </c>
    </row>
    <row r="135">
      <c r="A135" t="s">
        <v>33</v>
      </c>
      <c r="B135" t="n">
        <v>8</v>
      </c>
      <c r="C135" t="s">
        <v>20</v>
      </c>
    </row>
    <row r="136">
      <c r="A136" t="s">
        <v>33</v>
      </c>
      <c r="B136" t="n">
        <v>8</v>
      </c>
      <c r="C136" t="s">
        <v>20</v>
      </c>
    </row>
    <row r="137">
      <c r="A137" t="s">
        <v>33</v>
      </c>
      <c r="B137" t="n">
        <v>8</v>
      </c>
      <c r="C137" t="s">
        <v>20</v>
      </c>
    </row>
    <row r="138">
      <c r="A138" t="s">
        <v>33</v>
      </c>
      <c r="B138" t="n">
        <v>8</v>
      </c>
      <c r="C138" t="s">
        <v>20</v>
      </c>
    </row>
    <row r="139">
      <c r="A139" t="s">
        <v>33</v>
      </c>
      <c r="B139" t="n">
        <v>8</v>
      </c>
      <c r="C139" t="s">
        <v>20</v>
      </c>
    </row>
    <row r="140">
      <c r="A140" t="s">
        <v>33</v>
      </c>
      <c r="B140" t="n">
        <v>8</v>
      </c>
      <c r="C140" t="s">
        <v>20</v>
      </c>
    </row>
    <row r="141">
      <c r="A141" t="s">
        <v>33</v>
      </c>
      <c r="B141" t="n">
        <v>8</v>
      </c>
      <c r="C141" t="s">
        <v>20</v>
      </c>
    </row>
    <row r="142">
      <c r="A142" t="s">
        <v>33</v>
      </c>
      <c r="B142" t="n">
        <v>8</v>
      </c>
      <c r="C142" t="s">
        <v>20</v>
      </c>
    </row>
    <row r="143">
      <c r="A143" t="s">
        <v>33</v>
      </c>
      <c r="B143" t="n">
        <v>8</v>
      </c>
      <c r="C143" t="s">
        <v>20</v>
      </c>
    </row>
    <row r="144">
      <c r="A144" t="s">
        <v>33</v>
      </c>
      <c r="B144" t="n">
        <v>8</v>
      </c>
      <c r="C144" t="s">
        <v>20</v>
      </c>
    </row>
    <row r="145">
      <c r="A145" t="s">
        <v>33</v>
      </c>
      <c r="B145" t="n">
        <v>8</v>
      </c>
      <c r="C145" t="s">
        <v>20</v>
      </c>
    </row>
    <row r="146">
      <c r="A146" t="s">
        <v>33</v>
      </c>
      <c r="B146" t="n">
        <v>9</v>
      </c>
      <c r="C146" t="s">
        <v>29</v>
      </c>
    </row>
    <row r="147">
      <c r="A147" t="s">
        <v>33</v>
      </c>
      <c r="B147" t="n">
        <v>9</v>
      </c>
      <c r="C147" t="s">
        <v>29</v>
      </c>
    </row>
    <row r="148">
      <c r="A148" t="s">
        <v>33</v>
      </c>
      <c r="B148" t="n">
        <v>9</v>
      </c>
      <c r="C148" t="s">
        <v>29</v>
      </c>
    </row>
    <row r="149">
      <c r="A149" t="s">
        <v>33</v>
      </c>
      <c r="B149" t="n">
        <v>9</v>
      </c>
      <c r="C149" t="s">
        <v>29</v>
      </c>
    </row>
    <row r="150">
      <c r="A150" t="s">
        <v>33</v>
      </c>
      <c r="B150" t="n">
        <v>9</v>
      </c>
      <c r="C150" t="s">
        <v>29</v>
      </c>
    </row>
    <row r="151">
      <c r="A151" t="s">
        <v>33</v>
      </c>
      <c r="B151" t="n">
        <v>9</v>
      </c>
      <c r="C151" t="s">
        <v>29</v>
      </c>
    </row>
    <row r="152">
      <c r="A152" t="s">
        <v>33</v>
      </c>
      <c r="B152" t="n">
        <v>9</v>
      </c>
      <c r="C152" t="s">
        <v>29</v>
      </c>
    </row>
    <row r="153">
      <c r="A153" t="s">
        <v>33</v>
      </c>
      <c r="B153" t="n">
        <v>9</v>
      </c>
      <c r="C153" t="s">
        <v>29</v>
      </c>
    </row>
    <row r="154">
      <c r="A154" t="s">
        <v>33</v>
      </c>
      <c r="B154" t="n">
        <v>9</v>
      </c>
      <c r="C154" t="s">
        <v>29</v>
      </c>
    </row>
    <row r="155">
      <c r="A155" t="s">
        <v>33</v>
      </c>
      <c r="B155" t="n">
        <v>9</v>
      </c>
      <c r="C155" t="s">
        <v>29</v>
      </c>
    </row>
    <row r="156">
      <c r="A156" t="s">
        <v>33</v>
      </c>
      <c r="B156" t="n">
        <v>9</v>
      </c>
      <c r="C156" t="s">
        <v>29</v>
      </c>
    </row>
    <row r="157">
      <c r="A157" t="s">
        <v>33</v>
      </c>
      <c r="B157" t="n">
        <v>9</v>
      </c>
      <c r="C157" t="s">
        <v>29</v>
      </c>
    </row>
    <row r="158">
      <c r="A158" t="s">
        <v>33</v>
      </c>
      <c r="B158" t="n">
        <v>9</v>
      </c>
      <c r="C158" t="s">
        <v>29</v>
      </c>
    </row>
    <row r="159">
      <c r="A159" t="s">
        <v>33</v>
      </c>
      <c r="B159" t="n">
        <v>9</v>
      </c>
      <c r="C159" t="s">
        <v>29</v>
      </c>
    </row>
    <row r="160">
      <c r="A160" t="s">
        <v>33</v>
      </c>
      <c r="B160" t="n">
        <v>9</v>
      </c>
      <c r="C160" t="s">
        <v>29</v>
      </c>
    </row>
    <row r="161">
      <c r="A161" t="s">
        <v>33</v>
      </c>
      <c r="B161" t="n">
        <v>9</v>
      </c>
      <c r="C161" t="s">
        <v>29</v>
      </c>
    </row>
    <row r="162">
      <c r="A162" t="s">
        <v>33</v>
      </c>
      <c r="B162" t="n">
        <v>9</v>
      </c>
      <c r="C162" t="s">
        <v>29</v>
      </c>
    </row>
    <row r="163">
      <c r="A163" t="s">
        <v>33</v>
      </c>
      <c r="B163" t="n">
        <v>9</v>
      </c>
      <c r="C163" t="s">
        <v>29</v>
      </c>
    </row>
    <row r="164">
      <c r="A164" t="s">
        <v>33</v>
      </c>
      <c r="B164" t="n">
        <v>10</v>
      </c>
      <c r="C164" t="s">
        <v>30</v>
      </c>
    </row>
    <row r="165">
      <c r="A165" t="s">
        <v>33</v>
      </c>
      <c r="B165" t="n">
        <v>10</v>
      </c>
      <c r="C165" t="s">
        <v>30</v>
      </c>
    </row>
    <row r="166">
      <c r="A166" t="s">
        <v>33</v>
      </c>
      <c r="B166" t="n">
        <v>10</v>
      </c>
      <c r="C166" t="s">
        <v>30</v>
      </c>
    </row>
    <row r="167">
      <c r="A167" t="s">
        <v>33</v>
      </c>
      <c r="B167" t="n">
        <v>10</v>
      </c>
      <c r="C167" t="s">
        <v>30</v>
      </c>
    </row>
    <row r="168">
      <c r="A168" t="s">
        <v>33</v>
      </c>
      <c r="B168" t="n">
        <v>10</v>
      </c>
      <c r="C168" t="s">
        <v>30</v>
      </c>
    </row>
    <row r="169">
      <c r="A169" t="s">
        <v>33</v>
      </c>
      <c r="B169" t="n">
        <v>10</v>
      </c>
      <c r="C169" t="s">
        <v>30</v>
      </c>
    </row>
    <row r="170">
      <c r="A170" t="s">
        <v>33</v>
      </c>
      <c r="B170" t="n">
        <v>10</v>
      </c>
      <c r="C170" t="s">
        <v>30</v>
      </c>
    </row>
    <row r="171">
      <c r="A171" t="s">
        <v>33</v>
      </c>
      <c r="B171" t="n">
        <v>10</v>
      </c>
      <c r="C171" t="s">
        <v>30</v>
      </c>
    </row>
    <row r="172">
      <c r="A172" t="s">
        <v>33</v>
      </c>
      <c r="B172" t="n">
        <v>10</v>
      </c>
      <c r="C172" t="s">
        <v>30</v>
      </c>
    </row>
    <row r="173">
      <c r="A173" t="s">
        <v>33</v>
      </c>
      <c r="B173" t="n">
        <v>10</v>
      </c>
      <c r="C173" t="s">
        <v>30</v>
      </c>
    </row>
    <row r="174">
      <c r="A174" t="s">
        <v>33</v>
      </c>
      <c r="B174" t="n">
        <v>10</v>
      </c>
      <c r="C174" t="s">
        <v>30</v>
      </c>
    </row>
    <row r="175">
      <c r="A175" t="s">
        <v>33</v>
      </c>
      <c r="B175" t="n">
        <v>10</v>
      </c>
      <c r="C175" t="s">
        <v>30</v>
      </c>
    </row>
    <row r="176">
      <c r="A176" t="s">
        <v>33</v>
      </c>
      <c r="B176" t="n">
        <v>10</v>
      </c>
      <c r="C176" t="s">
        <v>30</v>
      </c>
    </row>
    <row r="177">
      <c r="A177" t="s">
        <v>33</v>
      </c>
      <c r="B177" t="n">
        <v>10</v>
      </c>
      <c r="C177" t="s">
        <v>30</v>
      </c>
    </row>
    <row r="178">
      <c r="A178" t="s">
        <v>33</v>
      </c>
      <c r="B178" t="n">
        <v>10</v>
      </c>
      <c r="C178" t="s">
        <v>30</v>
      </c>
    </row>
    <row r="179">
      <c r="A179" t="s">
        <v>33</v>
      </c>
      <c r="B179" t="n">
        <v>10</v>
      </c>
      <c r="C179" t="s">
        <v>30</v>
      </c>
    </row>
    <row r="180">
      <c r="A180" t="s">
        <v>33</v>
      </c>
      <c r="B180" t="n">
        <v>10</v>
      </c>
      <c r="C180" t="s">
        <v>30</v>
      </c>
    </row>
    <row r="181">
      <c r="A181" t="s">
        <v>33</v>
      </c>
      <c r="B181" t="n">
        <v>10</v>
      </c>
      <c r="C181" t="s">
        <v>30</v>
      </c>
    </row>
    <row r="182">
      <c r="A182" t="s">
        <v>33</v>
      </c>
      <c r="B182" t="n">
        <v>11</v>
      </c>
      <c r="C182" t="s">
        <v>31</v>
      </c>
    </row>
    <row r="183">
      <c r="A183" t="s">
        <v>33</v>
      </c>
      <c r="B183" t="n">
        <v>11</v>
      </c>
      <c r="C183" t="s">
        <v>31</v>
      </c>
    </row>
    <row r="184">
      <c r="A184" t="s">
        <v>33</v>
      </c>
      <c r="B184" t="n">
        <v>11</v>
      </c>
      <c r="C184" t="s">
        <v>31</v>
      </c>
    </row>
    <row r="185">
      <c r="A185" t="s">
        <v>33</v>
      </c>
      <c r="B185" t="n">
        <v>11</v>
      </c>
      <c r="C185" t="s">
        <v>31</v>
      </c>
    </row>
    <row r="186">
      <c r="A186" t="s">
        <v>33</v>
      </c>
      <c r="B186" t="n">
        <v>11</v>
      </c>
      <c r="C186" t="s">
        <v>31</v>
      </c>
    </row>
    <row r="187">
      <c r="A187" t="s">
        <v>33</v>
      </c>
      <c r="B187" t="n">
        <v>11</v>
      </c>
      <c r="C187" t="s">
        <v>31</v>
      </c>
    </row>
    <row r="188">
      <c r="A188" t="s">
        <v>33</v>
      </c>
      <c r="B188" t="n">
        <v>11</v>
      </c>
      <c r="C188" t="s">
        <v>31</v>
      </c>
    </row>
    <row r="189">
      <c r="A189" t="s">
        <v>33</v>
      </c>
      <c r="B189" t="n">
        <v>11</v>
      </c>
      <c r="C189" t="s">
        <v>31</v>
      </c>
    </row>
    <row r="190">
      <c r="A190" t="s">
        <v>33</v>
      </c>
      <c r="B190" t="n">
        <v>11</v>
      </c>
      <c r="C190" t="s">
        <v>31</v>
      </c>
    </row>
    <row r="191">
      <c r="A191" t="s">
        <v>33</v>
      </c>
      <c r="B191" t="n">
        <v>11</v>
      </c>
      <c r="C191" t="s">
        <v>31</v>
      </c>
    </row>
    <row r="192">
      <c r="A192" t="s">
        <v>33</v>
      </c>
      <c r="B192" t="n">
        <v>11</v>
      </c>
      <c r="C192" t="s">
        <v>31</v>
      </c>
    </row>
    <row r="193">
      <c r="A193" t="s">
        <v>33</v>
      </c>
      <c r="B193" t="n">
        <v>11</v>
      </c>
      <c r="C193" t="s">
        <v>31</v>
      </c>
    </row>
    <row r="194">
      <c r="A194" t="s">
        <v>33</v>
      </c>
      <c r="B194" t="n">
        <v>11</v>
      </c>
      <c r="C194" t="s">
        <v>31</v>
      </c>
    </row>
    <row r="195">
      <c r="A195" t="s">
        <v>33</v>
      </c>
      <c r="B195" t="n">
        <v>11</v>
      </c>
      <c r="C195" t="s">
        <v>31</v>
      </c>
    </row>
    <row r="196">
      <c r="A196" t="s">
        <v>33</v>
      </c>
      <c r="B196" t="n">
        <v>11</v>
      </c>
      <c r="C196" t="s">
        <v>31</v>
      </c>
    </row>
    <row r="197">
      <c r="A197" t="s">
        <v>33</v>
      </c>
      <c r="B197" t="n">
        <v>11</v>
      </c>
      <c r="C197" t="s">
        <v>31</v>
      </c>
    </row>
    <row r="198">
      <c r="A198" t="s">
        <v>33</v>
      </c>
      <c r="B198" t="n">
        <v>11</v>
      </c>
      <c r="C198" t="s">
        <v>31</v>
      </c>
    </row>
    <row r="199">
      <c r="A199" t="s">
        <v>33</v>
      </c>
      <c r="B199" t="n">
        <v>11</v>
      </c>
      <c r="C199" t="s">
        <v>31</v>
      </c>
    </row>
    <row r="200">
      <c r="A200" t="s">
        <v>33</v>
      </c>
      <c r="B200" t="n">
        <v>12</v>
      </c>
      <c r="C200" t="s">
        <v>21</v>
      </c>
    </row>
    <row r="201">
      <c r="A201" t="s">
        <v>33</v>
      </c>
      <c r="B201" t="n">
        <v>12</v>
      </c>
      <c r="C201" t="s">
        <v>21</v>
      </c>
    </row>
    <row r="202">
      <c r="A202" t="s">
        <v>33</v>
      </c>
      <c r="B202" t="n">
        <v>12</v>
      </c>
      <c r="C202" t="s">
        <v>21</v>
      </c>
    </row>
    <row r="203">
      <c r="A203" t="s">
        <v>33</v>
      </c>
      <c r="B203" t="n">
        <v>12</v>
      </c>
      <c r="C203" t="s">
        <v>21</v>
      </c>
    </row>
    <row r="204">
      <c r="A204" t="s">
        <v>33</v>
      </c>
      <c r="B204" t="n">
        <v>12</v>
      </c>
      <c r="C204" t="s">
        <v>21</v>
      </c>
    </row>
    <row r="205">
      <c r="A205" t="s">
        <v>33</v>
      </c>
      <c r="B205" t="n">
        <v>12</v>
      </c>
      <c r="C205" t="s">
        <v>21</v>
      </c>
    </row>
    <row r="206">
      <c r="A206" t="s">
        <v>33</v>
      </c>
      <c r="B206" t="n">
        <v>12</v>
      </c>
      <c r="C206" t="s">
        <v>21</v>
      </c>
    </row>
    <row r="207">
      <c r="A207" t="s">
        <v>33</v>
      </c>
      <c r="B207" t="n">
        <v>12</v>
      </c>
      <c r="C207" t="s">
        <v>21</v>
      </c>
    </row>
    <row r="208">
      <c r="A208" t="s">
        <v>33</v>
      </c>
      <c r="B208" t="n">
        <v>12</v>
      </c>
      <c r="C208" t="s">
        <v>21</v>
      </c>
    </row>
    <row r="209">
      <c r="A209" t="s">
        <v>33</v>
      </c>
      <c r="B209" t="n">
        <v>12</v>
      </c>
      <c r="C209" t="s">
        <v>21</v>
      </c>
    </row>
    <row r="210">
      <c r="A210" t="s">
        <v>33</v>
      </c>
      <c r="B210" t="n">
        <v>12</v>
      </c>
      <c r="C210" t="s">
        <v>21</v>
      </c>
    </row>
    <row r="211">
      <c r="A211" t="s">
        <v>33</v>
      </c>
      <c r="B211" t="n">
        <v>12</v>
      </c>
      <c r="C211" t="s">
        <v>21</v>
      </c>
    </row>
    <row r="212">
      <c r="A212" t="s">
        <v>33</v>
      </c>
      <c r="B212" t="n">
        <v>12</v>
      </c>
      <c r="C212" t="s">
        <v>21</v>
      </c>
    </row>
    <row r="213">
      <c r="A213" t="s">
        <v>33</v>
      </c>
      <c r="B213" t="n">
        <v>12</v>
      </c>
      <c r="C213" t="s">
        <v>21</v>
      </c>
    </row>
    <row r="214">
      <c r="A214" t="s">
        <v>33</v>
      </c>
      <c r="B214" t="n">
        <v>12</v>
      </c>
      <c r="C214" t="s">
        <v>21</v>
      </c>
    </row>
    <row r="215">
      <c r="A215" t="s">
        <v>33</v>
      </c>
      <c r="B215" t="n">
        <v>12</v>
      </c>
      <c r="C215" t="s">
        <v>21</v>
      </c>
    </row>
    <row r="216">
      <c r="A216" t="s">
        <v>33</v>
      </c>
      <c r="B216" t="n">
        <v>12</v>
      </c>
      <c r="C216" t="s">
        <v>21</v>
      </c>
    </row>
    <row r="217">
      <c r="A217" t="s">
        <v>33</v>
      </c>
      <c r="B217" t="n">
        <v>12</v>
      </c>
      <c r="C217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cols>
    <col min="1" max="1" width="25" hidden="0" customWidth="1"/>
    <col min="2" max="2" width="19.6640625" hidden="0" customWidth="1"/>
    <col min="3" max="3" width="43.86328125" hidden="0" customWidth="1"/>
  </cols>
  <sheetData>
    <row r="1">
      <c r="A1" s="44" t="s">
        <v>71</v>
      </c>
      <c r="B1" s="44" t="s">
        <v>72</v>
      </c>
      <c r="C1" s="44" t="s">
        <v>73</v>
      </c>
    </row>
    <row r="2">
      <c r="A2" t="s">
        <v>34</v>
      </c>
      <c r="B2" t="n">
        <v>1</v>
      </c>
      <c r="C2" t="s">
        <v>22</v>
      </c>
    </row>
    <row r="3">
      <c r="A3" t="s">
        <v>34</v>
      </c>
      <c r="B3" t="n">
        <v>2</v>
      </c>
      <c r="C3" t="s">
        <v>23</v>
      </c>
    </row>
    <row r="4">
      <c r="A4" t="s">
        <v>34</v>
      </c>
      <c r="B4" t="n">
        <v>3</v>
      </c>
      <c r="C4" t="s">
        <v>24</v>
      </c>
    </row>
    <row r="5">
      <c r="A5" t="s">
        <v>34</v>
      </c>
      <c r="B5" t="n">
        <v>4</v>
      </c>
      <c r="C5" t="s">
        <v>25</v>
      </c>
    </row>
    <row r="6">
      <c r="A6" t="s">
        <v>34</v>
      </c>
      <c r="B6" t="n">
        <v>5</v>
      </c>
      <c r="C6" t="s">
        <v>26</v>
      </c>
    </row>
    <row r="7">
      <c r="A7" t="s">
        <v>34</v>
      </c>
      <c r="B7" t="n">
        <v>6</v>
      </c>
      <c r="C7" t="s">
        <v>27</v>
      </c>
    </row>
    <row r="8">
      <c r="A8" t="s">
        <v>34</v>
      </c>
      <c r="B8" t="n">
        <v>7</v>
      </c>
      <c r="C8" t="s">
        <v>28</v>
      </c>
    </row>
    <row r="9">
      <c r="A9" t="s">
        <v>34</v>
      </c>
      <c r="B9" t="n">
        <v>8</v>
      </c>
      <c r="C9" t="s">
        <v>20</v>
      </c>
    </row>
    <row r="10">
      <c r="A10" t="s">
        <v>34</v>
      </c>
      <c r="B10" t="n">
        <v>9</v>
      </c>
      <c r="C10" t="s">
        <v>29</v>
      </c>
    </row>
    <row r="11">
      <c r="A11" t="s">
        <v>34</v>
      </c>
      <c r="B11" t="n">
        <v>10</v>
      </c>
      <c r="C11" t="s">
        <v>30</v>
      </c>
    </row>
    <row r="12">
      <c r="A12" t="s">
        <v>34</v>
      </c>
      <c r="B12" t="n">
        <v>11</v>
      </c>
      <c r="C12" t="s">
        <v>31</v>
      </c>
    </row>
    <row r="13">
      <c r="A13" t="s">
        <v>34</v>
      </c>
      <c r="B13" t="n">
        <v>12</v>
      </c>
      <c r="C13" t="s">
        <v>21</v>
      </c>
    </row>
    <row r="14">
      <c r="A14" t="s">
        <v>4</v>
      </c>
      <c r="B14" t="s">
        <v>35</v>
      </c>
      <c r="C14" t="s">
        <v>35</v>
      </c>
    </row>
    <row r="15">
      <c r="A15" t="s">
        <v>5</v>
      </c>
      <c r="B15" t="s">
        <v>35</v>
      </c>
      <c r="C15" t="s">
        <v>35</v>
      </c>
    </row>
    <row r="16">
      <c r="A16" t="s">
        <v>6</v>
      </c>
      <c r="B16" t="s">
        <v>35</v>
      </c>
      <c r="C16" t="s">
        <v>35</v>
      </c>
    </row>
    <row r="17">
      <c r="A17" t="s">
        <v>7</v>
      </c>
      <c r="B17" t="s">
        <v>35</v>
      </c>
      <c r="C17" t="s">
        <v>35</v>
      </c>
    </row>
    <row r="18">
      <c r="A18" t="s">
        <v>8</v>
      </c>
      <c r="B18" t="s">
        <v>35</v>
      </c>
      <c r="C18" t="s">
        <v>35</v>
      </c>
    </row>
    <row r="19">
      <c r="A19" t="s">
        <v>9</v>
      </c>
      <c r="B19" t="s">
        <v>35</v>
      </c>
      <c r="C19" t="s">
        <v>35</v>
      </c>
    </row>
    <row r="20">
      <c r="A20" t="s">
        <v>34</v>
      </c>
      <c r="B20" t="n">
        <v>1</v>
      </c>
      <c r="C20" t="s">
        <v>22</v>
      </c>
    </row>
    <row r="21">
      <c r="A21" t="s">
        <v>34</v>
      </c>
      <c r="B21" t="n">
        <v>2</v>
      </c>
      <c r="C21" t="s">
        <v>23</v>
      </c>
    </row>
    <row r="22">
      <c r="A22" t="s">
        <v>34</v>
      </c>
      <c r="B22" t="n">
        <v>3</v>
      </c>
      <c r="C22" t="s">
        <v>24</v>
      </c>
    </row>
    <row r="23">
      <c r="A23" t="s">
        <v>34</v>
      </c>
      <c r="B23" t="n">
        <v>4</v>
      </c>
      <c r="C23" t="s">
        <v>25</v>
      </c>
    </row>
    <row r="24">
      <c r="A24" t="s">
        <v>34</v>
      </c>
      <c r="B24" t="n">
        <v>5</v>
      </c>
      <c r="C24" t="s">
        <v>26</v>
      </c>
    </row>
    <row r="25">
      <c r="A25" t="s">
        <v>34</v>
      </c>
      <c r="B25" t="n">
        <v>6</v>
      </c>
      <c r="C25" t="s">
        <v>27</v>
      </c>
    </row>
    <row r="26">
      <c r="A26" t="s">
        <v>34</v>
      </c>
      <c r="B26" t="n">
        <v>7</v>
      </c>
      <c r="C26" t="s">
        <v>28</v>
      </c>
    </row>
    <row r="27">
      <c r="A27" t="s">
        <v>34</v>
      </c>
      <c r="B27" t="n">
        <v>8</v>
      </c>
      <c r="C27" t="s">
        <v>20</v>
      </c>
    </row>
    <row r="28">
      <c r="A28" t="s">
        <v>34</v>
      </c>
      <c r="B28" t="n">
        <v>9</v>
      </c>
      <c r="C28" t="s">
        <v>29</v>
      </c>
    </row>
    <row r="29">
      <c r="A29" t="s">
        <v>34</v>
      </c>
      <c r="B29" t="n">
        <v>10</v>
      </c>
      <c r="C29" t="s">
        <v>30</v>
      </c>
    </row>
    <row r="30">
      <c r="A30" t="s">
        <v>34</v>
      </c>
      <c r="B30" t="n">
        <v>11</v>
      </c>
      <c r="C30" t="s">
        <v>31</v>
      </c>
    </row>
    <row r="31">
      <c r="A31" t="s">
        <v>34</v>
      </c>
      <c r="B31" t="n">
        <v>12</v>
      </c>
      <c r="C31" t="s">
        <v>21</v>
      </c>
    </row>
    <row r="32">
      <c r="A32" t="s">
        <v>4</v>
      </c>
      <c r="B32" t="s">
        <v>35</v>
      </c>
      <c r="C32" t="s">
        <v>35</v>
      </c>
    </row>
    <row r="33">
      <c r="A33" t="s">
        <v>5</v>
      </c>
      <c r="B33" t="s">
        <v>35</v>
      </c>
      <c r="C33" t="s">
        <v>35</v>
      </c>
    </row>
    <row r="34">
      <c r="A34" t="s">
        <v>6</v>
      </c>
      <c r="B34" t="s">
        <v>35</v>
      </c>
      <c r="C34" t="s">
        <v>35</v>
      </c>
    </row>
    <row r="35">
      <c r="A35" t="s">
        <v>7</v>
      </c>
      <c r="B35" t="s">
        <v>35</v>
      </c>
      <c r="C35" t="s">
        <v>35</v>
      </c>
    </row>
    <row r="36">
      <c r="A36" t="s">
        <v>8</v>
      </c>
      <c r="B36" t="s">
        <v>35</v>
      </c>
      <c r="C36" t="s">
        <v>35</v>
      </c>
    </row>
    <row r="37">
      <c r="A37" t="s">
        <v>9</v>
      </c>
      <c r="B37" t="s">
        <v>35</v>
      </c>
      <c r="C37" t="s">
        <v>35</v>
      </c>
    </row>
    <row r="38">
      <c r="A38" t="s">
        <v>34</v>
      </c>
      <c r="B38" t="n">
        <v>1</v>
      </c>
      <c r="C38" t="s">
        <v>22</v>
      </c>
    </row>
    <row r="39">
      <c r="A39" t="s">
        <v>34</v>
      </c>
      <c r="B39" t="n">
        <v>2</v>
      </c>
      <c r="C39" t="s">
        <v>23</v>
      </c>
    </row>
    <row r="40">
      <c r="A40" t="s">
        <v>34</v>
      </c>
      <c r="B40" t="n">
        <v>3</v>
      </c>
      <c r="C40" t="s">
        <v>24</v>
      </c>
    </row>
    <row r="41">
      <c r="A41" t="s">
        <v>34</v>
      </c>
      <c r="B41" t="n">
        <v>4</v>
      </c>
      <c r="C41" t="s">
        <v>25</v>
      </c>
    </row>
    <row r="42">
      <c r="A42" t="s">
        <v>34</v>
      </c>
      <c r="B42" t="n">
        <v>5</v>
      </c>
      <c r="C42" t="s">
        <v>26</v>
      </c>
    </row>
    <row r="43">
      <c r="A43" t="s">
        <v>34</v>
      </c>
      <c r="B43" t="n">
        <v>6</v>
      </c>
      <c r="C43" t="s">
        <v>27</v>
      </c>
    </row>
    <row r="44">
      <c r="A44" t="s">
        <v>34</v>
      </c>
      <c r="B44" t="n">
        <v>7</v>
      </c>
      <c r="C44" t="s">
        <v>28</v>
      </c>
    </row>
    <row r="45">
      <c r="A45" t="s">
        <v>34</v>
      </c>
      <c r="B45" t="n">
        <v>8</v>
      </c>
      <c r="C45" t="s">
        <v>20</v>
      </c>
    </row>
    <row r="46">
      <c r="A46" t="s">
        <v>34</v>
      </c>
      <c r="B46" t="n">
        <v>9</v>
      </c>
      <c r="C46" t="s">
        <v>29</v>
      </c>
    </row>
    <row r="47">
      <c r="A47" t="s">
        <v>34</v>
      </c>
      <c r="B47" t="n">
        <v>10</v>
      </c>
      <c r="C47" t="s">
        <v>30</v>
      </c>
    </row>
    <row r="48">
      <c r="A48" t="s">
        <v>34</v>
      </c>
      <c r="B48" t="n">
        <v>11</v>
      </c>
      <c r="C48" t="s">
        <v>31</v>
      </c>
    </row>
    <row r="49">
      <c r="A49" t="s">
        <v>34</v>
      </c>
      <c r="B49" t="n">
        <v>12</v>
      </c>
      <c r="C49" t="s">
        <v>21</v>
      </c>
    </row>
    <row r="50">
      <c r="A50" t="s">
        <v>4</v>
      </c>
      <c r="B50" t="s">
        <v>35</v>
      </c>
      <c r="C50" t="s">
        <v>35</v>
      </c>
    </row>
    <row r="51">
      <c r="A51" t="s">
        <v>5</v>
      </c>
      <c r="B51" t="s">
        <v>35</v>
      </c>
      <c r="C51" t="s">
        <v>35</v>
      </c>
    </row>
    <row r="52">
      <c r="A52" t="s">
        <v>6</v>
      </c>
      <c r="B52" t="s">
        <v>35</v>
      </c>
      <c r="C52" t="s">
        <v>35</v>
      </c>
    </row>
    <row r="53">
      <c r="A53" t="s">
        <v>7</v>
      </c>
      <c r="B53" t="s">
        <v>35</v>
      </c>
      <c r="C53" t="s">
        <v>35</v>
      </c>
    </row>
    <row r="54">
      <c r="A54" t="s">
        <v>8</v>
      </c>
      <c r="B54" t="s">
        <v>35</v>
      </c>
      <c r="C54" t="s">
        <v>35</v>
      </c>
    </row>
    <row r="55">
      <c r="A55" t="s">
        <v>9</v>
      </c>
      <c r="B55" t="s">
        <v>35</v>
      </c>
      <c r="C55" t="s">
        <v>35</v>
      </c>
    </row>
    <row r="56">
      <c r="A56" t="s">
        <v>34</v>
      </c>
      <c r="B56" t="n">
        <v>1</v>
      </c>
      <c r="C56" t="s">
        <v>22</v>
      </c>
    </row>
    <row r="57">
      <c r="A57" t="s">
        <v>34</v>
      </c>
      <c r="B57" t="n">
        <v>2</v>
      </c>
      <c r="C57" t="s">
        <v>23</v>
      </c>
    </row>
    <row r="58">
      <c r="A58" t="s">
        <v>34</v>
      </c>
      <c r="B58" t="n">
        <v>3</v>
      </c>
      <c r="C58" t="s">
        <v>24</v>
      </c>
    </row>
    <row r="59">
      <c r="A59" t="s">
        <v>34</v>
      </c>
      <c r="B59" t="n">
        <v>4</v>
      </c>
      <c r="C59" t="s">
        <v>25</v>
      </c>
    </row>
    <row r="60">
      <c r="A60" t="s">
        <v>34</v>
      </c>
      <c r="B60" t="n">
        <v>5</v>
      </c>
      <c r="C60" t="s">
        <v>26</v>
      </c>
    </row>
    <row r="61">
      <c r="A61" t="s">
        <v>34</v>
      </c>
      <c r="B61" t="n">
        <v>6</v>
      </c>
      <c r="C61" t="s">
        <v>27</v>
      </c>
    </row>
    <row r="62">
      <c r="A62" t="s">
        <v>34</v>
      </c>
      <c r="B62" t="n">
        <v>7</v>
      </c>
      <c r="C62" t="s">
        <v>28</v>
      </c>
    </row>
    <row r="63">
      <c r="A63" t="s">
        <v>34</v>
      </c>
      <c r="B63" t="n">
        <v>8</v>
      </c>
      <c r="C63" t="s">
        <v>20</v>
      </c>
    </row>
    <row r="64">
      <c r="A64" t="s">
        <v>34</v>
      </c>
      <c r="B64" t="n">
        <v>9</v>
      </c>
      <c r="C64" t="s">
        <v>29</v>
      </c>
    </row>
    <row r="65">
      <c r="A65" t="s">
        <v>34</v>
      </c>
      <c r="B65" t="n">
        <v>10</v>
      </c>
      <c r="C65" t="s">
        <v>30</v>
      </c>
    </row>
    <row r="66">
      <c r="A66" t="s">
        <v>34</v>
      </c>
      <c r="B66" t="n">
        <v>11</v>
      </c>
      <c r="C66" t="s">
        <v>31</v>
      </c>
    </row>
    <row r="67">
      <c r="A67" t="s">
        <v>34</v>
      </c>
      <c r="B67" t="n">
        <v>12</v>
      </c>
      <c r="C67" t="s">
        <v>21</v>
      </c>
    </row>
    <row r="68">
      <c r="A68" t="s">
        <v>4</v>
      </c>
      <c r="B68" t="s">
        <v>35</v>
      </c>
      <c r="C68" t="s">
        <v>35</v>
      </c>
    </row>
    <row r="69">
      <c r="A69" t="s">
        <v>5</v>
      </c>
      <c r="B69" t="s">
        <v>35</v>
      </c>
      <c r="C69" t="s">
        <v>35</v>
      </c>
    </row>
    <row r="70">
      <c r="A70" t="s">
        <v>6</v>
      </c>
      <c r="B70" t="s">
        <v>35</v>
      </c>
      <c r="C70" t="s">
        <v>35</v>
      </c>
    </row>
    <row r="71">
      <c r="A71" t="s">
        <v>7</v>
      </c>
      <c r="B71" t="s">
        <v>35</v>
      </c>
      <c r="C71" t="s">
        <v>35</v>
      </c>
    </row>
    <row r="72">
      <c r="A72" t="s">
        <v>8</v>
      </c>
      <c r="B72" t="s">
        <v>35</v>
      </c>
      <c r="C72" t="s">
        <v>35</v>
      </c>
    </row>
    <row r="73">
      <c r="A73" t="s">
        <v>9</v>
      </c>
      <c r="B73" t="s">
        <v>35</v>
      </c>
      <c r="C73" t="s">
        <v>35</v>
      </c>
    </row>
    <row r="74">
      <c r="A74" t="s">
        <v>34</v>
      </c>
      <c r="B74" t="n">
        <v>1</v>
      </c>
      <c r="C74" t="s">
        <v>22</v>
      </c>
    </row>
    <row r="75">
      <c r="A75" t="s">
        <v>34</v>
      </c>
      <c r="B75" t="n">
        <v>2</v>
      </c>
      <c r="C75" t="s">
        <v>23</v>
      </c>
    </row>
    <row r="76">
      <c r="A76" t="s">
        <v>34</v>
      </c>
      <c r="B76" t="n">
        <v>3</v>
      </c>
      <c r="C76" t="s">
        <v>24</v>
      </c>
    </row>
    <row r="77">
      <c r="A77" t="s">
        <v>34</v>
      </c>
      <c r="B77" t="n">
        <v>4</v>
      </c>
      <c r="C77" t="s">
        <v>25</v>
      </c>
    </row>
    <row r="78">
      <c r="A78" t="s">
        <v>34</v>
      </c>
      <c r="B78" t="n">
        <v>5</v>
      </c>
      <c r="C78" t="s">
        <v>26</v>
      </c>
    </row>
    <row r="79">
      <c r="A79" t="s">
        <v>34</v>
      </c>
      <c r="B79" t="n">
        <v>6</v>
      </c>
      <c r="C79" t="s">
        <v>27</v>
      </c>
    </row>
    <row r="80">
      <c r="A80" t="s">
        <v>34</v>
      </c>
      <c r="B80" t="n">
        <v>7</v>
      </c>
      <c r="C80" t="s">
        <v>28</v>
      </c>
    </row>
    <row r="81">
      <c r="A81" t="s">
        <v>34</v>
      </c>
      <c r="B81" t="n">
        <v>8</v>
      </c>
      <c r="C81" t="s">
        <v>20</v>
      </c>
    </row>
    <row r="82">
      <c r="A82" t="s">
        <v>34</v>
      </c>
      <c r="B82" t="n">
        <v>9</v>
      </c>
      <c r="C82" t="s">
        <v>29</v>
      </c>
    </row>
    <row r="83">
      <c r="A83" t="s">
        <v>34</v>
      </c>
      <c r="B83" t="n">
        <v>10</v>
      </c>
      <c r="C83" t="s">
        <v>30</v>
      </c>
    </row>
    <row r="84">
      <c r="A84" t="s">
        <v>34</v>
      </c>
      <c r="B84" t="n">
        <v>11</v>
      </c>
      <c r="C84" t="s">
        <v>31</v>
      </c>
    </row>
    <row r="85">
      <c r="A85" t="s">
        <v>34</v>
      </c>
      <c r="B85" t="n">
        <v>12</v>
      </c>
      <c r="C85" t="s">
        <v>21</v>
      </c>
    </row>
    <row r="86">
      <c r="A86" t="s">
        <v>4</v>
      </c>
      <c r="B86" t="s">
        <v>35</v>
      </c>
      <c r="C86" t="s">
        <v>35</v>
      </c>
    </row>
    <row r="87">
      <c r="A87" t="s">
        <v>5</v>
      </c>
      <c r="B87" t="s">
        <v>35</v>
      </c>
      <c r="C87" t="s">
        <v>35</v>
      </c>
    </row>
    <row r="88">
      <c r="A88" t="s">
        <v>6</v>
      </c>
      <c r="B88" t="s">
        <v>35</v>
      </c>
      <c r="C88" t="s">
        <v>35</v>
      </c>
    </row>
    <row r="89">
      <c r="A89" t="s">
        <v>7</v>
      </c>
      <c r="B89" t="s">
        <v>35</v>
      </c>
      <c r="C89" t="s">
        <v>35</v>
      </c>
    </row>
    <row r="90">
      <c r="A90" t="s">
        <v>8</v>
      </c>
      <c r="B90" t="s">
        <v>35</v>
      </c>
      <c r="C90" t="s">
        <v>35</v>
      </c>
    </row>
    <row r="91">
      <c r="A91" t="s">
        <v>9</v>
      </c>
      <c r="B91" t="s">
        <v>35</v>
      </c>
      <c r="C91" t="s">
        <v>35</v>
      </c>
    </row>
    <row r="92">
      <c r="A92" t="s">
        <v>34</v>
      </c>
      <c r="B92" t="n">
        <v>1</v>
      </c>
      <c r="C92" t="s">
        <v>22</v>
      </c>
    </row>
    <row r="93">
      <c r="A93" t="s">
        <v>34</v>
      </c>
      <c r="B93" t="n">
        <v>2</v>
      </c>
      <c r="C93" t="s">
        <v>23</v>
      </c>
    </row>
    <row r="94">
      <c r="A94" t="s">
        <v>34</v>
      </c>
      <c r="B94" t="n">
        <v>3</v>
      </c>
      <c r="C94" t="s">
        <v>24</v>
      </c>
    </row>
    <row r="95">
      <c r="A95" t="s">
        <v>34</v>
      </c>
      <c r="B95" t="n">
        <v>4</v>
      </c>
      <c r="C95" t="s">
        <v>25</v>
      </c>
    </row>
    <row r="96">
      <c r="A96" t="s">
        <v>34</v>
      </c>
      <c r="B96" t="n">
        <v>5</v>
      </c>
      <c r="C96" t="s">
        <v>26</v>
      </c>
    </row>
    <row r="97">
      <c r="A97" t="s">
        <v>34</v>
      </c>
      <c r="B97" t="n">
        <v>6</v>
      </c>
      <c r="C97" t="s">
        <v>27</v>
      </c>
    </row>
    <row r="98">
      <c r="A98" t="s">
        <v>34</v>
      </c>
      <c r="B98" t="n">
        <v>7</v>
      </c>
      <c r="C98" t="s">
        <v>28</v>
      </c>
    </row>
    <row r="99">
      <c r="A99" t="s">
        <v>34</v>
      </c>
      <c r="B99" t="n">
        <v>8</v>
      </c>
      <c r="C99" t="s">
        <v>20</v>
      </c>
    </row>
    <row r="100">
      <c r="A100" t="s">
        <v>34</v>
      </c>
      <c r="B100" t="n">
        <v>9</v>
      </c>
      <c r="C100" t="s">
        <v>29</v>
      </c>
    </row>
    <row r="101">
      <c r="A101" t="s">
        <v>34</v>
      </c>
      <c r="B101" t="n">
        <v>10</v>
      </c>
      <c r="C101" t="s">
        <v>30</v>
      </c>
    </row>
    <row r="102">
      <c r="A102" t="s">
        <v>34</v>
      </c>
      <c r="B102" t="n">
        <v>11</v>
      </c>
      <c r="C102" t="s">
        <v>31</v>
      </c>
    </row>
    <row r="103">
      <c r="A103" t="s">
        <v>34</v>
      </c>
      <c r="B103" t="n">
        <v>12</v>
      </c>
      <c r="C103" t="s">
        <v>21</v>
      </c>
    </row>
    <row r="104">
      <c r="A104" t="s">
        <v>4</v>
      </c>
      <c r="B104" t="s">
        <v>35</v>
      </c>
      <c r="C104" t="s">
        <v>35</v>
      </c>
    </row>
    <row r="105">
      <c r="A105" t="s">
        <v>5</v>
      </c>
      <c r="B105" t="s">
        <v>35</v>
      </c>
      <c r="C105" t="s">
        <v>35</v>
      </c>
    </row>
    <row r="106">
      <c r="A106" t="s">
        <v>6</v>
      </c>
      <c r="B106" t="s">
        <v>35</v>
      </c>
      <c r="C106" t="s">
        <v>35</v>
      </c>
    </row>
    <row r="107">
      <c r="A107" t="s">
        <v>7</v>
      </c>
      <c r="B107" t="s">
        <v>35</v>
      </c>
      <c r="C107" t="s">
        <v>35</v>
      </c>
    </row>
    <row r="108">
      <c r="A108" t="s">
        <v>8</v>
      </c>
      <c r="B108" t="s">
        <v>35</v>
      </c>
      <c r="C108" t="s">
        <v>35</v>
      </c>
    </row>
    <row r="109">
      <c r="A109" t="s">
        <v>9</v>
      </c>
      <c r="B109" t="s">
        <v>35</v>
      </c>
      <c r="C109" t="s">
        <v>35</v>
      </c>
    </row>
    <row r="110">
      <c r="A110" t="s">
        <v>34</v>
      </c>
      <c r="B110" t="n">
        <v>1</v>
      </c>
      <c r="C110" t="s">
        <v>22</v>
      </c>
    </row>
    <row r="111">
      <c r="A111" t="s">
        <v>34</v>
      </c>
      <c r="B111" t="n">
        <v>2</v>
      </c>
      <c r="C111" t="s">
        <v>23</v>
      </c>
    </row>
    <row r="112">
      <c r="A112" t="s">
        <v>34</v>
      </c>
      <c r="B112" t="n">
        <v>3</v>
      </c>
      <c r="C112" t="s">
        <v>24</v>
      </c>
    </row>
    <row r="113">
      <c r="A113" t="s">
        <v>34</v>
      </c>
      <c r="B113" t="n">
        <v>4</v>
      </c>
      <c r="C113" t="s">
        <v>25</v>
      </c>
    </row>
    <row r="114">
      <c r="A114" t="s">
        <v>34</v>
      </c>
      <c r="B114" t="n">
        <v>5</v>
      </c>
      <c r="C114" t="s">
        <v>26</v>
      </c>
    </row>
    <row r="115">
      <c r="A115" t="s">
        <v>34</v>
      </c>
      <c r="B115" t="n">
        <v>6</v>
      </c>
      <c r="C115" t="s">
        <v>27</v>
      </c>
    </row>
    <row r="116">
      <c r="A116" t="s">
        <v>34</v>
      </c>
      <c r="B116" t="n">
        <v>7</v>
      </c>
      <c r="C116" t="s">
        <v>28</v>
      </c>
    </row>
    <row r="117">
      <c r="A117" t="s">
        <v>34</v>
      </c>
      <c r="B117" t="n">
        <v>8</v>
      </c>
      <c r="C117" t="s">
        <v>20</v>
      </c>
    </row>
    <row r="118">
      <c r="A118" t="s">
        <v>34</v>
      </c>
      <c r="B118" t="n">
        <v>9</v>
      </c>
      <c r="C118" t="s">
        <v>29</v>
      </c>
    </row>
    <row r="119">
      <c r="A119" t="s">
        <v>34</v>
      </c>
      <c r="B119" t="n">
        <v>10</v>
      </c>
      <c r="C119" t="s">
        <v>30</v>
      </c>
    </row>
    <row r="120">
      <c r="A120" t="s">
        <v>34</v>
      </c>
      <c r="B120" t="n">
        <v>11</v>
      </c>
      <c r="C120" t="s">
        <v>31</v>
      </c>
    </row>
    <row r="121">
      <c r="A121" t="s">
        <v>34</v>
      </c>
      <c r="B121" t="n">
        <v>12</v>
      </c>
      <c r="C121" t="s">
        <v>21</v>
      </c>
    </row>
    <row r="122">
      <c r="A122" t="s">
        <v>4</v>
      </c>
      <c r="B122" t="s">
        <v>35</v>
      </c>
      <c r="C122" t="s">
        <v>35</v>
      </c>
    </row>
    <row r="123">
      <c r="A123" t="s">
        <v>5</v>
      </c>
      <c r="B123" t="s">
        <v>35</v>
      </c>
      <c r="C123" t="s">
        <v>35</v>
      </c>
    </row>
    <row r="124">
      <c r="A124" t="s">
        <v>6</v>
      </c>
      <c r="B124" t="s">
        <v>35</v>
      </c>
      <c r="C124" t="s">
        <v>35</v>
      </c>
    </row>
    <row r="125">
      <c r="A125" t="s">
        <v>7</v>
      </c>
      <c r="B125" t="s">
        <v>35</v>
      </c>
      <c r="C125" t="s">
        <v>35</v>
      </c>
    </row>
    <row r="126">
      <c r="A126" t="s">
        <v>8</v>
      </c>
      <c r="B126" t="s">
        <v>35</v>
      </c>
      <c r="C126" t="s">
        <v>35</v>
      </c>
    </row>
    <row r="127">
      <c r="A127" t="s">
        <v>9</v>
      </c>
      <c r="B127" t="s">
        <v>35</v>
      </c>
      <c r="C127" t="s">
        <v>35</v>
      </c>
    </row>
    <row r="128">
      <c r="A128" t="s">
        <v>34</v>
      </c>
      <c r="B128" t="n">
        <v>1</v>
      </c>
      <c r="C128" t="s">
        <v>22</v>
      </c>
    </row>
    <row r="129">
      <c r="A129" t="s">
        <v>34</v>
      </c>
      <c r="B129" t="n">
        <v>2</v>
      </c>
      <c r="C129" t="s">
        <v>23</v>
      </c>
    </row>
    <row r="130">
      <c r="A130" t="s">
        <v>34</v>
      </c>
      <c r="B130" t="n">
        <v>3</v>
      </c>
      <c r="C130" t="s">
        <v>24</v>
      </c>
    </row>
    <row r="131">
      <c r="A131" t="s">
        <v>34</v>
      </c>
      <c r="B131" t="n">
        <v>4</v>
      </c>
      <c r="C131" t="s">
        <v>25</v>
      </c>
    </row>
    <row r="132">
      <c r="A132" t="s">
        <v>34</v>
      </c>
      <c r="B132" t="n">
        <v>5</v>
      </c>
      <c r="C132" t="s">
        <v>26</v>
      </c>
    </row>
    <row r="133">
      <c r="A133" t="s">
        <v>34</v>
      </c>
      <c r="B133" t="n">
        <v>6</v>
      </c>
      <c r="C133" t="s">
        <v>27</v>
      </c>
    </row>
    <row r="134">
      <c r="A134" t="s">
        <v>34</v>
      </c>
      <c r="B134" t="n">
        <v>7</v>
      </c>
      <c r="C134" t="s">
        <v>28</v>
      </c>
    </row>
    <row r="135">
      <c r="A135" t="s">
        <v>34</v>
      </c>
      <c r="B135" t="n">
        <v>8</v>
      </c>
      <c r="C135" t="s">
        <v>20</v>
      </c>
    </row>
    <row r="136">
      <c r="A136" t="s">
        <v>34</v>
      </c>
      <c r="B136" t="n">
        <v>9</v>
      </c>
      <c r="C136" t="s">
        <v>29</v>
      </c>
    </row>
    <row r="137">
      <c r="A137" t="s">
        <v>34</v>
      </c>
      <c r="B137" t="n">
        <v>10</v>
      </c>
      <c r="C137" t="s">
        <v>30</v>
      </c>
    </row>
    <row r="138">
      <c r="A138" t="s">
        <v>34</v>
      </c>
      <c r="B138" t="n">
        <v>11</v>
      </c>
      <c r="C138" t="s">
        <v>31</v>
      </c>
    </row>
    <row r="139">
      <c r="A139" t="s">
        <v>34</v>
      </c>
      <c r="B139" t="n">
        <v>12</v>
      </c>
      <c r="C139" t="s">
        <v>21</v>
      </c>
    </row>
    <row r="140">
      <c r="A140" t="s">
        <v>4</v>
      </c>
      <c r="B140" t="s">
        <v>35</v>
      </c>
      <c r="C140" t="s">
        <v>35</v>
      </c>
    </row>
    <row r="141">
      <c r="A141" t="s">
        <v>5</v>
      </c>
      <c r="B141" t="s">
        <v>35</v>
      </c>
      <c r="C141" t="s">
        <v>35</v>
      </c>
    </row>
    <row r="142">
      <c r="A142" t="s">
        <v>6</v>
      </c>
      <c r="B142" t="s">
        <v>35</v>
      </c>
      <c r="C142" t="s">
        <v>35</v>
      </c>
    </row>
    <row r="143">
      <c r="A143" t="s">
        <v>7</v>
      </c>
      <c r="B143" t="s">
        <v>35</v>
      </c>
      <c r="C143" t="s">
        <v>35</v>
      </c>
    </row>
    <row r="144">
      <c r="A144" t="s">
        <v>8</v>
      </c>
      <c r="B144" t="s">
        <v>35</v>
      </c>
      <c r="C144" t="s">
        <v>35</v>
      </c>
    </row>
    <row r="145">
      <c r="A145" t="s">
        <v>9</v>
      </c>
      <c r="B145" t="s">
        <v>35</v>
      </c>
      <c r="C145" t="s">
        <v>35</v>
      </c>
    </row>
    <row r="146">
      <c r="A146" t="s">
        <v>34</v>
      </c>
      <c r="B146" t="n">
        <v>1</v>
      </c>
      <c r="C146" t="s">
        <v>22</v>
      </c>
    </row>
    <row r="147">
      <c r="A147" t="s">
        <v>34</v>
      </c>
      <c r="B147" t="n">
        <v>2</v>
      </c>
      <c r="C147" t="s">
        <v>23</v>
      </c>
    </row>
    <row r="148">
      <c r="A148" t="s">
        <v>34</v>
      </c>
      <c r="B148" t="n">
        <v>3</v>
      </c>
      <c r="C148" t="s">
        <v>24</v>
      </c>
    </row>
    <row r="149">
      <c r="A149" t="s">
        <v>34</v>
      </c>
      <c r="B149" t="n">
        <v>4</v>
      </c>
      <c r="C149" t="s">
        <v>25</v>
      </c>
    </row>
    <row r="150">
      <c r="A150" t="s">
        <v>34</v>
      </c>
      <c r="B150" t="n">
        <v>5</v>
      </c>
      <c r="C150" t="s">
        <v>26</v>
      </c>
    </row>
    <row r="151">
      <c r="A151" t="s">
        <v>34</v>
      </c>
      <c r="B151" t="n">
        <v>6</v>
      </c>
      <c r="C151" t="s">
        <v>27</v>
      </c>
    </row>
    <row r="152">
      <c r="A152" t="s">
        <v>34</v>
      </c>
      <c r="B152" t="n">
        <v>7</v>
      </c>
      <c r="C152" t="s">
        <v>28</v>
      </c>
    </row>
    <row r="153">
      <c r="A153" t="s">
        <v>34</v>
      </c>
      <c r="B153" t="n">
        <v>8</v>
      </c>
      <c r="C153" t="s">
        <v>20</v>
      </c>
    </row>
    <row r="154">
      <c r="A154" t="s">
        <v>34</v>
      </c>
      <c r="B154" t="n">
        <v>9</v>
      </c>
      <c r="C154" t="s">
        <v>29</v>
      </c>
    </row>
    <row r="155">
      <c r="A155" t="s">
        <v>34</v>
      </c>
      <c r="B155" t="n">
        <v>10</v>
      </c>
      <c r="C155" t="s">
        <v>30</v>
      </c>
    </row>
    <row r="156">
      <c r="A156" t="s">
        <v>34</v>
      </c>
      <c r="B156" t="n">
        <v>11</v>
      </c>
      <c r="C156" t="s">
        <v>31</v>
      </c>
    </row>
    <row r="157">
      <c r="A157" t="s">
        <v>34</v>
      </c>
      <c r="B157" t="n">
        <v>12</v>
      </c>
      <c r="C157" t="s">
        <v>21</v>
      </c>
    </row>
    <row r="158">
      <c r="A158" t="s">
        <v>4</v>
      </c>
      <c r="B158" t="s">
        <v>35</v>
      </c>
      <c r="C158" t="s">
        <v>35</v>
      </c>
    </row>
    <row r="159">
      <c r="A159" t="s">
        <v>5</v>
      </c>
      <c r="B159" t="s">
        <v>35</v>
      </c>
      <c r="C159" t="s">
        <v>35</v>
      </c>
    </row>
    <row r="160">
      <c r="A160" t="s">
        <v>6</v>
      </c>
      <c r="B160" t="s">
        <v>35</v>
      </c>
      <c r="C160" t="s">
        <v>35</v>
      </c>
    </row>
    <row r="161">
      <c r="A161" t="s">
        <v>7</v>
      </c>
      <c r="B161" t="s">
        <v>35</v>
      </c>
      <c r="C161" t="s">
        <v>35</v>
      </c>
    </row>
    <row r="162">
      <c r="A162" t="s">
        <v>8</v>
      </c>
      <c r="B162" t="s">
        <v>35</v>
      </c>
      <c r="C162" t="s">
        <v>35</v>
      </c>
    </row>
    <row r="163">
      <c r="A163" t="s">
        <v>9</v>
      </c>
      <c r="B163" t="s">
        <v>35</v>
      </c>
      <c r="C163" t="s">
        <v>35</v>
      </c>
    </row>
    <row r="164">
      <c r="A164" t="s">
        <v>34</v>
      </c>
      <c r="B164" t="n">
        <v>1</v>
      </c>
      <c r="C164" t="s">
        <v>22</v>
      </c>
    </row>
    <row r="165">
      <c r="A165" t="s">
        <v>34</v>
      </c>
      <c r="B165" t="n">
        <v>2</v>
      </c>
      <c r="C165" t="s">
        <v>23</v>
      </c>
    </row>
    <row r="166">
      <c r="A166" t="s">
        <v>34</v>
      </c>
      <c r="B166" t="n">
        <v>3</v>
      </c>
      <c r="C166" t="s">
        <v>24</v>
      </c>
    </row>
    <row r="167">
      <c r="A167" t="s">
        <v>34</v>
      </c>
      <c r="B167" t="n">
        <v>4</v>
      </c>
      <c r="C167" t="s">
        <v>25</v>
      </c>
    </row>
    <row r="168">
      <c r="A168" t="s">
        <v>34</v>
      </c>
      <c r="B168" t="n">
        <v>5</v>
      </c>
      <c r="C168" t="s">
        <v>26</v>
      </c>
    </row>
    <row r="169">
      <c r="A169" t="s">
        <v>34</v>
      </c>
      <c r="B169" t="n">
        <v>6</v>
      </c>
      <c r="C169" t="s">
        <v>27</v>
      </c>
    </row>
    <row r="170">
      <c r="A170" t="s">
        <v>34</v>
      </c>
      <c r="B170" t="n">
        <v>7</v>
      </c>
      <c r="C170" t="s">
        <v>28</v>
      </c>
    </row>
    <row r="171">
      <c r="A171" t="s">
        <v>34</v>
      </c>
      <c r="B171" t="n">
        <v>8</v>
      </c>
      <c r="C171" t="s">
        <v>20</v>
      </c>
    </row>
    <row r="172">
      <c r="A172" t="s">
        <v>34</v>
      </c>
      <c r="B172" t="n">
        <v>9</v>
      </c>
      <c r="C172" t="s">
        <v>29</v>
      </c>
    </row>
    <row r="173">
      <c r="A173" t="s">
        <v>34</v>
      </c>
      <c r="B173" t="n">
        <v>10</v>
      </c>
      <c r="C173" t="s">
        <v>30</v>
      </c>
    </row>
    <row r="174">
      <c r="A174" t="s">
        <v>34</v>
      </c>
      <c r="B174" t="n">
        <v>11</v>
      </c>
      <c r="C174" t="s">
        <v>31</v>
      </c>
    </row>
    <row r="175">
      <c r="A175" t="s">
        <v>34</v>
      </c>
      <c r="B175" t="n">
        <v>12</v>
      </c>
      <c r="C175" t="s">
        <v>21</v>
      </c>
    </row>
    <row r="176">
      <c r="A176" t="s">
        <v>4</v>
      </c>
      <c r="B176" t="s">
        <v>35</v>
      </c>
      <c r="C176" t="s">
        <v>35</v>
      </c>
    </row>
    <row r="177">
      <c r="A177" t="s">
        <v>5</v>
      </c>
      <c r="B177" t="s">
        <v>35</v>
      </c>
      <c r="C177" t="s">
        <v>35</v>
      </c>
    </row>
    <row r="178">
      <c r="A178" t="s">
        <v>6</v>
      </c>
      <c r="B178" t="s">
        <v>35</v>
      </c>
      <c r="C178" t="s">
        <v>35</v>
      </c>
    </row>
    <row r="179">
      <c r="A179" t="s">
        <v>7</v>
      </c>
      <c r="B179" t="s">
        <v>35</v>
      </c>
      <c r="C179" t="s">
        <v>35</v>
      </c>
    </row>
    <row r="180">
      <c r="A180" t="s">
        <v>8</v>
      </c>
      <c r="B180" t="s">
        <v>35</v>
      </c>
      <c r="C180" t="s">
        <v>35</v>
      </c>
    </row>
    <row r="181">
      <c r="A181" t="s">
        <v>9</v>
      </c>
      <c r="B181" t="s">
        <v>35</v>
      </c>
      <c r="C181" t="s">
        <v>35</v>
      </c>
    </row>
    <row r="182">
      <c r="A182" t="s">
        <v>34</v>
      </c>
      <c r="B182" t="n">
        <v>1</v>
      </c>
      <c r="C182" t="s">
        <v>22</v>
      </c>
    </row>
    <row r="183">
      <c r="A183" t="s">
        <v>34</v>
      </c>
      <c r="B183" t="n">
        <v>2</v>
      </c>
      <c r="C183" t="s">
        <v>23</v>
      </c>
    </row>
    <row r="184">
      <c r="A184" t="s">
        <v>34</v>
      </c>
      <c r="B184" t="n">
        <v>3</v>
      </c>
      <c r="C184" t="s">
        <v>24</v>
      </c>
    </row>
    <row r="185">
      <c r="A185" t="s">
        <v>34</v>
      </c>
      <c r="B185" t="n">
        <v>4</v>
      </c>
      <c r="C185" t="s">
        <v>25</v>
      </c>
    </row>
    <row r="186">
      <c r="A186" t="s">
        <v>34</v>
      </c>
      <c r="B186" t="n">
        <v>5</v>
      </c>
      <c r="C186" t="s">
        <v>26</v>
      </c>
    </row>
    <row r="187">
      <c r="A187" t="s">
        <v>34</v>
      </c>
      <c r="B187" t="n">
        <v>6</v>
      </c>
      <c r="C187" t="s">
        <v>27</v>
      </c>
    </row>
    <row r="188">
      <c r="A188" t="s">
        <v>34</v>
      </c>
      <c r="B188" t="n">
        <v>7</v>
      </c>
      <c r="C188" t="s">
        <v>28</v>
      </c>
    </row>
    <row r="189">
      <c r="A189" t="s">
        <v>34</v>
      </c>
      <c r="B189" t="n">
        <v>8</v>
      </c>
      <c r="C189" t="s">
        <v>20</v>
      </c>
    </row>
    <row r="190">
      <c r="A190" t="s">
        <v>34</v>
      </c>
      <c r="B190" t="n">
        <v>9</v>
      </c>
      <c r="C190" t="s">
        <v>29</v>
      </c>
    </row>
    <row r="191">
      <c r="A191" t="s">
        <v>34</v>
      </c>
      <c r="B191" t="n">
        <v>10</v>
      </c>
      <c r="C191" t="s">
        <v>30</v>
      </c>
    </row>
    <row r="192">
      <c r="A192" t="s">
        <v>34</v>
      </c>
      <c r="B192" t="n">
        <v>11</v>
      </c>
      <c r="C192" t="s">
        <v>31</v>
      </c>
    </row>
    <row r="193">
      <c r="A193" t="s">
        <v>34</v>
      </c>
      <c r="B193" t="n">
        <v>12</v>
      </c>
      <c r="C193" t="s">
        <v>21</v>
      </c>
    </row>
    <row r="194">
      <c r="A194" t="s">
        <v>4</v>
      </c>
      <c r="B194" t="s">
        <v>35</v>
      </c>
      <c r="C194" t="s">
        <v>35</v>
      </c>
    </row>
    <row r="195">
      <c r="A195" t="s">
        <v>5</v>
      </c>
      <c r="B195" t="s">
        <v>35</v>
      </c>
      <c r="C195" t="s">
        <v>35</v>
      </c>
    </row>
    <row r="196">
      <c r="A196" t="s">
        <v>6</v>
      </c>
      <c r="B196" t="s">
        <v>35</v>
      </c>
      <c r="C196" t="s">
        <v>35</v>
      </c>
    </row>
    <row r="197">
      <c r="A197" t="s">
        <v>7</v>
      </c>
      <c r="B197" t="s">
        <v>35</v>
      </c>
      <c r="C197" t="s">
        <v>35</v>
      </c>
    </row>
    <row r="198">
      <c r="A198" t="s">
        <v>8</v>
      </c>
      <c r="B198" t="s">
        <v>35</v>
      </c>
      <c r="C198" t="s">
        <v>35</v>
      </c>
    </row>
    <row r="199">
      <c r="A199" t="s">
        <v>9</v>
      </c>
      <c r="B199" t="s">
        <v>35</v>
      </c>
      <c r="C199" t="s">
        <v>35</v>
      </c>
    </row>
    <row r="200">
      <c r="A200" t="s">
        <v>34</v>
      </c>
      <c r="B200" t="n">
        <v>1</v>
      </c>
      <c r="C200" t="s">
        <v>22</v>
      </c>
    </row>
    <row r="201">
      <c r="A201" t="s">
        <v>34</v>
      </c>
      <c r="B201" t="n">
        <v>2</v>
      </c>
      <c r="C201" t="s">
        <v>23</v>
      </c>
    </row>
    <row r="202">
      <c r="A202" t="s">
        <v>34</v>
      </c>
      <c r="B202" t="n">
        <v>3</v>
      </c>
      <c r="C202" t="s">
        <v>24</v>
      </c>
    </row>
    <row r="203">
      <c r="A203" t="s">
        <v>34</v>
      </c>
      <c r="B203" t="n">
        <v>4</v>
      </c>
      <c r="C203" t="s">
        <v>25</v>
      </c>
    </row>
    <row r="204">
      <c r="A204" t="s">
        <v>34</v>
      </c>
      <c r="B204" t="n">
        <v>5</v>
      </c>
      <c r="C204" t="s">
        <v>26</v>
      </c>
    </row>
    <row r="205">
      <c r="A205" t="s">
        <v>34</v>
      </c>
      <c r="B205" t="n">
        <v>6</v>
      </c>
      <c r="C205" t="s">
        <v>27</v>
      </c>
    </row>
    <row r="206">
      <c r="A206" t="s">
        <v>34</v>
      </c>
      <c r="B206" t="n">
        <v>7</v>
      </c>
      <c r="C206" t="s">
        <v>28</v>
      </c>
    </row>
    <row r="207">
      <c r="A207" t="s">
        <v>34</v>
      </c>
      <c r="B207" t="n">
        <v>8</v>
      </c>
      <c r="C207" t="s">
        <v>20</v>
      </c>
    </row>
    <row r="208">
      <c r="A208" t="s">
        <v>34</v>
      </c>
      <c r="B208" t="n">
        <v>9</v>
      </c>
      <c r="C208" t="s">
        <v>29</v>
      </c>
    </row>
    <row r="209">
      <c r="A209" t="s">
        <v>34</v>
      </c>
      <c r="B209" t="n">
        <v>10</v>
      </c>
      <c r="C209" t="s">
        <v>30</v>
      </c>
    </row>
    <row r="210">
      <c r="A210" t="s">
        <v>34</v>
      </c>
      <c r="B210" t="n">
        <v>11</v>
      </c>
      <c r="C210" t="s">
        <v>31</v>
      </c>
    </row>
    <row r="211">
      <c r="A211" t="s">
        <v>34</v>
      </c>
      <c r="B211" t="n">
        <v>12</v>
      </c>
      <c r="C211" t="s">
        <v>21</v>
      </c>
    </row>
    <row r="212">
      <c r="A212" t="s">
        <v>4</v>
      </c>
      <c r="B212" t="s">
        <v>35</v>
      </c>
      <c r="C212" t="s">
        <v>35</v>
      </c>
    </row>
    <row r="213">
      <c r="A213" t="s">
        <v>5</v>
      </c>
      <c r="B213" t="s">
        <v>35</v>
      </c>
      <c r="C213" t="s">
        <v>35</v>
      </c>
    </row>
    <row r="214">
      <c r="A214" t="s">
        <v>6</v>
      </c>
      <c r="B214" t="s">
        <v>35</v>
      </c>
      <c r="C214" t="s">
        <v>35</v>
      </c>
    </row>
    <row r="215">
      <c r="A215" t="s">
        <v>7</v>
      </c>
      <c r="B215" t="s">
        <v>35</v>
      </c>
      <c r="C215" t="s">
        <v>35</v>
      </c>
    </row>
    <row r="216">
      <c r="A216" t="s">
        <v>8</v>
      </c>
      <c r="B216" t="s">
        <v>35</v>
      </c>
      <c r="C216" t="s">
        <v>35</v>
      </c>
    </row>
    <row r="217">
      <c r="A217" t="s">
        <v>9</v>
      </c>
      <c r="B217" t="s">
        <v>35</v>
      </c>
      <c r="C217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zoomScale="130" zoomScaleNormal="130" workbookViewId="0">
      <selection activeCell="B2" sqref="B2"/>
    </sheetView>
  </sheetViews>
  <sheetFormatPr defaultRowHeight="15.0" baseColWidth="10"/>
  <cols>
    <col min="2" max="2" width="40.86328125" hidden="0" customWidth="1"/>
    <col min="3" max="3" width="19.265625" hidden="0" customWidth="1"/>
  </cols>
  <sheetData>
    <row r="1">
      <c r="A1" s="29" t="n">
        <v>1</v>
      </c>
      <c r="B1" s="8" t="s">
        <v>22</v>
      </c>
      <c r="C1" s="1" t="s">
        <v>76</v>
      </c>
    </row>
    <row r="2">
      <c r="A2" s="29" t="n">
        <v>2</v>
      </c>
      <c r="B2" s="8" t="s">
        <v>23</v>
      </c>
      <c r="C2" s="1" t="s">
        <v>78</v>
      </c>
    </row>
    <row r="3">
      <c r="A3" s="29" t="n">
        <v>3</v>
      </c>
      <c r="B3" s="8" t="s">
        <v>24</v>
      </c>
      <c r="C3" s="1" t="s">
        <v>78</v>
      </c>
    </row>
    <row r="4">
      <c r="A4" s="29" t="n">
        <v>4</v>
      </c>
      <c r="B4" s="8" t="s">
        <v>25</v>
      </c>
      <c r="C4" s="1" t="s">
        <v>78</v>
      </c>
    </row>
    <row r="5">
      <c r="A5" s="29" t="n">
        <v>5</v>
      </c>
      <c r="B5" s="8" t="s">
        <v>26</v>
      </c>
      <c r="C5" s="1" t="s">
        <v>78</v>
      </c>
    </row>
    <row r="6">
      <c r="A6" s="29" t="n">
        <v>6</v>
      </c>
      <c r="B6" s="8" t="s">
        <v>27</v>
      </c>
      <c r="C6" s="1" t="s">
        <v>78</v>
      </c>
    </row>
    <row r="7">
      <c r="A7" s="29" t="n">
        <v>7</v>
      </c>
      <c r="B7" s="8" t="s">
        <v>28</v>
      </c>
      <c r="C7" s="1" t="s">
        <v>78</v>
      </c>
    </row>
    <row r="8">
      <c r="A8" s="29" t="n">
        <v>8</v>
      </c>
      <c r="B8" s="8" t="s">
        <v>20</v>
      </c>
      <c r="C8" s="1" t="s">
        <v>78</v>
      </c>
    </row>
    <row r="9">
      <c r="A9" s="29" t="n">
        <v>9</v>
      </c>
      <c r="B9" s="8" t="s">
        <v>29</v>
      </c>
      <c r="C9" s="1" t="s">
        <v>78</v>
      </c>
    </row>
    <row r="10">
      <c r="A10" s="29" t="n">
        <v>10</v>
      </c>
      <c r="B10" s="29" t="s">
        <v>30</v>
      </c>
      <c r="C10" s="1" t="s">
        <v>77</v>
      </c>
    </row>
    <row r="11">
      <c r="A11" s="29" t="n">
        <v>11</v>
      </c>
      <c r="B11" s="8" t="s">
        <v>31</v>
      </c>
      <c r="C11" s="1" t="s">
        <v>78</v>
      </c>
    </row>
    <row r="12">
      <c r="A12" s="29" t="n">
        <v>12</v>
      </c>
      <c r="B12" s="8" t="s">
        <v>21</v>
      </c>
      <c r="C12" s="1" t="s">
        <v>78</v>
      </c>
    </row>
    <row r="13">
      <c r="A13" s="1" t="s">
        <v>35</v>
      </c>
      <c r="B13" s="8" t="s">
        <v>35</v>
      </c>
      <c r="C13" s="1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cols>
    <col min="1" max="1" width="19.265625" hidden="0" customWidth="1"/>
    <col min="2" max="2" width="20.59765625" hidden="0" customWidth="1"/>
    <col min="3" max="3" width="20" hidden="0" customWidth="1"/>
    <col min="4" max="4" width="14.1328125" hidden="0" customWidth="1"/>
    <col min="5" max="5" width="17.86328125" hidden="0" customWidth="1"/>
    <col min="6" max="6" width="20.59765625" hidden="0" customWidth="1"/>
    <col min="7" max="7" width="19.73046875" hidden="0" customWidth="1"/>
    <col min="8" max="8" width="13.9296875" hidden="0" customWidth="1"/>
    <col min="9" max="9" width="27.46484375" hidden="0" customWidth="1"/>
    <col min="10" max="10" width="22" hidden="0" customWidth="1"/>
    <col min="11" max="11" width="11.73046875" hidden="0" customWidth="1"/>
    <col min="12" max="12" width="13.9296875" hidden="0" customWidth="1"/>
    <col min="13" max="13" width="16.73046875" hidden="0" customWidth="1"/>
    <col min="14" max="14" width="27.46484375" hidden="0" customWidth="1"/>
    <col min="15" max="15" width="30.265625" hidden="0" customWidth="1"/>
    <col min="16" max="16" width="22" hidden="0" customWidth="1"/>
    <col min="17" max="17" width="24.796875" hidden="0" customWidth="1"/>
    <col min="18" max="18" width="11.73046875" hidden="0" customWidth="1"/>
  </cols>
  <sheetData>
    <row r="3">
      <c r="A3" s="55" t="s">
        <v>81</v>
      </c>
      <c r="B3" s="55" t="s">
        <v>84</v>
      </c>
    </row>
    <row r="4">
      <c r="B4" t="s">
        <v>34</v>
      </c>
      <c r="E4" t="s">
        <v>5</v>
      </c>
      <c r="F4" t="s">
        <v>6</v>
      </c>
      <c r="G4" t="s">
        <v>4</v>
      </c>
      <c r="H4" t="s">
        <v>9</v>
      </c>
      <c r="I4" t="s">
        <v>7</v>
      </c>
      <c r="J4" t="s">
        <v>8</v>
      </c>
      <c r="K4" t="s">
        <v>83</v>
      </c>
    </row>
    <row r="5">
      <c r="A5" s="55" t="s">
        <v>82</v>
      </c>
      <c r="B5" t="s">
        <v>76</v>
      </c>
      <c r="C5" t="s">
        <v>77</v>
      </c>
      <c r="D5" t="s">
        <v>78</v>
      </c>
      <c r="E5" t="s">
        <v>35</v>
      </c>
      <c r="F5" t="s">
        <v>35</v>
      </c>
      <c r="G5" t="s">
        <v>35</v>
      </c>
      <c r="H5" t="s">
        <v>35</v>
      </c>
      <c r="I5" t="s">
        <v>35</v>
      </c>
      <c r="J5" t="s">
        <v>35</v>
      </c>
    </row>
    <row r="6">
      <c r="A6" s="56" t="s">
        <v>76</v>
      </c>
      <c r="B6" s="18" t="n">
        <v>4115.25324179359</v>
      </c>
      <c r="C6" s="18" t="n">
        <v>6.0921412337751075</v>
      </c>
      <c r="D6" s="18" t="n">
        <v>12372.143309077153</v>
      </c>
      <c r="E6" s="18" t="n">
        <v>0</v>
      </c>
      <c r="F6" s="18" t="n">
        <v>2.668751046842022E-2</v>
      </c>
      <c r="G6" s="18" t="n">
        <v>2783.6759149078262</v>
      </c>
      <c r="H6" s="18" t="n">
        <v>3460.4746110713118</v>
      </c>
      <c r="I6" s="18" t="n">
        <v>790.68687043852901</v>
      </c>
      <c r="J6" s="18" t="n">
        <v>-133.35791971044395</v>
      </c>
      <c r="K6" s="18" t="n">
        <v>23394.99485632221</v>
      </c>
    </row>
    <row r="7">
      <c r="A7" s="56" t="s">
        <v>77</v>
      </c>
      <c r="B7" s="18" t="n">
        <v>749.34541065891779</v>
      </c>
      <c r="C7" s="18" t="n">
        <v>4585.662619325376</v>
      </c>
      <c r="D7" s="18" t="n">
        <v>24505.483349912996</v>
      </c>
      <c r="E7" s="18" t="n">
        <v>0</v>
      </c>
      <c r="F7" s="18" t="n">
        <v>73.289573665182871</v>
      </c>
      <c r="G7" s="18" t="n">
        <v>1570.0364102032977</v>
      </c>
      <c r="H7" s="18" t="n">
        <v>1232.2600711522966</v>
      </c>
      <c r="I7" s="18" t="n">
        <v>4072.6307240641954</v>
      </c>
      <c r="J7" s="18" t="n">
        <v>5.1274777730822097E-4</v>
      </c>
      <c r="K7" s="18" t="n">
        <v>36788.708671730048</v>
      </c>
    </row>
    <row r="8">
      <c r="A8" s="56" t="s">
        <v>78</v>
      </c>
      <c r="B8" s="18" t="n">
        <v>7375.5612962376608</v>
      </c>
      <c r="C8" s="18" t="n">
        <v>5296.0041439189345</v>
      </c>
      <c r="D8" s="18" t="n">
        <v>127693.99156087229</v>
      </c>
      <c r="E8" s="18" t="n">
        <v>1392.2380252579896</v>
      </c>
      <c r="F8" s="18" t="n">
        <v>38220.663166630053</v>
      </c>
      <c r="G8" s="18" t="n">
        <v>114839.8237355655</v>
      </c>
      <c r="H8" s="18" t="n">
        <v>85929.02740325495</v>
      </c>
      <c r="I8" s="18" t="n">
        <v>43515.824570640914</v>
      </c>
      <c r="J8" s="18" t="n">
        <v>-618.50436804021706</v>
      </c>
      <c r="K8" s="18" t="n">
        <v>423644.62953433802</v>
      </c>
    </row>
    <row r="9">
      <c r="A9" s="56" t="s">
        <v>83</v>
      </c>
      <c r="B9" s="18" t="n">
        <v>12240.159948690169</v>
      </c>
      <c r="C9" s="18" t="n">
        <v>9887.7589044780852</v>
      </c>
      <c r="D9" s="18" t="n">
        <v>164571.61821986246</v>
      </c>
      <c r="E9" s="18" t="n">
        <v>1392.2380252579896</v>
      </c>
      <c r="F9" s="18" t="n">
        <v>38293.979427805702</v>
      </c>
      <c r="G9" s="18" t="n">
        <v>119193.53606067662</v>
      </c>
      <c r="H9" s="18" t="n">
        <v>90621.762085478564</v>
      </c>
      <c r="I9" s="18" t="n">
        <v>48379.142165143639</v>
      </c>
      <c r="J9" s="18" t="n">
        <v>-751.86177500288363</v>
      </c>
      <c r="K9" s="18" t="n">
        <v>483828.33306239027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Peraita B.</dc:creator>
  <cp:lastModifiedBy>Renato Vargas</cp:lastModifiedBy>
  <dcterms:created xsi:type="dcterms:W3CDTF">2016-12-21T19:41:14Z</dcterms:created>
  <dcterms:modified xsi:type="dcterms:W3CDTF">2025-09-01T20:12:42Z</dcterms:modified>
</cp:coreProperties>
</file>